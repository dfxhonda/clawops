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d.docs.live.net/67D530F3DADE2E49/"/>
    </mc:Choice>
  </mc:AlternateContent>
  <xr:revisionPtr revIDLastSave="2081" documentId="8_{85BC6594-6F97-5B48-B27E-AE9B947CE2BF}" xr6:coauthVersionLast="47" xr6:coauthVersionMax="47" xr10:uidLastSave="{8ADCAAA6-964A-8B4D-8D4A-43ED514E4A76}"/>
  <bookViews>
    <workbookView xWindow="0" yWindow="760" windowWidth="38400" windowHeight="22680" xr2:uid="{00000000-000D-0000-FFFF-FFFF00000000}"/>
  </bookViews>
  <sheets>
    <sheet name="クレーン佐賀八女" sheetId="1" r:id="rId1"/>
    <sheet name="ガチャ" sheetId="2" r:id="rId2"/>
    <sheet name="集金" sheetId="3" r:id="rId3"/>
    <sheet name="Sheet1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LlMWOuQpVUcLksQJa2lnK5QDZXdtJl2L08ylrmovSLg="/>
    </ext>
  </extLst>
</workbook>
</file>

<file path=xl/calcChain.xml><?xml version="1.0" encoding="utf-8"?>
<calcChain xmlns="http://schemas.openxmlformats.org/spreadsheetml/2006/main">
  <c r="G363" i="1" l="1"/>
  <c r="H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C34" i="3"/>
  <c r="G351" i="1"/>
  <c r="H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C33" i="3"/>
  <c r="G339" i="1"/>
  <c r="H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C32" i="3"/>
  <c r="G327" i="1"/>
  <c r="H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C31" i="3"/>
  <c r="G315" i="1"/>
  <c r="H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C30" i="3"/>
  <c r="G303" i="1"/>
  <c r="H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C29" i="3"/>
  <c r="G291" i="1"/>
  <c r="H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C28" i="3"/>
  <c r="G279" i="1"/>
  <c r="H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C27" i="3"/>
  <c r="G267" i="1"/>
  <c r="H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C26" i="3"/>
  <c r="G255" i="1"/>
  <c r="H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C25" i="3"/>
  <c r="G243" i="1"/>
  <c r="H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C24" i="3"/>
  <c r="B24" i="3"/>
  <c r="D24" i="3"/>
  <c r="G231" i="1"/>
  <c r="H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C23" i="3"/>
  <c r="G219" i="1"/>
  <c r="H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C22" i="3"/>
  <c r="G207" i="1"/>
  <c r="H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C21" i="3"/>
  <c r="G195" i="1"/>
  <c r="H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C20" i="3"/>
  <c r="B33" i="3"/>
  <c r="D33" i="3"/>
  <c r="E33" i="3"/>
  <c r="B28" i="3"/>
  <c r="D28" i="3"/>
  <c r="B26" i="3"/>
  <c r="D26" i="3"/>
  <c r="B34" i="3"/>
  <c r="B32" i="3"/>
  <c r="B31" i="3"/>
  <c r="B30" i="3"/>
  <c r="B29" i="3"/>
  <c r="B27" i="3"/>
  <c r="B25" i="3"/>
  <c r="B23" i="3"/>
  <c r="B22" i="3"/>
  <c r="B21" i="3"/>
  <c r="G183" i="1"/>
  <c r="H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C19" i="3"/>
  <c r="B19" i="3"/>
  <c r="D19" i="3"/>
  <c r="E19" i="3"/>
  <c r="B20" i="3"/>
  <c r="I34" i="3"/>
  <c r="D34" i="3"/>
  <c r="E34" i="3"/>
  <c r="I33" i="3"/>
  <c r="I32" i="3"/>
  <c r="D32" i="3"/>
  <c r="E32" i="3"/>
  <c r="I30" i="3"/>
  <c r="J30" i="3"/>
  <c r="D29" i="3"/>
  <c r="I28" i="3"/>
  <c r="I26" i="3"/>
  <c r="J26" i="3"/>
  <c r="I24" i="3"/>
  <c r="I22" i="3"/>
  <c r="J22" i="3"/>
  <c r="D21" i="3"/>
  <c r="I20" i="3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201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213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225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237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249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261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273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285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297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309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321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333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345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357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369" i="1"/>
  <c r="G10" i="1"/>
  <c r="H10" i="1"/>
  <c r="I10" i="1"/>
  <c r="J10" i="1"/>
  <c r="K10" i="1"/>
  <c r="L10" i="1"/>
  <c r="M10" i="1"/>
  <c r="N10" i="1"/>
  <c r="A9" i="1"/>
  <c r="G15" i="1"/>
  <c r="G22" i="1"/>
  <c r="H15" i="1"/>
  <c r="H22" i="1"/>
  <c r="I22" i="1"/>
  <c r="J15" i="1"/>
  <c r="J22" i="1"/>
  <c r="K15" i="1"/>
  <c r="K22" i="1"/>
  <c r="L15" i="1"/>
  <c r="L22" i="1"/>
  <c r="M15" i="1"/>
  <c r="M22" i="1"/>
  <c r="N15" i="1"/>
  <c r="N22" i="1"/>
  <c r="O15" i="1"/>
  <c r="O22" i="1"/>
  <c r="P15" i="1"/>
  <c r="P22" i="1"/>
  <c r="Q15" i="1"/>
  <c r="Q22" i="1"/>
  <c r="R15" i="1"/>
  <c r="R22" i="1"/>
  <c r="S15" i="1"/>
  <c r="S22" i="1"/>
  <c r="T15" i="1"/>
  <c r="T22" i="1"/>
  <c r="U15" i="1"/>
  <c r="U22" i="1"/>
  <c r="V15" i="1"/>
  <c r="V22" i="1"/>
  <c r="W15" i="1"/>
  <c r="W22" i="1"/>
  <c r="X15" i="1"/>
  <c r="X22" i="1"/>
  <c r="Y15" i="1"/>
  <c r="Y22" i="1"/>
  <c r="Z15" i="1"/>
  <c r="Z22" i="1"/>
  <c r="AA15" i="1"/>
  <c r="AA22" i="1"/>
  <c r="AB15" i="1"/>
  <c r="AB22" i="1"/>
  <c r="AC15" i="1"/>
  <c r="AC22" i="1"/>
  <c r="AD15" i="1"/>
  <c r="AD22" i="1"/>
  <c r="AE15" i="1"/>
  <c r="AE22" i="1"/>
  <c r="AF15" i="1"/>
  <c r="AF22" i="1"/>
  <c r="AG15" i="1"/>
  <c r="AG22" i="1"/>
  <c r="AH15" i="1"/>
  <c r="AH22" i="1"/>
  <c r="AI15" i="1"/>
  <c r="AI22" i="1"/>
  <c r="AJ15" i="1"/>
  <c r="AJ22" i="1"/>
  <c r="AK15" i="1"/>
  <c r="AK22" i="1"/>
  <c r="AL15" i="1"/>
  <c r="AL22" i="1"/>
  <c r="AM15" i="1"/>
  <c r="AM22" i="1"/>
  <c r="AN15" i="1"/>
  <c r="AN22" i="1"/>
  <c r="AO15" i="1"/>
  <c r="AO22" i="1"/>
  <c r="AP15" i="1"/>
  <c r="AP22" i="1"/>
  <c r="AQ15" i="1"/>
  <c r="AQ22" i="1"/>
  <c r="AR15" i="1"/>
  <c r="AR22" i="1"/>
  <c r="AS15" i="1"/>
  <c r="AS22" i="1"/>
  <c r="A21" i="1"/>
  <c r="G27" i="1"/>
  <c r="G34" i="1"/>
  <c r="H27" i="1"/>
  <c r="H34" i="1"/>
  <c r="I34" i="1"/>
  <c r="J27" i="1"/>
  <c r="J34" i="1"/>
  <c r="K27" i="1"/>
  <c r="K34" i="1"/>
  <c r="L27" i="1"/>
  <c r="L34" i="1"/>
  <c r="M27" i="1"/>
  <c r="M34" i="1"/>
  <c r="N27" i="1"/>
  <c r="N34" i="1"/>
  <c r="O27" i="1"/>
  <c r="O34" i="1"/>
  <c r="P27" i="1"/>
  <c r="P34" i="1"/>
  <c r="Q27" i="1"/>
  <c r="Q34" i="1"/>
  <c r="R27" i="1"/>
  <c r="R34" i="1"/>
  <c r="S27" i="1"/>
  <c r="S34" i="1"/>
  <c r="T27" i="1"/>
  <c r="T34" i="1"/>
  <c r="U27" i="1"/>
  <c r="U34" i="1"/>
  <c r="V27" i="1"/>
  <c r="V34" i="1"/>
  <c r="W27" i="1"/>
  <c r="W34" i="1"/>
  <c r="X27" i="1"/>
  <c r="X34" i="1"/>
  <c r="Y27" i="1"/>
  <c r="Y34" i="1"/>
  <c r="Z27" i="1"/>
  <c r="Z34" i="1"/>
  <c r="AA27" i="1"/>
  <c r="AA34" i="1"/>
  <c r="AB27" i="1"/>
  <c r="AB34" i="1"/>
  <c r="AC27" i="1"/>
  <c r="AC34" i="1"/>
  <c r="AD27" i="1"/>
  <c r="AD34" i="1"/>
  <c r="AE27" i="1"/>
  <c r="AE34" i="1"/>
  <c r="AF27" i="1"/>
  <c r="AF34" i="1"/>
  <c r="AG27" i="1"/>
  <c r="AG34" i="1"/>
  <c r="AH27" i="1"/>
  <c r="AH34" i="1"/>
  <c r="AI27" i="1"/>
  <c r="AI34" i="1"/>
  <c r="AJ27" i="1"/>
  <c r="AJ34" i="1"/>
  <c r="AK27" i="1"/>
  <c r="AK34" i="1"/>
  <c r="AL27" i="1"/>
  <c r="AL34" i="1"/>
  <c r="AM27" i="1"/>
  <c r="AM34" i="1"/>
  <c r="AN27" i="1"/>
  <c r="AN34" i="1"/>
  <c r="AO27" i="1"/>
  <c r="AO34" i="1"/>
  <c r="AP27" i="1"/>
  <c r="AP34" i="1"/>
  <c r="AQ27" i="1"/>
  <c r="AQ34" i="1"/>
  <c r="AR27" i="1"/>
  <c r="AR34" i="1"/>
  <c r="AS27" i="1"/>
  <c r="AS34" i="1"/>
  <c r="A33" i="1"/>
  <c r="G39" i="1"/>
  <c r="G46" i="1"/>
  <c r="H39" i="1"/>
  <c r="H46" i="1"/>
  <c r="I46" i="1"/>
  <c r="J39" i="1"/>
  <c r="J46" i="1"/>
  <c r="K39" i="1"/>
  <c r="K46" i="1"/>
  <c r="L39" i="1"/>
  <c r="L46" i="1"/>
  <c r="M39" i="1"/>
  <c r="M46" i="1"/>
  <c r="N39" i="1"/>
  <c r="N46" i="1"/>
  <c r="O39" i="1"/>
  <c r="O46" i="1"/>
  <c r="P39" i="1"/>
  <c r="P46" i="1"/>
  <c r="Q39" i="1"/>
  <c r="Q46" i="1"/>
  <c r="R39" i="1"/>
  <c r="R46" i="1"/>
  <c r="S39" i="1"/>
  <c r="S46" i="1"/>
  <c r="T39" i="1"/>
  <c r="T46" i="1"/>
  <c r="U39" i="1"/>
  <c r="U46" i="1"/>
  <c r="V39" i="1"/>
  <c r="V46" i="1"/>
  <c r="W39" i="1"/>
  <c r="W46" i="1"/>
  <c r="X39" i="1"/>
  <c r="X46" i="1"/>
  <c r="Y39" i="1"/>
  <c r="Y46" i="1"/>
  <c r="Z39" i="1"/>
  <c r="Z46" i="1"/>
  <c r="AA39" i="1"/>
  <c r="AA46" i="1"/>
  <c r="AB39" i="1"/>
  <c r="AB46" i="1"/>
  <c r="AC39" i="1"/>
  <c r="AC46" i="1"/>
  <c r="AD39" i="1"/>
  <c r="AD46" i="1"/>
  <c r="AE39" i="1"/>
  <c r="AE46" i="1"/>
  <c r="AF39" i="1"/>
  <c r="AF46" i="1"/>
  <c r="AG39" i="1"/>
  <c r="AG46" i="1"/>
  <c r="AH39" i="1"/>
  <c r="AH46" i="1"/>
  <c r="AI39" i="1"/>
  <c r="AI46" i="1"/>
  <c r="AJ39" i="1"/>
  <c r="AJ46" i="1"/>
  <c r="AK39" i="1"/>
  <c r="AK46" i="1"/>
  <c r="AL39" i="1"/>
  <c r="AL46" i="1"/>
  <c r="AM39" i="1"/>
  <c r="AM46" i="1"/>
  <c r="AN39" i="1"/>
  <c r="AN46" i="1"/>
  <c r="AO39" i="1"/>
  <c r="AO46" i="1"/>
  <c r="AP39" i="1"/>
  <c r="AP46" i="1"/>
  <c r="AQ39" i="1"/>
  <c r="AQ46" i="1"/>
  <c r="AR39" i="1"/>
  <c r="AR46" i="1"/>
  <c r="AS39" i="1"/>
  <c r="AS46" i="1"/>
  <c r="A45" i="1"/>
  <c r="G51" i="1"/>
  <c r="G58" i="1"/>
  <c r="H51" i="1"/>
  <c r="H58" i="1"/>
  <c r="I58" i="1"/>
  <c r="J51" i="1"/>
  <c r="J58" i="1"/>
  <c r="K51" i="1"/>
  <c r="K58" i="1"/>
  <c r="L51" i="1"/>
  <c r="L58" i="1"/>
  <c r="M51" i="1"/>
  <c r="M58" i="1"/>
  <c r="N51" i="1"/>
  <c r="N58" i="1"/>
  <c r="O51" i="1"/>
  <c r="O58" i="1"/>
  <c r="P51" i="1"/>
  <c r="P58" i="1"/>
  <c r="Q51" i="1"/>
  <c r="Q58" i="1"/>
  <c r="R51" i="1"/>
  <c r="R58" i="1"/>
  <c r="S51" i="1"/>
  <c r="S58" i="1"/>
  <c r="T51" i="1"/>
  <c r="T58" i="1"/>
  <c r="U51" i="1"/>
  <c r="U58" i="1"/>
  <c r="V51" i="1"/>
  <c r="V58" i="1"/>
  <c r="W51" i="1"/>
  <c r="W58" i="1"/>
  <c r="X51" i="1"/>
  <c r="X58" i="1"/>
  <c r="Y51" i="1"/>
  <c r="Y58" i="1"/>
  <c r="Z51" i="1"/>
  <c r="Z58" i="1"/>
  <c r="AA51" i="1"/>
  <c r="AA58" i="1"/>
  <c r="AB51" i="1"/>
  <c r="AB58" i="1"/>
  <c r="AC51" i="1"/>
  <c r="AC58" i="1"/>
  <c r="AD51" i="1"/>
  <c r="AD58" i="1"/>
  <c r="AE51" i="1"/>
  <c r="AE58" i="1"/>
  <c r="AF51" i="1"/>
  <c r="AF58" i="1"/>
  <c r="AG51" i="1"/>
  <c r="AG58" i="1"/>
  <c r="AH51" i="1"/>
  <c r="AH58" i="1"/>
  <c r="AI51" i="1"/>
  <c r="AI58" i="1"/>
  <c r="AJ51" i="1"/>
  <c r="AJ58" i="1"/>
  <c r="AK51" i="1"/>
  <c r="AK58" i="1"/>
  <c r="AL51" i="1"/>
  <c r="AL58" i="1"/>
  <c r="AM51" i="1"/>
  <c r="AM58" i="1"/>
  <c r="AN51" i="1"/>
  <c r="AN58" i="1"/>
  <c r="AO51" i="1"/>
  <c r="AO58" i="1"/>
  <c r="AP51" i="1"/>
  <c r="AP58" i="1"/>
  <c r="AQ51" i="1"/>
  <c r="AQ58" i="1"/>
  <c r="AR51" i="1"/>
  <c r="AR58" i="1"/>
  <c r="AS51" i="1"/>
  <c r="AS58" i="1"/>
  <c r="A57" i="1"/>
  <c r="G63" i="1"/>
  <c r="G70" i="1"/>
  <c r="H63" i="1"/>
  <c r="H70" i="1"/>
  <c r="I70" i="1"/>
  <c r="J63" i="1"/>
  <c r="J70" i="1"/>
  <c r="K63" i="1"/>
  <c r="K70" i="1"/>
  <c r="L63" i="1"/>
  <c r="L70" i="1"/>
  <c r="M63" i="1"/>
  <c r="M70" i="1"/>
  <c r="N63" i="1"/>
  <c r="N70" i="1"/>
  <c r="O63" i="1"/>
  <c r="O70" i="1"/>
  <c r="P63" i="1"/>
  <c r="P70" i="1"/>
  <c r="Q63" i="1"/>
  <c r="Q70" i="1"/>
  <c r="R63" i="1"/>
  <c r="R70" i="1"/>
  <c r="S63" i="1"/>
  <c r="S70" i="1"/>
  <c r="T63" i="1"/>
  <c r="T70" i="1"/>
  <c r="U63" i="1"/>
  <c r="U70" i="1"/>
  <c r="V63" i="1"/>
  <c r="V70" i="1"/>
  <c r="W63" i="1"/>
  <c r="W70" i="1"/>
  <c r="X63" i="1"/>
  <c r="X70" i="1"/>
  <c r="Y63" i="1"/>
  <c r="Y70" i="1"/>
  <c r="Z63" i="1"/>
  <c r="Z70" i="1"/>
  <c r="AA63" i="1"/>
  <c r="AA70" i="1"/>
  <c r="AB63" i="1"/>
  <c r="AB70" i="1"/>
  <c r="AC63" i="1"/>
  <c r="AC70" i="1"/>
  <c r="AD63" i="1"/>
  <c r="AD70" i="1"/>
  <c r="AE63" i="1"/>
  <c r="AE70" i="1"/>
  <c r="AF63" i="1"/>
  <c r="AF70" i="1"/>
  <c r="AG63" i="1"/>
  <c r="AG70" i="1"/>
  <c r="AH63" i="1"/>
  <c r="AH70" i="1"/>
  <c r="AI63" i="1"/>
  <c r="AI70" i="1"/>
  <c r="AJ63" i="1"/>
  <c r="AJ70" i="1"/>
  <c r="AK63" i="1"/>
  <c r="AK70" i="1"/>
  <c r="AL63" i="1"/>
  <c r="AL70" i="1"/>
  <c r="AM63" i="1"/>
  <c r="AM70" i="1"/>
  <c r="AN63" i="1"/>
  <c r="AN70" i="1"/>
  <c r="AO63" i="1"/>
  <c r="AO70" i="1"/>
  <c r="AP63" i="1"/>
  <c r="AP70" i="1"/>
  <c r="AQ63" i="1"/>
  <c r="AQ70" i="1"/>
  <c r="AR63" i="1"/>
  <c r="AR70" i="1"/>
  <c r="AS63" i="1"/>
  <c r="AS70" i="1"/>
  <c r="A69" i="1"/>
  <c r="G75" i="1"/>
  <c r="G82" i="1"/>
  <c r="H75" i="1"/>
  <c r="H82" i="1"/>
  <c r="I82" i="1"/>
  <c r="J75" i="1"/>
  <c r="J82" i="1"/>
  <c r="K75" i="1"/>
  <c r="K82" i="1"/>
  <c r="L75" i="1"/>
  <c r="L82" i="1"/>
  <c r="M75" i="1"/>
  <c r="M82" i="1"/>
  <c r="N75" i="1"/>
  <c r="N82" i="1"/>
  <c r="O75" i="1"/>
  <c r="O82" i="1"/>
  <c r="P75" i="1"/>
  <c r="P82" i="1"/>
  <c r="Q75" i="1"/>
  <c r="Q82" i="1"/>
  <c r="R75" i="1"/>
  <c r="R82" i="1"/>
  <c r="S75" i="1"/>
  <c r="S82" i="1"/>
  <c r="T75" i="1"/>
  <c r="T82" i="1"/>
  <c r="U75" i="1"/>
  <c r="U82" i="1"/>
  <c r="V75" i="1"/>
  <c r="V82" i="1"/>
  <c r="W75" i="1"/>
  <c r="W82" i="1"/>
  <c r="X75" i="1"/>
  <c r="X82" i="1"/>
  <c r="Y75" i="1"/>
  <c r="Y82" i="1"/>
  <c r="Z75" i="1"/>
  <c r="Z82" i="1"/>
  <c r="AA75" i="1"/>
  <c r="AA82" i="1"/>
  <c r="AB75" i="1"/>
  <c r="AB82" i="1"/>
  <c r="AC75" i="1"/>
  <c r="AC82" i="1"/>
  <c r="AD75" i="1"/>
  <c r="AD82" i="1"/>
  <c r="AE75" i="1"/>
  <c r="AE82" i="1"/>
  <c r="AF75" i="1"/>
  <c r="AF82" i="1"/>
  <c r="AG75" i="1"/>
  <c r="AG82" i="1"/>
  <c r="AH75" i="1"/>
  <c r="AH82" i="1"/>
  <c r="AI75" i="1"/>
  <c r="AI82" i="1"/>
  <c r="AJ75" i="1"/>
  <c r="AJ82" i="1"/>
  <c r="AK75" i="1"/>
  <c r="AK82" i="1"/>
  <c r="AL75" i="1"/>
  <c r="AL82" i="1"/>
  <c r="AM75" i="1"/>
  <c r="AM82" i="1"/>
  <c r="AN75" i="1"/>
  <c r="AN82" i="1"/>
  <c r="AO75" i="1"/>
  <c r="AO82" i="1"/>
  <c r="AP75" i="1"/>
  <c r="AP82" i="1"/>
  <c r="AQ75" i="1"/>
  <c r="AQ82" i="1"/>
  <c r="AR75" i="1"/>
  <c r="AR82" i="1"/>
  <c r="AS75" i="1"/>
  <c r="AS82" i="1"/>
  <c r="A81" i="1"/>
  <c r="G87" i="1"/>
  <c r="G94" i="1"/>
  <c r="H87" i="1"/>
  <c r="H94" i="1"/>
  <c r="I94" i="1"/>
  <c r="J87" i="1"/>
  <c r="J94" i="1"/>
  <c r="K87" i="1"/>
  <c r="K94" i="1"/>
  <c r="L87" i="1"/>
  <c r="L94" i="1"/>
  <c r="M87" i="1"/>
  <c r="M94" i="1"/>
  <c r="N87" i="1"/>
  <c r="N94" i="1"/>
  <c r="O87" i="1"/>
  <c r="O94" i="1"/>
  <c r="P87" i="1"/>
  <c r="P94" i="1"/>
  <c r="Q87" i="1"/>
  <c r="Q94" i="1"/>
  <c r="R87" i="1"/>
  <c r="R94" i="1"/>
  <c r="S87" i="1"/>
  <c r="S94" i="1"/>
  <c r="T87" i="1"/>
  <c r="T94" i="1"/>
  <c r="U87" i="1"/>
  <c r="U94" i="1"/>
  <c r="V87" i="1"/>
  <c r="V94" i="1"/>
  <c r="W87" i="1"/>
  <c r="W94" i="1"/>
  <c r="X87" i="1"/>
  <c r="X94" i="1"/>
  <c r="Y87" i="1"/>
  <c r="Y94" i="1"/>
  <c r="Z87" i="1"/>
  <c r="Z94" i="1"/>
  <c r="AA87" i="1"/>
  <c r="AA94" i="1"/>
  <c r="AB87" i="1"/>
  <c r="AB94" i="1"/>
  <c r="AC87" i="1"/>
  <c r="AC94" i="1"/>
  <c r="AD87" i="1"/>
  <c r="AD94" i="1"/>
  <c r="AE87" i="1"/>
  <c r="AE94" i="1"/>
  <c r="AF87" i="1"/>
  <c r="AF94" i="1"/>
  <c r="AG87" i="1"/>
  <c r="AG94" i="1"/>
  <c r="AH87" i="1"/>
  <c r="AH94" i="1"/>
  <c r="AI87" i="1"/>
  <c r="AI94" i="1"/>
  <c r="AJ87" i="1"/>
  <c r="AJ94" i="1"/>
  <c r="AK87" i="1"/>
  <c r="AK94" i="1"/>
  <c r="AL87" i="1"/>
  <c r="AL94" i="1"/>
  <c r="AM87" i="1"/>
  <c r="AM94" i="1"/>
  <c r="AN87" i="1"/>
  <c r="AN94" i="1"/>
  <c r="AO87" i="1"/>
  <c r="AO94" i="1"/>
  <c r="AP87" i="1"/>
  <c r="AP94" i="1"/>
  <c r="AQ87" i="1"/>
  <c r="AQ94" i="1"/>
  <c r="AR87" i="1"/>
  <c r="AR94" i="1"/>
  <c r="AS87" i="1"/>
  <c r="AS94" i="1"/>
  <c r="A93" i="1"/>
  <c r="G99" i="1"/>
  <c r="G106" i="1"/>
  <c r="H99" i="1"/>
  <c r="H106" i="1"/>
  <c r="I106" i="1"/>
  <c r="J99" i="1"/>
  <c r="J106" i="1"/>
  <c r="K99" i="1"/>
  <c r="K106" i="1"/>
  <c r="L99" i="1"/>
  <c r="L106" i="1"/>
  <c r="M99" i="1"/>
  <c r="M106" i="1"/>
  <c r="N99" i="1"/>
  <c r="N106" i="1"/>
  <c r="O99" i="1"/>
  <c r="O106" i="1"/>
  <c r="P99" i="1"/>
  <c r="P106" i="1"/>
  <c r="Q99" i="1"/>
  <c r="Q106" i="1"/>
  <c r="R99" i="1"/>
  <c r="R106" i="1"/>
  <c r="S99" i="1"/>
  <c r="S106" i="1"/>
  <c r="T99" i="1"/>
  <c r="T106" i="1"/>
  <c r="U99" i="1"/>
  <c r="U106" i="1"/>
  <c r="V99" i="1"/>
  <c r="V106" i="1"/>
  <c r="W99" i="1"/>
  <c r="W106" i="1"/>
  <c r="X99" i="1"/>
  <c r="X106" i="1"/>
  <c r="Y99" i="1"/>
  <c r="Y106" i="1"/>
  <c r="Z99" i="1"/>
  <c r="Z106" i="1"/>
  <c r="AA99" i="1"/>
  <c r="AA106" i="1"/>
  <c r="AB99" i="1"/>
  <c r="AB106" i="1"/>
  <c r="AC99" i="1"/>
  <c r="AC106" i="1"/>
  <c r="AD99" i="1"/>
  <c r="AD106" i="1"/>
  <c r="AE99" i="1"/>
  <c r="AE106" i="1"/>
  <c r="AF99" i="1"/>
  <c r="AF106" i="1"/>
  <c r="AG99" i="1"/>
  <c r="AG106" i="1"/>
  <c r="AH99" i="1"/>
  <c r="AH106" i="1"/>
  <c r="AI99" i="1"/>
  <c r="AI106" i="1"/>
  <c r="AJ99" i="1"/>
  <c r="AJ106" i="1"/>
  <c r="AK99" i="1"/>
  <c r="AK106" i="1"/>
  <c r="AL99" i="1"/>
  <c r="AL106" i="1"/>
  <c r="AM99" i="1"/>
  <c r="AM106" i="1"/>
  <c r="AN99" i="1"/>
  <c r="AN106" i="1"/>
  <c r="AO99" i="1"/>
  <c r="AO106" i="1"/>
  <c r="AP99" i="1"/>
  <c r="AP106" i="1"/>
  <c r="AQ99" i="1"/>
  <c r="AQ106" i="1"/>
  <c r="AR99" i="1"/>
  <c r="AR106" i="1"/>
  <c r="AS99" i="1"/>
  <c r="AS106" i="1"/>
  <c r="A105" i="1"/>
  <c r="G111" i="1"/>
  <c r="G118" i="1"/>
  <c r="H111" i="1"/>
  <c r="H118" i="1"/>
  <c r="I118" i="1"/>
  <c r="J111" i="1"/>
  <c r="J118" i="1"/>
  <c r="K111" i="1"/>
  <c r="K118" i="1"/>
  <c r="L111" i="1"/>
  <c r="L118" i="1"/>
  <c r="M111" i="1"/>
  <c r="M118" i="1"/>
  <c r="N111" i="1"/>
  <c r="N118" i="1"/>
  <c r="O111" i="1"/>
  <c r="O118" i="1"/>
  <c r="P111" i="1"/>
  <c r="P118" i="1"/>
  <c r="Q111" i="1"/>
  <c r="Q118" i="1"/>
  <c r="R111" i="1"/>
  <c r="R118" i="1"/>
  <c r="S111" i="1"/>
  <c r="S118" i="1"/>
  <c r="T111" i="1"/>
  <c r="T118" i="1"/>
  <c r="U111" i="1"/>
  <c r="U118" i="1"/>
  <c r="V111" i="1"/>
  <c r="V118" i="1"/>
  <c r="W111" i="1"/>
  <c r="W118" i="1"/>
  <c r="X111" i="1"/>
  <c r="X118" i="1"/>
  <c r="Y111" i="1"/>
  <c r="Y118" i="1"/>
  <c r="Z111" i="1"/>
  <c r="Z118" i="1"/>
  <c r="AA111" i="1"/>
  <c r="AA118" i="1"/>
  <c r="AB111" i="1"/>
  <c r="AB118" i="1"/>
  <c r="AC111" i="1"/>
  <c r="AC118" i="1"/>
  <c r="AD111" i="1"/>
  <c r="AD118" i="1"/>
  <c r="AE111" i="1"/>
  <c r="AE118" i="1"/>
  <c r="AF111" i="1"/>
  <c r="AF118" i="1"/>
  <c r="AG111" i="1"/>
  <c r="AG118" i="1"/>
  <c r="AH111" i="1"/>
  <c r="AH118" i="1"/>
  <c r="AI111" i="1"/>
  <c r="AI118" i="1"/>
  <c r="AJ111" i="1"/>
  <c r="AJ118" i="1"/>
  <c r="AK111" i="1"/>
  <c r="AK118" i="1"/>
  <c r="AL111" i="1"/>
  <c r="AL118" i="1"/>
  <c r="AM111" i="1"/>
  <c r="AM118" i="1"/>
  <c r="AN111" i="1"/>
  <c r="AN118" i="1"/>
  <c r="AO111" i="1"/>
  <c r="AO118" i="1"/>
  <c r="AP111" i="1"/>
  <c r="AP118" i="1"/>
  <c r="AQ111" i="1"/>
  <c r="AQ118" i="1"/>
  <c r="AR111" i="1"/>
  <c r="AR118" i="1"/>
  <c r="AS111" i="1"/>
  <c r="AS118" i="1"/>
  <c r="A117" i="1"/>
  <c r="G123" i="1"/>
  <c r="G130" i="1"/>
  <c r="H123" i="1"/>
  <c r="H130" i="1"/>
  <c r="I130" i="1"/>
  <c r="J123" i="1"/>
  <c r="J130" i="1"/>
  <c r="K123" i="1"/>
  <c r="K130" i="1"/>
  <c r="L123" i="1"/>
  <c r="L130" i="1"/>
  <c r="M123" i="1"/>
  <c r="M130" i="1"/>
  <c r="N123" i="1"/>
  <c r="N130" i="1"/>
  <c r="O123" i="1"/>
  <c r="O130" i="1"/>
  <c r="P123" i="1"/>
  <c r="P130" i="1"/>
  <c r="Q123" i="1"/>
  <c r="Q130" i="1"/>
  <c r="R123" i="1"/>
  <c r="R130" i="1"/>
  <c r="S123" i="1"/>
  <c r="S130" i="1"/>
  <c r="T123" i="1"/>
  <c r="T130" i="1"/>
  <c r="U123" i="1"/>
  <c r="U130" i="1"/>
  <c r="V123" i="1"/>
  <c r="V130" i="1"/>
  <c r="W123" i="1"/>
  <c r="W130" i="1"/>
  <c r="X123" i="1"/>
  <c r="X130" i="1"/>
  <c r="Y123" i="1"/>
  <c r="Y130" i="1"/>
  <c r="Z123" i="1"/>
  <c r="Z130" i="1"/>
  <c r="AA123" i="1"/>
  <c r="AA130" i="1"/>
  <c r="AB123" i="1"/>
  <c r="AB130" i="1"/>
  <c r="AC123" i="1"/>
  <c r="AC130" i="1"/>
  <c r="AD123" i="1"/>
  <c r="AD130" i="1"/>
  <c r="AE123" i="1"/>
  <c r="AE130" i="1"/>
  <c r="AF123" i="1"/>
  <c r="AF130" i="1"/>
  <c r="AG123" i="1"/>
  <c r="AG130" i="1"/>
  <c r="AH123" i="1"/>
  <c r="AH130" i="1"/>
  <c r="AI123" i="1"/>
  <c r="AI130" i="1"/>
  <c r="AJ123" i="1"/>
  <c r="AJ130" i="1"/>
  <c r="AK123" i="1"/>
  <c r="AK130" i="1"/>
  <c r="AL123" i="1"/>
  <c r="AL130" i="1"/>
  <c r="AM123" i="1"/>
  <c r="AM130" i="1"/>
  <c r="AN123" i="1"/>
  <c r="AN130" i="1"/>
  <c r="AO123" i="1"/>
  <c r="AO130" i="1"/>
  <c r="AP123" i="1"/>
  <c r="AP130" i="1"/>
  <c r="AQ123" i="1"/>
  <c r="AQ130" i="1"/>
  <c r="AR123" i="1"/>
  <c r="AR130" i="1"/>
  <c r="AS123" i="1"/>
  <c r="AS130" i="1"/>
  <c r="A129" i="1"/>
  <c r="G135" i="1"/>
  <c r="G142" i="1"/>
  <c r="H135" i="1"/>
  <c r="H142" i="1"/>
  <c r="I142" i="1"/>
  <c r="J135" i="1"/>
  <c r="J142" i="1"/>
  <c r="K135" i="1"/>
  <c r="K142" i="1"/>
  <c r="L135" i="1"/>
  <c r="L142" i="1"/>
  <c r="M135" i="1"/>
  <c r="M142" i="1"/>
  <c r="N135" i="1"/>
  <c r="N142" i="1"/>
  <c r="O135" i="1"/>
  <c r="O142" i="1"/>
  <c r="P135" i="1"/>
  <c r="P142" i="1"/>
  <c r="Q135" i="1"/>
  <c r="Q142" i="1"/>
  <c r="R135" i="1"/>
  <c r="R142" i="1"/>
  <c r="S135" i="1"/>
  <c r="S142" i="1"/>
  <c r="T135" i="1"/>
  <c r="T142" i="1"/>
  <c r="U135" i="1"/>
  <c r="U142" i="1"/>
  <c r="V135" i="1"/>
  <c r="V142" i="1"/>
  <c r="W135" i="1"/>
  <c r="W142" i="1"/>
  <c r="X135" i="1"/>
  <c r="X142" i="1"/>
  <c r="Y135" i="1"/>
  <c r="Y142" i="1"/>
  <c r="Z135" i="1"/>
  <c r="Z142" i="1"/>
  <c r="AA135" i="1"/>
  <c r="AA142" i="1"/>
  <c r="AB135" i="1"/>
  <c r="AB142" i="1"/>
  <c r="AC135" i="1"/>
  <c r="AC142" i="1"/>
  <c r="AD135" i="1"/>
  <c r="AD142" i="1"/>
  <c r="AE135" i="1"/>
  <c r="AE142" i="1"/>
  <c r="AF135" i="1"/>
  <c r="AF142" i="1"/>
  <c r="AG135" i="1"/>
  <c r="AG142" i="1"/>
  <c r="AH135" i="1"/>
  <c r="AH142" i="1"/>
  <c r="AI135" i="1"/>
  <c r="AI142" i="1"/>
  <c r="AJ135" i="1"/>
  <c r="AJ142" i="1"/>
  <c r="AK135" i="1"/>
  <c r="AK142" i="1"/>
  <c r="AL135" i="1"/>
  <c r="AL142" i="1"/>
  <c r="AM135" i="1"/>
  <c r="AM142" i="1"/>
  <c r="AN135" i="1"/>
  <c r="AN142" i="1"/>
  <c r="AO135" i="1"/>
  <c r="AO142" i="1"/>
  <c r="AP135" i="1"/>
  <c r="AP142" i="1"/>
  <c r="AQ135" i="1"/>
  <c r="AQ142" i="1"/>
  <c r="AR135" i="1"/>
  <c r="AR142" i="1"/>
  <c r="AS135" i="1"/>
  <c r="AS142" i="1"/>
  <c r="A141" i="1"/>
  <c r="G147" i="1"/>
  <c r="G154" i="1"/>
  <c r="H147" i="1"/>
  <c r="H154" i="1"/>
  <c r="I154" i="1"/>
  <c r="J147" i="1"/>
  <c r="J154" i="1"/>
  <c r="K147" i="1"/>
  <c r="K154" i="1"/>
  <c r="L147" i="1"/>
  <c r="L154" i="1"/>
  <c r="M147" i="1"/>
  <c r="M154" i="1"/>
  <c r="N147" i="1"/>
  <c r="N154" i="1"/>
  <c r="O147" i="1"/>
  <c r="O154" i="1"/>
  <c r="P147" i="1"/>
  <c r="P154" i="1"/>
  <c r="Q147" i="1"/>
  <c r="Q154" i="1"/>
  <c r="R147" i="1"/>
  <c r="R154" i="1"/>
  <c r="S147" i="1"/>
  <c r="S154" i="1"/>
  <c r="T147" i="1"/>
  <c r="T154" i="1"/>
  <c r="U147" i="1"/>
  <c r="U154" i="1"/>
  <c r="V147" i="1"/>
  <c r="V154" i="1"/>
  <c r="W147" i="1"/>
  <c r="W154" i="1"/>
  <c r="X147" i="1"/>
  <c r="X154" i="1"/>
  <c r="Y147" i="1"/>
  <c r="Y154" i="1"/>
  <c r="Z147" i="1"/>
  <c r="Z154" i="1"/>
  <c r="AA147" i="1"/>
  <c r="AA154" i="1"/>
  <c r="AB147" i="1"/>
  <c r="AB154" i="1"/>
  <c r="AC147" i="1"/>
  <c r="AC154" i="1"/>
  <c r="AD147" i="1"/>
  <c r="AD154" i="1"/>
  <c r="AE147" i="1"/>
  <c r="AE154" i="1"/>
  <c r="AF147" i="1"/>
  <c r="AF154" i="1"/>
  <c r="AG147" i="1"/>
  <c r="AG154" i="1"/>
  <c r="AH147" i="1"/>
  <c r="AH154" i="1"/>
  <c r="AI147" i="1"/>
  <c r="AI154" i="1"/>
  <c r="AJ147" i="1"/>
  <c r="AJ154" i="1"/>
  <c r="AK147" i="1"/>
  <c r="AK154" i="1"/>
  <c r="AL147" i="1"/>
  <c r="AL154" i="1"/>
  <c r="AM147" i="1"/>
  <c r="AM154" i="1"/>
  <c r="AN147" i="1"/>
  <c r="AN154" i="1"/>
  <c r="AO147" i="1"/>
  <c r="AO154" i="1"/>
  <c r="AP147" i="1"/>
  <c r="AP154" i="1"/>
  <c r="AQ147" i="1"/>
  <c r="AQ154" i="1"/>
  <c r="AR147" i="1"/>
  <c r="AR154" i="1"/>
  <c r="AS147" i="1"/>
  <c r="AS154" i="1"/>
  <c r="A153" i="1"/>
  <c r="G159" i="1"/>
  <c r="G166" i="1"/>
  <c r="H159" i="1"/>
  <c r="H166" i="1"/>
  <c r="I166" i="1"/>
  <c r="J159" i="1"/>
  <c r="J166" i="1"/>
  <c r="K159" i="1"/>
  <c r="K166" i="1"/>
  <c r="L159" i="1"/>
  <c r="L166" i="1"/>
  <c r="M159" i="1"/>
  <c r="M166" i="1"/>
  <c r="N159" i="1"/>
  <c r="N166" i="1"/>
  <c r="O159" i="1"/>
  <c r="O166" i="1"/>
  <c r="P159" i="1"/>
  <c r="P166" i="1"/>
  <c r="Q159" i="1"/>
  <c r="Q166" i="1"/>
  <c r="R159" i="1"/>
  <c r="R166" i="1"/>
  <c r="S159" i="1"/>
  <c r="S166" i="1"/>
  <c r="T159" i="1"/>
  <c r="T166" i="1"/>
  <c r="U159" i="1"/>
  <c r="U166" i="1"/>
  <c r="V159" i="1"/>
  <c r="V166" i="1"/>
  <c r="W159" i="1"/>
  <c r="W166" i="1"/>
  <c r="X159" i="1"/>
  <c r="X166" i="1"/>
  <c r="Y159" i="1"/>
  <c r="Y166" i="1"/>
  <c r="Z159" i="1"/>
  <c r="Z166" i="1"/>
  <c r="AA159" i="1"/>
  <c r="AA166" i="1"/>
  <c r="AB159" i="1"/>
  <c r="AB166" i="1"/>
  <c r="AC159" i="1"/>
  <c r="AC166" i="1"/>
  <c r="AD159" i="1"/>
  <c r="AD166" i="1"/>
  <c r="AE159" i="1"/>
  <c r="AE166" i="1"/>
  <c r="AF159" i="1"/>
  <c r="AF166" i="1"/>
  <c r="AG159" i="1"/>
  <c r="AG166" i="1"/>
  <c r="AH159" i="1"/>
  <c r="AH166" i="1"/>
  <c r="AI159" i="1"/>
  <c r="AI166" i="1"/>
  <c r="AJ159" i="1"/>
  <c r="AJ166" i="1"/>
  <c r="AK159" i="1"/>
  <c r="AK166" i="1"/>
  <c r="AL159" i="1"/>
  <c r="AL166" i="1"/>
  <c r="AM159" i="1"/>
  <c r="AM166" i="1"/>
  <c r="AN159" i="1"/>
  <c r="AN166" i="1"/>
  <c r="AO159" i="1"/>
  <c r="AO166" i="1"/>
  <c r="AP159" i="1"/>
  <c r="AP166" i="1"/>
  <c r="AQ159" i="1"/>
  <c r="AQ166" i="1"/>
  <c r="AR159" i="1"/>
  <c r="AR166" i="1"/>
  <c r="AS159" i="1"/>
  <c r="AS166" i="1"/>
  <c r="A165" i="1"/>
  <c r="G171" i="1"/>
  <c r="G178" i="1"/>
  <c r="H171" i="1"/>
  <c r="H178" i="1"/>
  <c r="I178" i="1"/>
  <c r="J171" i="1"/>
  <c r="J178" i="1"/>
  <c r="K171" i="1"/>
  <c r="K178" i="1"/>
  <c r="L171" i="1"/>
  <c r="L178" i="1"/>
  <c r="M171" i="1"/>
  <c r="M178" i="1"/>
  <c r="N171" i="1"/>
  <c r="N178" i="1"/>
  <c r="O171" i="1"/>
  <c r="O178" i="1"/>
  <c r="P171" i="1"/>
  <c r="P178" i="1"/>
  <c r="Q171" i="1"/>
  <c r="Q178" i="1"/>
  <c r="R171" i="1"/>
  <c r="R178" i="1"/>
  <c r="S171" i="1"/>
  <c r="S178" i="1"/>
  <c r="T171" i="1"/>
  <c r="T178" i="1"/>
  <c r="U171" i="1"/>
  <c r="U178" i="1"/>
  <c r="V171" i="1"/>
  <c r="V178" i="1"/>
  <c r="W171" i="1"/>
  <c r="W178" i="1"/>
  <c r="X171" i="1"/>
  <c r="X178" i="1"/>
  <c r="Y171" i="1"/>
  <c r="Y178" i="1"/>
  <c r="Z171" i="1"/>
  <c r="Z178" i="1"/>
  <c r="AA171" i="1"/>
  <c r="AA178" i="1"/>
  <c r="AB171" i="1"/>
  <c r="AB178" i="1"/>
  <c r="AC171" i="1"/>
  <c r="AC178" i="1"/>
  <c r="AD171" i="1"/>
  <c r="AD178" i="1"/>
  <c r="AE171" i="1"/>
  <c r="AE178" i="1"/>
  <c r="AF171" i="1"/>
  <c r="AF178" i="1"/>
  <c r="AG171" i="1"/>
  <c r="AG178" i="1"/>
  <c r="AH171" i="1"/>
  <c r="AH178" i="1"/>
  <c r="AI171" i="1"/>
  <c r="AI178" i="1"/>
  <c r="AJ171" i="1"/>
  <c r="AJ178" i="1"/>
  <c r="AK171" i="1"/>
  <c r="AK178" i="1"/>
  <c r="AL171" i="1"/>
  <c r="AL178" i="1"/>
  <c r="AM171" i="1"/>
  <c r="AM178" i="1"/>
  <c r="AN171" i="1"/>
  <c r="AN178" i="1"/>
  <c r="AO171" i="1"/>
  <c r="AO178" i="1"/>
  <c r="AP171" i="1"/>
  <c r="AP178" i="1"/>
  <c r="AQ171" i="1"/>
  <c r="AQ178" i="1"/>
  <c r="AR171" i="1"/>
  <c r="AR178" i="1"/>
  <c r="AS171" i="1"/>
  <c r="AS178" i="1"/>
  <c r="A177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189" i="1"/>
  <c r="A1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02" i="1"/>
  <c r="AT214" i="1"/>
  <c r="AT219" i="1"/>
  <c r="AT226" i="1"/>
  <c r="AT231" i="1"/>
  <c r="AT238" i="1"/>
  <c r="AT243" i="1"/>
  <c r="AT250" i="1"/>
  <c r="AT255" i="1"/>
  <c r="AT262" i="1"/>
  <c r="AT267" i="1"/>
  <c r="AT274" i="1"/>
  <c r="AT279" i="1"/>
  <c r="AT286" i="1"/>
  <c r="AT291" i="1"/>
  <c r="AT298" i="1"/>
  <c r="AT303" i="1"/>
  <c r="AT310" i="1"/>
  <c r="AT315" i="1"/>
  <c r="AT322" i="1"/>
  <c r="AT327" i="1"/>
  <c r="AT334" i="1"/>
  <c r="AT346" i="1"/>
  <c r="AT358" i="1"/>
  <c r="AT370" i="1"/>
  <c r="AT15" i="1"/>
  <c r="AT22" i="1"/>
  <c r="AT27" i="1"/>
  <c r="AT34" i="1"/>
  <c r="AT39" i="1"/>
  <c r="AT46" i="1"/>
  <c r="AT51" i="1"/>
  <c r="AT58" i="1"/>
  <c r="AT63" i="1"/>
  <c r="AT70" i="1"/>
  <c r="AT75" i="1"/>
  <c r="AT82" i="1"/>
  <c r="AT87" i="1"/>
  <c r="AT94" i="1"/>
  <c r="AT99" i="1"/>
  <c r="AT106" i="1"/>
  <c r="AT111" i="1"/>
  <c r="AT118" i="1"/>
  <c r="AT123" i="1"/>
  <c r="AT130" i="1"/>
  <c r="AT135" i="1"/>
  <c r="AT142" i="1"/>
  <c r="AT147" i="1"/>
  <c r="AT154" i="1"/>
  <c r="AT159" i="1"/>
  <c r="AT166" i="1"/>
  <c r="AT171" i="1"/>
  <c r="AT178" i="1"/>
  <c r="AT190" i="1"/>
  <c r="AT2" i="1"/>
  <c r="AU202" i="1"/>
  <c r="AU214" i="1"/>
  <c r="AU219" i="1"/>
  <c r="AU226" i="1"/>
  <c r="AU231" i="1"/>
  <c r="AU238" i="1"/>
  <c r="AU243" i="1"/>
  <c r="AU250" i="1"/>
  <c r="AU255" i="1"/>
  <c r="AU262" i="1"/>
  <c r="AU267" i="1"/>
  <c r="AU274" i="1"/>
  <c r="AU279" i="1"/>
  <c r="AU286" i="1"/>
  <c r="AU291" i="1"/>
  <c r="AU298" i="1"/>
  <c r="AU303" i="1"/>
  <c r="AU310" i="1"/>
  <c r="AU315" i="1"/>
  <c r="AU322" i="1"/>
  <c r="AU327" i="1"/>
  <c r="AU334" i="1"/>
  <c r="AU346" i="1"/>
  <c r="AU358" i="1"/>
  <c r="AU370" i="1"/>
  <c r="AU15" i="1"/>
  <c r="AU22" i="1"/>
  <c r="AU27" i="1"/>
  <c r="AU34" i="1"/>
  <c r="AU39" i="1"/>
  <c r="AU46" i="1"/>
  <c r="AU51" i="1"/>
  <c r="AU58" i="1"/>
  <c r="AU63" i="1"/>
  <c r="AU70" i="1"/>
  <c r="AU75" i="1"/>
  <c r="AU82" i="1"/>
  <c r="AU87" i="1"/>
  <c r="AU94" i="1"/>
  <c r="AU99" i="1"/>
  <c r="AU106" i="1"/>
  <c r="AU111" i="1"/>
  <c r="AU118" i="1"/>
  <c r="AU123" i="1"/>
  <c r="AU130" i="1"/>
  <c r="AU135" i="1"/>
  <c r="AU142" i="1"/>
  <c r="AU147" i="1"/>
  <c r="AU154" i="1"/>
  <c r="AU159" i="1"/>
  <c r="AU166" i="1"/>
  <c r="AU171" i="1"/>
  <c r="AU178" i="1"/>
  <c r="AU190" i="1"/>
  <c r="AU2" i="1"/>
  <c r="AV202" i="1"/>
  <c r="AV214" i="1"/>
  <c r="AV219" i="1"/>
  <c r="AV226" i="1"/>
  <c r="AV231" i="1"/>
  <c r="AV238" i="1"/>
  <c r="AV243" i="1"/>
  <c r="AV250" i="1"/>
  <c r="AV255" i="1"/>
  <c r="AV262" i="1"/>
  <c r="AV267" i="1"/>
  <c r="AV274" i="1"/>
  <c r="AV279" i="1"/>
  <c r="AV286" i="1"/>
  <c r="AV291" i="1"/>
  <c r="AV298" i="1"/>
  <c r="AV303" i="1"/>
  <c r="AV310" i="1"/>
  <c r="AV315" i="1"/>
  <c r="AV322" i="1"/>
  <c r="AV327" i="1"/>
  <c r="AV334" i="1"/>
  <c r="AV346" i="1"/>
  <c r="AV358" i="1"/>
  <c r="AV370" i="1"/>
  <c r="AV15" i="1"/>
  <c r="AV22" i="1"/>
  <c r="AV27" i="1"/>
  <c r="AV34" i="1"/>
  <c r="AV39" i="1"/>
  <c r="AV46" i="1"/>
  <c r="AV51" i="1"/>
  <c r="AV58" i="1"/>
  <c r="AV63" i="1"/>
  <c r="AV70" i="1"/>
  <c r="AV75" i="1"/>
  <c r="AV82" i="1"/>
  <c r="AV87" i="1"/>
  <c r="AV94" i="1"/>
  <c r="AV99" i="1"/>
  <c r="AV106" i="1"/>
  <c r="AV111" i="1"/>
  <c r="AV118" i="1"/>
  <c r="AV123" i="1"/>
  <c r="AV130" i="1"/>
  <c r="AV135" i="1"/>
  <c r="AV142" i="1"/>
  <c r="AV147" i="1"/>
  <c r="AV154" i="1"/>
  <c r="AV159" i="1"/>
  <c r="AV166" i="1"/>
  <c r="AV171" i="1"/>
  <c r="AV178" i="1"/>
  <c r="AV190" i="1"/>
  <c r="AV2" i="1"/>
  <c r="AW202" i="1"/>
  <c r="AW214" i="1"/>
  <c r="AW219" i="1"/>
  <c r="AW226" i="1"/>
  <c r="AW231" i="1"/>
  <c r="AW238" i="1"/>
  <c r="AW243" i="1"/>
  <c r="AW250" i="1"/>
  <c r="AW255" i="1"/>
  <c r="AW262" i="1"/>
  <c r="AW267" i="1"/>
  <c r="AW274" i="1"/>
  <c r="AW279" i="1"/>
  <c r="AW286" i="1"/>
  <c r="AW291" i="1"/>
  <c r="AW298" i="1"/>
  <c r="AW303" i="1"/>
  <c r="AW310" i="1"/>
  <c r="AW315" i="1"/>
  <c r="AW322" i="1"/>
  <c r="AW327" i="1"/>
  <c r="AW334" i="1"/>
  <c r="AW346" i="1"/>
  <c r="AW358" i="1"/>
  <c r="AW370" i="1"/>
  <c r="AW15" i="1"/>
  <c r="AW22" i="1"/>
  <c r="AW27" i="1"/>
  <c r="AW34" i="1"/>
  <c r="AW39" i="1"/>
  <c r="AW46" i="1"/>
  <c r="AW51" i="1"/>
  <c r="AW58" i="1"/>
  <c r="AW63" i="1"/>
  <c r="AW70" i="1"/>
  <c r="AW75" i="1"/>
  <c r="AW82" i="1"/>
  <c r="AW87" i="1"/>
  <c r="AW94" i="1"/>
  <c r="AW99" i="1"/>
  <c r="AW106" i="1"/>
  <c r="AW111" i="1"/>
  <c r="AW118" i="1"/>
  <c r="AW123" i="1"/>
  <c r="AW130" i="1"/>
  <c r="AW135" i="1"/>
  <c r="AW142" i="1"/>
  <c r="AW147" i="1"/>
  <c r="AW154" i="1"/>
  <c r="AW159" i="1"/>
  <c r="AW166" i="1"/>
  <c r="AW171" i="1"/>
  <c r="AW178" i="1"/>
  <c r="AW190" i="1"/>
  <c r="AW2" i="1"/>
  <c r="AX202" i="1"/>
  <c r="AX214" i="1"/>
  <c r="AX219" i="1"/>
  <c r="AX226" i="1"/>
  <c r="AX231" i="1"/>
  <c r="AX238" i="1"/>
  <c r="AX243" i="1"/>
  <c r="AX250" i="1"/>
  <c r="AX255" i="1"/>
  <c r="AX262" i="1"/>
  <c r="AX267" i="1"/>
  <c r="AX274" i="1"/>
  <c r="AX279" i="1"/>
  <c r="AX286" i="1"/>
  <c r="AX291" i="1"/>
  <c r="AX298" i="1"/>
  <c r="AX303" i="1"/>
  <c r="AX310" i="1"/>
  <c r="AX315" i="1"/>
  <c r="AX322" i="1"/>
  <c r="AX327" i="1"/>
  <c r="AX334" i="1"/>
  <c r="AX346" i="1"/>
  <c r="AX358" i="1"/>
  <c r="AX370" i="1"/>
  <c r="AX15" i="1"/>
  <c r="AX22" i="1"/>
  <c r="AX27" i="1"/>
  <c r="AX34" i="1"/>
  <c r="AX39" i="1"/>
  <c r="AX46" i="1"/>
  <c r="AX51" i="1"/>
  <c r="AX58" i="1"/>
  <c r="AX63" i="1"/>
  <c r="AX70" i="1"/>
  <c r="AX75" i="1"/>
  <c r="AX82" i="1"/>
  <c r="AX87" i="1"/>
  <c r="AX94" i="1"/>
  <c r="AX99" i="1"/>
  <c r="AX106" i="1"/>
  <c r="AX111" i="1"/>
  <c r="AX118" i="1"/>
  <c r="AX123" i="1"/>
  <c r="AX130" i="1"/>
  <c r="AX135" i="1"/>
  <c r="AX142" i="1"/>
  <c r="AX147" i="1"/>
  <c r="AX154" i="1"/>
  <c r="AX159" i="1"/>
  <c r="AX166" i="1"/>
  <c r="AX171" i="1"/>
  <c r="AX178" i="1"/>
  <c r="AX190" i="1"/>
  <c r="AX2" i="1"/>
  <c r="AY202" i="1"/>
  <c r="AY214" i="1"/>
  <c r="AY219" i="1"/>
  <c r="AY226" i="1"/>
  <c r="AY231" i="1"/>
  <c r="AY238" i="1"/>
  <c r="AY243" i="1"/>
  <c r="AY250" i="1"/>
  <c r="AY255" i="1"/>
  <c r="AY262" i="1"/>
  <c r="AY267" i="1"/>
  <c r="AY274" i="1"/>
  <c r="AY279" i="1"/>
  <c r="AY286" i="1"/>
  <c r="AY291" i="1"/>
  <c r="AY298" i="1"/>
  <c r="AY303" i="1"/>
  <c r="AY310" i="1"/>
  <c r="AY315" i="1"/>
  <c r="AY322" i="1"/>
  <c r="AY327" i="1"/>
  <c r="AY334" i="1"/>
  <c r="AY346" i="1"/>
  <c r="AY358" i="1"/>
  <c r="AY370" i="1"/>
  <c r="AY15" i="1"/>
  <c r="AY22" i="1"/>
  <c r="AY27" i="1"/>
  <c r="AY34" i="1"/>
  <c r="AY39" i="1"/>
  <c r="AY46" i="1"/>
  <c r="AY51" i="1"/>
  <c r="AY58" i="1"/>
  <c r="AY63" i="1"/>
  <c r="AY70" i="1"/>
  <c r="AY75" i="1"/>
  <c r="AY82" i="1"/>
  <c r="AY87" i="1"/>
  <c r="AY94" i="1"/>
  <c r="AY99" i="1"/>
  <c r="AY106" i="1"/>
  <c r="AY111" i="1"/>
  <c r="AY118" i="1"/>
  <c r="AY123" i="1"/>
  <c r="AY130" i="1"/>
  <c r="AY135" i="1"/>
  <c r="AY142" i="1"/>
  <c r="AY147" i="1"/>
  <c r="AY154" i="1"/>
  <c r="AY159" i="1"/>
  <c r="AY166" i="1"/>
  <c r="AY171" i="1"/>
  <c r="AY178" i="1"/>
  <c r="AY190" i="1"/>
  <c r="AY2" i="1"/>
  <c r="AZ202" i="1"/>
  <c r="AZ214" i="1"/>
  <c r="AZ219" i="1"/>
  <c r="AZ226" i="1"/>
  <c r="AZ231" i="1"/>
  <c r="AZ238" i="1"/>
  <c r="AZ243" i="1"/>
  <c r="AZ250" i="1"/>
  <c r="AZ255" i="1"/>
  <c r="AZ262" i="1"/>
  <c r="AZ267" i="1"/>
  <c r="AZ274" i="1"/>
  <c r="AZ279" i="1"/>
  <c r="AZ286" i="1"/>
  <c r="AZ291" i="1"/>
  <c r="AZ298" i="1"/>
  <c r="AZ303" i="1"/>
  <c r="AZ310" i="1"/>
  <c r="AZ315" i="1"/>
  <c r="AZ322" i="1"/>
  <c r="AZ327" i="1"/>
  <c r="AZ334" i="1"/>
  <c r="AZ346" i="1"/>
  <c r="AZ358" i="1"/>
  <c r="AZ370" i="1"/>
  <c r="AZ15" i="1"/>
  <c r="AZ22" i="1"/>
  <c r="AZ27" i="1"/>
  <c r="AZ34" i="1"/>
  <c r="AZ39" i="1"/>
  <c r="AZ46" i="1"/>
  <c r="AZ51" i="1"/>
  <c r="AZ58" i="1"/>
  <c r="AZ63" i="1"/>
  <c r="AZ70" i="1"/>
  <c r="AZ75" i="1"/>
  <c r="AZ82" i="1"/>
  <c r="AZ87" i="1"/>
  <c r="AZ94" i="1"/>
  <c r="AZ99" i="1"/>
  <c r="AZ106" i="1"/>
  <c r="AZ111" i="1"/>
  <c r="AZ118" i="1"/>
  <c r="AZ123" i="1"/>
  <c r="AZ130" i="1"/>
  <c r="AZ135" i="1"/>
  <c r="AZ142" i="1"/>
  <c r="AZ147" i="1"/>
  <c r="AZ154" i="1"/>
  <c r="AZ159" i="1"/>
  <c r="AZ166" i="1"/>
  <c r="AZ171" i="1"/>
  <c r="AZ178" i="1"/>
  <c r="AZ190" i="1"/>
  <c r="AZ2" i="1"/>
  <c r="BA202" i="1"/>
  <c r="BA214" i="1"/>
  <c r="BA219" i="1"/>
  <c r="BA226" i="1"/>
  <c r="BA231" i="1"/>
  <c r="BA238" i="1"/>
  <c r="BA243" i="1"/>
  <c r="BA250" i="1"/>
  <c r="BA255" i="1"/>
  <c r="BA262" i="1"/>
  <c r="BA267" i="1"/>
  <c r="BA274" i="1"/>
  <c r="BA279" i="1"/>
  <c r="BA286" i="1"/>
  <c r="BA291" i="1"/>
  <c r="BA298" i="1"/>
  <c r="BA303" i="1"/>
  <c r="BA310" i="1"/>
  <c r="BA315" i="1"/>
  <c r="BA322" i="1"/>
  <c r="BA327" i="1"/>
  <c r="BA334" i="1"/>
  <c r="BA346" i="1"/>
  <c r="BA358" i="1"/>
  <c r="BA370" i="1"/>
  <c r="BA15" i="1"/>
  <c r="BA22" i="1"/>
  <c r="BA27" i="1"/>
  <c r="BA34" i="1"/>
  <c r="BA39" i="1"/>
  <c r="BA46" i="1"/>
  <c r="BA51" i="1"/>
  <c r="BA58" i="1"/>
  <c r="BA63" i="1"/>
  <c r="BA70" i="1"/>
  <c r="BA75" i="1"/>
  <c r="BA82" i="1"/>
  <c r="BA87" i="1"/>
  <c r="BA94" i="1"/>
  <c r="BA99" i="1"/>
  <c r="BA106" i="1"/>
  <c r="BA111" i="1"/>
  <c r="BA118" i="1"/>
  <c r="BA123" i="1"/>
  <c r="BA130" i="1"/>
  <c r="BA135" i="1"/>
  <c r="BA142" i="1"/>
  <c r="BA147" i="1"/>
  <c r="BA154" i="1"/>
  <c r="BA159" i="1"/>
  <c r="BA166" i="1"/>
  <c r="BA171" i="1"/>
  <c r="BA178" i="1"/>
  <c r="BA190" i="1"/>
  <c r="BA2" i="1"/>
  <c r="BB202" i="1"/>
  <c r="BB214" i="1"/>
  <c r="BB219" i="1"/>
  <c r="BB226" i="1"/>
  <c r="BB231" i="1"/>
  <c r="BB238" i="1"/>
  <c r="BB243" i="1"/>
  <c r="BB250" i="1"/>
  <c r="BB255" i="1"/>
  <c r="BB262" i="1"/>
  <c r="BB267" i="1"/>
  <c r="BB274" i="1"/>
  <c r="BB279" i="1"/>
  <c r="BB286" i="1"/>
  <c r="BB291" i="1"/>
  <c r="BB298" i="1"/>
  <c r="BB303" i="1"/>
  <c r="BB310" i="1"/>
  <c r="BB315" i="1"/>
  <c r="BB322" i="1"/>
  <c r="BB327" i="1"/>
  <c r="BB334" i="1"/>
  <c r="BB346" i="1"/>
  <c r="BB358" i="1"/>
  <c r="BB370" i="1"/>
  <c r="BB15" i="1"/>
  <c r="BB22" i="1"/>
  <c r="BB27" i="1"/>
  <c r="BB34" i="1"/>
  <c r="BB39" i="1"/>
  <c r="BB46" i="1"/>
  <c r="BB51" i="1"/>
  <c r="BB58" i="1"/>
  <c r="BB63" i="1"/>
  <c r="BB70" i="1"/>
  <c r="BB75" i="1"/>
  <c r="BB82" i="1"/>
  <c r="BB87" i="1"/>
  <c r="BB94" i="1"/>
  <c r="BB99" i="1"/>
  <c r="BB106" i="1"/>
  <c r="BB111" i="1"/>
  <c r="BB118" i="1"/>
  <c r="BB123" i="1"/>
  <c r="BB130" i="1"/>
  <c r="BB135" i="1"/>
  <c r="BB142" i="1"/>
  <c r="BB147" i="1"/>
  <c r="BB154" i="1"/>
  <c r="BB159" i="1"/>
  <c r="BB166" i="1"/>
  <c r="BB171" i="1"/>
  <c r="BB178" i="1"/>
  <c r="BB190" i="1"/>
  <c r="BB2" i="1"/>
  <c r="BC202" i="1"/>
  <c r="BC214" i="1"/>
  <c r="BC219" i="1"/>
  <c r="BC226" i="1"/>
  <c r="BC231" i="1"/>
  <c r="BC238" i="1"/>
  <c r="BC243" i="1"/>
  <c r="BC250" i="1"/>
  <c r="BC255" i="1"/>
  <c r="BC262" i="1"/>
  <c r="BC267" i="1"/>
  <c r="BC274" i="1"/>
  <c r="BC279" i="1"/>
  <c r="BC286" i="1"/>
  <c r="BC291" i="1"/>
  <c r="BC298" i="1"/>
  <c r="BC303" i="1"/>
  <c r="BC310" i="1"/>
  <c r="BC315" i="1"/>
  <c r="BC322" i="1"/>
  <c r="BC327" i="1"/>
  <c r="BC334" i="1"/>
  <c r="BC346" i="1"/>
  <c r="BC358" i="1"/>
  <c r="BC370" i="1"/>
  <c r="BC15" i="1"/>
  <c r="BC22" i="1"/>
  <c r="BC27" i="1"/>
  <c r="BC34" i="1"/>
  <c r="BC39" i="1"/>
  <c r="BC46" i="1"/>
  <c r="BC51" i="1"/>
  <c r="BC58" i="1"/>
  <c r="BC63" i="1"/>
  <c r="BC70" i="1"/>
  <c r="BC75" i="1"/>
  <c r="BC82" i="1"/>
  <c r="BC87" i="1"/>
  <c r="BC94" i="1"/>
  <c r="BC99" i="1"/>
  <c r="BC106" i="1"/>
  <c r="BC111" i="1"/>
  <c r="BC118" i="1"/>
  <c r="BC123" i="1"/>
  <c r="BC130" i="1"/>
  <c r="BC135" i="1"/>
  <c r="BC142" i="1"/>
  <c r="BC147" i="1"/>
  <c r="BC154" i="1"/>
  <c r="BC159" i="1"/>
  <c r="BC166" i="1"/>
  <c r="BC171" i="1"/>
  <c r="BC178" i="1"/>
  <c r="BC190" i="1"/>
  <c r="BC2" i="1"/>
  <c r="D2" i="1"/>
  <c r="AU373" i="1"/>
  <c r="AU374" i="1"/>
  <c r="AK373" i="1"/>
  <c r="AK374" i="1"/>
  <c r="AA373" i="1"/>
  <c r="AA374" i="1"/>
  <c r="Q373" i="1"/>
  <c r="Q374" i="1"/>
  <c r="G365" i="1"/>
  <c r="G372" i="1"/>
  <c r="G367" i="1"/>
  <c r="G373" i="1"/>
  <c r="G374" i="1"/>
  <c r="AZ364" i="1"/>
  <c r="AZ371" i="1"/>
  <c r="AY364" i="1"/>
  <c r="AY371" i="1"/>
  <c r="AX364" i="1"/>
  <c r="AX371" i="1"/>
  <c r="AW364" i="1"/>
  <c r="AW371" i="1"/>
  <c r="AV364" i="1"/>
  <c r="AV371" i="1"/>
  <c r="AP364" i="1"/>
  <c r="AP371" i="1"/>
  <c r="AO364" i="1"/>
  <c r="AO371" i="1"/>
  <c r="AN364" i="1"/>
  <c r="AN371" i="1"/>
  <c r="AM364" i="1"/>
  <c r="AM371" i="1"/>
  <c r="AL364" i="1"/>
  <c r="AL371" i="1"/>
  <c r="AF364" i="1"/>
  <c r="AF371" i="1"/>
  <c r="AE364" i="1"/>
  <c r="AE371" i="1"/>
  <c r="AD364" i="1"/>
  <c r="AD371" i="1"/>
  <c r="AC364" i="1"/>
  <c r="AC371" i="1"/>
  <c r="AB364" i="1"/>
  <c r="AB371" i="1"/>
  <c r="V364" i="1"/>
  <c r="V371" i="1"/>
  <c r="U364" i="1"/>
  <c r="U371" i="1"/>
  <c r="T364" i="1"/>
  <c r="T371" i="1"/>
  <c r="S364" i="1"/>
  <c r="S371" i="1"/>
  <c r="R364" i="1"/>
  <c r="R371" i="1"/>
  <c r="J364" i="1"/>
  <c r="K364" i="1"/>
  <c r="L364" i="1"/>
  <c r="L371" i="1"/>
  <c r="K371" i="1"/>
  <c r="J371" i="1"/>
  <c r="G364" i="1"/>
  <c r="H364" i="1"/>
  <c r="I371" i="1"/>
  <c r="H371" i="1"/>
  <c r="AX368" i="1"/>
  <c r="AW368" i="1"/>
  <c r="AV368" i="1"/>
  <c r="AU368" i="1"/>
  <c r="AT368" i="1"/>
  <c r="AN368" i="1"/>
  <c r="AM368" i="1"/>
  <c r="AL368" i="1"/>
  <c r="AK368" i="1"/>
  <c r="AJ368" i="1"/>
  <c r="AD368" i="1"/>
  <c r="AC368" i="1"/>
  <c r="AB368" i="1"/>
  <c r="AA368" i="1"/>
  <c r="Z368" i="1"/>
  <c r="T368" i="1"/>
  <c r="S368" i="1"/>
  <c r="R368" i="1"/>
  <c r="Q368" i="1"/>
  <c r="P368" i="1"/>
  <c r="G368" i="1"/>
  <c r="H368" i="1"/>
  <c r="I368" i="1"/>
  <c r="BC367" i="1"/>
  <c r="AY367" i="1"/>
  <c r="AV367" i="1"/>
  <c r="AU367" i="1"/>
  <c r="AT367" i="1"/>
  <c r="AS367" i="1"/>
  <c r="AO367" i="1"/>
  <c r="AL367" i="1"/>
  <c r="AK367" i="1"/>
  <c r="AJ367" i="1"/>
  <c r="AI367" i="1"/>
  <c r="AE367" i="1"/>
  <c r="AB367" i="1"/>
  <c r="AA367" i="1"/>
  <c r="Z367" i="1"/>
  <c r="Y367" i="1"/>
  <c r="U367" i="1"/>
  <c r="R367" i="1"/>
  <c r="Q367" i="1"/>
  <c r="P367" i="1"/>
  <c r="O367" i="1"/>
  <c r="J367" i="1"/>
  <c r="K367" i="1"/>
  <c r="H367" i="1"/>
  <c r="BB365" i="1"/>
  <c r="BB372" i="1"/>
  <c r="AY365" i="1"/>
  <c r="AY372" i="1"/>
  <c r="AV365" i="1"/>
  <c r="AV372" i="1"/>
  <c r="AU365" i="1"/>
  <c r="AU372" i="1"/>
  <c r="AR365" i="1"/>
  <c r="AR372" i="1"/>
  <c r="AO365" i="1"/>
  <c r="AO372" i="1"/>
  <c r="AL365" i="1"/>
  <c r="AL372" i="1"/>
  <c r="AK365" i="1"/>
  <c r="AK372" i="1"/>
  <c r="AH365" i="1"/>
  <c r="AH372" i="1"/>
  <c r="AE365" i="1"/>
  <c r="AE372" i="1"/>
  <c r="AB365" i="1"/>
  <c r="AB372" i="1"/>
  <c r="AA365" i="1"/>
  <c r="AA372" i="1"/>
  <c r="X365" i="1"/>
  <c r="X372" i="1"/>
  <c r="U365" i="1"/>
  <c r="U372" i="1"/>
  <c r="R365" i="1"/>
  <c r="R372" i="1"/>
  <c r="Q365" i="1"/>
  <c r="Q372" i="1"/>
  <c r="N365" i="1"/>
  <c r="N372" i="1"/>
  <c r="J365" i="1"/>
  <c r="K365" i="1"/>
  <c r="K372" i="1"/>
  <c r="H365" i="1"/>
  <c r="H372" i="1"/>
  <c r="BC364" i="1"/>
  <c r="BC371" i="1"/>
  <c r="BB364" i="1"/>
  <c r="BB371" i="1"/>
  <c r="BA364" i="1"/>
  <c r="BA371" i="1"/>
  <c r="AU364" i="1"/>
  <c r="AU371" i="1"/>
  <c r="AT364" i="1"/>
  <c r="AT371" i="1"/>
  <c r="AS364" i="1"/>
  <c r="AS371" i="1"/>
  <c r="AR364" i="1"/>
  <c r="AR371" i="1"/>
  <c r="AQ364" i="1"/>
  <c r="AQ371" i="1"/>
  <c r="AK364" i="1"/>
  <c r="AK371" i="1"/>
  <c r="AJ364" i="1"/>
  <c r="AJ371" i="1"/>
  <c r="AI364" i="1"/>
  <c r="AI371" i="1"/>
  <c r="AH364" i="1"/>
  <c r="AH371" i="1"/>
  <c r="AG364" i="1"/>
  <c r="AG371" i="1"/>
  <c r="AA364" i="1"/>
  <c r="AA371" i="1"/>
  <c r="Z364" i="1"/>
  <c r="Z371" i="1"/>
  <c r="Y364" i="1"/>
  <c r="Y371" i="1"/>
  <c r="X364" i="1"/>
  <c r="X371" i="1"/>
  <c r="W364" i="1"/>
  <c r="W371" i="1"/>
  <c r="Q364" i="1"/>
  <c r="Q371" i="1"/>
  <c r="P364" i="1"/>
  <c r="P371" i="1"/>
  <c r="O364" i="1"/>
  <c r="O371" i="1"/>
  <c r="N364" i="1"/>
  <c r="N371" i="1"/>
  <c r="M364" i="1"/>
  <c r="M371" i="1"/>
  <c r="G371" i="1"/>
  <c r="A371" i="1"/>
  <c r="AY368" i="1"/>
  <c r="AX367" i="1"/>
  <c r="AW365" i="1"/>
  <c r="AW372" i="1"/>
  <c r="AV373" i="1"/>
  <c r="AV374" i="1"/>
  <c r="AO368" i="1"/>
  <c r="AN367" i="1"/>
  <c r="AM365" i="1"/>
  <c r="AM372" i="1"/>
  <c r="AL373" i="1"/>
  <c r="AL374" i="1"/>
  <c r="AE368" i="1"/>
  <c r="AD367" i="1"/>
  <c r="AC365" i="1"/>
  <c r="AC372" i="1"/>
  <c r="AB373" i="1"/>
  <c r="AB374" i="1"/>
  <c r="U368" i="1"/>
  <c r="T367" i="1"/>
  <c r="S365" i="1"/>
  <c r="S372" i="1"/>
  <c r="R373" i="1"/>
  <c r="R374" i="1"/>
  <c r="K368" i="1"/>
  <c r="I372" i="1"/>
  <c r="H373" i="1"/>
  <c r="BC361" i="1"/>
  <c r="BC362" i="1"/>
  <c r="AS361" i="1"/>
  <c r="AS362" i="1"/>
  <c r="AI361" i="1"/>
  <c r="AI362" i="1"/>
  <c r="Y361" i="1"/>
  <c r="Y362" i="1"/>
  <c r="O361" i="1"/>
  <c r="O362" i="1"/>
  <c r="AU353" i="1"/>
  <c r="AU360" i="1"/>
  <c r="AK353" i="1"/>
  <c r="AK360" i="1"/>
  <c r="AA353" i="1"/>
  <c r="AA360" i="1"/>
  <c r="Q353" i="1"/>
  <c r="Q360" i="1"/>
  <c r="G353" i="1"/>
  <c r="G360" i="1"/>
  <c r="BC352" i="1"/>
  <c r="BC359" i="1"/>
  <c r="AX352" i="1"/>
  <c r="AX359" i="1"/>
  <c r="AW352" i="1"/>
  <c r="AW359" i="1"/>
  <c r="AV352" i="1"/>
  <c r="AV359" i="1"/>
  <c r="AU352" i="1"/>
  <c r="AU359" i="1"/>
  <c r="AT352" i="1"/>
  <c r="AT359" i="1"/>
  <c r="AS352" i="1"/>
  <c r="AS359" i="1"/>
  <c r="AN352" i="1"/>
  <c r="AN359" i="1"/>
  <c r="AM352" i="1"/>
  <c r="AM359" i="1"/>
  <c r="AL352" i="1"/>
  <c r="AL359" i="1"/>
  <c r="AK352" i="1"/>
  <c r="AK359" i="1"/>
  <c r="AJ352" i="1"/>
  <c r="AJ359" i="1"/>
  <c r="AI352" i="1"/>
  <c r="AI359" i="1"/>
  <c r="AD352" i="1"/>
  <c r="AD359" i="1"/>
  <c r="AC352" i="1"/>
  <c r="AC359" i="1"/>
  <c r="AB352" i="1"/>
  <c r="AB359" i="1"/>
  <c r="AA352" i="1"/>
  <c r="AA359" i="1"/>
  <c r="Z352" i="1"/>
  <c r="Z359" i="1"/>
  <c r="Y352" i="1"/>
  <c r="Y359" i="1"/>
  <c r="T352" i="1"/>
  <c r="T359" i="1"/>
  <c r="S352" i="1"/>
  <c r="S359" i="1"/>
  <c r="R352" i="1"/>
  <c r="R359" i="1"/>
  <c r="Q352" i="1"/>
  <c r="Q359" i="1"/>
  <c r="P352" i="1"/>
  <c r="P359" i="1"/>
  <c r="O352" i="1"/>
  <c r="O359" i="1"/>
  <c r="J352" i="1"/>
  <c r="J359" i="1"/>
  <c r="G352" i="1"/>
  <c r="H352" i="1"/>
  <c r="I359" i="1"/>
  <c r="H359" i="1"/>
  <c r="G359" i="1"/>
  <c r="BC356" i="1"/>
  <c r="BB356" i="1"/>
  <c r="AU356" i="1"/>
  <c r="AT356" i="1"/>
  <c r="AS356" i="1"/>
  <c r="AR356" i="1"/>
  <c r="AK356" i="1"/>
  <c r="AJ356" i="1"/>
  <c r="AI356" i="1"/>
  <c r="AH356" i="1"/>
  <c r="AA356" i="1"/>
  <c r="Z356" i="1"/>
  <c r="Y356" i="1"/>
  <c r="X356" i="1"/>
  <c r="Q356" i="1"/>
  <c r="P356" i="1"/>
  <c r="O356" i="1"/>
  <c r="N356" i="1"/>
  <c r="G356" i="1"/>
  <c r="BC355" i="1"/>
  <c r="AU355" i="1"/>
  <c r="AT355" i="1"/>
  <c r="AS355" i="1"/>
  <c r="AR355" i="1"/>
  <c r="AK355" i="1"/>
  <c r="AJ355" i="1"/>
  <c r="AI355" i="1"/>
  <c r="AH355" i="1"/>
  <c r="AA355" i="1"/>
  <c r="Z355" i="1"/>
  <c r="Y355" i="1"/>
  <c r="X355" i="1"/>
  <c r="Q355" i="1"/>
  <c r="P355" i="1"/>
  <c r="O355" i="1"/>
  <c r="N355" i="1"/>
  <c r="G355" i="1"/>
  <c r="BC353" i="1"/>
  <c r="BC360" i="1"/>
  <c r="BB353" i="1"/>
  <c r="BB360" i="1"/>
  <c r="AT353" i="1"/>
  <c r="AT360" i="1"/>
  <c r="AS353" i="1"/>
  <c r="AS360" i="1"/>
  <c r="AR353" i="1"/>
  <c r="AR360" i="1"/>
  <c r="AJ353" i="1"/>
  <c r="AJ360" i="1"/>
  <c r="AI353" i="1"/>
  <c r="AI360" i="1"/>
  <c r="AH353" i="1"/>
  <c r="AH360" i="1"/>
  <c r="Z353" i="1"/>
  <c r="Z360" i="1"/>
  <c r="Y353" i="1"/>
  <c r="Y360" i="1"/>
  <c r="X353" i="1"/>
  <c r="X360" i="1"/>
  <c r="P353" i="1"/>
  <c r="P360" i="1"/>
  <c r="O353" i="1"/>
  <c r="O360" i="1"/>
  <c r="N353" i="1"/>
  <c r="N360" i="1"/>
  <c r="BB352" i="1"/>
  <c r="BB359" i="1"/>
  <c r="BA352" i="1"/>
  <c r="BA359" i="1"/>
  <c r="AZ352" i="1"/>
  <c r="AZ359" i="1"/>
  <c r="AY352" i="1"/>
  <c r="AY359" i="1"/>
  <c r="AR352" i="1"/>
  <c r="AR359" i="1"/>
  <c r="AQ352" i="1"/>
  <c r="AQ359" i="1"/>
  <c r="AP352" i="1"/>
  <c r="AP359" i="1"/>
  <c r="AO352" i="1"/>
  <c r="AO359" i="1"/>
  <c r="AH352" i="1"/>
  <c r="AH359" i="1"/>
  <c r="AG352" i="1"/>
  <c r="AG359" i="1"/>
  <c r="AF352" i="1"/>
  <c r="AF359" i="1"/>
  <c r="AE352" i="1"/>
  <c r="AE359" i="1"/>
  <c r="X352" i="1"/>
  <c r="X359" i="1"/>
  <c r="W352" i="1"/>
  <c r="W359" i="1"/>
  <c r="V352" i="1"/>
  <c r="V359" i="1"/>
  <c r="U352" i="1"/>
  <c r="U359" i="1"/>
  <c r="N352" i="1"/>
  <c r="N359" i="1"/>
  <c r="K352" i="1"/>
  <c r="L352" i="1"/>
  <c r="M352" i="1"/>
  <c r="M359" i="1"/>
  <c r="L359" i="1"/>
  <c r="K359" i="1"/>
  <c r="AY356" i="1"/>
  <c r="AX355" i="1"/>
  <c r="AW353" i="1"/>
  <c r="AW360" i="1"/>
  <c r="AV361" i="1"/>
  <c r="AV362" i="1"/>
  <c r="AO356" i="1"/>
  <c r="AN355" i="1"/>
  <c r="AM353" i="1"/>
  <c r="AM360" i="1"/>
  <c r="AL361" i="1"/>
  <c r="AL362" i="1"/>
  <c r="AE356" i="1"/>
  <c r="AD355" i="1"/>
  <c r="AC353" i="1"/>
  <c r="AC360" i="1"/>
  <c r="AB361" i="1"/>
  <c r="AB362" i="1"/>
  <c r="U356" i="1"/>
  <c r="T355" i="1"/>
  <c r="S353" i="1"/>
  <c r="S360" i="1"/>
  <c r="R361" i="1"/>
  <c r="R362" i="1"/>
  <c r="J356" i="1"/>
  <c r="K356" i="1"/>
  <c r="J355" i="1"/>
  <c r="H353" i="1"/>
  <c r="I360" i="1"/>
  <c r="H360" i="1"/>
  <c r="H355" i="1"/>
  <c r="H361" i="1"/>
  <c r="H362" i="1"/>
  <c r="AS340" i="1"/>
  <c r="AS347" i="1"/>
  <c r="AJ340" i="1"/>
  <c r="AJ347" i="1"/>
  <c r="AI340" i="1"/>
  <c r="AI347" i="1"/>
  <c r="Z340" i="1"/>
  <c r="Z347" i="1"/>
  <c r="AT344" i="1"/>
  <c r="AK344" i="1"/>
  <c r="Q344" i="1"/>
  <c r="P344" i="1"/>
  <c r="J344" i="1"/>
  <c r="K344" i="1"/>
  <c r="L344" i="1"/>
  <c r="M344" i="1"/>
  <c r="AS343" i="1"/>
  <c r="AR343" i="1"/>
  <c r="AK343" i="1"/>
  <c r="AJ343" i="1"/>
  <c r="Q343" i="1"/>
  <c r="P343" i="1"/>
  <c r="O343" i="1"/>
  <c r="N343" i="1"/>
  <c r="AJ341" i="1"/>
  <c r="AJ348" i="1"/>
  <c r="AA341" i="1"/>
  <c r="AA348" i="1"/>
  <c r="Z341" i="1"/>
  <c r="Z348" i="1"/>
  <c r="BC340" i="1"/>
  <c r="BC347" i="1"/>
  <c r="BB340" i="1"/>
  <c r="BB347" i="1"/>
  <c r="BA340" i="1"/>
  <c r="BA347" i="1"/>
  <c r="AZ340" i="1"/>
  <c r="AZ347" i="1"/>
  <c r="AY340" i="1"/>
  <c r="AY347" i="1"/>
  <c r="AX340" i="1"/>
  <c r="AX347" i="1"/>
  <c r="AW340" i="1"/>
  <c r="AW347" i="1"/>
  <c r="AV340" i="1"/>
  <c r="AV347" i="1"/>
  <c r="AU340" i="1"/>
  <c r="AU347" i="1"/>
  <c r="AT340" i="1"/>
  <c r="AT347" i="1"/>
  <c r="AR340" i="1"/>
  <c r="AR347" i="1"/>
  <c r="AQ340" i="1"/>
  <c r="AQ347" i="1"/>
  <c r="AP340" i="1"/>
  <c r="AP347" i="1"/>
  <c r="AO340" i="1"/>
  <c r="AO347" i="1"/>
  <c r="AN340" i="1"/>
  <c r="AN347" i="1"/>
  <c r="AM340" i="1"/>
  <c r="AM347" i="1"/>
  <c r="AL340" i="1"/>
  <c r="AL347" i="1"/>
  <c r="AK340" i="1"/>
  <c r="AK347" i="1"/>
  <c r="AH340" i="1"/>
  <c r="AH347" i="1"/>
  <c r="AG340" i="1"/>
  <c r="AG347" i="1"/>
  <c r="AF340" i="1"/>
  <c r="AF347" i="1"/>
  <c r="AE340" i="1"/>
  <c r="AE347" i="1"/>
  <c r="AD340" i="1"/>
  <c r="AD347" i="1"/>
  <c r="AC340" i="1"/>
  <c r="AC347" i="1"/>
  <c r="AB340" i="1"/>
  <c r="AB347" i="1"/>
  <c r="AA340" i="1"/>
  <c r="AA347" i="1"/>
  <c r="Y340" i="1"/>
  <c r="Y347" i="1"/>
  <c r="X340" i="1"/>
  <c r="X347" i="1"/>
  <c r="W340" i="1"/>
  <c r="W347" i="1"/>
  <c r="V340" i="1"/>
  <c r="V347" i="1"/>
  <c r="U340" i="1"/>
  <c r="U347" i="1"/>
  <c r="T340" i="1"/>
  <c r="T347" i="1"/>
  <c r="S340" i="1"/>
  <c r="S347" i="1"/>
  <c r="R340" i="1"/>
  <c r="R347" i="1"/>
  <c r="Q340" i="1"/>
  <c r="Q347" i="1"/>
  <c r="P340" i="1"/>
  <c r="P347" i="1"/>
  <c r="O340" i="1"/>
  <c r="O347" i="1"/>
  <c r="N340" i="1"/>
  <c r="N347" i="1"/>
  <c r="J340" i="1"/>
  <c r="K340" i="1"/>
  <c r="L340" i="1"/>
  <c r="M340" i="1"/>
  <c r="M347" i="1"/>
  <c r="L347" i="1"/>
  <c r="K347" i="1"/>
  <c r="J347" i="1"/>
  <c r="G340" i="1"/>
  <c r="H340" i="1"/>
  <c r="I347" i="1"/>
  <c r="H347" i="1"/>
  <c r="G347" i="1"/>
  <c r="BC341" i="1"/>
  <c r="BC348" i="1"/>
  <c r="BB341" i="1"/>
  <c r="BB348" i="1"/>
  <c r="BA343" i="1"/>
  <c r="AZ343" i="1"/>
  <c r="AY344" i="1"/>
  <c r="AX344" i="1"/>
  <c r="AW344" i="1"/>
  <c r="AV349" i="1"/>
  <c r="AV350" i="1"/>
  <c r="AS341" i="1"/>
  <c r="AS348" i="1"/>
  <c r="AR341" i="1"/>
  <c r="AR348" i="1"/>
  <c r="AQ343" i="1"/>
  <c r="AP343" i="1"/>
  <c r="AO344" i="1"/>
  <c r="AN344" i="1"/>
  <c r="AM344" i="1"/>
  <c r="AL349" i="1"/>
  <c r="AL350" i="1"/>
  <c r="AI341" i="1"/>
  <c r="AI348" i="1"/>
  <c r="AH341" i="1"/>
  <c r="AH348" i="1"/>
  <c r="AG343" i="1"/>
  <c r="AF343" i="1"/>
  <c r="AE344" i="1"/>
  <c r="AD344" i="1"/>
  <c r="AC344" i="1"/>
  <c r="AB349" i="1"/>
  <c r="AB350" i="1"/>
  <c r="Y341" i="1"/>
  <c r="Y348" i="1"/>
  <c r="X341" i="1"/>
  <c r="X348" i="1"/>
  <c r="W343" i="1"/>
  <c r="V343" i="1"/>
  <c r="U344" i="1"/>
  <c r="T344" i="1"/>
  <c r="S344" i="1"/>
  <c r="R349" i="1"/>
  <c r="R350" i="1"/>
  <c r="O341" i="1"/>
  <c r="O348" i="1"/>
  <c r="N341" i="1"/>
  <c r="N348" i="1"/>
  <c r="J343" i="1"/>
  <c r="K343" i="1"/>
  <c r="L343" i="1"/>
  <c r="M343" i="1"/>
  <c r="G344" i="1"/>
  <c r="H344" i="1"/>
  <c r="I344" i="1"/>
  <c r="G341" i="1"/>
  <c r="H341" i="1"/>
  <c r="H348" i="1"/>
  <c r="G343" i="1"/>
  <c r="H343" i="1"/>
  <c r="H349" i="1"/>
  <c r="H350" i="1"/>
  <c r="A220" i="1"/>
  <c r="U337" i="1"/>
  <c r="U338" i="1"/>
  <c r="T337" i="1"/>
  <c r="T338" i="1"/>
  <c r="BC337" i="1"/>
  <c r="BC338" i="1"/>
  <c r="BB337" i="1"/>
  <c r="BB338" i="1"/>
  <c r="AS337" i="1"/>
  <c r="AS338" i="1"/>
  <c r="AR337" i="1"/>
  <c r="AR338" i="1"/>
  <c r="AO337" i="1"/>
  <c r="AO338" i="1"/>
  <c r="AN337" i="1"/>
  <c r="AN338" i="1"/>
  <c r="AI337" i="1"/>
  <c r="AI338" i="1"/>
  <c r="AH337" i="1"/>
  <c r="AH338" i="1"/>
  <c r="Y337" i="1"/>
  <c r="Y338" i="1"/>
  <c r="X337" i="1"/>
  <c r="X338" i="1"/>
  <c r="W337" i="1"/>
  <c r="W338" i="1"/>
  <c r="O337" i="1"/>
  <c r="O338" i="1"/>
  <c r="N337" i="1"/>
  <c r="N338" i="1"/>
  <c r="J329" i="1"/>
  <c r="K329" i="1"/>
  <c r="K336" i="1"/>
  <c r="J331" i="1"/>
  <c r="K331" i="1"/>
  <c r="K337" i="1"/>
  <c r="K338" i="1"/>
  <c r="J336" i="1"/>
  <c r="J337" i="1"/>
  <c r="J338" i="1"/>
  <c r="AR329" i="1"/>
  <c r="AR336" i="1"/>
  <c r="X329" i="1"/>
  <c r="X336" i="1"/>
  <c r="N329" i="1"/>
  <c r="N336" i="1"/>
  <c r="AY328" i="1"/>
  <c r="AY335" i="1"/>
  <c r="AX328" i="1"/>
  <c r="AX335" i="1"/>
  <c r="AW328" i="1"/>
  <c r="AW335" i="1"/>
  <c r="AV328" i="1"/>
  <c r="AV335" i="1"/>
  <c r="AU328" i="1"/>
  <c r="AU335" i="1"/>
  <c r="AT328" i="1"/>
  <c r="AT335" i="1"/>
  <c r="AO328" i="1"/>
  <c r="AO335" i="1"/>
  <c r="AK328" i="1"/>
  <c r="AK335" i="1"/>
  <c r="AJ328" i="1"/>
  <c r="AJ335" i="1"/>
  <c r="AE328" i="1"/>
  <c r="AE335" i="1"/>
  <c r="AD328" i="1"/>
  <c r="AD335" i="1"/>
  <c r="AC328" i="1"/>
  <c r="AC335" i="1"/>
  <c r="AA328" i="1"/>
  <c r="AA335" i="1"/>
  <c r="Z328" i="1"/>
  <c r="Z335" i="1"/>
  <c r="Q328" i="1"/>
  <c r="Q335" i="1"/>
  <c r="P328" i="1"/>
  <c r="P335" i="1"/>
  <c r="J328" i="1"/>
  <c r="K328" i="1"/>
  <c r="K335" i="1"/>
  <c r="J335" i="1"/>
  <c r="G328" i="1"/>
  <c r="H328" i="1"/>
  <c r="I335" i="1"/>
  <c r="G335" i="1"/>
  <c r="BC332" i="1"/>
  <c r="BB332" i="1"/>
  <c r="AU332" i="1"/>
  <c r="AT332" i="1"/>
  <c r="AS332" i="1"/>
  <c r="AR332" i="1"/>
  <c r="AL332" i="1"/>
  <c r="AK332" i="1"/>
  <c r="AJ332" i="1"/>
  <c r="AI332" i="1"/>
  <c r="AH332" i="1"/>
  <c r="AB332" i="1"/>
  <c r="AA332" i="1"/>
  <c r="Z332" i="1"/>
  <c r="Y332" i="1"/>
  <c r="X332" i="1"/>
  <c r="Q332" i="1"/>
  <c r="P332" i="1"/>
  <c r="O332" i="1"/>
  <c r="N332" i="1"/>
  <c r="J332" i="1"/>
  <c r="K332" i="1"/>
  <c r="L332" i="1"/>
  <c r="M332" i="1"/>
  <c r="H332" i="1"/>
  <c r="BC331" i="1"/>
  <c r="BB331" i="1"/>
  <c r="AT331" i="1"/>
  <c r="AS331" i="1"/>
  <c r="AR331" i="1"/>
  <c r="AQ331" i="1"/>
  <c r="AP331" i="1"/>
  <c r="AO331" i="1"/>
  <c r="AJ331" i="1"/>
  <c r="AI331" i="1"/>
  <c r="AH331" i="1"/>
  <c r="AE331" i="1"/>
  <c r="Z331" i="1"/>
  <c r="Y331" i="1"/>
  <c r="X331" i="1"/>
  <c r="V331" i="1"/>
  <c r="P331" i="1"/>
  <c r="O331" i="1"/>
  <c r="N331" i="1"/>
  <c r="BB329" i="1"/>
  <c r="BB336" i="1"/>
  <c r="AO329" i="1"/>
  <c r="AO336" i="1"/>
  <c r="AN329" i="1"/>
  <c r="AN336" i="1"/>
  <c r="AM329" i="1"/>
  <c r="AM336" i="1"/>
  <c r="AH329" i="1"/>
  <c r="AH336" i="1"/>
  <c r="AD329" i="1"/>
  <c r="AD336" i="1"/>
  <c r="AC329" i="1"/>
  <c r="AC336" i="1"/>
  <c r="W329" i="1"/>
  <c r="W336" i="1"/>
  <c r="U329" i="1"/>
  <c r="U336" i="1"/>
  <c r="T329" i="1"/>
  <c r="T336" i="1"/>
  <c r="G329" i="1"/>
  <c r="H329" i="1"/>
  <c r="I336" i="1"/>
  <c r="BC328" i="1"/>
  <c r="BC335" i="1"/>
  <c r="BB328" i="1"/>
  <c r="BB335" i="1"/>
  <c r="BA328" i="1"/>
  <c r="BA335" i="1"/>
  <c r="AZ328" i="1"/>
  <c r="AZ335" i="1"/>
  <c r="AS328" i="1"/>
  <c r="AS335" i="1"/>
  <c r="AR328" i="1"/>
  <c r="AR335" i="1"/>
  <c r="AQ328" i="1"/>
  <c r="AQ335" i="1"/>
  <c r="AP328" i="1"/>
  <c r="AP335" i="1"/>
  <c r="AN328" i="1"/>
  <c r="AN335" i="1"/>
  <c r="AM328" i="1"/>
  <c r="AM335" i="1"/>
  <c r="AL328" i="1"/>
  <c r="AL335" i="1"/>
  <c r="AI328" i="1"/>
  <c r="AI335" i="1"/>
  <c r="AH328" i="1"/>
  <c r="AH335" i="1"/>
  <c r="AG328" i="1"/>
  <c r="AG335" i="1"/>
  <c r="AF328" i="1"/>
  <c r="AF335" i="1"/>
  <c r="AB328" i="1"/>
  <c r="AB335" i="1"/>
  <c r="Y328" i="1"/>
  <c r="Y335" i="1"/>
  <c r="X328" i="1"/>
  <c r="X335" i="1"/>
  <c r="W328" i="1"/>
  <c r="W335" i="1"/>
  <c r="V328" i="1"/>
  <c r="V335" i="1"/>
  <c r="U328" i="1"/>
  <c r="U335" i="1"/>
  <c r="T328" i="1"/>
  <c r="T335" i="1"/>
  <c r="S328" i="1"/>
  <c r="S335" i="1"/>
  <c r="R328" i="1"/>
  <c r="R335" i="1"/>
  <c r="O328" i="1"/>
  <c r="O335" i="1"/>
  <c r="N328" i="1"/>
  <c r="N335" i="1"/>
  <c r="L328" i="1"/>
  <c r="M328" i="1"/>
  <c r="M335" i="1"/>
  <c r="L335" i="1"/>
  <c r="H335" i="1"/>
  <c r="BA331" i="1"/>
  <c r="AZ329" i="1"/>
  <c r="AZ336" i="1"/>
  <c r="AY332" i="1"/>
  <c r="AO332" i="1"/>
  <c r="AG337" i="1"/>
  <c r="AG338" i="1"/>
  <c r="AE332" i="1"/>
  <c r="AD337" i="1"/>
  <c r="AD338" i="1"/>
  <c r="W332" i="1"/>
  <c r="V329" i="1"/>
  <c r="V336" i="1"/>
  <c r="U332" i="1"/>
  <c r="AD325" i="1"/>
  <c r="AD326" i="1"/>
  <c r="U325" i="1"/>
  <c r="U326" i="1"/>
  <c r="T325" i="1"/>
  <c r="T326" i="1"/>
  <c r="AO325" i="1"/>
  <c r="AO326" i="1"/>
  <c r="AN325" i="1"/>
  <c r="AN326" i="1"/>
  <c r="AH325" i="1"/>
  <c r="AH326" i="1"/>
  <c r="X325" i="1"/>
  <c r="X326" i="1"/>
  <c r="W325" i="1"/>
  <c r="W326" i="1"/>
  <c r="J317" i="1"/>
  <c r="K317" i="1"/>
  <c r="K324" i="1"/>
  <c r="J319" i="1"/>
  <c r="K319" i="1"/>
  <c r="K325" i="1"/>
  <c r="K326" i="1"/>
  <c r="J324" i="1"/>
  <c r="J325" i="1"/>
  <c r="J326" i="1"/>
  <c r="AT317" i="1"/>
  <c r="AT324" i="1"/>
  <c r="Z317" i="1"/>
  <c r="Z324" i="1"/>
  <c r="X317" i="1"/>
  <c r="X324" i="1"/>
  <c r="P317" i="1"/>
  <c r="P324" i="1"/>
  <c r="AY316" i="1"/>
  <c r="AY323" i="1"/>
  <c r="AX316" i="1"/>
  <c r="AX323" i="1"/>
  <c r="AW316" i="1"/>
  <c r="AW323" i="1"/>
  <c r="AV316" i="1"/>
  <c r="AV323" i="1"/>
  <c r="AU316" i="1"/>
  <c r="AU323" i="1"/>
  <c r="AT316" i="1"/>
  <c r="AT323" i="1"/>
  <c r="AO316" i="1"/>
  <c r="AO323" i="1"/>
  <c r="AM316" i="1"/>
  <c r="AM323" i="1"/>
  <c r="AL316" i="1"/>
  <c r="AL323" i="1"/>
  <c r="AK316" i="1"/>
  <c r="AK323" i="1"/>
  <c r="AJ316" i="1"/>
  <c r="AJ323" i="1"/>
  <c r="AE316" i="1"/>
  <c r="AE323" i="1"/>
  <c r="AD316" i="1"/>
  <c r="AD323" i="1"/>
  <c r="AC316" i="1"/>
  <c r="AC323" i="1"/>
  <c r="AB316" i="1"/>
  <c r="AB323" i="1"/>
  <c r="AA316" i="1"/>
  <c r="AA323" i="1"/>
  <c r="Z316" i="1"/>
  <c r="Z323" i="1"/>
  <c r="S316" i="1"/>
  <c r="S323" i="1"/>
  <c r="R316" i="1"/>
  <c r="R323" i="1"/>
  <c r="Q316" i="1"/>
  <c r="Q323" i="1"/>
  <c r="P316" i="1"/>
  <c r="P323" i="1"/>
  <c r="J316" i="1"/>
  <c r="K316" i="1"/>
  <c r="K323" i="1"/>
  <c r="J323" i="1"/>
  <c r="G316" i="1"/>
  <c r="H316" i="1"/>
  <c r="I323" i="1"/>
  <c r="H323" i="1"/>
  <c r="G323" i="1"/>
  <c r="AV320" i="1"/>
  <c r="AU320" i="1"/>
  <c r="AT320" i="1"/>
  <c r="AS320" i="1"/>
  <c r="AR320" i="1"/>
  <c r="AQ320" i="1"/>
  <c r="AL320" i="1"/>
  <c r="AK320" i="1"/>
  <c r="AJ320" i="1"/>
  <c r="AH320" i="1"/>
  <c r="AG320" i="1"/>
  <c r="AB320" i="1"/>
  <c r="AA320" i="1"/>
  <c r="Z320" i="1"/>
  <c r="Y320" i="1"/>
  <c r="X320" i="1"/>
  <c r="R320" i="1"/>
  <c r="P320" i="1"/>
  <c r="N320" i="1"/>
  <c r="J320" i="1"/>
  <c r="K320" i="1"/>
  <c r="L320" i="1"/>
  <c r="M320" i="1"/>
  <c r="G320" i="1"/>
  <c r="H320" i="1"/>
  <c r="BC319" i="1"/>
  <c r="AU319" i="1"/>
  <c r="AT319" i="1"/>
  <c r="AK319" i="1"/>
  <c r="AJ319" i="1"/>
  <c r="AG319" i="1"/>
  <c r="AF319" i="1"/>
  <c r="AA319" i="1"/>
  <c r="Z319" i="1"/>
  <c r="P319" i="1"/>
  <c r="O319" i="1"/>
  <c r="N319" i="1"/>
  <c r="L319" i="1"/>
  <c r="M319" i="1"/>
  <c r="BC317" i="1"/>
  <c r="BC324" i="1"/>
  <c r="AY317" i="1"/>
  <c r="AY324" i="1"/>
  <c r="AS317" i="1"/>
  <c r="AS324" i="1"/>
  <c r="AR317" i="1"/>
  <c r="AR324" i="1"/>
  <c r="AQ317" i="1"/>
  <c r="AQ324" i="1"/>
  <c r="AP317" i="1"/>
  <c r="AP324" i="1"/>
  <c r="AO317" i="1"/>
  <c r="AO324" i="1"/>
  <c r="AJ317" i="1"/>
  <c r="AJ324" i="1"/>
  <c r="AE317" i="1"/>
  <c r="AE324" i="1"/>
  <c r="W317" i="1"/>
  <c r="W324" i="1"/>
  <c r="V317" i="1"/>
  <c r="V324" i="1"/>
  <c r="N317" i="1"/>
  <c r="N324" i="1"/>
  <c r="L317" i="1"/>
  <c r="M317" i="1"/>
  <c r="M324" i="1"/>
  <c r="BC316" i="1"/>
  <c r="BC323" i="1"/>
  <c r="BB316" i="1"/>
  <c r="BB323" i="1"/>
  <c r="BA316" i="1"/>
  <c r="BA323" i="1"/>
  <c r="AZ316" i="1"/>
  <c r="AZ323" i="1"/>
  <c r="AS316" i="1"/>
  <c r="AS323" i="1"/>
  <c r="AR316" i="1"/>
  <c r="AR323" i="1"/>
  <c r="AQ316" i="1"/>
  <c r="AQ323" i="1"/>
  <c r="AP316" i="1"/>
  <c r="AP323" i="1"/>
  <c r="AN316" i="1"/>
  <c r="AN323" i="1"/>
  <c r="AI316" i="1"/>
  <c r="AI323" i="1"/>
  <c r="AH316" i="1"/>
  <c r="AH323" i="1"/>
  <c r="AG316" i="1"/>
  <c r="AG323" i="1"/>
  <c r="AF316" i="1"/>
  <c r="AF323" i="1"/>
  <c r="Y316" i="1"/>
  <c r="Y323" i="1"/>
  <c r="X316" i="1"/>
  <c r="X323" i="1"/>
  <c r="W316" i="1"/>
  <c r="W323" i="1"/>
  <c r="V316" i="1"/>
  <c r="V323" i="1"/>
  <c r="U316" i="1"/>
  <c r="U323" i="1"/>
  <c r="T316" i="1"/>
  <c r="T323" i="1"/>
  <c r="O316" i="1"/>
  <c r="O323" i="1"/>
  <c r="N316" i="1"/>
  <c r="N323" i="1"/>
  <c r="L316" i="1"/>
  <c r="M316" i="1"/>
  <c r="M323" i="1"/>
  <c r="L323" i="1"/>
  <c r="AW317" i="1"/>
  <c r="AW324" i="1"/>
  <c r="AV325" i="1"/>
  <c r="AV326" i="1"/>
  <c r="AP320" i="1"/>
  <c r="AM317" i="1"/>
  <c r="AM324" i="1"/>
  <c r="AL325" i="1"/>
  <c r="AL326" i="1"/>
  <c r="AF317" i="1"/>
  <c r="AF324" i="1"/>
  <c r="AE325" i="1"/>
  <c r="AE326" i="1"/>
  <c r="AC317" i="1"/>
  <c r="AC324" i="1"/>
  <c r="AB325" i="1"/>
  <c r="AB326" i="1"/>
  <c r="Y317" i="1"/>
  <c r="Y324" i="1"/>
  <c r="W320" i="1"/>
  <c r="S317" i="1"/>
  <c r="S324" i="1"/>
  <c r="R325" i="1"/>
  <c r="R326" i="1"/>
  <c r="O320" i="1"/>
  <c r="N325" i="1"/>
  <c r="N326" i="1"/>
  <c r="L324" i="1"/>
  <c r="G317" i="1"/>
  <c r="H317" i="1"/>
  <c r="I324" i="1"/>
  <c r="H324" i="1"/>
  <c r="G319" i="1"/>
  <c r="H319" i="1"/>
  <c r="H325" i="1"/>
  <c r="H326" i="1"/>
  <c r="AT313" i="1"/>
  <c r="AT314" i="1"/>
  <c r="AV313" i="1"/>
  <c r="AV314" i="1"/>
  <c r="AL313" i="1"/>
  <c r="AL314" i="1"/>
  <c r="AK313" i="1"/>
  <c r="AK314" i="1"/>
  <c r="AF313" i="1"/>
  <c r="AF314" i="1"/>
  <c r="R313" i="1"/>
  <c r="R314" i="1"/>
  <c r="G305" i="1"/>
  <c r="H305" i="1"/>
  <c r="H312" i="1"/>
  <c r="G307" i="1"/>
  <c r="H307" i="1"/>
  <c r="H313" i="1"/>
  <c r="H314" i="1"/>
  <c r="G312" i="1"/>
  <c r="G313" i="1"/>
  <c r="G314" i="1"/>
  <c r="AT305" i="1"/>
  <c r="AT312" i="1"/>
  <c r="AJ305" i="1"/>
  <c r="AJ312" i="1"/>
  <c r="AG305" i="1"/>
  <c r="AG312" i="1"/>
  <c r="P305" i="1"/>
  <c r="P312" i="1"/>
  <c r="BC304" i="1"/>
  <c r="BC311" i="1"/>
  <c r="AV304" i="1"/>
  <c r="AV311" i="1"/>
  <c r="AU304" i="1"/>
  <c r="AU311" i="1"/>
  <c r="AT304" i="1"/>
  <c r="AT311" i="1"/>
  <c r="AS304" i="1"/>
  <c r="AS311" i="1"/>
  <c r="AR304" i="1"/>
  <c r="AR311" i="1"/>
  <c r="AQ304" i="1"/>
  <c r="AQ311" i="1"/>
  <c r="AJ304" i="1"/>
  <c r="AJ311" i="1"/>
  <c r="AI304" i="1"/>
  <c r="AI311" i="1"/>
  <c r="AH304" i="1"/>
  <c r="AH311" i="1"/>
  <c r="AB304" i="1"/>
  <c r="AB311" i="1"/>
  <c r="AA304" i="1"/>
  <c r="AA311" i="1"/>
  <c r="Z304" i="1"/>
  <c r="Z311" i="1"/>
  <c r="R304" i="1"/>
  <c r="R311" i="1"/>
  <c r="Q304" i="1"/>
  <c r="Q311" i="1"/>
  <c r="P304" i="1"/>
  <c r="P311" i="1"/>
  <c r="O304" i="1"/>
  <c r="O311" i="1"/>
  <c r="N304" i="1"/>
  <c r="N311" i="1"/>
  <c r="BC308" i="1"/>
  <c r="BB308" i="1"/>
  <c r="BA308" i="1"/>
  <c r="AZ308" i="1"/>
  <c r="AT308" i="1"/>
  <c r="AJ308" i="1"/>
  <c r="AI308" i="1"/>
  <c r="Z308" i="1"/>
  <c r="Y308" i="1"/>
  <c r="X308" i="1"/>
  <c r="W308" i="1"/>
  <c r="P308" i="1"/>
  <c r="O308" i="1"/>
  <c r="N308" i="1"/>
  <c r="J308" i="1"/>
  <c r="K308" i="1"/>
  <c r="BC307" i="1"/>
  <c r="AT307" i="1"/>
  <c r="AS307" i="1"/>
  <c r="AR307" i="1"/>
  <c r="AJ307" i="1"/>
  <c r="AI307" i="1"/>
  <c r="AH307" i="1"/>
  <c r="AG307" i="1"/>
  <c r="AF307" i="1"/>
  <c r="Z307" i="1"/>
  <c r="Y307" i="1"/>
  <c r="X307" i="1"/>
  <c r="U307" i="1"/>
  <c r="P307" i="1"/>
  <c r="I307" i="1"/>
  <c r="BC305" i="1"/>
  <c r="BC312" i="1"/>
  <c r="AV305" i="1"/>
  <c r="AV312" i="1"/>
  <c r="AS305" i="1"/>
  <c r="AS312" i="1"/>
  <c r="AR305" i="1"/>
  <c r="AR312" i="1"/>
  <c r="AL305" i="1"/>
  <c r="AL312" i="1"/>
  <c r="AI305" i="1"/>
  <c r="AI312" i="1"/>
  <c r="AH305" i="1"/>
  <c r="AH312" i="1"/>
  <c r="AB305" i="1"/>
  <c r="AB312" i="1"/>
  <c r="Z305" i="1"/>
  <c r="Z312" i="1"/>
  <c r="Y305" i="1"/>
  <c r="Y312" i="1"/>
  <c r="X305" i="1"/>
  <c r="X312" i="1"/>
  <c r="W305" i="1"/>
  <c r="W312" i="1"/>
  <c r="V305" i="1"/>
  <c r="V312" i="1"/>
  <c r="O305" i="1"/>
  <c r="O312" i="1"/>
  <c r="N305" i="1"/>
  <c r="N312" i="1"/>
  <c r="J305" i="1"/>
  <c r="K305" i="1"/>
  <c r="L305" i="1"/>
  <c r="L312" i="1"/>
  <c r="K312" i="1"/>
  <c r="BB304" i="1"/>
  <c r="BB311" i="1"/>
  <c r="BA304" i="1"/>
  <c r="BA311" i="1"/>
  <c r="AZ304" i="1"/>
  <c r="AZ311" i="1"/>
  <c r="AY304" i="1"/>
  <c r="AY311" i="1"/>
  <c r="AX304" i="1"/>
  <c r="AX311" i="1"/>
  <c r="AW304" i="1"/>
  <c r="AW311" i="1"/>
  <c r="AP304" i="1"/>
  <c r="AP311" i="1"/>
  <c r="AO304" i="1"/>
  <c r="AO311" i="1"/>
  <c r="AN304" i="1"/>
  <c r="AN311" i="1"/>
  <c r="AM304" i="1"/>
  <c r="AM311" i="1"/>
  <c r="AL304" i="1"/>
  <c r="AL311" i="1"/>
  <c r="AK304" i="1"/>
  <c r="AK311" i="1"/>
  <c r="AG304" i="1"/>
  <c r="AG311" i="1"/>
  <c r="AF304" i="1"/>
  <c r="AF311" i="1"/>
  <c r="AE304" i="1"/>
  <c r="AE311" i="1"/>
  <c r="AD304" i="1"/>
  <c r="AD311" i="1"/>
  <c r="AC304" i="1"/>
  <c r="AC311" i="1"/>
  <c r="Y304" i="1"/>
  <c r="Y311" i="1"/>
  <c r="X304" i="1"/>
  <c r="X311" i="1"/>
  <c r="W304" i="1"/>
  <c r="W311" i="1"/>
  <c r="V304" i="1"/>
  <c r="V311" i="1"/>
  <c r="U304" i="1"/>
  <c r="U311" i="1"/>
  <c r="T304" i="1"/>
  <c r="T311" i="1"/>
  <c r="S304" i="1"/>
  <c r="S311" i="1"/>
  <c r="J304" i="1"/>
  <c r="K304" i="1"/>
  <c r="L304" i="1"/>
  <c r="M304" i="1"/>
  <c r="M311" i="1"/>
  <c r="L311" i="1"/>
  <c r="K311" i="1"/>
  <c r="J311" i="1"/>
  <c r="G304" i="1"/>
  <c r="H304" i="1"/>
  <c r="I311" i="1"/>
  <c r="H311" i="1"/>
  <c r="G311" i="1"/>
  <c r="A311" i="1"/>
  <c r="A304" i="1"/>
  <c r="A316" i="1"/>
  <c r="A328" i="1"/>
  <c r="AZ305" i="1"/>
  <c r="AZ312" i="1"/>
  <c r="AY313" i="1"/>
  <c r="AY314" i="1"/>
  <c r="AX308" i="1"/>
  <c r="AW308" i="1"/>
  <c r="AP307" i="1"/>
  <c r="AO313" i="1"/>
  <c r="AO314" i="1"/>
  <c r="AN313" i="1"/>
  <c r="AN314" i="1"/>
  <c r="AM308" i="1"/>
  <c r="AJ313" i="1"/>
  <c r="AJ314" i="1"/>
  <c r="AE305" i="1"/>
  <c r="AE312" i="1"/>
  <c r="AD307" i="1"/>
  <c r="AC308" i="1"/>
  <c r="AA313" i="1"/>
  <c r="AA314" i="1"/>
  <c r="Z313" i="1"/>
  <c r="Z314" i="1"/>
  <c r="V313" i="1"/>
  <c r="V314" i="1"/>
  <c r="U308" i="1"/>
  <c r="S308" i="1"/>
  <c r="Q313" i="1"/>
  <c r="Q314" i="1"/>
  <c r="P313" i="1"/>
  <c r="P314" i="1"/>
  <c r="J307" i="1"/>
  <c r="K307" i="1"/>
  <c r="L307" i="1"/>
  <c r="L313" i="1"/>
  <c r="L314" i="1"/>
  <c r="K313" i="1"/>
  <c r="K314" i="1"/>
  <c r="J312" i="1"/>
  <c r="J313" i="1"/>
  <c r="J314" i="1"/>
  <c r="G308" i="1"/>
  <c r="H308" i="1"/>
  <c r="I308" i="1"/>
  <c r="AZ293" i="1"/>
  <c r="AZ300" i="1"/>
  <c r="AP293" i="1"/>
  <c r="AP300" i="1"/>
  <c r="AF293" i="1"/>
  <c r="AF300" i="1"/>
  <c r="V293" i="1"/>
  <c r="V300" i="1"/>
  <c r="J293" i="1"/>
  <c r="K293" i="1"/>
  <c r="L293" i="1"/>
  <c r="L300" i="1"/>
  <c r="BC292" i="1"/>
  <c r="BC299" i="1"/>
  <c r="BB292" i="1"/>
  <c r="BB299" i="1"/>
  <c r="BA292" i="1"/>
  <c r="BA299" i="1"/>
  <c r="AZ292" i="1"/>
  <c r="AZ299" i="1"/>
  <c r="AY292" i="1"/>
  <c r="AY299" i="1"/>
  <c r="AS292" i="1"/>
  <c r="AS299" i="1"/>
  <c r="AR292" i="1"/>
  <c r="AR299" i="1"/>
  <c r="AQ292" i="1"/>
  <c r="AQ299" i="1"/>
  <c r="AP292" i="1"/>
  <c r="AP299" i="1"/>
  <c r="AO292" i="1"/>
  <c r="AO299" i="1"/>
  <c r="AI292" i="1"/>
  <c r="AI299" i="1"/>
  <c r="AH292" i="1"/>
  <c r="AH299" i="1"/>
  <c r="AG292" i="1"/>
  <c r="AG299" i="1"/>
  <c r="AF292" i="1"/>
  <c r="AF299" i="1"/>
  <c r="AE292" i="1"/>
  <c r="AE299" i="1"/>
  <c r="Y292" i="1"/>
  <c r="Y299" i="1"/>
  <c r="X292" i="1"/>
  <c r="X299" i="1"/>
  <c r="W292" i="1"/>
  <c r="W299" i="1"/>
  <c r="V292" i="1"/>
  <c r="V299" i="1"/>
  <c r="U292" i="1"/>
  <c r="U299" i="1"/>
  <c r="O292" i="1"/>
  <c r="O299" i="1"/>
  <c r="N292" i="1"/>
  <c r="N299" i="1"/>
  <c r="J292" i="1"/>
  <c r="K292" i="1"/>
  <c r="L292" i="1"/>
  <c r="M292" i="1"/>
  <c r="M299" i="1"/>
  <c r="L299" i="1"/>
  <c r="K299" i="1"/>
  <c r="BA296" i="1"/>
  <c r="AZ296" i="1"/>
  <c r="AY296" i="1"/>
  <c r="AX296" i="1"/>
  <c r="AW296" i="1"/>
  <c r="AV296" i="1"/>
  <c r="AQ296" i="1"/>
  <c r="AP296" i="1"/>
  <c r="AO296" i="1"/>
  <c r="AN296" i="1"/>
  <c r="AM296" i="1"/>
  <c r="AL296" i="1"/>
  <c r="AG296" i="1"/>
  <c r="AF296" i="1"/>
  <c r="AE296" i="1"/>
  <c r="AD296" i="1"/>
  <c r="AC296" i="1"/>
  <c r="AB296" i="1"/>
  <c r="W296" i="1"/>
  <c r="V296" i="1"/>
  <c r="U296" i="1"/>
  <c r="T296" i="1"/>
  <c r="S296" i="1"/>
  <c r="R296" i="1"/>
  <c r="J296" i="1"/>
  <c r="K296" i="1"/>
  <c r="L296" i="1"/>
  <c r="M296" i="1"/>
  <c r="G296" i="1"/>
  <c r="H296" i="1"/>
  <c r="I296" i="1"/>
  <c r="AZ295" i="1"/>
  <c r="AY295" i="1"/>
  <c r="AX295" i="1"/>
  <c r="AV295" i="1"/>
  <c r="AU295" i="1"/>
  <c r="AP295" i="1"/>
  <c r="AO295" i="1"/>
  <c r="AN295" i="1"/>
  <c r="AL295" i="1"/>
  <c r="AK295" i="1"/>
  <c r="AF295" i="1"/>
  <c r="AE295" i="1"/>
  <c r="AD295" i="1"/>
  <c r="AB295" i="1"/>
  <c r="AA295" i="1"/>
  <c r="V295" i="1"/>
  <c r="U295" i="1"/>
  <c r="T295" i="1"/>
  <c r="R295" i="1"/>
  <c r="Q295" i="1"/>
  <c r="J295" i="1"/>
  <c r="K295" i="1"/>
  <c r="L295" i="1"/>
  <c r="G295" i="1"/>
  <c r="H295" i="1"/>
  <c r="AY293" i="1"/>
  <c r="AY300" i="1"/>
  <c r="AX293" i="1"/>
  <c r="AX300" i="1"/>
  <c r="AV293" i="1"/>
  <c r="AV300" i="1"/>
  <c r="AU293" i="1"/>
  <c r="AU300" i="1"/>
  <c r="AO293" i="1"/>
  <c r="AO300" i="1"/>
  <c r="AN293" i="1"/>
  <c r="AN300" i="1"/>
  <c r="AL293" i="1"/>
  <c r="AL300" i="1"/>
  <c r="AK293" i="1"/>
  <c r="AK300" i="1"/>
  <c r="AE293" i="1"/>
  <c r="AE300" i="1"/>
  <c r="AD293" i="1"/>
  <c r="AD300" i="1"/>
  <c r="AB293" i="1"/>
  <c r="AB300" i="1"/>
  <c r="AA293" i="1"/>
  <c r="AA300" i="1"/>
  <c r="U293" i="1"/>
  <c r="U300" i="1"/>
  <c r="T293" i="1"/>
  <c r="T300" i="1"/>
  <c r="R293" i="1"/>
  <c r="R300" i="1"/>
  <c r="Q293" i="1"/>
  <c r="Q300" i="1"/>
  <c r="K300" i="1"/>
  <c r="J300" i="1"/>
  <c r="G293" i="1"/>
  <c r="H293" i="1"/>
  <c r="H300" i="1"/>
  <c r="G300" i="1"/>
  <c r="AX292" i="1"/>
  <c r="AX299" i="1"/>
  <c r="AW292" i="1"/>
  <c r="AW299" i="1"/>
  <c r="AV292" i="1"/>
  <c r="AV299" i="1"/>
  <c r="AU292" i="1"/>
  <c r="AU299" i="1"/>
  <c r="AT292" i="1"/>
  <c r="AT299" i="1"/>
  <c r="AN292" i="1"/>
  <c r="AN299" i="1"/>
  <c r="AM292" i="1"/>
  <c r="AM299" i="1"/>
  <c r="AL292" i="1"/>
  <c r="AL299" i="1"/>
  <c r="AK292" i="1"/>
  <c r="AK299" i="1"/>
  <c r="AJ292" i="1"/>
  <c r="AJ299" i="1"/>
  <c r="AD292" i="1"/>
  <c r="AD299" i="1"/>
  <c r="AC292" i="1"/>
  <c r="AC299" i="1"/>
  <c r="AB292" i="1"/>
  <c r="AB299" i="1"/>
  <c r="AA292" i="1"/>
  <c r="AA299" i="1"/>
  <c r="Z292" i="1"/>
  <c r="Z299" i="1"/>
  <c r="T292" i="1"/>
  <c r="T299" i="1"/>
  <c r="S292" i="1"/>
  <c r="S299" i="1"/>
  <c r="R292" i="1"/>
  <c r="R299" i="1"/>
  <c r="Q292" i="1"/>
  <c r="Q299" i="1"/>
  <c r="P292" i="1"/>
  <c r="P299" i="1"/>
  <c r="J299" i="1"/>
  <c r="G292" i="1"/>
  <c r="H292" i="1"/>
  <c r="I299" i="1"/>
  <c r="H299" i="1"/>
  <c r="G299" i="1"/>
  <c r="BC295" i="1"/>
  <c r="BB295" i="1"/>
  <c r="BA301" i="1"/>
  <c r="BA302" i="1"/>
  <c r="AY301" i="1"/>
  <c r="AY302" i="1"/>
  <c r="AT296" i="1"/>
  <c r="AS295" i="1"/>
  <c r="AR295" i="1"/>
  <c r="AQ301" i="1"/>
  <c r="AQ302" i="1"/>
  <c r="AO301" i="1"/>
  <c r="AO302" i="1"/>
  <c r="AJ296" i="1"/>
  <c r="AI295" i="1"/>
  <c r="AH295" i="1"/>
  <c r="AG301" i="1"/>
  <c r="AG302" i="1"/>
  <c r="AE301" i="1"/>
  <c r="AE302" i="1"/>
  <c r="Z296" i="1"/>
  <c r="Y295" i="1"/>
  <c r="X295" i="1"/>
  <c r="W301" i="1"/>
  <c r="W302" i="1"/>
  <c r="U301" i="1"/>
  <c r="U302" i="1"/>
  <c r="P296" i="1"/>
  <c r="O295" i="1"/>
  <c r="N295" i="1"/>
  <c r="M293" i="1"/>
  <c r="M300" i="1"/>
  <c r="M295" i="1"/>
  <c r="M301" i="1"/>
  <c r="M302" i="1"/>
  <c r="K301" i="1"/>
  <c r="K302" i="1"/>
  <c r="AL289" i="1"/>
  <c r="AL290" i="1"/>
  <c r="AB289" i="1"/>
  <c r="AB290" i="1"/>
  <c r="G281" i="1"/>
  <c r="H281" i="1"/>
  <c r="H288" i="1"/>
  <c r="H283" i="1"/>
  <c r="H289" i="1"/>
  <c r="H290" i="1"/>
  <c r="BB289" i="1"/>
  <c r="BB290" i="1"/>
  <c r="AX289" i="1"/>
  <c r="AX290" i="1"/>
  <c r="AW289" i="1"/>
  <c r="AW290" i="1"/>
  <c r="AR289" i="1"/>
  <c r="AR290" i="1"/>
  <c r="AM289" i="1"/>
  <c r="AM290" i="1"/>
  <c r="AH289" i="1"/>
  <c r="AH290" i="1"/>
  <c r="X289" i="1"/>
  <c r="X290" i="1"/>
  <c r="T289" i="1"/>
  <c r="T290" i="1"/>
  <c r="S289" i="1"/>
  <c r="S290" i="1"/>
  <c r="N289" i="1"/>
  <c r="N290" i="1"/>
  <c r="J281" i="1"/>
  <c r="J288" i="1"/>
  <c r="J283" i="1"/>
  <c r="J289" i="1"/>
  <c r="J290" i="1"/>
  <c r="I288" i="1"/>
  <c r="I283" i="1"/>
  <c r="I289" i="1"/>
  <c r="I290" i="1"/>
  <c r="AT281" i="1"/>
  <c r="AT288" i="1"/>
  <c r="AJ281" i="1"/>
  <c r="AJ288" i="1"/>
  <c r="AB281" i="1"/>
  <c r="AB288" i="1"/>
  <c r="X281" i="1"/>
  <c r="X288" i="1"/>
  <c r="AT280" i="1"/>
  <c r="AT287" i="1"/>
  <c r="AO280" i="1"/>
  <c r="AO287" i="1"/>
  <c r="AN280" i="1"/>
  <c r="AN287" i="1"/>
  <c r="AM280" i="1"/>
  <c r="AM287" i="1"/>
  <c r="AJ280" i="1"/>
  <c r="AJ287" i="1"/>
  <c r="AE280" i="1"/>
  <c r="AE287" i="1"/>
  <c r="AD280" i="1"/>
  <c r="AD287" i="1"/>
  <c r="AC280" i="1"/>
  <c r="AC287" i="1"/>
  <c r="Z280" i="1"/>
  <c r="Z287" i="1"/>
  <c r="S280" i="1"/>
  <c r="S287" i="1"/>
  <c r="R280" i="1"/>
  <c r="R287" i="1"/>
  <c r="Q280" i="1"/>
  <c r="Q287" i="1"/>
  <c r="P280" i="1"/>
  <c r="P287" i="1"/>
  <c r="J280" i="1"/>
  <c r="K280" i="1"/>
  <c r="K287" i="1"/>
  <c r="J287" i="1"/>
  <c r="BB284" i="1"/>
  <c r="AX284" i="1"/>
  <c r="AV284" i="1"/>
  <c r="AT284" i="1"/>
  <c r="AR284" i="1"/>
  <c r="AL284" i="1"/>
  <c r="AK284" i="1"/>
  <c r="AJ284" i="1"/>
  <c r="AH284" i="1"/>
  <c r="Z284" i="1"/>
  <c r="X284" i="1"/>
  <c r="T284" i="1"/>
  <c r="R284" i="1"/>
  <c r="P284" i="1"/>
  <c r="N284" i="1"/>
  <c r="J284" i="1"/>
  <c r="H284" i="1"/>
  <c r="BB283" i="1"/>
  <c r="AX283" i="1"/>
  <c r="AV283" i="1"/>
  <c r="AT283" i="1"/>
  <c r="AR283" i="1"/>
  <c r="AJ283" i="1"/>
  <c r="AH283" i="1"/>
  <c r="AE283" i="1"/>
  <c r="AD283" i="1"/>
  <c r="Z283" i="1"/>
  <c r="X283" i="1"/>
  <c r="T283" i="1"/>
  <c r="R283" i="1"/>
  <c r="P283" i="1"/>
  <c r="N283" i="1"/>
  <c r="BB281" i="1"/>
  <c r="BB288" i="1"/>
  <c r="AV281" i="1"/>
  <c r="AV288" i="1"/>
  <c r="AR281" i="1"/>
  <c r="AR288" i="1"/>
  <c r="AN281" i="1"/>
  <c r="AN288" i="1"/>
  <c r="AH281" i="1"/>
  <c r="AH288" i="1"/>
  <c r="AG281" i="1"/>
  <c r="AG288" i="1"/>
  <c r="AD281" i="1"/>
  <c r="AD288" i="1"/>
  <c r="AC281" i="1"/>
  <c r="AC288" i="1"/>
  <c r="Z281" i="1"/>
  <c r="Z288" i="1"/>
  <c r="T281" i="1"/>
  <c r="T288" i="1"/>
  <c r="S281" i="1"/>
  <c r="S288" i="1"/>
  <c r="R281" i="1"/>
  <c r="R288" i="1"/>
  <c r="P281" i="1"/>
  <c r="P288" i="1"/>
  <c r="N281" i="1"/>
  <c r="N288" i="1"/>
  <c r="BC280" i="1"/>
  <c r="BC287" i="1"/>
  <c r="BB280" i="1"/>
  <c r="BB287" i="1"/>
  <c r="BA280" i="1"/>
  <c r="BA287" i="1"/>
  <c r="AZ280" i="1"/>
  <c r="AZ287" i="1"/>
  <c r="AY280" i="1"/>
  <c r="AY287" i="1"/>
  <c r="AX280" i="1"/>
  <c r="AX287" i="1"/>
  <c r="AW280" i="1"/>
  <c r="AW287" i="1"/>
  <c r="AV280" i="1"/>
  <c r="AV287" i="1"/>
  <c r="AU280" i="1"/>
  <c r="AU287" i="1"/>
  <c r="AS280" i="1"/>
  <c r="AS287" i="1"/>
  <c r="AR280" i="1"/>
  <c r="AR287" i="1"/>
  <c r="AQ280" i="1"/>
  <c r="AQ287" i="1"/>
  <c r="AP280" i="1"/>
  <c r="AP287" i="1"/>
  <c r="AL280" i="1"/>
  <c r="AL287" i="1"/>
  <c r="AK280" i="1"/>
  <c r="AK287" i="1"/>
  <c r="AI280" i="1"/>
  <c r="AI287" i="1"/>
  <c r="AH280" i="1"/>
  <c r="AH287" i="1"/>
  <c r="AG280" i="1"/>
  <c r="AG287" i="1"/>
  <c r="AF280" i="1"/>
  <c r="AF287" i="1"/>
  <c r="AB280" i="1"/>
  <c r="AB287" i="1"/>
  <c r="AA280" i="1"/>
  <c r="AA287" i="1"/>
  <c r="Y280" i="1"/>
  <c r="Y287" i="1"/>
  <c r="X280" i="1"/>
  <c r="X287" i="1"/>
  <c r="W280" i="1"/>
  <c r="W287" i="1"/>
  <c r="V280" i="1"/>
  <c r="V287" i="1"/>
  <c r="U280" i="1"/>
  <c r="U287" i="1"/>
  <c r="T280" i="1"/>
  <c r="T287" i="1"/>
  <c r="O280" i="1"/>
  <c r="O287" i="1"/>
  <c r="N280" i="1"/>
  <c r="N287" i="1"/>
  <c r="L280" i="1"/>
  <c r="M280" i="1"/>
  <c r="M287" i="1"/>
  <c r="L287" i="1"/>
  <c r="G280" i="1"/>
  <c r="H280" i="1"/>
  <c r="I287" i="1"/>
  <c r="H287" i="1"/>
  <c r="G287" i="1"/>
  <c r="BC283" i="1"/>
  <c r="AZ283" i="1"/>
  <c r="AW281" i="1"/>
  <c r="AW288" i="1"/>
  <c r="AV289" i="1"/>
  <c r="AV290" i="1"/>
  <c r="AT289" i="1"/>
  <c r="AT290" i="1"/>
  <c r="AN283" i="1"/>
  <c r="AJ289" i="1"/>
  <c r="AJ290" i="1"/>
  <c r="AI283" i="1"/>
  <c r="AG283" i="1"/>
  <c r="AF284" i="1"/>
  <c r="AD284" i="1"/>
  <c r="AC289" i="1"/>
  <c r="AC290" i="1"/>
  <c r="Z289" i="1"/>
  <c r="Z290" i="1"/>
  <c r="W289" i="1"/>
  <c r="W290" i="1"/>
  <c r="U289" i="1"/>
  <c r="U290" i="1"/>
  <c r="R289" i="1"/>
  <c r="R290" i="1"/>
  <c r="P289" i="1"/>
  <c r="P290" i="1"/>
  <c r="AV277" i="1"/>
  <c r="AV278" i="1"/>
  <c r="AL277" i="1"/>
  <c r="AL278" i="1"/>
  <c r="AB277" i="1"/>
  <c r="AB278" i="1"/>
  <c r="Z277" i="1"/>
  <c r="Z278" i="1"/>
  <c r="R277" i="1"/>
  <c r="R278" i="1"/>
  <c r="BA277" i="1"/>
  <c r="BA278" i="1"/>
  <c r="AZ277" i="1"/>
  <c r="AZ278" i="1"/>
  <c r="AR277" i="1"/>
  <c r="AR278" i="1"/>
  <c r="AQ277" i="1"/>
  <c r="AQ278" i="1"/>
  <c r="AP277" i="1"/>
  <c r="AP278" i="1"/>
  <c r="AN277" i="1"/>
  <c r="AN278" i="1"/>
  <c r="AM277" i="1"/>
  <c r="AM278" i="1"/>
  <c r="AG277" i="1"/>
  <c r="AG278" i="1"/>
  <c r="AF277" i="1"/>
  <c r="AF278" i="1"/>
  <c r="AD277" i="1"/>
  <c r="AD278" i="1"/>
  <c r="AC277" i="1"/>
  <c r="AC278" i="1"/>
  <c r="Y277" i="1"/>
  <c r="Y278" i="1"/>
  <c r="T277" i="1"/>
  <c r="T278" i="1"/>
  <c r="S277" i="1"/>
  <c r="S278" i="1"/>
  <c r="N277" i="1"/>
  <c r="N278" i="1"/>
  <c r="J269" i="1"/>
  <c r="K269" i="1"/>
  <c r="L269" i="1"/>
  <c r="M269" i="1"/>
  <c r="M276" i="1"/>
  <c r="J271" i="1"/>
  <c r="K271" i="1"/>
  <c r="L271" i="1"/>
  <c r="M271" i="1"/>
  <c r="M277" i="1"/>
  <c r="M278" i="1"/>
  <c r="G269" i="1"/>
  <c r="H269" i="1"/>
  <c r="I276" i="1"/>
  <c r="G271" i="1"/>
  <c r="H271" i="1"/>
  <c r="I271" i="1"/>
  <c r="I277" i="1"/>
  <c r="I278" i="1"/>
  <c r="AR269" i="1"/>
  <c r="AR276" i="1"/>
  <c r="AJ269" i="1"/>
  <c r="AJ276" i="1"/>
  <c r="J276" i="1"/>
  <c r="BA268" i="1"/>
  <c r="BA275" i="1"/>
  <c r="AY268" i="1"/>
  <c r="AY275" i="1"/>
  <c r="AX268" i="1"/>
  <c r="AX275" i="1"/>
  <c r="AW268" i="1"/>
  <c r="AW275" i="1"/>
  <c r="AV268" i="1"/>
  <c r="AV275" i="1"/>
  <c r="AT268" i="1"/>
  <c r="AT275" i="1"/>
  <c r="AN268" i="1"/>
  <c r="AN275" i="1"/>
  <c r="AM268" i="1"/>
  <c r="AM275" i="1"/>
  <c r="AL268" i="1"/>
  <c r="AL275" i="1"/>
  <c r="AK268" i="1"/>
  <c r="AK275" i="1"/>
  <c r="AJ268" i="1"/>
  <c r="AJ275" i="1"/>
  <c r="AI268" i="1"/>
  <c r="AI275" i="1"/>
  <c r="AG268" i="1"/>
  <c r="AG275" i="1"/>
  <c r="AB268" i="1"/>
  <c r="AB275" i="1"/>
  <c r="Z268" i="1"/>
  <c r="Z275" i="1"/>
  <c r="U268" i="1"/>
  <c r="U275" i="1"/>
  <c r="T268" i="1"/>
  <c r="T275" i="1"/>
  <c r="R268" i="1"/>
  <c r="R275" i="1"/>
  <c r="P268" i="1"/>
  <c r="P275" i="1"/>
  <c r="O268" i="1"/>
  <c r="O275" i="1"/>
  <c r="J268" i="1"/>
  <c r="K268" i="1"/>
  <c r="L268" i="1"/>
  <c r="M268" i="1"/>
  <c r="M275" i="1"/>
  <c r="K275" i="1"/>
  <c r="J275" i="1"/>
  <c r="G268" i="1"/>
  <c r="G275" i="1"/>
  <c r="H268" i="1"/>
  <c r="H275" i="1"/>
  <c r="I275" i="1"/>
  <c r="L275" i="1"/>
  <c r="N268" i="1"/>
  <c r="N275" i="1"/>
  <c r="Q268" i="1"/>
  <c r="Q275" i="1"/>
  <c r="S268" i="1"/>
  <c r="S275" i="1"/>
  <c r="V268" i="1"/>
  <c r="V275" i="1"/>
  <c r="W268" i="1"/>
  <c r="W275" i="1"/>
  <c r="X268" i="1"/>
  <c r="X275" i="1"/>
  <c r="Y268" i="1"/>
  <c r="Y275" i="1"/>
  <c r="AA268" i="1"/>
  <c r="AA275" i="1"/>
  <c r="AC268" i="1"/>
  <c r="AC275" i="1"/>
  <c r="AD268" i="1"/>
  <c r="AD275" i="1"/>
  <c r="AE268" i="1"/>
  <c r="AE275" i="1"/>
  <c r="AF268" i="1"/>
  <c r="AF275" i="1"/>
  <c r="AH268" i="1"/>
  <c r="AH275" i="1"/>
  <c r="AO268" i="1"/>
  <c r="AO275" i="1"/>
  <c r="AP268" i="1"/>
  <c r="AP275" i="1"/>
  <c r="AQ268" i="1"/>
  <c r="AQ275" i="1"/>
  <c r="AR268" i="1"/>
  <c r="AR275" i="1"/>
  <c r="AS268" i="1"/>
  <c r="AS275" i="1"/>
  <c r="A275" i="1"/>
  <c r="AX272" i="1"/>
  <c r="AV272" i="1"/>
  <c r="AT272" i="1"/>
  <c r="AR272" i="1"/>
  <c r="AQ272" i="1"/>
  <c r="AL272" i="1"/>
  <c r="AJ272" i="1"/>
  <c r="AH272" i="1"/>
  <c r="AG272" i="1"/>
  <c r="AF272" i="1"/>
  <c r="AD272" i="1"/>
  <c r="AB272" i="1"/>
  <c r="Z272" i="1"/>
  <c r="Y272" i="1"/>
  <c r="T272" i="1"/>
  <c r="R272" i="1"/>
  <c r="P272" i="1"/>
  <c r="J272" i="1"/>
  <c r="K272" i="1"/>
  <c r="L272" i="1"/>
  <c r="M272" i="1"/>
  <c r="G272" i="1"/>
  <c r="H272" i="1"/>
  <c r="BB271" i="1"/>
  <c r="AW271" i="1"/>
  <c r="AT271" i="1"/>
  <c r="AQ271" i="1"/>
  <c r="AP271" i="1"/>
  <c r="AJ271" i="1"/>
  <c r="AH271" i="1"/>
  <c r="AG271" i="1"/>
  <c r="AF271" i="1"/>
  <c r="AC271" i="1"/>
  <c r="Z271" i="1"/>
  <c r="X271" i="1"/>
  <c r="W271" i="1"/>
  <c r="S271" i="1"/>
  <c r="P271" i="1"/>
  <c r="AV269" i="1"/>
  <c r="AV276" i="1"/>
  <c r="AT269" i="1"/>
  <c r="AT276" i="1"/>
  <c r="AQ269" i="1"/>
  <c r="AQ276" i="1"/>
  <c r="AP269" i="1"/>
  <c r="AP276" i="1"/>
  <c r="AO269" i="1"/>
  <c r="AO276" i="1"/>
  <c r="AL269" i="1"/>
  <c r="AL276" i="1"/>
  <c r="AH269" i="1"/>
  <c r="AH276" i="1"/>
  <c r="AG269" i="1"/>
  <c r="AG276" i="1"/>
  <c r="AF269" i="1"/>
  <c r="AF276" i="1"/>
  <c r="AD269" i="1"/>
  <c r="AD276" i="1"/>
  <c r="AB269" i="1"/>
  <c r="AB276" i="1"/>
  <c r="Z269" i="1"/>
  <c r="Z276" i="1"/>
  <c r="W269" i="1"/>
  <c r="W276" i="1"/>
  <c r="T269" i="1"/>
  <c r="T276" i="1"/>
  <c r="R269" i="1"/>
  <c r="R276" i="1"/>
  <c r="P269" i="1"/>
  <c r="P276" i="1"/>
  <c r="H276" i="1"/>
  <c r="BC268" i="1"/>
  <c r="BC275" i="1"/>
  <c r="BB268" i="1"/>
  <c r="BB275" i="1"/>
  <c r="AZ268" i="1"/>
  <c r="AZ275" i="1"/>
  <c r="AU268" i="1"/>
  <c r="AU275" i="1"/>
  <c r="BB272" i="1"/>
  <c r="BA269" i="1"/>
  <c r="BA276" i="1"/>
  <c r="AY277" i="1"/>
  <c r="AY278" i="1"/>
  <c r="AX271" i="1"/>
  <c r="AT277" i="1"/>
  <c r="AT278" i="1"/>
  <c r="AR271" i="1"/>
  <c r="AP272" i="1"/>
  <c r="AN271" i="1"/>
  <c r="AJ277" i="1"/>
  <c r="AJ278" i="1"/>
  <c r="AE272" i="1"/>
  <c r="AD271" i="1"/>
  <c r="AA277" i="1"/>
  <c r="AA278" i="1"/>
  <c r="T271" i="1"/>
  <c r="P277" i="1"/>
  <c r="P278" i="1"/>
  <c r="H277" i="1"/>
  <c r="H278" i="1"/>
  <c r="G276" i="1"/>
  <c r="G277" i="1"/>
  <c r="G278" i="1"/>
  <c r="BA265" i="1"/>
  <c r="BA266" i="1"/>
  <c r="AZ265" i="1"/>
  <c r="AZ266" i="1"/>
  <c r="AR265" i="1"/>
  <c r="AR266" i="1"/>
  <c r="AH265" i="1"/>
  <c r="AH266" i="1"/>
  <c r="AG265" i="1"/>
  <c r="AG266" i="1"/>
  <c r="X265" i="1"/>
  <c r="X266" i="1"/>
  <c r="W265" i="1"/>
  <c r="W266" i="1"/>
  <c r="V265" i="1"/>
  <c r="V266" i="1"/>
  <c r="BC256" i="1"/>
  <c r="BC263" i="1"/>
  <c r="AT256" i="1"/>
  <c r="AT263" i="1"/>
  <c r="AR256" i="1"/>
  <c r="AR263" i="1"/>
  <c r="AH256" i="1"/>
  <c r="AH263" i="1"/>
  <c r="Z256" i="1"/>
  <c r="Z263" i="1"/>
  <c r="P256" i="1"/>
  <c r="P263" i="1"/>
  <c r="O256" i="1"/>
  <c r="O263" i="1"/>
  <c r="BB260" i="1"/>
  <c r="AZ260" i="1"/>
  <c r="AS260" i="1"/>
  <c r="AR260" i="1"/>
  <c r="AQ260" i="1"/>
  <c r="AP260" i="1"/>
  <c r="AJ260" i="1"/>
  <c r="AF260" i="1"/>
  <c r="Z260" i="1"/>
  <c r="Y260" i="1"/>
  <c r="W260" i="1"/>
  <c r="P260" i="1"/>
  <c r="N260" i="1"/>
  <c r="J260" i="1"/>
  <c r="K260" i="1"/>
  <c r="L260" i="1"/>
  <c r="M260" i="1"/>
  <c r="BA259" i="1"/>
  <c r="AZ259" i="1"/>
  <c r="AS259" i="1"/>
  <c r="AJ259" i="1"/>
  <c r="AH259" i="1"/>
  <c r="Z259" i="1"/>
  <c r="Y259" i="1"/>
  <c r="X259" i="1"/>
  <c r="W259" i="1"/>
  <c r="P259" i="1"/>
  <c r="O259" i="1"/>
  <c r="N259" i="1"/>
  <c r="J259" i="1"/>
  <c r="K259" i="1"/>
  <c r="L259" i="1"/>
  <c r="BC257" i="1"/>
  <c r="BC264" i="1"/>
  <c r="BB257" i="1"/>
  <c r="BB264" i="1"/>
  <c r="BA257" i="1"/>
  <c r="BA264" i="1"/>
  <c r="AZ257" i="1"/>
  <c r="AZ264" i="1"/>
  <c r="AS257" i="1"/>
  <c r="AS264" i="1"/>
  <c r="AR257" i="1"/>
  <c r="AR264" i="1"/>
  <c r="AQ257" i="1"/>
  <c r="AQ264" i="1"/>
  <c r="AP257" i="1"/>
  <c r="AP264" i="1"/>
  <c r="AH257" i="1"/>
  <c r="AH264" i="1"/>
  <c r="AG257" i="1"/>
  <c r="AG264" i="1"/>
  <c r="AF257" i="1"/>
  <c r="AF264" i="1"/>
  <c r="W257" i="1"/>
  <c r="W264" i="1"/>
  <c r="V257" i="1"/>
  <c r="V264" i="1"/>
  <c r="Q257" i="1"/>
  <c r="Q264" i="1"/>
  <c r="J257" i="1"/>
  <c r="K257" i="1"/>
  <c r="L257" i="1"/>
  <c r="L264" i="1"/>
  <c r="BB256" i="1"/>
  <c r="BB263" i="1"/>
  <c r="BA256" i="1"/>
  <c r="BA263" i="1"/>
  <c r="AZ256" i="1"/>
  <c r="AZ263" i="1"/>
  <c r="AY256" i="1"/>
  <c r="AY263" i="1"/>
  <c r="AX256" i="1"/>
  <c r="AX263" i="1"/>
  <c r="AW256" i="1"/>
  <c r="AW263" i="1"/>
  <c r="AV256" i="1"/>
  <c r="AV263" i="1"/>
  <c r="AU256" i="1"/>
  <c r="AU263" i="1"/>
  <c r="AS256" i="1"/>
  <c r="AS263" i="1"/>
  <c r="AQ256" i="1"/>
  <c r="AQ263" i="1"/>
  <c r="AP256" i="1"/>
  <c r="AP263" i="1"/>
  <c r="AO256" i="1"/>
  <c r="AO263" i="1"/>
  <c r="AN256" i="1"/>
  <c r="AN263" i="1"/>
  <c r="AM256" i="1"/>
  <c r="AM263" i="1"/>
  <c r="AL256" i="1"/>
  <c r="AL263" i="1"/>
  <c r="AK256" i="1"/>
  <c r="AK263" i="1"/>
  <c r="AJ256" i="1"/>
  <c r="AJ263" i="1"/>
  <c r="AI256" i="1"/>
  <c r="AI263" i="1"/>
  <c r="AG256" i="1"/>
  <c r="AG263" i="1"/>
  <c r="AF256" i="1"/>
  <c r="AF263" i="1"/>
  <c r="AE256" i="1"/>
  <c r="AE263" i="1"/>
  <c r="AD256" i="1"/>
  <c r="AD263" i="1"/>
  <c r="AC256" i="1"/>
  <c r="AC263" i="1"/>
  <c r="AB256" i="1"/>
  <c r="AB263" i="1"/>
  <c r="AA256" i="1"/>
  <c r="AA263" i="1"/>
  <c r="Y256" i="1"/>
  <c r="Y263" i="1"/>
  <c r="X256" i="1"/>
  <c r="X263" i="1"/>
  <c r="W256" i="1"/>
  <c r="W263" i="1"/>
  <c r="V256" i="1"/>
  <c r="V263" i="1"/>
  <c r="U256" i="1"/>
  <c r="U263" i="1"/>
  <c r="T256" i="1"/>
  <c r="T263" i="1"/>
  <c r="S256" i="1"/>
  <c r="S263" i="1"/>
  <c r="R256" i="1"/>
  <c r="R263" i="1"/>
  <c r="Q256" i="1"/>
  <c r="Q263" i="1"/>
  <c r="N256" i="1"/>
  <c r="N263" i="1"/>
  <c r="J256" i="1"/>
  <c r="K256" i="1"/>
  <c r="L256" i="1"/>
  <c r="M256" i="1"/>
  <c r="M263" i="1"/>
  <c r="L263" i="1"/>
  <c r="K263" i="1"/>
  <c r="J263" i="1"/>
  <c r="G256" i="1"/>
  <c r="H256" i="1"/>
  <c r="I256" i="1"/>
  <c r="I263" i="1"/>
  <c r="H263" i="1"/>
  <c r="G263" i="1"/>
  <c r="A256" i="1"/>
  <c r="A268" i="1"/>
  <c r="A280" i="1"/>
  <c r="BA260" i="1"/>
  <c r="AX257" i="1"/>
  <c r="AX264" i="1"/>
  <c r="AQ265" i="1"/>
  <c r="AQ266" i="1"/>
  <c r="AP265" i="1"/>
  <c r="AP266" i="1"/>
  <c r="AO260" i="1"/>
  <c r="AE257" i="1"/>
  <c r="AE264" i="1"/>
  <c r="AB257" i="1"/>
  <c r="AB264" i="1"/>
  <c r="V260" i="1"/>
  <c r="M257" i="1"/>
  <c r="M264" i="1"/>
  <c r="M259" i="1"/>
  <c r="M265" i="1"/>
  <c r="M266" i="1"/>
  <c r="L265" i="1"/>
  <c r="L266" i="1"/>
  <c r="K264" i="1"/>
  <c r="G257" i="1"/>
  <c r="H257" i="1"/>
  <c r="I257" i="1"/>
  <c r="I264" i="1"/>
  <c r="AU253" i="1"/>
  <c r="AU254" i="1"/>
  <c r="AK253" i="1"/>
  <c r="AK254" i="1"/>
  <c r="AA253" i="1"/>
  <c r="AA254" i="1"/>
  <c r="Q253" i="1"/>
  <c r="Q254" i="1"/>
  <c r="AI245" i="1"/>
  <c r="AI252" i="1"/>
  <c r="AH245" i="1"/>
  <c r="AH252" i="1"/>
  <c r="BC244" i="1"/>
  <c r="BC251" i="1"/>
  <c r="AV244" i="1"/>
  <c r="AV251" i="1"/>
  <c r="AU244" i="1"/>
  <c r="AU251" i="1"/>
  <c r="AT244" i="1"/>
  <c r="AT251" i="1"/>
  <c r="AS244" i="1"/>
  <c r="AS251" i="1"/>
  <c r="AM244" i="1"/>
  <c r="AM251" i="1"/>
  <c r="AL244" i="1"/>
  <c r="AL251" i="1"/>
  <c r="AK244" i="1"/>
  <c r="AK251" i="1"/>
  <c r="AJ244" i="1"/>
  <c r="AJ251" i="1"/>
  <c r="AI244" i="1"/>
  <c r="AI251" i="1"/>
  <c r="AB244" i="1"/>
  <c r="AB251" i="1"/>
  <c r="AA244" i="1"/>
  <c r="AA251" i="1"/>
  <c r="Z244" i="1"/>
  <c r="Z251" i="1"/>
  <c r="Y244" i="1"/>
  <c r="Y251" i="1"/>
  <c r="S244" i="1"/>
  <c r="S251" i="1"/>
  <c r="R244" i="1"/>
  <c r="R251" i="1"/>
  <c r="O244" i="1"/>
  <c r="O251" i="1"/>
  <c r="G244" i="1"/>
  <c r="H244" i="1"/>
  <c r="I244" i="1"/>
  <c r="I251" i="1"/>
  <c r="H251" i="1"/>
  <c r="G251" i="1"/>
  <c r="BC248" i="1"/>
  <c r="BB248" i="1"/>
  <c r="AT248" i="1"/>
  <c r="AS248" i="1"/>
  <c r="AR248" i="1"/>
  <c r="AH248" i="1"/>
  <c r="Z248" i="1"/>
  <c r="Y248" i="1"/>
  <c r="X248" i="1"/>
  <c r="P248" i="1"/>
  <c r="O248" i="1"/>
  <c r="N248" i="1"/>
  <c r="BC247" i="1"/>
  <c r="BB247" i="1"/>
  <c r="AS247" i="1"/>
  <c r="AR247" i="1"/>
  <c r="AH247" i="1"/>
  <c r="AA247" i="1"/>
  <c r="Y247" i="1"/>
  <c r="X247" i="1"/>
  <c r="Q247" i="1"/>
  <c r="O247" i="1"/>
  <c r="N247" i="1"/>
  <c r="G247" i="1"/>
  <c r="BC245" i="1"/>
  <c r="BC252" i="1"/>
  <c r="BB245" i="1"/>
  <c r="BB252" i="1"/>
  <c r="AR245" i="1"/>
  <c r="AR252" i="1"/>
  <c r="AK245" i="1"/>
  <c r="AK252" i="1"/>
  <c r="AA245" i="1"/>
  <c r="AA252" i="1"/>
  <c r="Y245" i="1"/>
  <c r="Y252" i="1"/>
  <c r="X245" i="1"/>
  <c r="X252" i="1"/>
  <c r="Q245" i="1"/>
  <c r="Q252" i="1"/>
  <c r="O245" i="1"/>
  <c r="O252" i="1"/>
  <c r="N245" i="1"/>
  <c r="N252" i="1"/>
  <c r="J245" i="1"/>
  <c r="K245" i="1"/>
  <c r="L245" i="1"/>
  <c r="L252" i="1"/>
  <c r="G245" i="1"/>
  <c r="G252" i="1"/>
  <c r="BB244" i="1"/>
  <c r="BB251" i="1"/>
  <c r="BA244" i="1"/>
  <c r="BA251" i="1"/>
  <c r="AZ244" i="1"/>
  <c r="AZ251" i="1"/>
  <c r="AY244" i="1"/>
  <c r="AY251" i="1"/>
  <c r="AX244" i="1"/>
  <c r="AX251" i="1"/>
  <c r="AW244" i="1"/>
  <c r="AW251" i="1"/>
  <c r="AR244" i="1"/>
  <c r="AR251" i="1"/>
  <c r="AQ244" i="1"/>
  <c r="AQ251" i="1"/>
  <c r="AP244" i="1"/>
  <c r="AP251" i="1"/>
  <c r="AO244" i="1"/>
  <c r="AO251" i="1"/>
  <c r="AN244" i="1"/>
  <c r="AN251" i="1"/>
  <c r="AH244" i="1"/>
  <c r="AH251" i="1"/>
  <c r="AG244" i="1"/>
  <c r="AG251" i="1"/>
  <c r="AF244" i="1"/>
  <c r="AF251" i="1"/>
  <c r="AE244" i="1"/>
  <c r="AE251" i="1"/>
  <c r="AD244" i="1"/>
  <c r="AD251" i="1"/>
  <c r="AC244" i="1"/>
  <c r="AC251" i="1"/>
  <c r="X244" i="1"/>
  <c r="X251" i="1"/>
  <c r="W244" i="1"/>
  <c r="W251" i="1"/>
  <c r="V244" i="1"/>
  <c r="V251" i="1"/>
  <c r="U244" i="1"/>
  <c r="U251" i="1"/>
  <c r="T244" i="1"/>
  <c r="T251" i="1"/>
  <c r="Q244" i="1"/>
  <c r="Q251" i="1"/>
  <c r="P244" i="1"/>
  <c r="P251" i="1"/>
  <c r="N244" i="1"/>
  <c r="N251" i="1"/>
  <c r="J244" i="1"/>
  <c r="K244" i="1"/>
  <c r="L244" i="1"/>
  <c r="M244" i="1"/>
  <c r="M251" i="1"/>
  <c r="L251" i="1"/>
  <c r="K251" i="1"/>
  <c r="J251" i="1"/>
  <c r="BB253" i="1"/>
  <c r="BB254" i="1"/>
  <c r="AZ247" i="1"/>
  <c r="AY248" i="1"/>
  <c r="AX247" i="1"/>
  <c r="AW248" i="1"/>
  <c r="AR253" i="1"/>
  <c r="AR254" i="1"/>
  <c r="AP245" i="1"/>
  <c r="AP252" i="1"/>
  <c r="AO248" i="1"/>
  <c r="AN247" i="1"/>
  <c r="AM248" i="1"/>
  <c r="AH253" i="1"/>
  <c r="AH254" i="1"/>
  <c r="AF245" i="1"/>
  <c r="AF252" i="1"/>
  <c r="AE248" i="1"/>
  <c r="AD247" i="1"/>
  <c r="AC248" i="1"/>
  <c r="X253" i="1"/>
  <c r="X254" i="1"/>
  <c r="V253" i="1"/>
  <c r="V254" i="1"/>
  <c r="U248" i="1"/>
  <c r="T248" i="1"/>
  <c r="S248" i="1"/>
  <c r="N253" i="1"/>
  <c r="N254" i="1"/>
  <c r="J248" i="1"/>
  <c r="K248" i="1"/>
  <c r="J247" i="1"/>
  <c r="G248" i="1"/>
  <c r="H248" i="1"/>
  <c r="I248" i="1"/>
  <c r="A232" i="1"/>
  <c r="A208" i="1"/>
  <c r="BC241" i="1"/>
  <c r="BC242" i="1"/>
  <c r="AS241" i="1"/>
  <c r="AS242" i="1"/>
  <c r="AQ241" i="1"/>
  <c r="AQ242" i="1"/>
  <c r="J233" i="1"/>
  <c r="K233" i="1"/>
  <c r="L233" i="1"/>
  <c r="M233" i="1"/>
  <c r="M240" i="1"/>
  <c r="J235" i="1"/>
  <c r="K235" i="1"/>
  <c r="L235" i="1"/>
  <c r="M235" i="1"/>
  <c r="M241" i="1"/>
  <c r="M242" i="1"/>
  <c r="AJ232" i="1"/>
  <c r="AJ239" i="1"/>
  <c r="Z232" i="1"/>
  <c r="Z239" i="1"/>
  <c r="R232" i="1"/>
  <c r="R239" i="1"/>
  <c r="BC236" i="1"/>
  <c r="Y236" i="1"/>
  <c r="W236" i="1"/>
  <c r="BC235" i="1"/>
  <c r="Y235" i="1"/>
  <c r="R235" i="1"/>
  <c r="BA233" i="1"/>
  <c r="BA240" i="1"/>
  <c r="AK233" i="1"/>
  <c r="AK240" i="1"/>
  <c r="AD233" i="1"/>
  <c r="AD240" i="1"/>
  <c r="W233" i="1"/>
  <c r="W240" i="1"/>
  <c r="K240" i="1"/>
  <c r="BC232" i="1"/>
  <c r="BC239" i="1"/>
  <c r="BB232" i="1"/>
  <c r="BB239" i="1"/>
  <c r="BA232" i="1"/>
  <c r="BA239" i="1"/>
  <c r="AZ232" i="1"/>
  <c r="AZ239" i="1"/>
  <c r="AY232" i="1"/>
  <c r="AY239" i="1"/>
  <c r="AX232" i="1"/>
  <c r="AX239" i="1"/>
  <c r="AW232" i="1"/>
  <c r="AW239" i="1"/>
  <c r="AV232" i="1"/>
  <c r="AV239" i="1"/>
  <c r="AU232" i="1"/>
  <c r="AU239" i="1"/>
  <c r="AT232" i="1"/>
  <c r="AT239" i="1"/>
  <c r="AS232" i="1"/>
  <c r="AS239" i="1"/>
  <c r="AR232" i="1"/>
  <c r="AR239" i="1"/>
  <c r="AQ232" i="1"/>
  <c r="AQ239" i="1"/>
  <c r="AP232" i="1"/>
  <c r="AP239" i="1"/>
  <c r="AO232" i="1"/>
  <c r="AO239" i="1"/>
  <c r="AN232" i="1"/>
  <c r="AN239" i="1"/>
  <c r="AM232" i="1"/>
  <c r="AM239" i="1"/>
  <c r="AL232" i="1"/>
  <c r="AL239" i="1"/>
  <c r="AK232" i="1"/>
  <c r="AK239" i="1"/>
  <c r="AI232" i="1"/>
  <c r="AI239" i="1"/>
  <c r="AH232" i="1"/>
  <c r="AH239" i="1"/>
  <c r="AG232" i="1"/>
  <c r="AG239" i="1"/>
  <c r="AF232" i="1"/>
  <c r="AF239" i="1"/>
  <c r="AE232" i="1"/>
  <c r="AE239" i="1"/>
  <c r="AD232" i="1"/>
  <c r="AD239" i="1"/>
  <c r="AC232" i="1"/>
  <c r="AC239" i="1"/>
  <c r="AB232" i="1"/>
  <c r="AB239" i="1"/>
  <c r="AA232" i="1"/>
  <c r="AA239" i="1"/>
  <c r="Y232" i="1"/>
  <c r="Y239" i="1"/>
  <c r="X232" i="1"/>
  <c r="X239" i="1"/>
  <c r="W232" i="1"/>
  <c r="W239" i="1"/>
  <c r="V232" i="1"/>
  <c r="V239" i="1"/>
  <c r="U232" i="1"/>
  <c r="U239" i="1"/>
  <c r="T232" i="1"/>
  <c r="T239" i="1"/>
  <c r="S232" i="1"/>
  <c r="S239" i="1"/>
  <c r="Q232" i="1"/>
  <c r="Q239" i="1"/>
  <c r="P232" i="1"/>
  <c r="P239" i="1"/>
  <c r="O232" i="1"/>
  <c r="O239" i="1"/>
  <c r="N232" i="1"/>
  <c r="N239" i="1"/>
  <c r="J232" i="1"/>
  <c r="K232" i="1"/>
  <c r="L232" i="1"/>
  <c r="M232" i="1"/>
  <c r="M239" i="1"/>
  <c r="L239" i="1"/>
  <c r="K239" i="1"/>
  <c r="J239" i="1"/>
  <c r="G232" i="1"/>
  <c r="H232" i="1"/>
  <c r="I239" i="1"/>
  <c r="H239" i="1"/>
  <c r="G239" i="1"/>
  <c r="AV241" i="1"/>
  <c r="AV242" i="1"/>
  <c r="AT233" i="1"/>
  <c r="AT240" i="1"/>
  <c r="AR236" i="1"/>
  <c r="AQ236" i="1"/>
  <c r="AL241" i="1"/>
  <c r="AL242" i="1"/>
  <c r="AJ236" i="1"/>
  <c r="AG241" i="1"/>
  <c r="AG242" i="1"/>
  <c r="AC233" i="1"/>
  <c r="AC240" i="1"/>
  <c r="AB241" i="1"/>
  <c r="AB242" i="1"/>
  <c r="Z233" i="1"/>
  <c r="Z240" i="1"/>
  <c r="X241" i="1"/>
  <c r="X242" i="1"/>
  <c r="R241" i="1"/>
  <c r="R242" i="1"/>
  <c r="P233" i="1"/>
  <c r="P240" i="1"/>
  <c r="N241" i="1"/>
  <c r="N242" i="1"/>
  <c r="J240" i="1"/>
  <c r="H236" i="1"/>
  <c r="AR229" i="1"/>
  <c r="AR230" i="1"/>
  <c r="AN229" i="1"/>
  <c r="AN230" i="1"/>
  <c r="AI229" i="1"/>
  <c r="AI230" i="1"/>
  <c r="AG229" i="1"/>
  <c r="AG230" i="1"/>
  <c r="W229" i="1"/>
  <c r="W230" i="1"/>
  <c r="J221" i="1"/>
  <c r="K221" i="1"/>
  <c r="L221" i="1"/>
  <c r="M221" i="1"/>
  <c r="M228" i="1"/>
  <c r="J223" i="1"/>
  <c r="K223" i="1"/>
  <c r="L223" i="1"/>
  <c r="M223" i="1"/>
  <c r="M229" i="1"/>
  <c r="M230" i="1"/>
  <c r="L228" i="1"/>
  <c r="L229" i="1"/>
  <c r="L230" i="1"/>
  <c r="BA221" i="1"/>
  <c r="BA228" i="1"/>
  <c r="AF221" i="1"/>
  <c r="AF228" i="1"/>
  <c r="AY220" i="1"/>
  <c r="AY227" i="1"/>
  <c r="AX220" i="1"/>
  <c r="AX227" i="1"/>
  <c r="AO220" i="1"/>
  <c r="AO227" i="1"/>
  <c r="X220" i="1"/>
  <c r="X227" i="1"/>
  <c r="S220" i="1"/>
  <c r="S227" i="1"/>
  <c r="J220" i="1"/>
  <c r="K220" i="1"/>
  <c r="L220" i="1"/>
  <c r="M220" i="1"/>
  <c r="M227" i="1"/>
  <c r="AP224" i="1"/>
  <c r="AI224" i="1"/>
  <c r="AG224" i="1"/>
  <c r="W224" i="1"/>
  <c r="T224" i="1"/>
  <c r="J224" i="1"/>
  <c r="K224" i="1"/>
  <c r="L224" i="1"/>
  <c r="BB223" i="1"/>
  <c r="BA223" i="1"/>
  <c r="AX223" i="1"/>
  <c r="AP223" i="1"/>
  <c r="AO223" i="1"/>
  <c r="AG223" i="1"/>
  <c r="AD223" i="1"/>
  <c r="W223" i="1"/>
  <c r="T223" i="1"/>
  <c r="AX221" i="1"/>
  <c r="AX228" i="1"/>
  <c r="AN221" i="1"/>
  <c r="AN228" i="1"/>
  <c r="AD221" i="1"/>
  <c r="AD228" i="1"/>
  <c r="W221" i="1"/>
  <c r="W228" i="1"/>
  <c r="N221" i="1"/>
  <c r="N228" i="1"/>
  <c r="BC220" i="1"/>
  <c r="BC227" i="1"/>
  <c r="BB220" i="1"/>
  <c r="BB227" i="1"/>
  <c r="BA220" i="1"/>
  <c r="BA227" i="1"/>
  <c r="AZ220" i="1"/>
  <c r="AZ227" i="1"/>
  <c r="AW220" i="1"/>
  <c r="AW227" i="1"/>
  <c r="AV220" i="1"/>
  <c r="AV227" i="1"/>
  <c r="AU220" i="1"/>
  <c r="AU227" i="1"/>
  <c r="AT220" i="1"/>
  <c r="AT227" i="1"/>
  <c r="AS220" i="1"/>
  <c r="AS227" i="1"/>
  <c r="AR220" i="1"/>
  <c r="AR227" i="1"/>
  <c r="AQ220" i="1"/>
  <c r="AQ227" i="1"/>
  <c r="AP220" i="1"/>
  <c r="AP227" i="1"/>
  <c r="AN220" i="1"/>
  <c r="AN227" i="1"/>
  <c r="AM220" i="1"/>
  <c r="AM227" i="1"/>
  <c r="AL220" i="1"/>
  <c r="AL227" i="1"/>
  <c r="AK220" i="1"/>
  <c r="AK227" i="1"/>
  <c r="AJ220" i="1"/>
  <c r="AJ227" i="1"/>
  <c r="AI220" i="1"/>
  <c r="AI227" i="1"/>
  <c r="AH220" i="1"/>
  <c r="AH227" i="1"/>
  <c r="AG220" i="1"/>
  <c r="AG227" i="1"/>
  <c r="AF220" i="1"/>
  <c r="AF227" i="1"/>
  <c r="AE220" i="1"/>
  <c r="AE227" i="1"/>
  <c r="AD220" i="1"/>
  <c r="AD227" i="1"/>
  <c r="AC220" i="1"/>
  <c r="AC227" i="1"/>
  <c r="AB220" i="1"/>
  <c r="AB227" i="1"/>
  <c r="AA220" i="1"/>
  <c r="AA227" i="1"/>
  <c r="Z220" i="1"/>
  <c r="Z227" i="1"/>
  <c r="Y220" i="1"/>
  <c r="Y227" i="1"/>
  <c r="W220" i="1"/>
  <c r="W227" i="1"/>
  <c r="V220" i="1"/>
  <c r="V227" i="1"/>
  <c r="U220" i="1"/>
  <c r="U227" i="1"/>
  <c r="T220" i="1"/>
  <c r="T227" i="1"/>
  <c r="R220" i="1"/>
  <c r="R227" i="1"/>
  <c r="Q220" i="1"/>
  <c r="Q227" i="1"/>
  <c r="P220" i="1"/>
  <c r="P227" i="1"/>
  <c r="O220" i="1"/>
  <c r="O227" i="1"/>
  <c r="N220" i="1"/>
  <c r="N227" i="1"/>
  <c r="L227" i="1"/>
  <c r="K227" i="1"/>
  <c r="J227" i="1"/>
  <c r="G220" i="1"/>
  <c r="H220" i="1"/>
  <c r="I220" i="1"/>
  <c r="I227" i="1"/>
  <c r="H227" i="1"/>
  <c r="G227" i="1"/>
  <c r="BC221" i="1"/>
  <c r="BC228" i="1"/>
  <c r="BB224" i="1"/>
  <c r="AY229" i="1"/>
  <c r="AY230" i="1"/>
  <c r="AR224" i="1"/>
  <c r="AQ224" i="1"/>
  <c r="AO229" i="1"/>
  <c r="AO230" i="1"/>
  <c r="AN223" i="1"/>
  <c r="AK224" i="1"/>
  <c r="AI223" i="1"/>
  <c r="AH224" i="1"/>
  <c r="AG221" i="1"/>
  <c r="AG228" i="1"/>
  <c r="AE229" i="1"/>
  <c r="AE230" i="1"/>
  <c r="AD229" i="1"/>
  <c r="AD230" i="1"/>
  <c r="Y221" i="1"/>
  <c r="Y228" i="1"/>
  <c r="X224" i="1"/>
  <c r="V221" i="1"/>
  <c r="V228" i="1"/>
  <c r="U229" i="1"/>
  <c r="U230" i="1"/>
  <c r="T229" i="1"/>
  <c r="T230" i="1"/>
  <c r="Q221" i="1"/>
  <c r="Q228" i="1"/>
  <c r="N224" i="1"/>
  <c r="M224" i="1"/>
  <c r="K228" i="1"/>
  <c r="K229" i="1"/>
  <c r="K230" i="1"/>
  <c r="G221" i="1"/>
  <c r="G228" i="1"/>
  <c r="AK217" i="1"/>
  <c r="AK218" i="1"/>
  <c r="AY217" i="1"/>
  <c r="AY218" i="1"/>
  <c r="AE217" i="1"/>
  <c r="AE218" i="1"/>
  <c r="AC217" i="1"/>
  <c r="AC218" i="1"/>
  <c r="J209" i="1"/>
  <c r="K209" i="1"/>
  <c r="K216" i="1"/>
  <c r="J211" i="1"/>
  <c r="K211" i="1"/>
  <c r="K217" i="1"/>
  <c r="K218" i="1"/>
  <c r="AX208" i="1"/>
  <c r="AX215" i="1"/>
  <c r="P208" i="1"/>
  <c r="P215" i="1"/>
  <c r="AU212" i="1"/>
  <c r="AF212" i="1"/>
  <c r="AA212" i="1"/>
  <c r="S212" i="1"/>
  <c r="G212" i="1"/>
  <c r="AX211" i="1"/>
  <c r="AO211" i="1"/>
  <c r="AE211" i="1"/>
  <c r="AC211" i="1"/>
  <c r="T211" i="1"/>
  <c r="G211" i="1"/>
  <c r="AW209" i="1"/>
  <c r="AW216" i="1"/>
  <c r="AM209" i="1"/>
  <c r="AM216" i="1"/>
  <c r="AK209" i="1"/>
  <c r="AK216" i="1"/>
  <c r="AJ209" i="1"/>
  <c r="AJ216" i="1"/>
  <c r="AE209" i="1"/>
  <c r="AE216" i="1"/>
  <c r="P209" i="1"/>
  <c r="P216" i="1"/>
  <c r="L209" i="1"/>
  <c r="L216" i="1"/>
  <c r="G209" i="1"/>
  <c r="G216" i="1"/>
  <c r="BC208" i="1"/>
  <c r="BC215" i="1"/>
  <c r="BB208" i="1"/>
  <c r="BB215" i="1"/>
  <c r="BA208" i="1"/>
  <c r="BA215" i="1"/>
  <c r="AZ208" i="1"/>
  <c r="AZ215" i="1"/>
  <c r="AY208" i="1"/>
  <c r="AY215" i="1"/>
  <c r="AW208" i="1"/>
  <c r="AW215" i="1"/>
  <c r="AV208" i="1"/>
  <c r="AV215" i="1"/>
  <c r="AU208" i="1"/>
  <c r="AU215" i="1"/>
  <c r="AT208" i="1"/>
  <c r="AT215" i="1"/>
  <c r="AS208" i="1"/>
  <c r="AS215" i="1"/>
  <c r="AR208" i="1"/>
  <c r="AR215" i="1"/>
  <c r="AQ208" i="1"/>
  <c r="AQ215" i="1"/>
  <c r="AP208" i="1"/>
  <c r="AP215" i="1"/>
  <c r="AO208" i="1"/>
  <c r="AO215" i="1"/>
  <c r="AN208" i="1"/>
  <c r="AN215" i="1"/>
  <c r="AM208" i="1"/>
  <c r="AM215" i="1"/>
  <c r="AL208" i="1"/>
  <c r="AL215" i="1"/>
  <c r="AK208" i="1"/>
  <c r="AK215" i="1"/>
  <c r="AJ208" i="1"/>
  <c r="AJ215" i="1"/>
  <c r="AI208" i="1"/>
  <c r="AI215" i="1"/>
  <c r="AH208" i="1"/>
  <c r="AH215" i="1"/>
  <c r="AG208" i="1"/>
  <c r="AG215" i="1"/>
  <c r="AF208" i="1"/>
  <c r="AF215" i="1"/>
  <c r="AE208" i="1"/>
  <c r="AE215" i="1"/>
  <c r="AD208" i="1"/>
  <c r="AD215" i="1"/>
  <c r="AC208" i="1"/>
  <c r="AC215" i="1"/>
  <c r="AB208" i="1"/>
  <c r="AB215" i="1"/>
  <c r="AA208" i="1"/>
  <c r="AA215" i="1"/>
  <c r="Z208" i="1"/>
  <c r="Z215" i="1"/>
  <c r="Y208" i="1"/>
  <c r="Y215" i="1"/>
  <c r="X208" i="1"/>
  <c r="X215" i="1"/>
  <c r="W208" i="1"/>
  <c r="W215" i="1"/>
  <c r="V208" i="1"/>
  <c r="V215" i="1"/>
  <c r="U208" i="1"/>
  <c r="U215" i="1"/>
  <c r="T208" i="1"/>
  <c r="T215" i="1"/>
  <c r="S208" i="1"/>
  <c r="S215" i="1"/>
  <c r="R208" i="1"/>
  <c r="R215" i="1"/>
  <c r="Q208" i="1"/>
  <c r="Q215" i="1"/>
  <c r="O208" i="1"/>
  <c r="O215" i="1"/>
  <c r="N208" i="1"/>
  <c r="N215" i="1"/>
  <c r="J208" i="1"/>
  <c r="K208" i="1"/>
  <c r="L208" i="1"/>
  <c r="M208" i="1"/>
  <c r="M215" i="1"/>
  <c r="L215" i="1"/>
  <c r="K215" i="1"/>
  <c r="J215" i="1"/>
  <c r="G208" i="1"/>
  <c r="H208" i="1"/>
  <c r="I215" i="1"/>
  <c r="H215" i="1"/>
  <c r="G215" i="1"/>
  <c r="AZ211" i="1"/>
  <c r="AY212" i="1"/>
  <c r="AX212" i="1"/>
  <c r="AW212" i="1"/>
  <c r="AV209" i="1"/>
  <c r="AV216" i="1"/>
  <c r="AU217" i="1"/>
  <c r="AU218" i="1"/>
  <c r="AT212" i="1"/>
  <c r="AS212" i="1"/>
  <c r="AR212" i="1"/>
  <c r="AP211" i="1"/>
  <c r="AO212" i="1"/>
  <c r="AN212" i="1"/>
  <c r="AM217" i="1"/>
  <c r="AM218" i="1"/>
  <c r="AL211" i="1"/>
  <c r="AI209" i="1"/>
  <c r="AI216" i="1"/>
  <c r="AF211" i="1"/>
  <c r="AD212" i="1"/>
  <c r="AA217" i="1"/>
  <c r="AA218" i="1"/>
  <c r="Y212" i="1"/>
  <c r="W211" i="1"/>
  <c r="V211" i="1"/>
  <c r="U209" i="1"/>
  <c r="U216" i="1"/>
  <c r="T212" i="1"/>
  <c r="S217" i="1"/>
  <c r="S218" i="1"/>
  <c r="R211" i="1"/>
  <c r="Q217" i="1"/>
  <c r="Q218" i="1"/>
  <c r="P211" i="1"/>
  <c r="O209" i="1"/>
  <c r="O216" i="1"/>
  <c r="M209" i="1"/>
  <c r="M216" i="1"/>
  <c r="L211" i="1"/>
  <c r="H209" i="1"/>
  <c r="I209" i="1"/>
  <c r="I216" i="1"/>
  <c r="H211" i="1"/>
  <c r="I211" i="1"/>
  <c r="I217" i="1"/>
  <c r="I218" i="1"/>
  <c r="G217" i="1"/>
  <c r="G218" i="1"/>
  <c r="BC196" i="1"/>
  <c r="BC203" i="1"/>
  <c r="BB196" i="1"/>
  <c r="BB203" i="1"/>
  <c r="BA196" i="1"/>
  <c r="BA203" i="1"/>
  <c r="AZ196" i="1"/>
  <c r="AZ203" i="1"/>
  <c r="AY196" i="1"/>
  <c r="AY203" i="1"/>
  <c r="AX196" i="1"/>
  <c r="AX203" i="1"/>
  <c r="AW196" i="1"/>
  <c r="AW203" i="1"/>
  <c r="AV196" i="1"/>
  <c r="AV203" i="1"/>
  <c r="AU196" i="1"/>
  <c r="AU203" i="1"/>
  <c r="AT196" i="1"/>
  <c r="AT203" i="1"/>
  <c r="AS196" i="1"/>
  <c r="AS203" i="1"/>
  <c r="AR196" i="1"/>
  <c r="AR203" i="1"/>
  <c r="AQ196" i="1"/>
  <c r="AQ203" i="1"/>
  <c r="AP196" i="1"/>
  <c r="AP203" i="1"/>
  <c r="AO196" i="1"/>
  <c r="AO203" i="1"/>
  <c r="AN196" i="1"/>
  <c r="AN203" i="1"/>
  <c r="AM196" i="1"/>
  <c r="AM203" i="1"/>
  <c r="AL196" i="1"/>
  <c r="AL203" i="1"/>
  <c r="AK196" i="1"/>
  <c r="AK203" i="1"/>
  <c r="AJ196" i="1"/>
  <c r="AJ203" i="1"/>
  <c r="AI196" i="1"/>
  <c r="AI203" i="1"/>
  <c r="AH196" i="1"/>
  <c r="AH203" i="1"/>
  <c r="AG196" i="1"/>
  <c r="AG203" i="1"/>
  <c r="AF196" i="1"/>
  <c r="AF203" i="1"/>
  <c r="AE196" i="1"/>
  <c r="AE203" i="1"/>
  <c r="AD196" i="1"/>
  <c r="AD203" i="1"/>
  <c r="AC196" i="1"/>
  <c r="AC203" i="1"/>
  <c r="AB196" i="1"/>
  <c r="AB203" i="1"/>
  <c r="AA196" i="1"/>
  <c r="AA203" i="1"/>
  <c r="Z196" i="1"/>
  <c r="Z203" i="1"/>
  <c r="Y196" i="1"/>
  <c r="Y203" i="1"/>
  <c r="X196" i="1"/>
  <c r="X203" i="1"/>
  <c r="W196" i="1"/>
  <c r="W203" i="1"/>
  <c r="V196" i="1"/>
  <c r="V203" i="1"/>
  <c r="U196" i="1"/>
  <c r="U203" i="1"/>
  <c r="T196" i="1"/>
  <c r="T203" i="1"/>
  <c r="S196" i="1"/>
  <c r="S203" i="1"/>
  <c r="R196" i="1"/>
  <c r="R203" i="1"/>
  <c r="Q196" i="1"/>
  <c r="Q203" i="1"/>
  <c r="P196" i="1"/>
  <c r="P203" i="1"/>
  <c r="O196" i="1"/>
  <c r="O203" i="1"/>
  <c r="N196" i="1"/>
  <c r="N203" i="1"/>
  <c r="J196" i="1"/>
  <c r="K196" i="1"/>
  <c r="L196" i="1"/>
  <c r="M196" i="1"/>
  <c r="M203" i="1"/>
  <c r="L203" i="1"/>
  <c r="K203" i="1"/>
  <c r="J203" i="1"/>
  <c r="G196" i="1"/>
  <c r="H196" i="1"/>
  <c r="I203" i="1"/>
  <c r="H203" i="1"/>
  <c r="G203" i="1"/>
  <c r="BB200" i="1"/>
  <c r="AZ199" i="1"/>
  <c r="AY199" i="1"/>
  <c r="AX197" i="1"/>
  <c r="AX204" i="1"/>
  <c r="AV199" i="1"/>
  <c r="AU205" i="1"/>
  <c r="AU206" i="1"/>
  <c r="AT199" i="1"/>
  <c r="AS197" i="1"/>
  <c r="AS204" i="1"/>
  <c r="AR200" i="1"/>
  <c r="AQ197" i="1"/>
  <c r="AQ204" i="1"/>
  <c r="AO205" i="1"/>
  <c r="AO206" i="1"/>
  <c r="AN205" i="1"/>
  <c r="AN206" i="1"/>
  <c r="AM200" i="1"/>
  <c r="AK199" i="1"/>
  <c r="AI199" i="1"/>
  <c r="AG199" i="1"/>
  <c r="AE200" i="1"/>
  <c r="AC199" i="1"/>
  <c r="Z199" i="1"/>
  <c r="X200" i="1"/>
  <c r="W197" i="1"/>
  <c r="W204" i="1"/>
  <c r="V205" i="1"/>
  <c r="V206" i="1"/>
  <c r="U205" i="1"/>
  <c r="U206" i="1"/>
  <c r="S200" i="1"/>
  <c r="R200" i="1"/>
  <c r="Q200" i="1"/>
  <c r="O200" i="1"/>
  <c r="J199" i="1"/>
  <c r="K199" i="1"/>
  <c r="L199" i="1"/>
  <c r="M199" i="1"/>
  <c r="J197" i="1"/>
  <c r="K197" i="1"/>
  <c r="L197" i="1"/>
  <c r="L204" i="1"/>
  <c r="K204" i="1"/>
  <c r="K205" i="1"/>
  <c r="K206" i="1"/>
  <c r="G197" i="1"/>
  <c r="H197" i="1"/>
  <c r="I204" i="1"/>
  <c r="G200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J4" i="1"/>
  <c r="K4" i="1"/>
  <c r="L4" i="1"/>
  <c r="L11" i="1"/>
  <c r="M4" i="1"/>
  <c r="M11" i="1"/>
  <c r="N4" i="1"/>
  <c r="N11" i="1"/>
  <c r="O4" i="1"/>
  <c r="P4" i="1"/>
  <c r="P11" i="1"/>
  <c r="Q4" i="1"/>
  <c r="R4" i="1"/>
  <c r="S4" i="1"/>
  <c r="T4" i="1"/>
  <c r="T11" i="1"/>
  <c r="U4" i="1"/>
  <c r="U11" i="1"/>
  <c r="V4" i="1"/>
  <c r="V11" i="1"/>
  <c r="W4" i="1"/>
  <c r="W11" i="1"/>
  <c r="X4" i="1"/>
  <c r="X11" i="1"/>
  <c r="Y4" i="1"/>
  <c r="Y11" i="1"/>
  <c r="Z4" i="1"/>
  <c r="Z11" i="1"/>
  <c r="AA4" i="1"/>
  <c r="AB4" i="1"/>
  <c r="AC4" i="1"/>
  <c r="AD4" i="1"/>
  <c r="AD11" i="1"/>
  <c r="AE4" i="1"/>
  <c r="AF4" i="1"/>
  <c r="AF11" i="1"/>
  <c r="AG4" i="1"/>
  <c r="AG11" i="1"/>
  <c r="AH4" i="1"/>
  <c r="AH11" i="1"/>
  <c r="AI4" i="1"/>
  <c r="AI11" i="1"/>
  <c r="AJ4" i="1"/>
  <c r="AJ11" i="1"/>
  <c r="AK4" i="1"/>
  <c r="AL4" i="1"/>
  <c r="AM4" i="1"/>
  <c r="AN4" i="1"/>
  <c r="AN11" i="1"/>
  <c r="AO4" i="1"/>
  <c r="AP4" i="1"/>
  <c r="AP11" i="1"/>
  <c r="AQ4" i="1"/>
  <c r="AQ11" i="1"/>
  <c r="AR4" i="1"/>
  <c r="AR11" i="1"/>
  <c r="AS4" i="1"/>
  <c r="AT4" i="1"/>
  <c r="AT11" i="1"/>
  <c r="AU4" i="1"/>
  <c r="J5" i="1"/>
  <c r="K5" i="1"/>
  <c r="L5" i="1"/>
  <c r="M5" i="1"/>
  <c r="M12" i="1"/>
  <c r="N5" i="1"/>
  <c r="O5" i="1"/>
  <c r="O12" i="1"/>
  <c r="P5" i="1"/>
  <c r="P12" i="1"/>
  <c r="Q5" i="1"/>
  <c r="Q12" i="1"/>
  <c r="R5" i="1"/>
  <c r="S5" i="1"/>
  <c r="S12" i="1"/>
  <c r="T5" i="1"/>
  <c r="U5" i="1"/>
  <c r="V5" i="1"/>
  <c r="W5" i="1"/>
  <c r="W12" i="1"/>
  <c r="X5" i="1"/>
  <c r="Y5" i="1"/>
  <c r="Y12" i="1"/>
  <c r="Z5" i="1"/>
  <c r="Z12" i="1"/>
  <c r="AA5" i="1"/>
  <c r="AA12" i="1"/>
  <c r="AB5" i="1"/>
  <c r="AB12" i="1"/>
  <c r="AC5" i="1"/>
  <c r="AC12" i="1"/>
  <c r="AD5" i="1"/>
  <c r="AE5" i="1"/>
  <c r="AF5" i="1"/>
  <c r="AG5" i="1"/>
  <c r="AG12" i="1"/>
  <c r="AH5" i="1"/>
  <c r="AI5" i="1"/>
  <c r="AI12" i="1"/>
  <c r="AJ5" i="1"/>
  <c r="AJ12" i="1"/>
  <c r="AK5" i="1"/>
  <c r="AK12" i="1"/>
  <c r="AL5" i="1"/>
  <c r="AM5" i="1"/>
  <c r="AM12" i="1"/>
  <c r="AN5" i="1"/>
  <c r="AO5" i="1"/>
  <c r="AP5" i="1"/>
  <c r="AQ5" i="1"/>
  <c r="AQ12" i="1"/>
  <c r="AR5" i="1"/>
  <c r="AS5" i="1"/>
  <c r="AS12" i="1"/>
  <c r="AT5" i="1"/>
  <c r="AT12" i="1"/>
  <c r="AU5" i="1"/>
  <c r="AU12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K11" i="1"/>
  <c r="O11" i="1"/>
  <c r="Q11" i="1"/>
  <c r="R11" i="1"/>
  <c r="S11" i="1"/>
  <c r="AA11" i="1"/>
  <c r="AB11" i="1"/>
  <c r="AC11" i="1"/>
  <c r="AE11" i="1"/>
  <c r="AK11" i="1"/>
  <c r="AL11" i="1"/>
  <c r="AM11" i="1"/>
  <c r="AO11" i="1"/>
  <c r="AS11" i="1"/>
  <c r="AU11" i="1"/>
  <c r="K12" i="1"/>
  <c r="L12" i="1"/>
  <c r="N12" i="1"/>
  <c r="R12" i="1"/>
  <c r="T12" i="1"/>
  <c r="U12" i="1"/>
  <c r="V12" i="1"/>
  <c r="X12" i="1"/>
  <c r="AD12" i="1"/>
  <c r="AE12" i="1"/>
  <c r="AF12" i="1"/>
  <c r="AH12" i="1"/>
  <c r="AL12" i="1"/>
  <c r="AN12" i="1"/>
  <c r="AO12" i="1"/>
  <c r="AP12" i="1"/>
  <c r="AR12" i="1"/>
  <c r="K13" i="1"/>
  <c r="K14" i="1"/>
  <c r="L13" i="1"/>
  <c r="L14" i="1"/>
  <c r="M13" i="1"/>
  <c r="M14" i="1"/>
  <c r="N13" i="1"/>
  <c r="N14" i="1"/>
  <c r="O13" i="1"/>
  <c r="O14" i="1"/>
  <c r="P13" i="1"/>
  <c r="Q13" i="1"/>
  <c r="R13" i="1"/>
  <c r="S13" i="1"/>
  <c r="T13" i="1"/>
  <c r="U13" i="1"/>
  <c r="U14" i="1"/>
  <c r="V13" i="1"/>
  <c r="V14" i="1"/>
  <c r="W13" i="1"/>
  <c r="W14" i="1"/>
  <c r="X13" i="1"/>
  <c r="X14" i="1"/>
  <c r="Y13" i="1"/>
  <c r="Y14" i="1"/>
  <c r="Z13" i="1"/>
  <c r="Z14" i="1"/>
  <c r="AA13" i="1"/>
  <c r="AB13" i="1"/>
  <c r="AC13" i="1"/>
  <c r="AD13" i="1"/>
  <c r="AE13" i="1"/>
  <c r="AE14" i="1"/>
  <c r="AF13" i="1"/>
  <c r="AF14" i="1"/>
  <c r="AG13" i="1"/>
  <c r="AG14" i="1"/>
  <c r="AH13" i="1"/>
  <c r="AH14" i="1"/>
  <c r="AI13" i="1"/>
  <c r="AI14" i="1"/>
  <c r="AJ13" i="1"/>
  <c r="AK13" i="1"/>
  <c r="AL13" i="1"/>
  <c r="AM13" i="1"/>
  <c r="AN13" i="1"/>
  <c r="AO13" i="1"/>
  <c r="AO14" i="1"/>
  <c r="AP13" i="1"/>
  <c r="AP14" i="1"/>
  <c r="AQ13" i="1"/>
  <c r="AQ14" i="1"/>
  <c r="AR13" i="1"/>
  <c r="AR14" i="1"/>
  <c r="AS13" i="1"/>
  <c r="AS14" i="1"/>
  <c r="AT13" i="1"/>
  <c r="AU13" i="1"/>
  <c r="P14" i="1"/>
  <c r="Q14" i="1"/>
  <c r="R14" i="1"/>
  <c r="S14" i="1"/>
  <c r="T14" i="1"/>
  <c r="AA14" i="1"/>
  <c r="AB14" i="1"/>
  <c r="AC14" i="1"/>
  <c r="AD14" i="1"/>
  <c r="AJ14" i="1"/>
  <c r="AK14" i="1"/>
  <c r="AL14" i="1"/>
  <c r="AM14" i="1"/>
  <c r="AN14" i="1"/>
  <c r="AT14" i="1"/>
  <c r="AU14" i="1"/>
  <c r="Q20" i="1"/>
  <c r="V17" i="1"/>
  <c r="V24" i="1"/>
  <c r="AA20" i="1"/>
  <c r="AK20" i="1"/>
  <c r="AL17" i="1"/>
  <c r="AL24" i="1"/>
  <c r="AU20" i="1"/>
  <c r="J16" i="1"/>
  <c r="K16" i="1"/>
  <c r="L16" i="1"/>
  <c r="L23" i="1"/>
  <c r="M16" i="1"/>
  <c r="M23" i="1"/>
  <c r="N16" i="1"/>
  <c r="N23" i="1"/>
  <c r="O16" i="1"/>
  <c r="P16" i="1"/>
  <c r="Q16" i="1"/>
  <c r="R16" i="1"/>
  <c r="S16" i="1"/>
  <c r="T16" i="1"/>
  <c r="U16" i="1"/>
  <c r="U23" i="1"/>
  <c r="V16" i="1"/>
  <c r="V23" i="1"/>
  <c r="W16" i="1"/>
  <c r="W23" i="1"/>
  <c r="X16" i="1"/>
  <c r="X23" i="1"/>
  <c r="Y16" i="1"/>
  <c r="Z16" i="1"/>
  <c r="AA16" i="1"/>
  <c r="AB16" i="1"/>
  <c r="AC16" i="1"/>
  <c r="AD16" i="1"/>
  <c r="AE16" i="1"/>
  <c r="AE23" i="1"/>
  <c r="AF16" i="1"/>
  <c r="AF23" i="1"/>
  <c r="AG16" i="1"/>
  <c r="AG23" i="1"/>
  <c r="AH16" i="1"/>
  <c r="AH23" i="1"/>
  <c r="AI16" i="1"/>
  <c r="AI23" i="1"/>
  <c r="AJ16" i="1"/>
  <c r="AJ23" i="1"/>
  <c r="AK16" i="1"/>
  <c r="AL16" i="1"/>
  <c r="AM16" i="1"/>
  <c r="AN16" i="1"/>
  <c r="AO16" i="1"/>
  <c r="AO23" i="1"/>
  <c r="AP16" i="1"/>
  <c r="AP23" i="1"/>
  <c r="AQ16" i="1"/>
  <c r="AQ23" i="1"/>
  <c r="AR16" i="1"/>
  <c r="AR23" i="1"/>
  <c r="AS16" i="1"/>
  <c r="AT16" i="1"/>
  <c r="AT23" i="1"/>
  <c r="AU16" i="1"/>
  <c r="N17" i="1"/>
  <c r="O17" i="1"/>
  <c r="O24" i="1"/>
  <c r="P17" i="1"/>
  <c r="P24" i="1"/>
  <c r="Q17" i="1"/>
  <c r="Q24" i="1"/>
  <c r="R17" i="1"/>
  <c r="X17" i="1"/>
  <c r="X24" i="1"/>
  <c r="Y17" i="1"/>
  <c r="Y24" i="1"/>
  <c r="Z17" i="1"/>
  <c r="Z24" i="1"/>
  <c r="AC17" i="1"/>
  <c r="AC24" i="1"/>
  <c r="AG17" i="1"/>
  <c r="AH17" i="1"/>
  <c r="AI17" i="1"/>
  <c r="AI24" i="1"/>
  <c r="AJ17" i="1"/>
  <c r="AJ24" i="1"/>
  <c r="AK17" i="1"/>
  <c r="AK24" i="1"/>
  <c r="AR17" i="1"/>
  <c r="AS17" i="1"/>
  <c r="AS24" i="1"/>
  <c r="AT17" i="1"/>
  <c r="AT24" i="1"/>
  <c r="AU17" i="1"/>
  <c r="AU24" i="1"/>
  <c r="J19" i="1"/>
  <c r="K19" i="1"/>
  <c r="L19" i="1"/>
  <c r="N19" i="1"/>
  <c r="O19" i="1"/>
  <c r="P19" i="1"/>
  <c r="U19" i="1"/>
  <c r="V19" i="1"/>
  <c r="X19" i="1"/>
  <c r="Y19" i="1"/>
  <c r="Z19" i="1"/>
  <c r="AD19" i="1"/>
  <c r="AE19" i="1"/>
  <c r="AF19" i="1"/>
  <c r="AH19" i="1"/>
  <c r="AI19" i="1"/>
  <c r="AJ19" i="1"/>
  <c r="AK19" i="1"/>
  <c r="AO19" i="1"/>
  <c r="AP19" i="1"/>
  <c r="AR19" i="1"/>
  <c r="AS19" i="1"/>
  <c r="AT19" i="1"/>
  <c r="AU19" i="1"/>
  <c r="N20" i="1"/>
  <c r="O20" i="1"/>
  <c r="P20" i="1"/>
  <c r="T20" i="1"/>
  <c r="U20" i="1"/>
  <c r="V20" i="1"/>
  <c r="X20" i="1"/>
  <c r="Y20" i="1"/>
  <c r="Z20" i="1"/>
  <c r="AE20" i="1"/>
  <c r="AF20" i="1"/>
  <c r="AG20" i="1"/>
  <c r="AH20" i="1"/>
  <c r="AI20" i="1"/>
  <c r="AJ20" i="1"/>
  <c r="AO20" i="1"/>
  <c r="AP20" i="1"/>
  <c r="AQ20" i="1"/>
  <c r="AR20" i="1"/>
  <c r="AS20" i="1"/>
  <c r="AT20" i="1"/>
  <c r="K23" i="1"/>
  <c r="O23" i="1"/>
  <c r="P23" i="1"/>
  <c r="Q23" i="1"/>
  <c r="R23" i="1"/>
  <c r="S23" i="1"/>
  <c r="T23" i="1"/>
  <c r="Y23" i="1"/>
  <c r="Z23" i="1"/>
  <c r="AA23" i="1"/>
  <c r="AB23" i="1"/>
  <c r="AC23" i="1"/>
  <c r="AD23" i="1"/>
  <c r="AK23" i="1"/>
  <c r="AL23" i="1"/>
  <c r="AM23" i="1"/>
  <c r="AN23" i="1"/>
  <c r="AS23" i="1"/>
  <c r="AU23" i="1"/>
  <c r="N24" i="1"/>
  <c r="R24" i="1"/>
  <c r="AG24" i="1"/>
  <c r="AH24" i="1"/>
  <c r="AR24" i="1"/>
  <c r="J17" i="1"/>
  <c r="K17" i="1"/>
  <c r="K24" i="1"/>
  <c r="K25" i="1"/>
  <c r="K26" i="1"/>
  <c r="L17" i="1"/>
  <c r="L24" i="1"/>
  <c r="L25" i="1"/>
  <c r="L26" i="1"/>
  <c r="M17" i="1"/>
  <c r="M24" i="1"/>
  <c r="M19" i="1"/>
  <c r="M25" i="1"/>
  <c r="M26" i="1"/>
  <c r="N25" i="1"/>
  <c r="O25" i="1"/>
  <c r="P25" i="1"/>
  <c r="Q25" i="1"/>
  <c r="U25" i="1"/>
  <c r="U26" i="1"/>
  <c r="V25" i="1"/>
  <c r="V26" i="1"/>
  <c r="W25" i="1"/>
  <c r="W26" i="1"/>
  <c r="X25" i="1"/>
  <c r="X26" i="1"/>
  <c r="Y25" i="1"/>
  <c r="Y26" i="1"/>
  <c r="Z25" i="1"/>
  <c r="AA25" i="1"/>
  <c r="AH25" i="1"/>
  <c r="AI25" i="1"/>
  <c r="AI26" i="1"/>
  <c r="AJ25" i="1"/>
  <c r="AJ26" i="1"/>
  <c r="AK25" i="1"/>
  <c r="AK26" i="1"/>
  <c r="AO25" i="1"/>
  <c r="AO26" i="1"/>
  <c r="AP25" i="1"/>
  <c r="AP26" i="1"/>
  <c r="AR25" i="1"/>
  <c r="AS25" i="1"/>
  <c r="AT25" i="1"/>
  <c r="AU25" i="1"/>
  <c r="N26" i="1"/>
  <c r="O26" i="1"/>
  <c r="P26" i="1"/>
  <c r="Q26" i="1"/>
  <c r="Z26" i="1"/>
  <c r="AA26" i="1"/>
  <c r="AH26" i="1"/>
  <c r="AR26" i="1"/>
  <c r="AS26" i="1"/>
  <c r="AT26" i="1"/>
  <c r="AU26" i="1"/>
  <c r="J29" i="1"/>
  <c r="K29" i="1"/>
  <c r="L29" i="1"/>
  <c r="J31" i="1"/>
  <c r="K31" i="1"/>
  <c r="L31" i="1"/>
  <c r="M31" i="1"/>
  <c r="V29" i="1"/>
  <c r="W31" i="1"/>
  <c r="AF29" i="1"/>
  <c r="AG31" i="1"/>
  <c r="AP29" i="1"/>
  <c r="AQ31" i="1"/>
  <c r="AU29" i="1"/>
  <c r="AU36" i="1"/>
  <c r="J28" i="1"/>
  <c r="K28" i="1"/>
  <c r="K35" i="1"/>
  <c r="L28" i="1"/>
  <c r="L35" i="1"/>
  <c r="M28" i="1"/>
  <c r="M35" i="1"/>
  <c r="N28" i="1"/>
  <c r="N35" i="1"/>
  <c r="O28" i="1"/>
  <c r="P28" i="1"/>
  <c r="Q28" i="1"/>
  <c r="R28" i="1"/>
  <c r="S28" i="1"/>
  <c r="T28" i="1"/>
  <c r="U28" i="1"/>
  <c r="V28" i="1"/>
  <c r="V35" i="1"/>
  <c r="W28" i="1"/>
  <c r="W35" i="1"/>
  <c r="X28" i="1"/>
  <c r="X35" i="1"/>
  <c r="Y28" i="1"/>
  <c r="Z28" i="1"/>
  <c r="AA28" i="1"/>
  <c r="AB28" i="1"/>
  <c r="AC28" i="1"/>
  <c r="AD28" i="1"/>
  <c r="AD35" i="1"/>
  <c r="AE28" i="1"/>
  <c r="AE35" i="1"/>
  <c r="AF28" i="1"/>
  <c r="AF35" i="1"/>
  <c r="AG28" i="1"/>
  <c r="AG35" i="1"/>
  <c r="AH28" i="1"/>
  <c r="AH35" i="1"/>
  <c r="AI28" i="1"/>
  <c r="AJ28" i="1"/>
  <c r="AK28" i="1"/>
  <c r="AL28" i="1"/>
  <c r="AM28" i="1"/>
  <c r="AN28" i="1"/>
  <c r="AN35" i="1"/>
  <c r="AO28" i="1"/>
  <c r="AO35" i="1"/>
  <c r="AP28" i="1"/>
  <c r="AP35" i="1"/>
  <c r="AQ28" i="1"/>
  <c r="AQ35" i="1"/>
  <c r="AR28" i="1"/>
  <c r="AR35" i="1"/>
  <c r="AS28" i="1"/>
  <c r="AT28" i="1"/>
  <c r="AU28" i="1"/>
  <c r="M29" i="1"/>
  <c r="M36" i="1"/>
  <c r="N29" i="1"/>
  <c r="N36" i="1"/>
  <c r="O29" i="1"/>
  <c r="O36" i="1"/>
  <c r="P29" i="1"/>
  <c r="P36" i="1"/>
  <c r="Q29" i="1"/>
  <c r="Q36" i="1"/>
  <c r="X29" i="1"/>
  <c r="Y29" i="1"/>
  <c r="Y36" i="1"/>
  <c r="Z29" i="1"/>
  <c r="Z36" i="1"/>
  <c r="AG29" i="1"/>
  <c r="AG36" i="1"/>
  <c r="AH29" i="1"/>
  <c r="AH36" i="1"/>
  <c r="AI29" i="1"/>
  <c r="AI36" i="1"/>
  <c r="AJ29" i="1"/>
  <c r="AJ36" i="1"/>
  <c r="AQ29" i="1"/>
  <c r="AR29" i="1"/>
  <c r="AS29" i="1"/>
  <c r="AS36" i="1"/>
  <c r="AT29" i="1"/>
  <c r="AT36" i="1"/>
  <c r="N31" i="1"/>
  <c r="O31" i="1"/>
  <c r="P31" i="1"/>
  <c r="T31" i="1"/>
  <c r="U31" i="1"/>
  <c r="V31" i="1"/>
  <c r="X31" i="1"/>
  <c r="Y31" i="1"/>
  <c r="Z31" i="1"/>
  <c r="AD31" i="1"/>
  <c r="AE31" i="1"/>
  <c r="AF31" i="1"/>
  <c r="AH31" i="1"/>
  <c r="AI31" i="1"/>
  <c r="AJ31" i="1"/>
  <c r="AO31" i="1"/>
  <c r="AP31" i="1"/>
  <c r="AR31" i="1"/>
  <c r="AS31" i="1"/>
  <c r="AT31" i="1"/>
  <c r="J32" i="1"/>
  <c r="K32" i="1"/>
  <c r="L32" i="1"/>
  <c r="M32" i="1"/>
  <c r="N32" i="1"/>
  <c r="O32" i="1"/>
  <c r="P32" i="1"/>
  <c r="V32" i="1"/>
  <c r="W32" i="1"/>
  <c r="X32" i="1"/>
  <c r="Y32" i="1"/>
  <c r="Z32" i="1"/>
  <c r="AE32" i="1"/>
  <c r="AF32" i="1"/>
  <c r="AG32" i="1"/>
  <c r="AH32" i="1"/>
  <c r="AI32" i="1"/>
  <c r="AJ32" i="1"/>
  <c r="AN32" i="1"/>
  <c r="AO32" i="1"/>
  <c r="AP32" i="1"/>
  <c r="AQ32" i="1"/>
  <c r="AR32" i="1"/>
  <c r="AS32" i="1"/>
  <c r="AT32" i="1"/>
  <c r="O35" i="1"/>
  <c r="P35" i="1"/>
  <c r="Q35" i="1"/>
  <c r="R35" i="1"/>
  <c r="S35" i="1"/>
  <c r="T35" i="1"/>
  <c r="U35" i="1"/>
  <c r="Y35" i="1"/>
  <c r="Z35" i="1"/>
  <c r="AA35" i="1"/>
  <c r="AB35" i="1"/>
  <c r="AC35" i="1"/>
  <c r="AI35" i="1"/>
  <c r="AJ35" i="1"/>
  <c r="AK35" i="1"/>
  <c r="AL35" i="1"/>
  <c r="AM35" i="1"/>
  <c r="AS35" i="1"/>
  <c r="AT35" i="1"/>
  <c r="AU35" i="1"/>
  <c r="L36" i="1"/>
  <c r="V36" i="1"/>
  <c r="X36" i="1"/>
  <c r="AF36" i="1"/>
  <c r="AP36" i="1"/>
  <c r="AQ36" i="1"/>
  <c r="AR36" i="1"/>
  <c r="K36" i="1"/>
  <c r="K37" i="1"/>
  <c r="K38" i="1"/>
  <c r="L37" i="1"/>
  <c r="L38" i="1"/>
  <c r="M37" i="1"/>
  <c r="M38" i="1"/>
  <c r="N37" i="1"/>
  <c r="O37" i="1"/>
  <c r="O38" i="1"/>
  <c r="P37" i="1"/>
  <c r="P38" i="1"/>
  <c r="Q37" i="1"/>
  <c r="Q38" i="1"/>
  <c r="U37" i="1"/>
  <c r="U38" i="1"/>
  <c r="V37" i="1"/>
  <c r="V38" i="1"/>
  <c r="W37" i="1"/>
  <c r="W38" i="1"/>
  <c r="X37" i="1"/>
  <c r="Y37" i="1"/>
  <c r="Z37" i="1"/>
  <c r="AE37" i="1"/>
  <c r="AE38" i="1"/>
  <c r="AF37" i="1"/>
  <c r="AF38" i="1"/>
  <c r="AG37" i="1"/>
  <c r="AG38" i="1"/>
  <c r="AH37" i="1"/>
  <c r="AH38" i="1"/>
  <c r="AI37" i="1"/>
  <c r="AI38" i="1"/>
  <c r="AJ37" i="1"/>
  <c r="AJ38" i="1"/>
  <c r="AP37" i="1"/>
  <c r="AP38" i="1"/>
  <c r="AQ37" i="1"/>
  <c r="AQ38" i="1"/>
  <c r="AR37" i="1"/>
  <c r="AS37" i="1"/>
  <c r="AS38" i="1"/>
  <c r="AT37" i="1"/>
  <c r="AT38" i="1"/>
  <c r="AU37" i="1"/>
  <c r="AU38" i="1"/>
  <c r="N38" i="1"/>
  <c r="X38" i="1"/>
  <c r="Y38" i="1"/>
  <c r="Z38" i="1"/>
  <c r="AR38" i="1"/>
  <c r="J41" i="1"/>
  <c r="K41" i="1"/>
  <c r="J43" i="1"/>
  <c r="K43" i="1"/>
  <c r="L43" i="1"/>
  <c r="M43" i="1"/>
  <c r="N43" i="1"/>
  <c r="U41" i="1"/>
  <c r="W43" i="1"/>
  <c r="X43" i="1"/>
  <c r="AB41" i="1"/>
  <c r="AB48" i="1"/>
  <c r="AE41" i="1"/>
  <c r="AF44" i="1"/>
  <c r="AH43" i="1"/>
  <c r="AL41" i="1"/>
  <c r="AL48" i="1"/>
  <c r="AO41" i="1"/>
  <c r="AP44" i="1"/>
  <c r="AQ44" i="1"/>
  <c r="AR43" i="1"/>
  <c r="J40" i="1"/>
  <c r="K40" i="1"/>
  <c r="K47" i="1"/>
  <c r="L40" i="1"/>
  <c r="M40" i="1"/>
  <c r="N40" i="1"/>
  <c r="O40" i="1"/>
  <c r="P40" i="1"/>
  <c r="Q40" i="1"/>
  <c r="R40" i="1"/>
  <c r="S40" i="1"/>
  <c r="S47" i="1"/>
  <c r="T40" i="1"/>
  <c r="T47" i="1"/>
  <c r="U40" i="1"/>
  <c r="U47" i="1"/>
  <c r="V40" i="1"/>
  <c r="W40" i="1"/>
  <c r="X40" i="1"/>
  <c r="Y40" i="1"/>
  <c r="Z40" i="1"/>
  <c r="AA40" i="1"/>
  <c r="AB40" i="1"/>
  <c r="AC40" i="1"/>
  <c r="AC47" i="1"/>
  <c r="AD40" i="1"/>
  <c r="AD47" i="1"/>
  <c r="AE40" i="1"/>
  <c r="AE47" i="1"/>
  <c r="AF40" i="1"/>
  <c r="AG40" i="1"/>
  <c r="AH40" i="1"/>
  <c r="AI40" i="1"/>
  <c r="AJ40" i="1"/>
  <c r="AK40" i="1"/>
  <c r="AL40" i="1"/>
  <c r="AM40" i="1"/>
  <c r="AM47" i="1"/>
  <c r="AN40" i="1"/>
  <c r="AN47" i="1"/>
  <c r="AO40" i="1"/>
  <c r="AO47" i="1"/>
  <c r="AP40" i="1"/>
  <c r="AQ40" i="1"/>
  <c r="AR40" i="1"/>
  <c r="AS40" i="1"/>
  <c r="AT40" i="1"/>
  <c r="AU40" i="1"/>
  <c r="L41" i="1"/>
  <c r="M41" i="1"/>
  <c r="M48" i="1"/>
  <c r="N41" i="1"/>
  <c r="N48" i="1"/>
  <c r="O41" i="1"/>
  <c r="O48" i="1"/>
  <c r="R41" i="1"/>
  <c r="S41" i="1"/>
  <c r="S48" i="1"/>
  <c r="T41" i="1"/>
  <c r="V41" i="1"/>
  <c r="W41" i="1"/>
  <c r="X41" i="1"/>
  <c r="X48" i="1"/>
  <c r="Y41" i="1"/>
  <c r="AC41" i="1"/>
  <c r="AD41" i="1"/>
  <c r="AD48" i="1"/>
  <c r="AF41" i="1"/>
  <c r="AF48" i="1"/>
  <c r="AG41" i="1"/>
  <c r="AG48" i="1"/>
  <c r="AH41" i="1"/>
  <c r="AH48" i="1"/>
  <c r="AI41" i="1"/>
  <c r="AM41" i="1"/>
  <c r="AN41" i="1"/>
  <c r="AP41" i="1"/>
  <c r="AQ41" i="1"/>
  <c r="AR41" i="1"/>
  <c r="AR48" i="1"/>
  <c r="AS41" i="1"/>
  <c r="AS48" i="1"/>
  <c r="AT41" i="1"/>
  <c r="AT48" i="1"/>
  <c r="O43" i="1"/>
  <c r="R43" i="1"/>
  <c r="S43" i="1"/>
  <c r="T43" i="1"/>
  <c r="U43" i="1"/>
  <c r="V43" i="1"/>
  <c r="Y43" i="1"/>
  <c r="AB43" i="1"/>
  <c r="AC43" i="1"/>
  <c r="AD43" i="1"/>
  <c r="AE43" i="1"/>
  <c r="AF43" i="1"/>
  <c r="AG43" i="1"/>
  <c r="AI43" i="1"/>
  <c r="AL43" i="1"/>
  <c r="AM43" i="1"/>
  <c r="AN43" i="1"/>
  <c r="AO43" i="1"/>
  <c r="AP43" i="1"/>
  <c r="AQ43" i="1"/>
  <c r="AS43" i="1"/>
  <c r="J44" i="1"/>
  <c r="K44" i="1"/>
  <c r="L44" i="1"/>
  <c r="M44" i="1"/>
  <c r="N44" i="1"/>
  <c r="O44" i="1"/>
  <c r="R44" i="1"/>
  <c r="S44" i="1"/>
  <c r="T44" i="1"/>
  <c r="V44" i="1"/>
  <c r="W44" i="1"/>
  <c r="X44" i="1"/>
  <c r="Y44" i="1"/>
  <c r="AB44" i="1"/>
  <c r="AC44" i="1"/>
  <c r="AD44" i="1"/>
  <c r="AG44" i="1"/>
  <c r="AH44" i="1"/>
  <c r="AI44" i="1"/>
  <c r="AJ44" i="1"/>
  <c r="AL44" i="1"/>
  <c r="AM44" i="1"/>
  <c r="AN44" i="1"/>
  <c r="AO44" i="1"/>
  <c r="AR44" i="1"/>
  <c r="AS44" i="1"/>
  <c r="L47" i="1"/>
  <c r="M47" i="1"/>
  <c r="N47" i="1"/>
  <c r="O47" i="1"/>
  <c r="P47" i="1"/>
  <c r="Q47" i="1"/>
  <c r="R47" i="1"/>
  <c r="V47" i="1"/>
  <c r="W47" i="1"/>
  <c r="X47" i="1"/>
  <c r="Y47" i="1"/>
  <c r="Z47" i="1"/>
  <c r="AA47" i="1"/>
  <c r="AB47" i="1"/>
  <c r="AF47" i="1"/>
  <c r="AG47" i="1"/>
  <c r="AH47" i="1"/>
  <c r="AI47" i="1"/>
  <c r="AJ47" i="1"/>
  <c r="AK47" i="1"/>
  <c r="AL47" i="1"/>
  <c r="AP47" i="1"/>
  <c r="AQ47" i="1"/>
  <c r="AR47" i="1"/>
  <c r="AS47" i="1"/>
  <c r="AT47" i="1"/>
  <c r="AU47" i="1"/>
  <c r="K48" i="1"/>
  <c r="L48" i="1"/>
  <c r="R48" i="1"/>
  <c r="T48" i="1"/>
  <c r="U48" i="1"/>
  <c r="V48" i="1"/>
  <c r="W48" i="1"/>
  <c r="Y48" i="1"/>
  <c r="AC48" i="1"/>
  <c r="AE48" i="1"/>
  <c r="AI48" i="1"/>
  <c r="AM48" i="1"/>
  <c r="AN48" i="1"/>
  <c r="AO48" i="1"/>
  <c r="AP48" i="1"/>
  <c r="AQ48" i="1"/>
  <c r="K49" i="1"/>
  <c r="K50" i="1"/>
  <c r="L49" i="1"/>
  <c r="M49" i="1"/>
  <c r="N49" i="1"/>
  <c r="O49" i="1"/>
  <c r="O50" i="1"/>
  <c r="P49" i="1"/>
  <c r="P50" i="1"/>
  <c r="R49" i="1"/>
  <c r="R50" i="1"/>
  <c r="S49" i="1"/>
  <c r="S50" i="1"/>
  <c r="T49" i="1"/>
  <c r="T50" i="1"/>
  <c r="U49" i="1"/>
  <c r="U50" i="1"/>
  <c r="V49" i="1"/>
  <c r="V50" i="1"/>
  <c r="X49" i="1"/>
  <c r="Y49" i="1"/>
  <c r="Z49" i="1"/>
  <c r="AB49" i="1"/>
  <c r="AB50" i="1"/>
  <c r="AC49" i="1"/>
  <c r="AC50" i="1"/>
  <c r="AD49" i="1"/>
  <c r="AD50" i="1"/>
  <c r="AE49" i="1"/>
  <c r="AE50" i="1"/>
  <c r="AF49" i="1"/>
  <c r="AF50" i="1"/>
  <c r="AG49" i="1"/>
  <c r="AG50" i="1"/>
  <c r="AI49" i="1"/>
  <c r="AL49" i="1"/>
  <c r="AM49" i="1"/>
  <c r="AN49" i="1"/>
  <c r="AN50" i="1"/>
  <c r="AO49" i="1"/>
  <c r="AO50" i="1"/>
  <c r="AP49" i="1"/>
  <c r="AP50" i="1"/>
  <c r="AQ49" i="1"/>
  <c r="AQ50" i="1"/>
  <c r="AR49" i="1"/>
  <c r="AR50" i="1"/>
  <c r="AS49" i="1"/>
  <c r="L50" i="1"/>
  <c r="M50" i="1"/>
  <c r="N50" i="1"/>
  <c r="X50" i="1"/>
  <c r="Y50" i="1"/>
  <c r="Z50" i="1"/>
  <c r="AI50" i="1"/>
  <c r="AL50" i="1"/>
  <c r="AM50" i="1"/>
  <c r="AS50" i="1"/>
  <c r="N56" i="1"/>
  <c r="O56" i="1"/>
  <c r="Q61" i="1"/>
  <c r="Q62" i="1"/>
  <c r="R61" i="1"/>
  <c r="R62" i="1"/>
  <c r="T55" i="1"/>
  <c r="X53" i="1"/>
  <c r="X60" i="1"/>
  <c r="Y56" i="1"/>
  <c r="Z56" i="1"/>
  <c r="AA61" i="1"/>
  <c r="AA62" i="1"/>
  <c r="AB53" i="1"/>
  <c r="AB60" i="1"/>
  <c r="AD55" i="1"/>
  <c r="AE55" i="1"/>
  <c r="AH53" i="1"/>
  <c r="AH60" i="1"/>
  <c r="AI56" i="1"/>
  <c r="AK61" i="1"/>
  <c r="AK62" i="1"/>
  <c r="AL55" i="1"/>
  <c r="AN55" i="1"/>
  <c r="AO55" i="1"/>
  <c r="AP55" i="1"/>
  <c r="AR53" i="1"/>
  <c r="AR60" i="1"/>
  <c r="AS56" i="1"/>
  <c r="AT53" i="1"/>
  <c r="AT60" i="1"/>
  <c r="J52" i="1"/>
  <c r="K52" i="1"/>
  <c r="K59" i="1"/>
  <c r="L52" i="1"/>
  <c r="L59" i="1"/>
  <c r="M52" i="1"/>
  <c r="N52" i="1"/>
  <c r="O52" i="1"/>
  <c r="P52" i="1"/>
  <c r="Q52" i="1"/>
  <c r="R52" i="1"/>
  <c r="S52" i="1"/>
  <c r="T52" i="1"/>
  <c r="U52" i="1"/>
  <c r="U59" i="1"/>
  <c r="V52" i="1"/>
  <c r="W52" i="1"/>
  <c r="X52" i="1"/>
  <c r="Y52" i="1"/>
  <c r="Z52" i="1"/>
  <c r="AA52" i="1"/>
  <c r="AB52" i="1"/>
  <c r="AC52" i="1"/>
  <c r="AC59" i="1"/>
  <c r="AD52" i="1"/>
  <c r="AE52" i="1"/>
  <c r="AE59" i="1"/>
  <c r="AF52" i="1"/>
  <c r="AF59" i="1"/>
  <c r="AG52" i="1"/>
  <c r="AG59" i="1"/>
  <c r="AH52" i="1"/>
  <c r="AI52" i="1"/>
  <c r="AJ52" i="1"/>
  <c r="AK52" i="1"/>
  <c r="AL52" i="1"/>
  <c r="AM52" i="1"/>
  <c r="AN52" i="1"/>
  <c r="AN59" i="1"/>
  <c r="AO52" i="1"/>
  <c r="AO59" i="1"/>
  <c r="AP52" i="1"/>
  <c r="AP59" i="1"/>
  <c r="AQ52" i="1"/>
  <c r="AQ59" i="1"/>
  <c r="AR52" i="1"/>
  <c r="AS52" i="1"/>
  <c r="AT52" i="1"/>
  <c r="AU52" i="1"/>
  <c r="J53" i="1"/>
  <c r="K53" i="1"/>
  <c r="L53" i="1"/>
  <c r="M53" i="1"/>
  <c r="N53" i="1"/>
  <c r="N60" i="1"/>
  <c r="O53" i="1"/>
  <c r="O60" i="1"/>
  <c r="P53" i="1"/>
  <c r="P60" i="1"/>
  <c r="Q53" i="1"/>
  <c r="Q60" i="1"/>
  <c r="W53" i="1"/>
  <c r="Y53" i="1"/>
  <c r="Y60" i="1"/>
  <c r="Z53" i="1"/>
  <c r="Z60" i="1"/>
  <c r="AA53" i="1"/>
  <c r="AA60" i="1"/>
  <c r="AD53" i="1"/>
  <c r="AD60" i="1"/>
  <c r="AE53" i="1"/>
  <c r="AG53" i="1"/>
  <c r="AI53" i="1"/>
  <c r="AJ53" i="1"/>
  <c r="AJ60" i="1"/>
  <c r="AK53" i="1"/>
  <c r="AK60" i="1"/>
  <c r="AN53" i="1"/>
  <c r="AO53" i="1"/>
  <c r="AO60" i="1"/>
  <c r="AP53" i="1"/>
  <c r="AP60" i="1"/>
  <c r="AQ53" i="1"/>
  <c r="AS53" i="1"/>
  <c r="AU53" i="1"/>
  <c r="AU60" i="1"/>
  <c r="J55" i="1"/>
  <c r="K55" i="1"/>
  <c r="L55" i="1"/>
  <c r="M55" i="1"/>
  <c r="N55" i="1"/>
  <c r="O55" i="1"/>
  <c r="P55" i="1"/>
  <c r="Q55" i="1"/>
  <c r="U55" i="1"/>
  <c r="W55" i="1"/>
  <c r="X55" i="1"/>
  <c r="Y55" i="1"/>
  <c r="Z55" i="1"/>
  <c r="AA55" i="1"/>
  <c r="AG55" i="1"/>
  <c r="AH55" i="1"/>
  <c r="AI55" i="1"/>
  <c r="AJ55" i="1"/>
  <c r="AK55" i="1"/>
  <c r="AQ55" i="1"/>
  <c r="AR55" i="1"/>
  <c r="AS55" i="1"/>
  <c r="AT55" i="1"/>
  <c r="AU55" i="1"/>
  <c r="J56" i="1"/>
  <c r="K56" i="1"/>
  <c r="L56" i="1"/>
  <c r="M56" i="1"/>
  <c r="P56" i="1"/>
  <c r="Q56" i="1"/>
  <c r="T56" i="1"/>
  <c r="U56" i="1"/>
  <c r="V56" i="1"/>
  <c r="W56" i="1"/>
  <c r="X56" i="1"/>
  <c r="AA56" i="1"/>
  <c r="AC56" i="1"/>
  <c r="AD56" i="1"/>
  <c r="AE56" i="1"/>
  <c r="AF56" i="1"/>
  <c r="AG56" i="1"/>
  <c r="AH56" i="1"/>
  <c r="AJ56" i="1"/>
  <c r="AO56" i="1"/>
  <c r="AP56" i="1"/>
  <c r="AQ56" i="1"/>
  <c r="AR56" i="1"/>
  <c r="AT56" i="1"/>
  <c r="AU56" i="1"/>
  <c r="M59" i="1"/>
  <c r="N59" i="1"/>
  <c r="O59" i="1"/>
  <c r="P59" i="1"/>
  <c r="Q59" i="1"/>
  <c r="R59" i="1"/>
  <c r="S59" i="1"/>
  <c r="T59" i="1"/>
  <c r="V59" i="1"/>
  <c r="W59" i="1"/>
  <c r="X59" i="1"/>
  <c r="Y59" i="1"/>
  <c r="Z59" i="1"/>
  <c r="AA59" i="1"/>
  <c r="AB59" i="1"/>
  <c r="AD59" i="1"/>
  <c r="AH59" i="1"/>
  <c r="AI59" i="1"/>
  <c r="AJ59" i="1"/>
  <c r="AK59" i="1"/>
  <c r="AL59" i="1"/>
  <c r="AM59" i="1"/>
  <c r="AR59" i="1"/>
  <c r="AS59" i="1"/>
  <c r="AT59" i="1"/>
  <c r="AU59" i="1"/>
  <c r="M60" i="1"/>
  <c r="W60" i="1"/>
  <c r="AE60" i="1"/>
  <c r="AG60" i="1"/>
  <c r="AI60" i="1"/>
  <c r="AN60" i="1"/>
  <c r="AQ60" i="1"/>
  <c r="AS60" i="1"/>
  <c r="M61" i="1"/>
  <c r="N61" i="1"/>
  <c r="N62" i="1"/>
  <c r="O61" i="1"/>
  <c r="O62" i="1"/>
  <c r="P61" i="1"/>
  <c r="P62" i="1"/>
  <c r="W61" i="1"/>
  <c r="Y61" i="1"/>
  <c r="Z61" i="1"/>
  <c r="Z62" i="1"/>
  <c r="AB61" i="1"/>
  <c r="AB62" i="1"/>
  <c r="AC61" i="1"/>
  <c r="AC62" i="1"/>
  <c r="AD61" i="1"/>
  <c r="AD62" i="1"/>
  <c r="AE61" i="1"/>
  <c r="AE62" i="1"/>
  <c r="AG61" i="1"/>
  <c r="AH61" i="1"/>
  <c r="AI61" i="1"/>
  <c r="AJ61" i="1"/>
  <c r="AJ62" i="1"/>
  <c r="AN61" i="1"/>
  <c r="AN62" i="1"/>
  <c r="AO61" i="1"/>
  <c r="AO62" i="1"/>
  <c r="AP61" i="1"/>
  <c r="AP62" i="1"/>
  <c r="AQ61" i="1"/>
  <c r="AS61" i="1"/>
  <c r="AT61" i="1"/>
  <c r="AU61" i="1"/>
  <c r="AU62" i="1"/>
  <c r="M62" i="1"/>
  <c r="W62" i="1"/>
  <c r="Y62" i="1"/>
  <c r="AG62" i="1"/>
  <c r="AH62" i="1"/>
  <c r="AI62" i="1"/>
  <c r="AQ62" i="1"/>
  <c r="AS62" i="1"/>
  <c r="AT62" i="1"/>
  <c r="J67" i="1"/>
  <c r="K67" i="1"/>
  <c r="J68" i="1"/>
  <c r="K68" i="1"/>
  <c r="L68" i="1"/>
  <c r="R65" i="1"/>
  <c r="S67" i="1"/>
  <c r="U67" i="1"/>
  <c r="V68" i="1"/>
  <c r="AB65" i="1"/>
  <c r="AC67" i="1"/>
  <c r="AE67" i="1"/>
  <c r="AF68" i="1"/>
  <c r="AL65" i="1"/>
  <c r="AM67" i="1"/>
  <c r="AO67" i="1"/>
  <c r="AP68" i="1"/>
  <c r="J64" i="1"/>
  <c r="K64" i="1"/>
  <c r="L64" i="1"/>
  <c r="M64" i="1"/>
  <c r="N64" i="1"/>
  <c r="O64" i="1"/>
  <c r="P64" i="1"/>
  <c r="P71" i="1"/>
  <c r="Q64" i="1"/>
  <c r="Q71" i="1"/>
  <c r="R64" i="1"/>
  <c r="R71" i="1"/>
  <c r="S64" i="1"/>
  <c r="S71" i="1"/>
  <c r="T64" i="1"/>
  <c r="T71" i="1"/>
  <c r="U64" i="1"/>
  <c r="V64" i="1"/>
  <c r="W64" i="1"/>
  <c r="X64" i="1"/>
  <c r="Y64" i="1"/>
  <c r="Z64" i="1"/>
  <c r="Z71" i="1"/>
  <c r="AA64" i="1"/>
  <c r="AB64" i="1"/>
  <c r="AB71" i="1"/>
  <c r="AC64" i="1"/>
  <c r="AC71" i="1"/>
  <c r="AD64" i="1"/>
  <c r="AD71" i="1"/>
  <c r="AE64" i="1"/>
  <c r="AF64" i="1"/>
  <c r="AG64" i="1"/>
  <c r="AH64" i="1"/>
  <c r="AI64" i="1"/>
  <c r="AJ64" i="1"/>
  <c r="AJ71" i="1"/>
  <c r="AK64" i="1"/>
  <c r="AK71" i="1"/>
  <c r="AL64" i="1"/>
  <c r="AL71" i="1"/>
  <c r="AM64" i="1"/>
  <c r="AM71" i="1"/>
  <c r="AN64" i="1"/>
  <c r="AN71" i="1"/>
  <c r="AO64" i="1"/>
  <c r="AP64" i="1"/>
  <c r="AQ64" i="1"/>
  <c r="AR64" i="1"/>
  <c r="AS64" i="1"/>
  <c r="AT64" i="1"/>
  <c r="AT71" i="1"/>
  <c r="AU64" i="1"/>
  <c r="AU71" i="1"/>
  <c r="J65" i="1"/>
  <c r="K65" i="1"/>
  <c r="K72" i="1"/>
  <c r="L65" i="1"/>
  <c r="L72" i="1"/>
  <c r="S65" i="1"/>
  <c r="T65" i="1"/>
  <c r="T72" i="1"/>
  <c r="U65" i="1"/>
  <c r="U72" i="1"/>
  <c r="V65" i="1"/>
  <c r="V72" i="1"/>
  <c r="X65" i="1"/>
  <c r="X72" i="1"/>
  <c r="AC65" i="1"/>
  <c r="AC72" i="1"/>
  <c r="AD65" i="1"/>
  <c r="AE65" i="1"/>
  <c r="AE72" i="1"/>
  <c r="AF65" i="1"/>
  <c r="AF72" i="1"/>
  <c r="AM65" i="1"/>
  <c r="AM72" i="1"/>
  <c r="AN65" i="1"/>
  <c r="AN72" i="1"/>
  <c r="AO65" i="1"/>
  <c r="AO72" i="1"/>
  <c r="AP65" i="1"/>
  <c r="AP72" i="1"/>
  <c r="L67" i="1"/>
  <c r="N67" i="1"/>
  <c r="O67" i="1"/>
  <c r="P67" i="1"/>
  <c r="Q67" i="1"/>
  <c r="R67" i="1"/>
  <c r="T67" i="1"/>
  <c r="V67" i="1"/>
  <c r="Y67" i="1"/>
  <c r="Z67" i="1"/>
  <c r="AA67" i="1"/>
  <c r="AB67" i="1"/>
  <c r="AD67" i="1"/>
  <c r="AF67" i="1"/>
  <c r="AJ67" i="1"/>
  <c r="AK67" i="1"/>
  <c r="AL67" i="1"/>
  <c r="AN67" i="1"/>
  <c r="AP67" i="1"/>
  <c r="AR67" i="1"/>
  <c r="AS67" i="1"/>
  <c r="AT67" i="1"/>
  <c r="AU67" i="1"/>
  <c r="O68" i="1"/>
  <c r="P68" i="1"/>
  <c r="Q68" i="1"/>
  <c r="R68" i="1"/>
  <c r="S68" i="1"/>
  <c r="T68" i="1"/>
  <c r="U68" i="1"/>
  <c r="Z68" i="1"/>
  <c r="AA68" i="1"/>
  <c r="AB68" i="1"/>
  <c r="AC68" i="1"/>
  <c r="AD68" i="1"/>
  <c r="AE68" i="1"/>
  <c r="AI68" i="1"/>
  <c r="AJ68" i="1"/>
  <c r="AK68" i="1"/>
  <c r="AL68" i="1"/>
  <c r="AM68" i="1"/>
  <c r="AN68" i="1"/>
  <c r="AO68" i="1"/>
  <c r="AS68" i="1"/>
  <c r="AT68" i="1"/>
  <c r="AU68" i="1"/>
  <c r="K71" i="1"/>
  <c r="L71" i="1"/>
  <c r="M71" i="1"/>
  <c r="N71" i="1"/>
  <c r="O71" i="1"/>
  <c r="U71" i="1"/>
  <c r="V71" i="1"/>
  <c r="W71" i="1"/>
  <c r="X71" i="1"/>
  <c r="Y71" i="1"/>
  <c r="AA71" i="1"/>
  <c r="AE71" i="1"/>
  <c r="AF71" i="1"/>
  <c r="AG71" i="1"/>
  <c r="AH71" i="1"/>
  <c r="AI71" i="1"/>
  <c r="AO71" i="1"/>
  <c r="AP71" i="1"/>
  <c r="AQ71" i="1"/>
  <c r="AR71" i="1"/>
  <c r="AS71" i="1"/>
  <c r="R72" i="1"/>
  <c r="S72" i="1"/>
  <c r="AB72" i="1"/>
  <c r="AD72" i="1"/>
  <c r="AL72" i="1"/>
  <c r="K73" i="1"/>
  <c r="K74" i="1"/>
  <c r="L73" i="1"/>
  <c r="L74" i="1"/>
  <c r="Q73" i="1"/>
  <c r="Q74" i="1"/>
  <c r="R73" i="1"/>
  <c r="R74" i="1"/>
  <c r="S73" i="1"/>
  <c r="S74" i="1"/>
  <c r="T73" i="1"/>
  <c r="U73" i="1"/>
  <c r="V73" i="1"/>
  <c r="AA73" i="1"/>
  <c r="AA74" i="1"/>
  <c r="AB73" i="1"/>
  <c r="AB74" i="1"/>
  <c r="AC73" i="1"/>
  <c r="AC74" i="1"/>
  <c r="AD73" i="1"/>
  <c r="AD74" i="1"/>
  <c r="AE73" i="1"/>
  <c r="AF73" i="1"/>
  <c r="AK73" i="1"/>
  <c r="AK74" i="1"/>
  <c r="AL73" i="1"/>
  <c r="AL74" i="1"/>
  <c r="AM73" i="1"/>
  <c r="AM74" i="1"/>
  <c r="AN73" i="1"/>
  <c r="AN74" i="1"/>
  <c r="AO73" i="1"/>
  <c r="AO74" i="1"/>
  <c r="AP73" i="1"/>
  <c r="AP74" i="1"/>
  <c r="AU73" i="1"/>
  <c r="AU74" i="1"/>
  <c r="T74" i="1"/>
  <c r="U74" i="1"/>
  <c r="V74" i="1"/>
  <c r="AE74" i="1"/>
  <c r="AF74" i="1"/>
  <c r="J79" i="1"/>
  <c r="K79" i="1"/>
  <c r="J80" i="1"/>
  <c r="K80" i="1"/>
  <c r="L80" i="1"/>
  <c r="L79" i="1"/>
  <c r="M79" i="1"/>
  <c r="P77" i="1"/>
  <c r="R77" i="1"/>
  <c r="S79" i="1"/>
  <c r="V80" i="1"/>
  <c r="X77" i="1"/>
  <c r="X84" i="1"/>
  <c r="Z77" i="1"/>
  <c r="AB77" i="1"/>
  <c r="AC79" i="1"/>
  <c r="AF80" i="1"/>
  <c r="AJ77" i="1"/>
  <c r="AO79" i="1"/>
  <c r="AP80" i="1"/>
  <c r="AT77" i="1"/>
  <c r="J76" i="1"/>
  <c r="K76" i="1"/>
  <c r="K83" i="1"/>
  <c r="L76" i="1"/>
  <c r="L83" i="1"/>
  <c r="M76" i="1"/>
  <c r="N76" i="1"/>
  <c r="N83" i="1"/>
  <c r="O76" i="1"/>
  <c r="P76" i="1"/>
  <c r="Q76" i="1"/>
  <c r="R76" i="1"/>
  <c r="R83" i="1"/>
  <c r="S76" i="1"/>
  <c r="T76" i="1"/>
  <c r="T83" i="1"/>
  <c r="U76" i="1"/>
  <c r="V76" i="1"/>
  <c r="W76" i="1"/>
  <c r="X76" i="1"/>
  <c r="X83" i="1"/>
  <c r="Y76" i="1"/>
  <c r="Z76" i="1"/>
  <c r="Z83" i="1"/>
  <c r="AA76" i="1"/>
  <c r="AB76" i="1"/>
  <c r="AB83" i="1"/>
  <c r="AC76" i="1"/>
  <c r="AD76" i="1"/>
  <c r="AD83" i="1"/>
  <c r="AE76" i="1"/>
  <c r="AE83" i="1"/>
  <c r="AF76" i="1"/>
  <c r="AG76" i="1"/>
  <c r="AH76" i="1"/>
  <c r="AI76" i="1"/>
  <c r="AJ76" i="1"/>
  <c r="AK76" i="1"/>
  <c r="AL76" i="1"/>
  <c r="AL83" i="1"/>
  <c r="AM76" i="1"/>
  <c r="AN76" i="1"/>
  <c r="AN83" i="1"/>
  <c r="AO76" i="1"/>
  <c r="AP76" i="1"/>
  <c r="AQ76" i="1"/>
  <c r="AR76" i="1"/>
  <c r="AS76" i="1"/>
  <c r="AT76" i="1"/>
  <c r="AU76" i="1"/>
  <c r="J77" i="1"/>
  <c r="K77" i="1"/>
  <c r="K84" i="1"/>
  <c r="L77" i="1"/>
  <c r="M77" i="1"/>
  <c r="M84" i="1"/>
  <c r="N77" i="1"/>
  <c r="N84" i="1"/>
  <c r="O77" i="1"/>
  <c r="O84" i="1"/>
  <c r="S77" i="1"/>
  <c r="S84" i="1"/>
  <c r="T77" i="1"/>
  <c r="T84" i="1"/>
  <c r="V77" i="1"/>
  <c r="W77" i="1"/>
  <c r="W84" i="1"/>
  <c r="Y77" i="1"/>
  <c r="Y84" i="1"/>
  <c r="AC77" i="1"/>
  <c r="AC84" i="1"/>
  <c r="AD77" i="1"/>
  <c r="AF77" i="1"/>
  <c r="AG77" i="1"/>
  <c r="AH77" i="1"/>
  <c r="AI77" i="1"/>
  <c r="AM77" i="1"/>
  <c r="AM84" i="1"/>
  <c r="AN77" i="1"/>
  <c r="AN84" i="1"/>
  <c r="AO77" i="1"/>
  <c r="AO84" i="1"/>
  <c r="AP77" i="1"/>
  <c r="AP84" i="1"/>
  <c r="AQ77" i="1"/>
  <c r="AR77" i="1"/>
  <c r="AS77" i="1"/>
  <c r="N79" i="1"/>
  <c r="O79" i="1"/>
  <c r="P79" i="1"/>
  <c r="R79" i="1"/>
  <c r="T79" i="1"/>
  <c r="V79" i="1"/>
  <c r="W79" i="1"/>
  <c r="X79" i="1"/>
  <c r="Y79" i="1"/>
  <c r="Z79" i="1"/>
  <c r="AB79" i="1"/>
  <c r="AD79" i="1"/>
  <c r="AF79" i="1"/>
  <c r="AG79" i="1"/>
  <c r="AH79" i="1"/>
  <c r="AI79" i="1"/>
  <c r="AJ79" i="1"/>
  <c r="AN79" i="1"/>
  <c r="AP79" i="1"/>
  <c r="AQ79" i="1"/>
  <c r="AR79" i="1"/>
  <c r="AS79" i="1"/>
  <c r="AT79" i="1"/>
  <c r="O80" i="1"/>
  <c r="P80" i="1"/>
  <c r="R80" i="1"/>
  <c r="S80" i="1"/>
  <c r="T80" i="1"/>
  <c r="W80" i="1"/>
  <c r="Y80" i="1"/>
  <c r="Z80" i="1"/>
  <c r="AC80" i="1"/>
  <c r="AD80" i="1"/>
  <c r="AE80" i="1"/>
  <c r="AG80" i="1"/>
  <c r="AI80" i="1"/>
  <c r="AJ80" i="1"/>
  <c r="AM80" i="1"/>
  <c r="AN80" i="1"/>
  <c r="AO80" i="1"/>
  <c r="AQ80" i="1"/>
  <c r="AS80" i="1"/>
  <c r="AT80" i="1"/>
  <c r="M83" i="1"/>
  <c r="O83" i="1"/>
  <c r="P83" i="1"/>
  <c r="Q83" i="1"/>
  <c r="S83" i="1"/>
  <c r="U83" i="1"/>
  <c r="V83" i="1"/>
  <c r="W83" i="1"/>
  <c r="Y83" i="1"/>
  <c r="AA83" i="1"/>
  <c r="AC83" i="1"/>
  <c r="AF83" i="1"/>
  <c r="AG83" i="1"/>
  <c r="AH83" i="1"/>
  <c r="AI83" i="1"/>
  <c r="AJ83" i="1"/>
  <c r="AK83" i="1"/>
  <c r="AM83" i="1"/>
  <c r="AO83" i="1"/>
  <c r="AP83" i="1"/>
  <c r="AQ83" i="1"/>
  <c r="AR83" i="1"/>
  <c r="AS83" i="1"/>
  <c r="AT83" i="1"/>
  <c r="AU83" i="1"/>
  <c r="L84" i="1"/>
  <c r="P84" i="1"/>
  <c r="R84" i="1"/>
  <c r="V84" i="1"/>
  <c r="Z84" i="1"/>
  <c r="AB84" i="1"/>
  <c r="AD84" i="1"/>
  <c r="AF84" i="1"/>
  <c r="AG84" i="1"/>
  <c r="AH84" i="1"/>
  <c r="AI84" i="1"/>
  <c r="AJ84" i="1"/>
  <c r="AQ84" i="1"/>
  <c r="AR84" i="1"/>
  <c r="AS84" i="1"/>
  <c r="AT84" i="1"/>
  <c r="K85" i="1"/>
  <c r="L85" i="1"/>
  <c r="M85" i="1"/>
  <c r="O85" i="1"/>
  <c r="P85" i="1"/>
  <c r="P86" i="1"/>
  <c r="R85" i="1"/>
  <c r="R86" i="1"/>
  <c r="S85" i="1"/>
  <c r="S86" i="1"/>
  <c r="T85" i="1"/>
  <c r="T86" i="1"/>
  <c r="V85" i="1"/>
  <c r="W85" i="1"/>
  <c r="Y85" i="1"/>
  <c r="Z85" i="1"/>
  <c r="Z86" i="1"/>
  <c r="AB85" i="1"/>
  <c r="AB86" i="1"/>
  <c r="AC85" i="1"/>
  <c r="AC86" i="1"/>
  <c r="AD85" i="1"/>
  <c r="AD86" i="1"/>
  <c r="AF85" i="1"/>
  <c r="AG85" i="1"/>
  <c r="AI85" i="1"/>
  <c r="AJ85" i="1"/>
  <c r="AM85" i="1"/>
  <c r="AM86" i="1"/>
  <c r="AN85" i="1"/>
  <c r="AN86" i="1"/>
  <c r="AO85" i="1"/>
  <c r="AO86" i="1"/>
  <c r="AP85" i="1"/>
  <c r="AP86" i="1"/>
  <c r="AQ85" i="1"/>
  <c r="AS85" i="1"/>
  <c r="AT85" i="1"/>
  <c r="K86" i="1"/>
  <c r="L86" i="1"/>
  <c r="M86" i="1"/>
  <c r="O86" i="1"/>
  <c r="V86" i="1"/>
  <c r="W86" i="1"/>
  <c r="Y86" i="1"/>
  <c r="AF86" i="1"/>
  <c r="AG86" i="1"/>
  <c r="AI86" i="1"/>
  <c r="AJ86" i="1"/>
  <c r="AQ86" i="1"/>
  <c r="AS86" i="1"/>
  <c r="AT86" i="1"/>
  <c r="N97" i="1"/>
  <c r="P89" i="1"/>
  <c r="Q89" i="1"/>
  <c r="Q96" i="1"/>
  <c r="S91" i="1"/>
  <c r="W89" i="1"/>
  <c r="W96" i="1"/>
  <c r="X97" i="1"/>
  <c r="Z89" i="1"/>
  <c r="AC91" i="1"/>
  <c r="AH97" i="1"/>
  <c r="AJ89" i="1"/>
  <c r="AM91" i="1"/>
  <c r="AO91" i="1"/>
  <c r="AR97" i="1"/>
  <c r="AT89" i="1"/>
  <c r="J88" i="1"/>
  <c r="K88" i="1"/>
  <c r="K95" i="1"/>
  <c r="L88" i="1"/>
  <c r="M88" i="1"/>
  <c r="N88" i="1"/>
  <c r="O88" i="1"/>
  <c r="P88" i="1"/>
  <c r="Q88" i="1"/>
  <c r="R88" i="1"/>
  <c r="R95" i="1"/>
  <c r="S88" i="1"/>
  <c r="T88" i="1"/>
  <c r="T95" i="1"/>
  <c r="U88" i="1"/>
  <c r="U95" i="1"/>
  <c r="V88" i="1"/>
  <c r="W88" i="1"/>
  <c r="X88" i="1"/>
  <c r="Y88" i="1"/>
  <c r="Z88" i="1"/>
  <c r="AA88" i="1"/>
  <c r="AB88" i="1"/>
  <c r="AB95" i="1"/>
  <c r="AC88" i="1"/>
  <c r="AD88" i="1"/>
  <c r="AD95" i="1"/>
  <c r="AE88" i="1"/>
  <c r="AE95" i="1"/>
  <c r="AF88" i="1"/>
  <c r="AF95" i="1"/>
  <c r="AG88" i="1"/>
  <c r="AH88" i="1"/>
  <c r="AI88" i="1"/>
  <c r="AJ88" i="1"/>
  <c r="AK88" i="1"/>
  <c r="AL88" i="1"/>
  <c r="AL95" i="1"/>
  <c r="AM88" i="1"/>
  <c r="AN88" i="1"/>
  <c r="AN95" i="1"/>
  <c r="AO88" i="1"/>
  <c r="AO95" i="1"/>
  <c r="AP88" i="1"/>
  <c r="AP95" i="1"/>
  <c r="AQ88" i="1"/>
  <c r="AR88" i="1"/>
  <c r="AS88" i="1"/>
  <c r="AS95" i="1"/>
  <c r="AT88" i="1"/>
  <c r="AU88" i="1"/>
  <c r="J89" i="1"/>
  <c r="K89" i="1"/>
  <c r="L89" i="1"/>
  <c r="M89" i="1"/>
  <c r="M96" i="1"/>
  <c r="N89" i="1"/>
  <c r="N96" i="1"/>
  <c r="O89" i="1"/>
  <c r="O96" i="1"/>
  <c r="T89" i="1"/>
  <c r="X89" i="1"/>
  <c r="X96" i="1"/>
  <c r="Y89" i="1"/>
  <c r="Y96" i="1"/>
  <c r="AC89" i="1"/>
  <c r="AC96" i="1"/>
  <c r="AD89" i="1"/>
  <c r="AD96" i="1"/>
  <c r="AG89" i="1"/>
  <c r="AI89" i="1"/>
  <c r="AI96" i="1"/>
  <c r="AN89" i="1"/>
  <c r="AN96" i="1"/>
  <c r="AO89" i="1"/>
  <c r="AO96" i="1"/>
  <c r="AQ89" i="1"/>
  <c r="AR89" i="1"/>
  <c r="J91" i="1"/>
  <c r="K91" i="1"/>
  <c r="L91" i="1"/>
  <c r="M91" i="1"/>
  <c r="N91" i="1"/>
  <c r="O91" i="1"/>
  <c r="P91" i="1"/>
  <c r="T91" i="1"/>
  <c r="U91" i="1"/>
  <c r="V91" i="1"/>
  <c r="W91" i="1"/>
  <c r="X91" i="1"/>
  <c r="Y91" i="1"/>
  <c r="Z91" i="1"/>
  <c r="AD91" i="1"/>
  <c r="AF91" i="1"/>
  <c r="AG91" i="1"/>
  <c r="AH91" i="1"/>
  <c r="AI91" i="1"/>
  <c r="AJ91" i="1"/>
  <c r="AN91" i="1"/>
  <c r="AQ91" i="1"/>
  <c r="AR91" i="1"/>
  <c r="AS91" i="1"/>
  <c r="AT91" i="1"/>
  <c r="J92" i="1"/>
  <c r="K92" i="1"/>
  <c r="L92" i="1"/>
  <c r="M92" i="1"/>
  <c r="N92" i="1"/>
  <c r="O92" i="1"/>
  <c r="P92" i="1"/>
  <c r="T92" i="1"/>
  <c r="U92" i="1"/>
  <c r="W92" i="1"/>
  <c r="X92" i="1"/>
  <c r="Z92" i="1"/>
  <c r="AB92" i="1"/>
  <c r="AC92" i="1"/>
  <c r="AD92" i="1"/>
  <c r="AG92" i="1"/>
  <c r="AH92" i="1"/>
  <c r="AJ92" i="1"/>
  <c r="AM92" i="1"/>
  <c r="AN92" i="1"/>
  <c r="AO92" i="1"/>
  <c r="AQ92" i="1"/>
  <c r="AR92" i="1"/>
  <c r="AS92" i="1"/>
  <c r="AT92" i="1"/>
  <c r="L95" i="1"/>
  <c r="M95" i="1"/>
  <c r="N95" i="1"/>
  <c r="O95" i="1"/>
  <c r="P95" i="1"/>
  <c r="Q95" i="1"/>
  <c r="S95" i="1"/>
  <c r="V95" i="1"/>
  <c r="G88" i="1"/>
  <c r="G95" i="1"/>
  <c r="H88" i="1"/>
  <c r="H95" i="1"/>
  <c r="I95" i="1"/>
  <c r="J95" i="1"/>
  <c r="W95" i="1"/>
  <c r="X95" i="1"/>
  <c r="Y95" i="1"/>
  <c r="Z95" i="1"/>
  <c r="AA95" i="1"/>
  <c r="AC95" i="1"/>
  <c r="AG95" i="1"/>
  <c r="AH95" i="1"/>
  <c r="AI95" i="1"/>
  <c r="AJ95" i="1"/>
  <c r="AK95" i="1"/>
  <c r="AM95" i="1"/>
  <c r="AQ95" i="1"/>
  <c r="AR95" i="1"/>
  <c r="A95" i="1"/>
  <c r="AT95" i="1"/>
  <c r="AU95" i="1"/>
  <c r="P96" i="1"/>
  <c r="T96" i="1"/>
  <c r="Z96" i="1"/>
  <c r="AG96" i="1"/>
  <c r="AJ96" i="1"/>
  <c r="AQ96" i="1"/>
  <c r="AR96" i="1"/>
  <c r="AT96" i="1"/>
  <c r="M97" i="1"/>
  <c r="M98" i="1"/>
  <c r="O97" i="1"/>
  <c r="P97" i="1"/>
  <c r="P98" i="1"/>
  <c r="T97" i="1"/>
  <c r="T98" i="1"/>
  <c r="Y97" i="1"/>
  <c r="Y98" i="1"/>
  <c r="Z97" i="1"/>
  <c r="Z98" i="1"/>
  <c r="AA97" i="1"/>
  <c r="AA98" i="1"/>
  <c r="AB97" i="1"/>
  <c r="AB98" i="1"/>
  <c r="AC97" i="1"/>
  <c r="AC98" i="1"/>
  <c r="AD97" i="1"/>
  <c r="AD98" i="1"/>
  <c r="AG97" i="1"/>
  <c r="AJ97" i="1"/>
  <c r="AM97" i="1"/>
  <c r="AM98" i="1"/>
  <c r="AN97" i="1"/>
  <c r="AN98" i="1"/>
  <c r="AO97" i="1"/>
  <c r="AO98" i="1"/>
  <c r="AQ97" i="1"/>
  <c r="AS97" i="1"/>
  <c r="AT97" i="1"/>
  <c r="N98" i="1"/>
  <c r="O98" i="1"/>
  <c r="X98" i="1"/>
  <c r="AG98" i="1"/>
  <c r="AH98" i="1"/>
  <c r="AJ98" i="1"/>
  <c r="AQ98" i="1"/>
  <c r="AR98" i="1"/>
  <c r="AS98" i="1"/>
  <c r="AT98" i="1"/>
  <c r="K103" i="1"/>
  <c r="N109" i="1"/>
  <c r="P101" i="1"/>
  <c r="S103" i="1"/>
  <c r="U101" i="1"/>
  <c r="U108" i="1"/>
  <c r="V104" i="1"/>
  <c r="W101" i="1"/>
  <c r="X109" i="1"/>
  <c r="Z101" i="1"/>
  <c r="AC103" i="1"/>
  <c r="AH109" i="1"/>
  <c r="AJ101" i="1"/>
  <c r="AM103" i="1"/>
  <c r="AR109" i="1"/>
  <c r="AT101" i="1"/>
  <c r="AU101" i="1"/>
  <c r="J100" i="1"/>
  <c r="K100" i="1"/>
  <c r="L100" i="1"/>
  <c r="M100" i="1"/>
  <c r="N100" i="1"/>
  <c r="O100" i="1"/>
  <c r="P100" i="1"/>
  <c r="Q100" i="1"/>
  <c r="R100" i="1"/>
  <c r="R107" i="1"/>
  <c r="S100" i="1"/>
  <c r="T100" i="1"/>
  <c r="T107" i="1"/>
  <c r="U100" i="1"/>
  <c r="V100" i="1"/>
  <c r="W100" i="1"/>
  <c r="X100" i="1"/>
  <c r="Y100" i="1"/>
  <c r="Z100" i="1"/>
  <c r="AA100" i="1"/>
  <c r="AB100" i="1"/>
  <c r="AB107" i="1"/>
  <c r="AC100" i="1"/>
  <c r="AD100" i="1"/>
  <c r="AD107" i="1"/>
  <c r="AE100" i="1"/>
  <c r="AE107" i="1"/>
  <c r="AF100" i="1"/>
  <c r="AF107" i="1"/>
  <c r="AG100" i="1"/>
  <c r="AH100" i="1"/>
  <c r="AI100" i="1"/>
  <c r="AJ100" i="1"/>
  <c r="AK100" i="1"/>
  <c r="AL100" i="1"/>
  <c r="AL107" i="1"/>
  <c r="AM100" i="1"/>
  <c r="AN100" i="1"/>
  <c r="AN107" i="1"/>
  <c r="AO100" i="1"/>
  <c r="AO107" i="1"/>
  <c r="AP100" i="1"/>
  <c r="AP107" i="1"/>
  <c r="AQ100" i="1"/>
  <c r="AR100" i="1"/>
  <c r="AS100" i="1"/>
  <c r="AT100" i="1"/>
  <c r="AU100" i="1"/>
  <c r="J101" i="1"/>
  <c r="K101" i="1"/>
  <c r="K108" i="1"/>
  <c r="L101" i="1"/>
  <c r="M101" i="1"/>
  <c r="M108" i="1"/>
  <c r="N101" i="1"/>
  <c r="O101" i="1"/>
  <c r="T101" i="1"/>
  <c r="V101" i="1"/>
  <c r="X101" i="1"/>
  <c r="X108" i="1"/>
  <c r="Y101" i="1"/>
  <c r="Y108" i="1"/>
  <c r="AA101" i="1"/>
  <c r="AA108" i="1"/>
  <c r="AB101" i="1"/>
  <c r="AB108" i="1"/>
  <c r="AC101" i="1"/>
  <c r="AC108" i="1"/>
  <c r="AD101" i="1"/>
  <c r="AD108" i="1"/>
  <c r="AG101" i="1"/>
  <c r="AL101" i="1"/>
  <c r="AL108" i="1"/>
  <c r="AM101" i="1"/>
  <c r="AN101" i="1"/>
  <c r="AO101" i="1"/>
  <c r="AO108" i="1"/>
  <c r="AQ101" i="1"/>
  <c r="AR101" i="1"/>
  <c r="AR108" i="1"/>
  <c r="L103" i="1"/>
  <c r="M103" i="1"/>
  <c r="N103" i="1"/>
  <c r="O103" i="1"/>
  <c r="P103" i="1"/>
  <c r="R103" i="1"/>
  <c r="T103" i="1"/>
  <c r="U103" i="1"/>
  <c r="V103" i="1"/>
  <c r="W103" i="1"/>
  <c r="X103" i="1"/>
  <c r="Y103" i="1"/>
  <c r="Z103" i="1"/>
  <c r="AD103" i="1"/>
  <c r="AF103" i="1"/>
  <c r="AG103" i="1"/>
  <c r="AH103" i="1"/>
  <c r="AJ103" i="1"/>
  <c r="AN103" i="1"/>
  <c r="AO103" i="1"/>
  <c r="AQ103" i="1"/>
  <c r="AR103" i="1"/>
  <c r="AS103" i="1"/>
  <c r="AT103" i="1"/>
  <c r="K104" i="1"/>
  <c r="L104" i="1"/>
  <c r="M104" i="1"/>
  <c r="N104" i="1"/>
  <c r="O104" i="1"/>
  <c r="P104" i="1"/>
  <c r="Q104" i="1"/>
  <c r="R104" i="1"/>
  <c r="S104" i="1"/>
  <c r="T104" i="1"/>
  <c r="U104" i="1"/>
  <c r="W104" i="1"/>
  <c r="X104" i="1"/>
  <c r="Z104" i="1"/>
  <c r="AD104" i="1"/>
  <c r="AE104" i="1"/>
  <c r="AG104" i="1"/>
  <c r="AH104" i="1"/>
  <c r="AJ104" i="1"/>
  <c r="AK104" i="1"/>
  <c r="AM104" i="1"/>
  <c r="AN104" i="1"/>
  <c r="AO104" i="1"/>
  <c r="AQ104" i="1"/>
  <c r="AR104" i="1"/>
  <c r="AT104" i="1"/>
  <c r="AU104" i="1"/>
  <c r="K107" i="1"/>
  <c r="L107" i="1"/>
  <c r="M107" i="1"/>
  <c r="N107" i="1"/>
  <c r="O107" i="1"/>
  <c r="P107" i="1"/>
  <c r="Q107" i="1"/>
  <c r="S107" i="1"/>
  <c r="U107" i="1"/>
  <c r="V107" i="1"/>
  <c r="W107" i="1"/>
  <c r="X107" i="1"/>
  <c r="Y107" i="1"/>
  <c r="Z107" i="1"/>
  <c r="AA107" i="1"/>
  <c r="AC107" i="1"/>
  <c r="AG107" i="1"/>
  <c r="AH107" i="1"/>
  <c r="AI107" i="1"/>
  <c r="AJ107" i="1"/>
  <c r="AK107" i="1"/>
  <c r="AM107" i="1"/>
  <c r="AQ107" i="1"/>
  <c r="AR107" i="1"/>
  <c r="AS107" i="1"/>
  <c r="AT107" i="1"/>
  <c r="AU107" i="1"/>
  <c r="N108" i="1"/>
  <c r="O108" i="1"/>
  <c r="P108" i="1"/>
  <c r="T108" i="1"/>
  <c r="V108" i="1"/>
  <c r="W108" i="1"/>
  <c r="Z108" i="1"/>
  <c r="AG108" i="1"/>
  <c r="AJ108" i="1"/>
  <c r="AM108" i="1"/>
  <c r="AN108" i="1"/>
  <c r="AQ108" i="1"/>
  <c r="AT108" i="1"/>
  <c r="AU108" i="1"/>
  <c r="K109" i="1"/>
  <c r="K110" i="1"/>
  <c r="M109" i="1"/>
  <c r="M110" i="1"/>
  <c r="O109" i="1"/>
  <c r="P109" i="1"/>
  <c r="P110" i="1"/>
  <c r="T109" i="1"/>
  <c r="T110" i="1"/>
  <c r="U109" i="1"/>
  <c r="V109" i="1"/>
  <c r="V110" i="1"/>
  <c r="Y109" i="1"/>
  <c r="Y110" i="1"/>
  <c r="Z109" i="1"/>
  <c r="Z110" i="1"/>
  <c r="AA109" i="1"/>
  <c r="AB109" i="1"/>
  <c r="AB110" i="1"/>
  <c r="AC109" i="1"/>
  <c r="AC110" i="1"/>
  <c r="AD109" i="1"/>
  <c r="AD110" i="1"/>
  <c r="AF109" i="1"/>
  <c r="AG109" i="1"/>
  <c r="AJ109" i="1"/>
  <c r="AJ110" i="1"/>
  <c r="AK109" i="1"/>
  <c r="AK110" i="1"/>
  <c r="AL109" i="1"/>
  <c r="AL110" i="1"/>
  <c r="AM109" i="1"/>
  <c r="AM110" i="1"/>
  <c r="AN109" i="1"/>
  <c r="AN110" i="1"/>
  <c r="AO109" i="1"/>
  <c r="AO110" i="1"/>
  <c r="AP109" i="1"/>
  <c r="AP110" i="1"/>
  <c r="AQ109" i="1"/>
  <c r="AT109" i="1"/>
  <c r="N110" i="1"/>
  <c r="O110" i="1"/>
  <c r="U110" i="1"/>
  <c r="X110" i="1"/>
  <c r="AA110" i="1"/>
  <c r="AF110" i="1"/>
  <c r="AG110" i="1"/>
  <c r="AH110" i="1"/>
  <c r="AQ110" i="1"/>
  <c r="AR110" i="1"/>
  <c r="AT110" i="1"/>
  <c r="O116" i="1"/>
  <c r="Y116" i="1"/>
  <c r="AI116" i="1"/>
  <c r="AJ116" i="1"/>
  <c r="AS116" i="1"/>
  <c r="J112" i="1"/>
  <c r="K112" i="1"/>
  <c r="K119" i="1"/>
  <c r="L112" i="1"/>
  <c r="L119" i="1"/>
  <c r="M112" i="1"/>
  <c r="M119" i="1"/>
  <c r="N112" i="1"/>
  <c r="N119" i="1"/>
  <c r="O112" i="1"/>
  <c r="O119" i="1"/>
  <c r="P112" i="1"/>
  <c r="Q112" i="1"/>
  <c r="R112" i="1"/>
  <c r="S112" i="1"/>
  <c r="T112" i="1"/>
  <c r="T119" i="1"/>
  <c r="U112" i="1"/>
  <c r="U119" i="1"/>
  <c r="V112" i="1"/>
  <c r="V119" i="1"/>
  <c r="W112" i="1"/>
  <c r="W119" i="1"/>
  <c r="X112" i="1"/>
  <c r="X119" i="1"/>
  <c r="Y112" i="1"/>
  <c r="Y119" i="1"/>
  <c r="Z112" i="1"/>
  <c r="AA112" i="1"/>
  <c r="AB112" i="1"/>
  <c r="AB119" i="1"/>
  <c r="AC112" i="1"/>
  <c r="AD112" i="1"/>
  <c r="AD119" i="1"/>
  <c r="AE112" i="1"/>
  <c r="AE119" i="1"/>
  <c r="AF112" i="1"/>
  <c r="AG112" i="1"/>
  <c r="AG119" i="1"/>
  <c r="AH112" i="1"/>
  <c r="AH119" i="1"/>
  <c r="AI112" i="1"/>
  <c r="AI119" i="1"/>
  <c r="AJ112" i="1"/>
  <c r="AK112" i="1"/>
  <c r="AL112" i="1"/>
  <c r="AM112" i="1"/>
  <c r="AM119" i="1"/>
  <c r="AN112" i="1"/>
  <c r="AN119" i="1"/>
  <c r="AO112" i="1"/>
  <c r="AO119" i="1"/>
  <c r="AP112" i="1"/>
  <c r="AP119" i="1"/>
  <c r="AQ112" i="1"/>
  <c r="AR112" i="1"/>
  <c r="AR119" i="1"/>
  <c r="AS112" i="1"/>
  <c r="AS119" i="1"/>
  <c r="AT112" i="1"/>
  <c r="AU112" i="1"/>
  <c r="J113" i="1"/>
  <c r="K113" i="1"/>
  <c r="L113" i="1"/>
  <c r="M113" i="1"/>
  <c r="M120" i="1"/>
  <c r="N113" i="1"/>
  <c r="N120" i="1"/>
  <c r="O113" i="1"/>
  <c r="O120" i="1"/>
  <c r="P113" i="1"/>
  <c r="P120" i="1"/>
  <c r="Q113" i="1"/>
  <c r="Q120" i="1"/>
  <c r="R113" i="1"/>
  <c r="R120" i="1"/>
  <c r="W113" i="1"/>
  <c r="X113" i="1"/>
  <c r="X120" i="1"/>
  <c r="Y113" i="1"/>
  <c r="Y120" i="1"/>
  <c r="Z113" i="1"/>
  <c r="Z120" i="1"/>
  <c r="AG113" i="1"/>
  <c r="AH113" i="1"/>
  <c r="AH120" i="1"/>
  <c r="AI113" i="1"/>
  <c r="AI120" i="1"/>
  <c r="AJ113" i="1"/>
  <c r="AJ120" i="1"/>
  <c r="AK113" i="1"/>
  <c r="AK120" i="1"/>
  <c r="AQ113" i="1"/>
  <c r="AR113" i="1"/>
  <c r="AR120" i="1"/>
  <c r="AS113" i="1"/>
  <c r="AT113" i="1"/>
  <c r="AT120" i="1"/>
  <c r="AU113" i="1"/>
  <c r="AU120" i="1"/>
  <c r="K115" i="1"/>
  <c r="L115" i="1"/>
  <c r="M115" i="1"/>
  <c r="N115" i="1"/>
  <c r="O115" i="1"/>
  <c r="P115" i="1"/>
  <c r="W115" i="1"/>
  <c r="X115" i="1"/>
  <c r="Y115" i="1"/>
  <c r="Z115" i="1"/>
  <c r="AG115" i="1"/>
  <c r="AH115" i="1"/>
  <c r="AI115" i="1"/>
  <c r="AJ115" i="1"/>
  <c r="AK115" i="1"/>
  <c r="AQ115" i="1"/>
  <c r="AR115" i="1"/>
  <c r="AS115" i="1"/>
  <c r="AT115" i="1"/>
  <c r="AU115" i="1"/>
  <c r="K116" i="1"/>
  <c r="L116" i="1"/>
  <c r="M116" i="1"/>
  <c r="N116" i="1"/>
  <c r="P116" i="1"/>
  <c r="Q116" i="1"/>
  <c r="R116" i="1"/>
  <c r="S116" i="1"/>
  <c r="T116" i="1"/>
  <c r="U116" i="1"/>
  <c r="W116" i="1"/>
  <c r="X116" i="1"/>
  <c r="Z116" i="1"/>
  <c r="AD116" i="1"/>
  <c r="AG116" i="1"/>
  <c r="AH116" i="1"/>
  <c r="AQ116" i="1"/>
  <c r="AR116" i="1"/>
  <c r="AT116" i="1"/>
  <c r="P119" i="1"/>
  <c r="Q119" i="1"/>
  <c r="R119" i="1"/>
  <c r="S119" i="1"/>
  <c r="Z119" i="1"/>
  <c r="AA119" i="1"/>
  <c r="AC119" i="1"/>
  <c r="AF119" i="1"/>
  <c r="AJ119" i="1"/>
  <c r="AK119" i="1"/>
  <c r="AL119" i="1"/>
  <c r="AQ119" i="1"/>
  <c r="AT119" i="1"/>
  <c r="AU119" i="1"/>
  <c r="W120" i="1"/>
  <c r="AG120" i="1"/>
  <c r="AQ120" i="1"/>
  <c r="AS120" i="1"/>
  <c r="M121" i="1"/>
  <c r="N121" i="1"/>
  <c r="O121" i="1"/>
  <c r="P121" i="1"/>
  <c r="P122" i="1"/>
  <c r="R121" i="1"/>
  <c r="R122" i="1"/>
  <c r="S121" i="1"/>
  <c r="S122" i="1"/>
  <c r="W121" i="1"/>
  <c r="X121" i="1"/>
  <c r="X122" i="1"/>
  <c r="Y121" i="1"/>
  <c r="Z121" i="1"/>
  <c r="AG121" i="1"/>
  <c r="AH121" i="1"/>
  <c r="AI121" i="1"/>
  <c r="AI122" i="1"/>
  <c r="AJ121" i="1"/>
  <c r="AJ122" i="1"/>
  <c r="AL121" i="1"/>
  <c r="AL122" i="1"/>
  <c r="AM121" i="1"/>
  <c r="AM122" i="1"/>
  <c r="AQ121" i="1"/>
  <c r="AR121" i="1"/>
  <c r="AS121" i="1"/>
  <c r="AT121" i="1"/>
  <c r="M122" i="1"/>
  <c r="N122" i="1"/>
  <c r="O122" i="1"/>
  <c r="W122" i="1"/>
  <c r="Y122" i="1"/>
  <c r="Z122" i="1"/>
  <c r="AG122" i="1"/>
  <c r="AH122" i="1"/>
  <c r="AQ122" i="1"/>
  <c r="AR122" i="1"/>
  <c r="AS122" i="1"/>
  <c r="AT122" i="1"/>
  <c r="J127" i="1"/>
  <c r="K127" i="1"/>
  <c r="L127" i="1"/>
  <c r="O128" i="1"/>
  <c r="P127" i="1"/>
  <c r="V127" i="1"/>
  <c r="Y128" i="1"/>
  <c r="Z128" i="1"/>
  <c r="AF127" i="1"/>
  <c r="AH128" i="1"/>
  <c r="AI128" i="1"/>
  <c r="AJ128" i="1"/>
  <c r="AK125" i="1"/>
  <c r="AK132" i="1"/>
  <c r="AS128" i="1"/>
  <c r="AT128" i="1"/>
  <c r="J124" i="1"/>
  <c r="K124" i="1"/>
  <c r="K131" i="1"/>
  <c r="L124" i="1"/>
  <c r="M124" i="1"/>
  <c r="N124" i="1"/>
  <c r="N131" i="1"/>
  <c r="O124" i="1"/>
  <c r="O131" i="1"/>
  <c r="P124" i="1"/>
  <c r="Q124" i="1"/>
  <c r="R124" i="1"/>
  <c r="S124" i="1"/>
  <c r="T124" i="1"/>
  <c r="U124" i="1"/>
  <c r="U131" i="1"/>
  <c r="V124" i="1"/>
  <c r="V131" i="1"/>
  <c r="W124" i="1"/>
  <c r="W131" i="1"/>
  <c r="X124" i="1"/>
  <c r="X131" i="1"/>
  <c r="Y124" i="1"/>
  <c r="Y131" i="1"/>
  <c r="Z124" i="1"/>
  <c r="AA124" i="1"/>
  <c r="AA131" i="1"/>
  <c r="AB124" i="1"/>
  <c r="AC124" i="1"/>
  <c r="AC131" i="1"/>
  <c r="AD124" i="1"/>
  <c r="AD131" i="1"/>
  <c r="AE124" i="1"/>
  <c r="AE131" i="1"/>
  <c r="AF124" i="1"/>
  <c r="AF131" i="1"/>
  <c r="AG124" i="1"/>
  <c r="AG131" i="1"/>
  <c r="AH124" i="1"/>
  <c r="AH131" i="1"/>
  <c r="AI124" i="1"/>
  <c r="AI131" i="1"/>
  <c r="AJ124" i="1"/>
  <c r="AK124" i="1"/>
  <c r="AL124" i="1"/>
  <c r="AL131" i="1"/>
  <c r="AM124" i="1"/>
  <c r="AM131" i="1"/>
  <c r="AN124" i="1"/>
  <c r="AN131" i="1"/>
  <c r="AO124" i="1"/>
  <c r="AO131" i="1"/>
  <c r="AP124" i="1"/>
  <c r="AP131" i="1"/>
  <c r="AQ124" i="1"/>
  <c r="AQ131" i="1"/>
  <c r="AR124" i="1"/>
  <c r="AR131" i="1"/>
  <c r="AS124" i="1"/>
  <c r="AS131" i="1"/>
  <c r="AT124" i="1"/>
  <c r="AU124" i="1"/>
  <c r="J125" i="1"/>
  <c r="K125" i="1"/>
  <c r="L125" i="1"/>
  <c r="L132" i="1"/>
  <c r="M125" i="1"/>
  <c r="M132" i="1"/>
  <c r="N125" i="1"/>
  <c r="N132" i="1"/>
  <c r="O125" i="1"/>
  <c r="O132" i="1"/>
  <c r="P125" i="1"/>
  <c r="Q125" i="1"/>
  <c r="Q132" i="1"/>
  <c r="R125" i="1"/>
  <c r="R132" i="1"/>
  <c r="W125" i="1"/>
  <c r="W132" i="1"/>
  <c r="X125" i="1"/>
  <c r="X132" i="1"/>
  <c r="Y125" i="1"/>
  <c r="Y132" i="1"/>
  <c r="AG125" i="1"/>
  <c r="AH125" i="1"/>
  <c r="AH132" i="1"/>
  <c r="AI125" i="1"/>
  <c r="AI132" i="1"/>
  <c r="AJ125" i="1"/>
  <c r="AJ132" i="1"/>
  <c r="AQ125" i="1"/>
  <c r="AR125" i="1"/>
  <c r="AR132" i="1"/>
  <c r="AS125" i="1"/>
  <c r="AT125" i="1"/>
  <c r="AT132" i="1"/>
  <c r="AU125" i="1"/>
  <c r="AU132" i="1"/>
  <c r="M127" i="1"/>
  <c r="N127" i="1"/>
  <c r="O127" i="1"/>
  <c r="W127" i="1"/>
  <c r="X127" i="1"/>
  <c r="Y127" i="1"/>
  <c r="Z127" i="1"/>
  <c r="AG127" i="1"/>
  <c r="AH127" i="1"/>
  <c r="AI127" i="1"/>
  <c r="AJ127" i="1"/>
  <c r="AK127" i="1"/>
  <c r="AQ127" i="1"/>
  <c r="AR127" i="1"/>
  <c r="AS127" i="1"/>
  <c r="AT127" i="1"/>
  <c r="J128" i="1"/>
  <c r="K128" i="1"/>
  <c r="L128" i="1"/>
  <c r="M128" i="1"/>
  <c r="N128" i="1"/>
  <c r="P128" i="1"/>
  <c r="Q128" i="1"/>
  <c r="S128" i="1"/>
  <c r="V128" i="1"/>
  <c r="W128" i="1"/>
  <c r="X128" i="1"/>
  <c r="AA128" i="1"/>
  <c r="AF128" i="1"/>
  <c r="AG128" i="1"/>
  <c r="AO128" i="1"/>
  <c r="AQ128" i="1"/>
  <c r="AR128" i="1"/>
  <c r="L131" i="1"/>
  <c r="M131" i="1"/>
  <c r="P131" i="1"/>
  <c r="Q131" i="1"/>
  <c r="R131" i="1"/>
  <c r="S131" i="1"/>
  <c r="T131" i="1"/>
  <c r="Z131" i="1"/>
  <c r="AB131" i="1"/>
  <c r="AJ131" i="1"/>
  <c r="AK131" i="1"/>
  <c r="AT131" i="1"/>
  <c r="AU131" i="1"/>
  <c r="P132" i="1"/>
  <c r="AG132" i="1"/>
  <c r="AQ132" i="1"/>
  <c r="AS132" i="1"/>
  <c r="L133" i="1"/>
  <c r="M133" i="1"/>
  <c r="M134" i="1"/>
  <c r="N133" i="1"/>
  <c r="O133" i="1"/>
  <c r="V133" i="1"/>
  <c r="W133" i="1"/>
  <c r="W134" i="1"/>
  <c r="X133" i="1"/>
  <c r="Y133" i="1"/>
  <c r="Z133" i="1"/>
  <c r="Z134" i="1"/>
  <c r="AF133" i="1"/>
  <c r="AG133" i="1"/>
  <c r="AH133" i="1"/>
  <c r="AH134" i="1"/>
  <c r="AI133" i="1"/>
  <c r="AI134" i="1"/>
  <c r="AJ133" i="1"/>
  <c r="AJ134" i="1"/>
  <c r="AL133" i="1"/>
  <c r="AL134" i="1"/>
  <c r="AQ133" i="1"/>
  <c r="AR133" i="1"/>
  <c r="AS133" i="1"/>
  <c r="AT133" i="1"/>
  <c r="AT134" i="1"/>
  <c r="L134" i="1"/>
  <c r="N134" i="1"/>
  <c r="O134" i="1"/>
  <c r="V134" i="1"/>
  <c r="X134" i="1"/>
  <c r="Y134" i="1"/>
  <c r="AF134" i="1"/>
  <c r="AG134" i="1"/>
  <c r="AQ134" i="1"/>
  <c r="AR134" i="1"/>
  <c r="AS134" i="1"/>
  <c r="J140" i="1"/>
  <c r="K140" i="1"/>
  <c r="J139" i="1"/>
  <c r="K139" i="1"/>
  <c r="L139" i="1"/>
  <c r="V139" i="1"/>
  <c r="AF139" i="1"/>
  <c r="AN140" i="1"/>
  <c r="AO140" i="1"/>
  <c r="AP139" i="1"/>
  <c r="AR140" i="1"/>
  <c r="J136" i="1"/>
  <c r="K136" i="1"/>
  <c r="K143" i="1"/>
  <c r="L136" i="1"/>
  <c r="L143" i="1"/>
  <c r="M136" i="1"/>
  <c r="N136" i="1"/>
  <c r="O136" i="1"/>
  <c r="P136" i="1"/>
  <c r="Q136" i="1"/>
  <c r="R136" i="1"/>
  <c r="R143" i="1"/>
  <c r="S136" i="1"/>
  <c r="S143" i="1"/>
  <c r="T136" i="1"/>
  <c r="T143" i="1"/>
  <c r="U136" i="1"/>
  <c r="U143" i="1"/>
  <c r="V136" i="1"/>
  <c r="V143" i="1"/>
  <c r="W136" i="1"/>
  <c r="W143" i="1"/>
  <c r="X136" i="1"/>
  <c r="Y136" i="1"/>
  <c r="Z136" i="1"/>
  <c r="AA136" i="1"/>
  <c r="AB136" i="1"/>
  <c r="AB143" i="1"/>
  <c r="AC136" i="1"/>
  <c r="AC143" i="1"/>
  <c r="AD136" i="1"/>
  <c r="AD143" i="1"/>
  <c r="AE136" i="1"/>
  <c r="AE143" i="1"/>
  <c r="AF136" i="1"/>
  <c r="AF143" i="1"/>
  <c r="AG136" i="1"/>
  <c r="AG143" i="1"/>
  <c r="AH136" i="1"/>
  <c r="AH143" i="1"/>
  <c r="AI136" i="1"/>
  <c r="AJ136" i="1"/>
  <c r="AK136" i="1"/>
  <c r="AK143" i="1"/>
  <c r="AL136" i="1"/>
  <c r="AL143" i="1"/>
  <c r="AM136" i="1"/>
  <c r="AM143" i="1"/>
  <c r="AN136" i="1"/>
  <c r="AO136" i="1"/>
  <c r="AO143" i="1"/>
  <c r="AP136" i="1"/>
  <c r="AQ136" i="1"/>
  <c r="AR136" i="1"/>
  <c r="AS136" i="1"/>
  <c r="AT136" i="1"/>
  <c r="AU136" i="1"/>
  <c r="J137" i="1"/>
  <c r="K137" i="1"/>
  <c r="K144" i="1"/>
  <c r="L137" i="1"/>
  <c r="L144" i="1"/>
  <c r="M137" i="1"/>
  <c r="M144" i="1"/>
  <c r="N137" i="1"/>
  <c r="N144" i="1"/>
  <c r="V137" i="1"/>
  <c r="V144" i="1"/>
  <c r="W137" i="1"/>
  <c r="W144" i="1"/>
  <c r="X137" i="1"/>
  <c r="X144" i="1"/>
  <c r="AA137" i="1"/>
  <c r="AA144" i="1"/>
  <c r="AB137" i="1"/>
  <c r="AB144" i="1"/>
  <c r="AF137" i="1"/>
  <c r="AG137" i="1"/>
  <c r="AG144" i="1"/>
  <c r="AH137" i="1"/>
  <c r="AH144" i="1"/>
  <c r="AN137" i="1"/>
  <c r="AP137" i="1"/>
  <c r="AQ137" i="1"/>
  <c r="AR137" i="1"/>
  <c r="AR144" i="1"/>
  <c r="M139" i="1"/>
  <c r="N139" i="1"/>
  <c r="R139" i="1"/>
  <c r="S139" i="1"/>
  <c r="T139" i="1"/>
  <c r="U139" i="1"/>
  <c r="W139" i="1"/>
  <c r="X139" i="1"/>
  <c r="AD139" i="1"/>
  <c r="AE139" i="1"/>
  <c r="AG139" i="1"/>
  <c r="AH139" i="1"/>
  <c r="AN139" i="1"/>
  <c r="AO139" i="1"/>
  <c r="AQ139" i="1"/>
  <c r="AR139" i="1"/>
  <c r="AU139" i="1"/>
  <c r="L140" i="1"/>
  <c r="M140" i="1"/>
  <c r="N140" i="1"/>
  <c r="T140" i="1"/>
  <c r="U140" i="1"/>
  <c r="V140" i="1"/>
  <c r="W140" i="1"/>
  <c r="X140" i="1"/>
  <c r="AE140" i="1"/>
  <c r="AF140" i="1"/>
  <c r="AG140" i="1"/>
  <c r="AH140" i="1"/>
  <c r="AP140" i="1"/>
  <c r="AQ140" i="1"/>
  <c r="M143" i="1"/>
  <c r="N143" i="1"/>
  <c r="O143" i="1"/>
  <c r="P143" i="1"/>
  <c r="Q143" i="1"/>
  <c r="X143" i="1"/>
  <c r="Y143" i="1"/>
  <c r="Z143" i="1"/>
  <c r="AA143" i="1"/>
  <c r="AI143" i="1"/>
  <c r="AJ143" i="1"/>
  <c r="AN143" i="1"/>
  <c r="AP143" i="1"/>
  <c r="AQ143" i="1"/>
  <c r="AR143" i="1"/>
  <c r="AS143" i="1"/>
  <c r="AT143" i="1"/>
  <c r="AU143" i="1"/>
  <c r="AF144" i="1"/>
  <c r="AN144" i="1"/>
  <c r="AP144" i="1"/>
  <c r="AQ144" i="1"/>
  <c r="K145" i="1"/>
  <c r="L145" i="1"/>
  <c r="L146" i="1"/>
  <c r="M145" i="1"/>
  <c r="M146" i="1"/>
  <c r="N145" i="1"/>
  <c r="N146" i="1"/>
  <c r="V145" i="1"/>
  <c r="W145" i="1"/>
  <c r="X145" i="1"/>
  <c r="AC145" i="1"/>
  <c r="AC146" i="1"/>
  <c r="AF145" i="1"/>
  <c r="AG145" i="1"/>
  <c r="AG146" i="1"/>
  <c r="AH145" i="1"/>
  <c r="AH146" i="1"/>
  <c r="AN145" i="1"/>
  <c r="AN146" i="1"/>
  <c r="AP145" i="1"/>
  <c r="AQ145" i="1"/>
  <c r="AR145" i="1"/>
  <c r="AR146" i="1"/>
  <c r="K146" i="1"/>
  <c r="V146" i="1"/>
  <c r="W146" i="1"/>
  <c r="X146" i="1"/>
  <c r="AF146" i="1"/>
  <c r="AP146" i="1"/>
  <c r="AQ146" i="1"/>
  <c r="J152" i="1"/>
  <c r="K152" i="1"/>
  <c r="L152" i="1"/>
  <c r="M152" i="1"/>
  <c r="Q151" i="1"/>
  <c r="S149" i="1"/>
  <c r="W152" i="1"/>
  <c r="X151" i="1"/>
  <c r="AC149" i="1"/>
  <c r="AG152" i="1"/>
  <c r="AI151" i="1"/>
  <c r="AM149" i="1"/>
  <c r="AQ152" i="1"/>
  <c r="AR157" i="1"/>
  <c r="AR158" i="1"/>
  <c r="J148" i="1"/>
  <c r="K148" i="1"/>
  <c r="K155" i="1"/>
  <c r="L148" i="1"/>
  <c r="M148" i="1"/>
  <c r="M155" i="1"/>
  <c r="N148" i="1"/>
  <c r="O148" i="1"/>
  <c r="P148" i="1"/>
  <c r="Q148" i="1"/>
  <c r="R148" i="1"/>
  <c r="S148" i="1"/>
  <c r="S155" i="1"/>
  <c r="T148" i="1"/>
  <c r="T155" i="1"/>
  <c r="U148" i="1"/>
  <c r="U155" i="1"/>
  <c r="V148" i="1"/>
  <c r="W148" i="1"/>
  <c r="W155" i="1"/>
  <c r="X148" i="1"/>
  <c r="Y148" i="1"/>
  <c r="Z148" i="1"/>
  <c r="AA148" i="1"/>
  <c r="AA155" i="1"/>
  <c r="AB148" i="1"/>
  <c r="AC148" i="1"/>
  <c r="AC155" i="1"/>
  <c r="AD148" i="1"/>
  <c r="AD155" i="1"/>
  <c r="AE148" i="1"/>
  <c r="AE155" i="1"/>
  <c r="AF148" i="1"/>
  <c r="AG148" i="1"/>
  <c r="AG155" i="1"/>
  <c r="AH148" i="1"/>
  <c r="AI148" i="1"/>
  <c r="AJ148" i="1"/>
  <c r="AK148" i="1"/>
  <c r="AK155" i="1"/>
  <c r="AL148" i="1"/>
  <c r="AL155" i="1"/>
  <c r="AM148" i="1"/>
  <c r="AM155" i="1"/>
  <c r="AN148" i="1"/>
  <c r="AN155" i="1"/>
  <c r="AO148" i="1"/>
  <c r="AO155" i="1"/>
  <c r="AP148" i="1"/>
  <c r="AP155" i="1"/>
  <c r="AQ148" i="1"/>
  <c r="AQ155" i="1"/>
  <c r="AR148" i="1"/>
  <c r="AS148" i="1"/>
  <c r="AT148" i="1"/>
  <c r="AU148" i="1"/>
  <c r="J149" i="1"/>
  <c r="K149" i="1"/>
  <c r="L149" i="1"/>
  <c r="L156" i="1"/>
  <c r="M149" i="1"/>
  <c r="M156" i="1"/>
  <c r="P149" i="1"/>
  <c r="P156" i="1"/>
  <c r="U149" i="1"/>
  <c r="U156" i="1"/>
  <c r="V149" i="1"/>
  <c r="V156" i="1"/>
  <c r="W149" i="1"/>
  <c r="W156" i="1"/>
  <c r="X149" i="1"/>
  <c r="X156" i="1"/>
  <c r="AE149" i="1"/>
  <c r="AE156" i="1"/>
  <c r="AF149" i="1"/>
  <c r="AF156" i="1"/>
  <c r="AG149" i="1"/>
  <c r="AG156" i="1"/>
  <c r="AH149" i="1"/>
  <c r="AH156" i="1"/>
  <c r="AI149" i="1"/>
  <c r="AI156" i="1"/>
  <c r="AJ149" i="1"/>
  <c r="AO149" i="1"/>
  <c r="AP149" i="1"/>
  <c r="AP156" i="1"/>
  <c r="AQ149" i="1"/>
  <c r="AQ156" i="1"/>
  <c r="AS149" i="1"/>
  <c r="AS156" i="1"/>
  <c r="AT149" i="1"/>
  <c r="AT156" i="1"/>
  <c r="J151" i="1"/>
  <c r="K151" i="1"/>
  <c r="L151" i="1"/>
  <c r="M151" i="1"/>
  <c r="N151" i="1"/>
  <c r="P151" i="1"/>
  <c r="R151" i="1"/>
  <c r="S151" i="1"/>
  <c r="U151" i="1"/>
  <c r="V151" i="1"/>
  <c r="W151" i="1"/>
  <c r="Y151" i="1"/>
  <c r="Z151" i="1"/>
  <c r="AA151" i="1"/>
  <c r="AB151" i="1"/>
  <c r="AC151" i="1"/>
  <c r="AE151" i="1"/>
  <c r="AF151" i="1"/>
  <c r="AG151" i="1"/>
  <c r="AH151" i="1"/>
  <c r="AJ151" i="1"/>
  <c r="AK151" i="1"/>
  <c r="AL151" i="1"/>
  <c r="AO151" i="1"/>
  <c r="AP151" i="1"/>
  <c r="AQ151" i="1"/>
  <c r="AR151" i="1"/>
  <c r="AS151" i="1"/>
  <c r="AT151" i="1"/>
  <c r="AU151" i="1"/>
  <c r="Q152" i="1"/>
  <c r="R152" i="1"/>
  <c r="S152" i="1"/>
  <c r="U152" i="1"/>
  <c r="V152" i="1"/>
  <c r="Z152" i="1"/>
  <c r="AA152" i="1"/>
  <c r="AB152" i="1"/>
  <c r="AE152" i="1"/>
  <c r="AF152" i="1"/>
  <c r="AJ152" i="1"/>
  <c r="AK152" i="1"/>
  <c r="AL152" i="1"/>
  <c r="AM152" i="1"/>
  <c r="AO152" i="1"/>
  <c r="AP152" i="1"/>
  <c r="AU152" i="1"/>
  <c r="L155" i="1"/>
  <c r="N155" i="1"/>
  <c r="O155" i="1"/>
  <c r="P155" i="1"/>
  <c r="Q155" i="1"/>
  <c r="R155" i="1"/>
  <c r="V155" i="1"/>
  <c r="X155" i="1"/>
  <c r="Y155" i="1"/>
  <c r="Z155" i="1"/>
  <c r="AB155" i="1"/>
  <c r="AF155" i="1"/>
  <c r="AH155" i="1"/>
  <c r="AI155" i="1"/>
  <c r="AJ155" i="1"/>
  <c r="AR155" i="1"/>
  <c r="AS155" i="1"/>
  <c r="AT155" i="1"/>
  <c r="AU155" i="1"/>
  <c r="K156" i="1"/>
  <c r="S156" i="1"/>
  <c r="AC156" i="1"/>
  <c r="AJ156" i="1"/>
  <c r="AM156" i="1"/>
  <c r="AO156" i="1"/>
  <c r="K157" i="1"/>
  <c r="L157" i="1"/>
  <c r="L158" i="1"/>
  <c r="M157" i="1"/>
  <c r="M158" i="1"/>
  <c r="N157" i="1"/>
  <c r="N158" i="1"/>
  <c r="R157" i="1"/>
  <c r="R158" i="1"/>
  <c r="S157" i="1"/>
  <c r="S158" i="1"/>
  <c r="T157" i="1"/>
  <c r="T158" i="1"/>
  <c r="U157" i="1"/>
  <c r="V157" i="1"/>
  <c r="W157" i="1"/>
  <c r="AB157" i="1"/>
  <c r="AB158" i="1"/>
  <c r="AC157" i="1"/>
  <c r="AC158" i="1"/>
  <c r="AE157" i="1"/>
  <c r="AE158" i="1"/>
  <c r="AF157" i="1"/>
  <c r="AF158" i="1"/>
  <c r="AG157" i="1"/>
  <c r="AG158" i="1"/>
  <c r="AL157" i="1"/>
  <c r="AL158" i="1"/>
  <c r="AO157" i="1"/>
  <c r="AO158" i="1"/>
  <c r="AP157" i="1"/>
  <c r="AP158" i="1"/>
  <c r="AQ157" i="1"/>
  <c r="AQ158" i="1"/>
  <c r="K158" i="1"/>
  <c r="U158" i="1"/>
  <c r="V158" i="1"/>
  <c r="W158" i="1"/>
  <c r="J164" i="1"/>
  <c r="K164" i="1"/>
  <c r="L164" i="1"/>
  <c r="M164" i="1"/>
  <c r="P163" i="1"/>
  <c r="W164" i="1"/>
  <c r="Z161" i="1"/>
  <c r="Z168" i="1"/>
  <c r="AG164" i="1"/>
  <c r="AQ164" i="1"/>
  <c r="J160" i="1"/>
  <c r="K160" i="1"/>
  <c r="K167" i="1"/>
  <c r="L160" i="1"/>
  <c r="L167" i="1"/>
  <c r="M160" i="1"/>
  <c r="M167" i="1"/>
  <c r="N160" i="1"/>
  <c r="O160" i="1"/>
  <c r="P160" i="1"/>
  <c r="Q160" i="1"/>
  <c r="R160" i="1"/>
  <c r="S160" i="1"/>
  <c r="S167" i="1"/>
  <c r="T160" i="1"/>
  <c r="T167" i="1"/>
  <c r="U160" i="1"/>
  <c r="U167" i="1"/>
  <c r="V160" i="1"/>
  <c r="V167" i="1"/>
  <c r="W160" i="1"/>
  <c r="W167" i="1"/>
  <c r="X160" i="1"/>
  <c r="Y160" i="1"/>
  <c r="Z160" i="1"/>
  <c r="AA160" i="1"/>
  <c r="AB160" i="1"/>
  <c r="AC160" i="1"/>
  <c r="AC167" i="1"/>
  <c r="AD160" i="1"/>
  <c r="AD167" i="1"/>
  <c r="AE160" i="1"/>
  <c r="AE167" i="1"/>
  <c r="AF160" i="1"/>
  <c r="AG160" i="1"/>
  <c r="AH160" i="1"/>
  <c r="AI160" i="1"/>
  <c r="AJ160" i="1"/>
  <c r="AK160" i="1"/>
  <c r="AK167" i="1"/>
  <c r="AL160" i="1"/>
  <c r="AL167" i="1"/>
  <c r="AM160" i="1"/>
  <c r="AM167" i="1"/>
  <c r="AN160" i="1"/>
  <c r="AN167" i="1"/>
  <c r="AO160" i="1"/>
  <c r="AO167" i="1"/>
  <c r="AP160" i="1"/>
  <c r="AP167" i="1"/>
  <c r="AQ160" i="1"/>
  <c r="AQ167" i="1"/>
  <c r="AR160" i="1"/>
  <c r="AS160" i="1"/>
  <c r="AT160" i="1"/>
  <c r="AU160" i="1"/>
  <c r="J161" i="1"/>
  <c r="K161" i="1"/>
  <c r="L161" i="1"/>
  <c r="L168" i="1"/>
  <c r="M161" i="1"/>
  <c r="M168" i="1"/>
  <c r="O161" i="1"/>
  <c r="O168" i="1"/>
  <c r="P161" i="1"/>
  <c r="P168" i="1"/>
  <c r="T161" i="1"/>
  <c r="U161" i="1"/>
  <c r="U168" i="1"/>
  <c r="V161" i="1"/>
  <c r="V168" i="1"/>
  <c r="W161" i="1"/>
  <c r="W168" i="1"/>
  <c r="AE161" i="1"/>
  <c r="AE168" i="1"/>
  <c r="AF161" i="1"/>
  <c r="AF168" i="1"/>
  <c r="AG161" i="1"/>
  <c r="AG168" i="1"/>
  <c r="AH161" i="1"/>
  <c r="AH168" i="1"/>
  <c r="AI161" i="1"/>
  <c r="AJ161" i="1"/>
  <c r="AO161" i="1"/>
  <c r="AP161" i="1"/>
  <c r="AP168" i="1"/>
  <c r="AQ161" i="1"/>
  <c r="AQ168" i="1"/>
  <c r="AR161" i="1"/>
  <c r="AR168" i="1"/>
  <c r="AS161" i="1"/>
  <c r="AS168" i="1"/>
  <c r="AT161" i="1"/>
  <c r="AT168" i="1"/>
  <c r="J163" i="1"/>
  <c r="K163" i="1"/>
  <c r="L163" i="1"/>
  <c r="M163" i="1"/>
  <c r="Q163" i="1"/>
  <c r="R163" i="1"/>
  <c r="S163" i="1"/>
  <c r="U163" i="1"/>
  <c r="V163" i="1"/>
  <c r="W163" i="1"/>
  <c r="X163" i="1"/>
  <c r="Y163" i="1"/>
  <c r="Z163" i="1"/>
  <c r="AA163" i="1"/>
  <c r="AB163" i="1"/>
  <c r="AC163" i="1"/>
  <c r="AE163" i="1"/>
  <c r="AF163" i="1"/>
  <c r="AG163" i="1"/>
  <c r="AH163" i="1"/>
  <c r="AI163" i="1"/>
  <c r="AJ163" i="1"/>
  <c r="AK163" i="1"/>
  <c r="AO163" i="1"/>
  <c r="AP163" i="1"/>
  <c r="AQ163" i="1"/>
  <c r="AR163" i="1"/>
  <c r="AS163" i="1"/>
  <c r="AT163" i="1"/>
  <c r="AU163" i="1"/>
  <c r="Q164" i="1"/>
  <c r="R164" i="1"/>
  <c r="S164" i="1"/>
  <c r="T164" i="1"/>
  <c r="U164" i="1"/>
  <c r="V164" i="1"/>
  <c r="Z164" i="1"/>
  <c r="AA164" i="1"/>
  <c r="AD164" i="1"/>
  <c r="AE164" i="1"/>
  <c r="AF164" i="1"/>
  <c r="AJ164" i="1"/>
  <c r="AK164" i="1"/>
  <c r="AL164" i="1"/>
  <c r="AO164" i="1"/>
  <c r="AP164" i="1"/>
  <c r="AT164" i="1"/>
  <c r="AU164" i="1"/>
  <c r="N167" i="1"/>
  <c r="O167" i="1"/>
  <c r="P167" i="1"/>
  <c r="Q167" i="1"/>
  <c r="R167" i="1"/>
  <c r="X167" i="1"/>
  <c r="Y167" i="1"/>
  <c r="Z167" i="1"/>
  <c r="AA167" i="1"/>
  <c r="AB167" i="1"/>
  <c r="AF167" i="1"/>
  <c r="AG167" i="1"/>
  <c r="AH167" i="1"/>
  <c r="AI167" i="1"/>
  <c r="AJ167" i="1"/>
  <c r="AR167" i="1"/>
  <c r="AS167" i="1"/>
  <c r="AT167" i="1"/>
  <c r="AU167" i="1"/>
  <c r="K168" i="1"/>
  <c r="T168" i="1"/>
  <c r="AI168" i="1"/>
  <c r="AJ168" i="1"/>
  <c r="AO168" i="1"/>
  <c r="K169" i="1"/>
  <c r="L169" i="1"/>
  <c r="L170" i="1"/>
  <c r="M169" i="1"/>
  <c r="M170" i="1"/>
  <c r="N169" i="1"/>
  <c r="N170" i="1"/>
  <c r="R169" i="1"/>
  <c r="R170" i="1"/>
  <c r="U169" i="1"/>
  <c r="V169" i="1"/>
  <c r="W169" i="1"/>
  <c r="X169" i="1"/>
  <c r="X170" i="1"/>
  <c r="AB169" i="1"/>
  <c r="AB170" i="1"/>
  <c r="AE169" i="1"/>
  <c r="AE170" i="1"/>
  <c r="AF169" i="1"/>
  <c r="AF170" i="1"/>
  <c r="AG169" i="1"/>
  <c r="AO169" i="1"/>
  <c r="AO170" i="1"/>
  <c r="AP169" i="1"/>
  <c r="AP170" i="1"/>
  <c r="AQ169" i="1"/>
  <c r="AQ170" i="1"/>
  <c r="AR169" i="1"/>
  <c r="AR170" i="1"/>
  <c r="K170" i="1"/>
  <c r="U170" i="1"/>
  <c r="V170" i="1"/>
  <c r="W170" i="1"/>
  <c r="AG170" i="1"/>
  <c r="K176" i="1"/>
  <c r="L176" i="1"/>
  <c r="M176" i="1"/>
  <c r="N176" i="1"/>
  <c r="O175" i="1"/>
  <c r="R181" i="1"/>
  <c r="R182" i="1"/>
  <c r="T173" i="1"/>
  <c r="T180" i="1"/>
  <c r="W176" i="1"/>
  <c r="X176" i="1"/>
  <c r="Y173" i="1"/>
  <c r="AB175" i="1"/>
  <c r="AC173" i="1"/>
  <c r="AC180" i="1"/>
  <c r="AG176" i="1"/>
  <c r="AH176" i="1"/>
  <c r="AQ176" i="1"/>
  <c r="AR176" i="1"/>
  <c r="J172" i="1"/>
  <c r="K172" i="1"/>
  <c r="K179" i="1"/>
  <c r="L172" i="1"/>
  <c r="L179" i="1"/>
  <c r="M172" i="1"/>
  <c r="M179" i="1"/>
  <c r="N172" i="1"/>
  <c r="O172" i="1"/>
  <c r="P172" i="1"/>
  <c r="Q172" i="1"/>
  <c r="R172" i="1"/>
  <c r="S172" i="1"/>
  <c r="S179" i="1"/>
  <c r="T172" i="1"/>
  <c r="T179" i="1"/>
  <c r="U172" i="1"/>
  <c r="U179" i="1"/>
  <c r="V172" i="1"/>
  <c r="V179" i="1"/>
  <c r="W172" i="1"/>
  <c r="W179" i="1"/>
  <c r="X172" i="1"/>
  <c r="Y172" i="1"/>
  <c r="Z172" i="1"/>
  <c r="AA172" i="1"/>
  <c r="AB172" i="1"/>
  <c r="AC172" i="1"/>
  <c r="AC179" i="1"/>
  <c r="AD172" i="1"/>
  <c r="AD179" i="1"/>
  <c r="AE172" i="1"/>
  <c r="AE179" i="1"/>
  <c r="AF172" i="1"/>
  <c r="AG172" i="1"/>
  <c r="AG179" i="1"/>
  <c r="AH172" i="1"/>
  <c r="AI172" i="1"/>
  <c r="AJ172" i="1"/>
  <c r="AK172" i="1"/>
  <c r="AK179" i="1"/>
  <c r="AL172" i="1"/>
  <c r="AL179" i="1"/>
  <c r="AM172" i="1"/>
  <c r="AM179" i="1"/>
  <c r="AN172" i="1"/>
  <c r="AN179" i="1"/>
  <c r="AO172" i="1"/>
  <c r="AO179" i="1"/>
  <c r="AP172" i="1"/>
  <c r="AQ172" i="1"/>
  <c r="AR172" i="1"/>
  <c r="AS172" i="1"/>
  <c r="AT172" i="1"/>
  <c r="AU172" i="1"/>
  <c r="J173" i="1"/>
  <c r="K173" i="1"/>
  <c r="L173" i="1"/>
  <c r="L180" i="1"/>
  <c r="M173" i="1"/>
  <c r="M180" i="1"/>
  <c r="N173" i="1"/>
  <c r="N180" i="1"/>
  <c r="O173" i="1"/>
  <c r="O180" i="1"/>
  <c r="P173" i="1"/>
  <c r="P180" i="1"/>
  <c r="U173" i="1"/>
  <c r="U180" i="1"/>
  <c r="V173" i="1"/>
  <c r="V180" i="1"/>
  <c r="W173" i="1"/>
  <c r="W180" i="1"/>
  <c r="Z173" i="1"/>
  <c r="AE173" i="1"/>
  <c r="AF173" i="1"/>
  <c r="AF180" i="1"/>
  <c r="AG173" i="1"/>
  <c r="AG180" i="1"/>
  <c r="AH173" i="1"/>
  <c r="AH180" i="1"/>
  <c r="AI173" i="1"/>
  <c r="AJ173" i="1"/>
  <c r="AO173" i="1"/>
  <c r="AP173" i="1"/>
  <c r="AP180" i="1"/>
  <c r="AQ173" i="1"/>
  <c r="AQ180" i="1"/>
  <c r="AR173" i="1"/>
  <c r="AR180" i="1"/>
  <c r="AS173" i="1"/>
  <c r="AS180" i="1"/>
  <c r="AT173" i="1"/>
  <c r="AT180" i="1"/>
  <c r="J175" i="1"/>
  <c r="K175" i="1"/>
  <c r="L175" i="1"/>
  <c r="M175" i="1"/>
  <c r="P175" i="1"/>
  <c r="Q175" i="1"/>
  <c r="S175" i="1"/>
  <c r="U175" i="1"/>
  <c r="V175" i="1"/>
  <c r="W175" i="1"/>
  <c r="X175" i="1"/>
  <c r="Y175" i="1"/>
  <c r="Z175" i="1"/>
  <c r="AA175" i="1"/>
  <c r="AE175" i="1"/>
  <c r="AF175" i="1"/>
  <c r="AG175" i="1"/>
  <c r="AH175" i="1"/>
  <c r="AI175" i="1"/>
  <c r="AJ175" i="1"/>
  <c r="AM175" i="1"/>
  <c r="AO175" i="1"/>
  <c r="AP175" i="1"/>
  <c r="AQ175" i="1"/>
  <c r="AR175" i="1"/>
  <c r="AS175" i="1"/>
  <c r="AT175" i="1"/>
  <c r="AU175" i="1"/>
  <c r="P176" i="1"/>
  <c r="Q176" i="1"/>
  <c r="R176" i="1"/>
  <c r="U176" i="1"/>
  <c r="V176" i="1"/>
  <c r="Z176" i="1"/>
  <c r="AC176" i="1"/>
  <c r="AE176" i="1"/>
  <c r="AF176" i="1"/>
  <c r="AJ176" i="1"/>
  <c r="AK176" i="1"/>
  <c r="AO176" i="1"/>
  <c r="AP176" i="1"/>
  <c r="AT176" i="1"/>
  <c r="AU176" i="1"/>
  <c r="N179" i="1"/>
  <c r="O179" i="1"/>
  <c r="P179" i="1"/>
  <c r="Q179" i="1"/>
  <c r="R179" i="1"/>
  <c r="X179" i="1"/>
  <c r="Y179" i="1"/>
  <c r="Z179" i="1"/>
  <c r="AA179" i="1"/>
  <c r="AB179" i="1"/>
  <c r="AF179" i="1"/>
  <c r="AH179" i="1"/>
  <c r="AI179" i="1"/>
  <c r="AJ179" i="1"/>
  <c r="AP179" i="1"/>
  <c r="AQ179" i="1"/>
  <c r="AR179" i="1"/>
  <c r="AS179" i="1"/>
  <c r="AT179" i="1"/>
  <c r="AU179" i="1"/>
  <c r="K180" i="1"/>
  <c r="Y180" i="1"/>
  <c r="Z180" i="1"/>
  <c r="AE180" i="1"/>
  <c r="AI180" i="1"/>
  <c r="AJ180" i="1"/>
  <c r="AO180" i="1"/>
  <c r="K181" i="1"/>
  <c r="K182" i="1"/>
  <c r="L181" i="1"/>
  <c r="L182" i="1"/>
  <c r="M181" i="1"/>
  <c r="M182" i="1"/>
  <c r="N181" i="1"/>
  <c r="N182" i="1"/>
  <c r="U181" i="1"/>
  <c r="V181" i="1"/>
  <c r="W181" i="1"/>
  <c r="W182" i="1"/>
  <c r="X181" i="1"/>
  <c r="X182" i="1"/>
  <c r="AC181" i="1"/>
  <c r="AC182" i="1"/>
  <c r="AE181" i="1"/>
  <c r="AE182" i="1"/>
  <c r="AF181" i="1"/>
  <c r="AG181" i="1"/>
  <c r="AM181" i="1"/>
  <c r="AM182" i="1"/>
  <c r="AO181" i="1"/>
  <c r="AO182" i="1"/>
  <c r="AP181" i="1"/>
  <c r="AP182" i="1"/>
  <c r="AQ181" i="1"/>
  <c r="AQ182" i="1"/>
  <c r="AR181" i="1"/>
  <c r="U182" i="1"/>
  <c r="V182" i="1"/>
  <c r="AF182" i="1"/>
  <c r="AG182" i="1"/>
  <c r="AR182" i="1"/>
  <c r="J187" i="1"/>
  <c r="K187" i="1"/>
  <c r="L187" i="1"/>
  <c r="J188" i="1"/>
  <c r="K188" i="1"/>
  <c r="L188" i="1"/>
  <c r="M188" i="1"/>
  <c r="T187" i="1"/>
  <c r="V187" i="1"/>
  <c r="W188" i="1"/>
  <c r="X185" i="1"/>
  <c r="X192" i="1"/>
  <c r="AF187" i="1"/>
  <c r="AG188" i="1"/>
  <c r="AP187" i="1"/>
  <c r="AQ188" i="1"/>
  <c r="J184" i="1"/>
  <c r="K184" i="1"/>
  <c r="K191" i="1"/>
  <c r="L184" i="1"/>
  <c r="L191" i="1"/>
  <c r="M184" i="1"/>
  <c r="N184" i="1"/>
  <c r="O184" i="1"/>
  <c r="P184" i="1"/>
  <c r="Q184" i="1"/>
  <c r="Q191" i="1"/>
  <c r="R184" i="1"/>
  <c r="S184" i="1"/>
  <c r="S191" i="1"/>
  <c r="T184" i="1"/>
  <c r="T191" i="1"/>
  <c r="U184" i="1"/>
  <c r="U191" i="1"/>
  <c r="V184" i="1"/>
  <c r="W184" i="1"/>
  <c r="X184" i="1"/>
  <c r="Y184" i="1"/>
  <c r="Z184" i="1"/>
  <c r="AA184" i="1"/>
  <c r="AB184" i="1"/>
  <c r="AC184" i="1"/>
  <c r="AC191" i="1"/>
  <c r="AD184" i="1"/>
  <c r="AD191" i="1"/>
  <c r="AE184" i="1"/>
  <c r="AE191" i="1"/>
  <c r="AF184" i="1"/>
  <c r="AG184" i="1"/>
  <c r="AH184" i="1"/>
  <c r="AI184" i="1"/>
  <c r="AJ184" i="1"/>
  <c r="AK184" i="1"/>
  <c r="AL184" i="1"/>
  <c r="AM184" i="1"/>
  <c r="AM191" i="1"/>
  <c r="AN184" i="1"/>
  <c r="AN191" i="1"/>
  <c r="AO184" i="1"/>
  <c r="AO191" i="1"/>
  <c r="AP184" i="1"/>
  <c r="AP191" i="1"/>
  <c r="AQ184" i="1"/>
  <c r="AQ191" i="1"/>
  <c r="AR184" i="1"/>
  <c r="AS184" i="1"/>
  <c r="AT184" i="1"/>
  <c r="AU184" i="1"/>
  <c r="J185" i="1"/>
  <c r="K185" i="1"/>
  <c r="L185" i="1"/>
  <c r="L192" i="1"/>
  <c r="M185" i="1"/>
  <c r="M192" i="1"/>
  <c r="N185" i="1"/>
  <c r="N192" i="1"/>
  <c r="O185" i="1"/>
  <c r="O192" i="1"/>
  <c r="P185" i="1"/>
  <c r="P192" i="1"/>
  <c r="T185" i="1"/>
  <c r="U185" i="1"/>
  <c r="V185" i="1"/>
  <c r="V192" i="1"/>
  <c r="W185" i="1"/>
  <c r="Y185" i="1"/>
  <c r="Z185" i="1"/>
  <c r="Z192" i="1"/>
  <c r="AD185" i="1"/>
  <c r="AD192" i="1"/>
  <c r="AE185" i="1"/>
  <c r="AE192" i="1"/>
  <c r="AF185" i="1"/>
  <c r="AF192" i="1"/>
  <c r="AG185" i="1"/>
  <c r="AH185" i="1"/>
  <c r="AH192" i="1"/>
  <c r="AI185" i="1"/>
  <c r="AJ185" i="1"/>
  <c r="AO185" i="1"/>
  <c r="AO192" i="1"/>
  <c r="AP185" i="1"/>
  <c r="AP192" i="1"/>
  <c r="AQ185" i="1"/>
  <c r="AQ192" i="1"/>
  <c r="AR185" i="1"/>
  <c r="AR192" i="1"/>
  <c r="AS185" i="1"/>
  <c r="AS192" i="1"/>
  <c r="AT185" i="1"/>
  <c r="AT192" i="1"/>
  <c r="M187" i="1"/>
  <c r="N187" i="1"/>
  <c r="O187" i="1"/>
  <c r="P187" i="1"/>
  <c r="S187" i="1"/>
  <c r="U187" i="1"/>
  <c r="W187" i="1"/>
  <c r="X187" i="1"/>
  <c r="Y187" i="1"/>
  <c r="Z187" i="1"/>
  <c r="AC187" i="1"/>
  <c r="AE187" i="1"/>
  <c r="AG187" i="1"/>
  <c r="AH187" i="1"/>
  <c r="AI187" i="1"/>
  <c r="AJ187" i="1"/>
  <c r="AO187" i="1"/>
  <c r="AQ187" i="1"/>
  <c r="AR187" i="1"/>
  <c r="AS187" i="1"/>
  <c r="AT187" i="1"/>
  <c r="N188" i="1"/>
  <c r="R188" i="1"/>
  <c r="S188" i="1"/>
  <c r="T188" i="1"/>
  <c r="U188" i="1"/>
  <c r="V188" i="1"/>
  <c r="X188" i="1"/>
  <c r="Z188" i="1"/>
  <c r="AD188" i="1"/>
  <c r="AE188" i="1"/>
  <c r="AF188" i="1"/>
  <c r="AH188" i="1"/>
  <c r="AJ188" i="1"/>
  <c r="AO188" i="1"/>
  <c r="AP188" i="1"/>
  <c r="AR188" i="1"/>
  <c r="AT188" i="1"/>
  <c r="M191" i="1"/>
  <c r="N191" i="1"/>
  <c r="O191" i="1"/>
  <c r="P191" i="1"/>
  <c r="R191" i="1"/>
  <c r="V191" i="1"/>
  <c r="W191" i="1"/>
  <c r="X191" i="1"/>
  <c r="Y191" i="1"/>
  <c r="Z191" i="1"/>
  <c r="AA191" i="1"/>
  <c r="AB191" i="1"/>
  <c r="AF191" i="1"/>
  <c r="AG191" i="1"/>
  <c r="AH191" i="1"/>
  <c r="AI191" i="1"/>
  <c r="AJ191" i="1"/>
  <c r="AK191" i="1"/>
  <c r="AL191" i="1"/>
  <c r="AR191" i="1"/>
  <c r="AS191" i="1"/>
  <c r="AT191" i="1"/>
  <c r="AU191" i="1"/>
  <c r="K192" i="1"/>
  <c r="T192" i="1"/>
  <c r="U192" i="1"/>
  <c r="W192" i="1"/>
  <c r="Y192" i="1"/>
  <c r="AG192" i="1"/>
  <c r="AI192" i="1"/>
  <c r="AJ192" i="1"/>
  <c r="K193" i="1"/>
  <c r="L193" i="1"/>
  <c r="L194" i="1"/>
  <c r="M193" i="1"/>
  <c r="M194" i="1"/>
  <c r="N193" i="1"/>
  <c r="N194" i="1"/>
  <c r="P193" i="1"/>
  <c r="T193" i="1"/>
  <c r="T194" i="1"/>
  <c r="U193" i="1"/>
  <c r="U194" i="1"/>
  <c r="V193" i="1"/>
  <c r="V194" i="1"/>
  <c r="W193" i="1"/>
  <c r="W194" i="1"/>
  <c r="X193" i="1"/>
  <c r="X194" i="1"/>
  <c r="Z193" i="1"/>
  <c r="Z194" i="1"/>
  <c r="AE193" i="1"/>
  <c r="AE194" i="1"/>
  <c r="AF193" i="1"/>
  <c r="AG193" i="1"/>
  <c r="AH193" i="1"/>
  <c r="AH194" i="1"/>
  <c r="AJ193" i="1"/>
  <c r="AJ194" i="1"/>
  <c r="AO193" i="1"/>
  <c r="AP193" i="1"/>
  <c r="AQ193" i="1"/>
  <c r="AR193" i="1"/>
  <c r="AT193" i="1"/>
  <c r="AT194" i="1"/>
  <c r="K194" i="1"/>
  <c r="P194" i="1"/>
  <c r="AF194" i="1"/>
  <c r="AG194" i="1"/>
  <c r="AO194" i="1"/>
  <c r="AP194" i="1"/>
  <c r="AQ194" i="1"/>
  <c r="AR194" i="1"/>
  <c r="G185" i="1"/>
  <c r="H185" i="1"/>
  <c r="I192" i="1"/>
  <c r="G187" i="1"/>
  <c r="H187" i="1"/>
  <c r="I187" i="1"/>
  <c r="I193" i="1"/>
  <c r="I194" i="1"/>
  <c r="H192" i="1"/>
  <c r="H193" i="1"/>
  <c r="H194" i="1"/>
  <c r="D193" i="1"/>
  <c r="D194" i="1"/>
  <c r="G184" i="1"/>
  <c r="H184" i="1"/>
  <c r="I191" i="1"/>
  <c r="H191" i="1"/>
  <c r="F191" i="1"/>
  <c r="D190" i="1"/>
  <c r="D188" i="1"/>
  <c r="D187" i="1"/>
  <c r="D185" i="1"/>
  <c r="D192" i="1"/>
  <c r="J191" i="1"/>
  <c r="G191" i="1"/>
  <c r="E184" i="1"/>
  <c r="E191" i="1"/>
  <c r="D184" i="1"/>
  <c r="D191" i="1"/>
  <c r="J192" i="1"/>
  <c r="J193" i="1"/>
  <c r="J194" i="1"/>
  <c r="E183" i="1"/>
  <c r="F190" i="1"/>
  <c r="D183" i="1"/>
  <c r="J180" i="1"/>
  <c r="J181" i="1"/>
  <c r="J182" i="1"/>
  <c r="J179" i="1"/>
  <c r="G172" i="1"/>
  <c r="G179" i="1"/>
  <c r="D179" i="1"/>
  <c r="D176" i="1"/>
  <c r="D175" i="1"/>
  <c r="E173" i="1"/>
  <c r="D173" i="1"/>
  <c r="D180" i="1"/>
  <c r="H172" i="1"/>
  <c r="I172" i="1"/>
  <c r="I179" i="1"/>
  <c r="H179" i="1"/>
  <c r="E172" i="1"/>
  <c r="F172" i="1"/>
  <c r="F179" i="1"/>
  <c r="D172" i="1"/>
  <c r="G175" i="1"/>
  <c r="H175" i="1"/>
  <c r="G173" i="1"/>
  <c r="G180" i="1"/>
  <c r="G181" i="1"/>
  <c r="G182" i="1"/>
  <c r="E171" i="1"/>
  <c r="F178" i="1"/>
  <c r="D171" i="1"/>
  <c r="D178" i="1"/>
  <c r="G161" i="1"/>
  <c r="G168" i="1"/>
  <c r="G163" i="1"/>
  <c r="G169" i="1"/>
  <c r="G170" i="1"/>
  <c r="J168" i="1"/>
  <c r="J169" i="1"/>
  <c r="J170" i="1"/>
  <c r="H161" i="1"/>
  <c r="H168" i="1"/>
  <c r="H163" i="1"/>
  <c r="H169" i="1"/>
  <c r="H170" i="1"/>
  <c r="G160" i="1"/>
  <c r="H160" i="1"/>
  <c r="I167" i="1"/>
  <c r="H167" i="1"/>
  <c r="F167" i="1"/>
  <c r="E167" i="1"/>
  <c r="D167" i="1"/>
  <c r="G164" i="1"/>
  <c r="D163" i="1"/>
  <c r="J167" i="1"/>
  <c r="G167" i="1"/>
  <c r="E160" i="1"/>
  <c r="D160" i="1"/>
  <c r="I168" i="1"/>
  <c r="E159" i="1"/>
  <c r="D159" i="1"/>
  <c r="G149" i="1"/>
  <c r="H149" i="1"/>
  <c r="H156" i="1"/>
  <c r="H151" i="1"/>
  <c r="H157" i="1"/>
  <c r="H158" i="1"/>
  <c r="G156" i="1"/>
  <c r="G157" i="1"/>
  <c r="G158" i="1"/>
  <c r="J155" i="1"/>
  <c r="G148" i="1"/>
  <c r="H148" i="1"/>
  <c r="I155" i="1"/>
  <c r="H155" i="1"/>
  <c r="I149" i="1"/>
  <c r="I156" i="1"/>
  <c r="G155" i="1"/>
  <c r="D148" i="1"/>
  <c r="D155" i="1"/>
  <c r="J156" i="1"/>
  <c r="J157" i="1"/>
  <c r="J158" i="1"/>
  <c r="I157" i="1"/>
  <c r="I158" i="1"/>
  <c r="H152" i="1"/>
  <c r="D147" i="1"/>
  <c r="G137" i="1"/>
  <c r="H137" i="1"/>
  <c r="I137" i="1"/>
  <c r="I144" i="1"/>
  <c r="G139" i="1"/>
  <c r="H139" i="1"/>
  <c r="I139" i="1"/>
  <c r="I145" i="1"/>
  <c r="I146" i="1"/>
  <c r="H144" i="1"/>
  <c r="H145" i="1"/>
  <c r="H146" i="1"/>
  <c r="G136" i="1"/>
  <c r="H136" i="1"/>
  <c r="I136" i="1"/>
  <c r="I143" i="1"/>
  <c r="H143" i="1"/>
  <c r="G143" i="1"/>
  <c r="D143" i="1"/>
  <c r="D142" i="1"/>
  <c r="D140" i="1"/>
  <c r="D139" i="1"/>
  <c r="D137" i="1"/>
  <c r="D144" i="1"/>
  <c r="D145" i="1"/>
  <c r="D146" i="1"/>
  <c r="E136" i="1"/>
  <c r="E143" i="1"/>
  <c r="D136" i="1"/>
  <c r="J144" i="1"/>
  <c r="J145" i="1"/>
  <c r="J146" i="1"/>
  <c r="G144" i="1"/>
  <c r="G145" i="1"/>
  <c r="G146" i="1"/>
  <c r="E135" i="1"/>
  <c r="D135" i="1"/>
  <c r="J132" i="1"/>
  <c r="J133" i="1"/>
  <c r="J134" i="1"/>
  <c r="G125" i="1"/>
  <c r="H125" i="1"/>
  <c r="I125" i="1"/>
  <c r="I132" i="1"/>
  <c r="G127" i="1"/>
  <c r="H127" i="1"/>
  <c r="I127" i="1"/>
  <c r="I133" i="1"/>
  <c r="I134" i="1"/>
  <c r="J131" i="1"/>
  <c r="G124" i="1"/>
  <c r="G131" i="1"/>
  <c r="F131" i="1"/>
  <c r="E131" i="1"/>
  <c r="D130" i="1"/>
  <c r="G128" i="1"/>
  <c r="H128" i="1"/>
  <c r="I128" i="1"/>
  <c r="D127" i="1"/>
  <c r="G132" i="1"/>
  <c r="H124" i="1"/>
  <c r="I124" i="1"/>
  <c r="I131" i="1"/>
  <c r="H131" i="1"/>
  <c r="D124" i="1"/>
  <c r="E124" i="1"/>
  <c r="G133" i="1"/>
  <c r="G134" i="1"/>
  <c r="D123" i="1"/>
  <c r="G113" i="1"/>
  <c r="H113" i="1"/>
  <c r="I120" i="1"/>
  <c r="G115" i="1"/>
  <c r="H115" i="1"/>
  <c r="I115" i="1"/>
  <c r="I121" i="1"/>
  <c r="I122" i="1"/>
  <c r="H120" i="1"/>
  <c r="H121" i="1"/>
  <c r="H122" i="1"/>
  <c r="G112" i="1"/>
  <c r="G119" i="1"/>
  <c r="E119" i="1"/>
  <c r="D119" i="1"/>
  <c r="G116" i="1"/>
  <c r="H116" i="1"/>
  <c r="I116" i="1"/>
  <c r="J119" i="1"/>
  <c r="H112" i="1"/>
  <c r="I119" i="1"/>
  <c r="H119" i="1"/>
  <c r="F112" i="1"/>
  <c r="F119" i="1"/>
  <c r="E112" i="1"/>
  <c r="D112" i="1"/>
  <c r="E111" i="1"/>
  <c r="E118" i="1"/>
  <c r="D111" i="1"/>
  <c r="D118" i="1"/>
  <c r="G101" i="1"/>
  <c r="H101" i="1"/>
  <c r="I108" i="1"/>
  <c r="G103" i="1"/>
  <c r="H103" i="1"/>
  <c r="I109" i="1"/>
  <c r="I110" i="1"/>
  <c r="J108" i="1"/>
  <c r="J109" i="1"/>
  <c r="J110" i="1"/>
  <c r="H108" i="1"/>
  <c r="H109" i="1"/>
  <c r="H110" i="1"/>
  <c r="D108" i="1"/>
  <c r="G100" i="1"/>
  <c r="H100" i="1"/>
  <c r="I107" i="1"/>
  <c r="G107" i="1"/>
  <c r="D106" i="1"/>
  <c r="G104" i="1"/>
  <c r="H104" i="1"/>
  <c r="D104" i="1"/>
  <c r="D103" i="1"/>
  <c r="D101" i="1"/>
  <c r="J107" i="1"/>
  <c r="H107" i="1"/>
  <c r="D100" i="1"/>
  <c r="I104" i="1"/>
  <c r="G108" i="1"/>
  <c r="E99" i="1"/>
  <c r="E103" i="1"/>
  <c r="F103" i="1"/>
  <c r="D99" i="1"/>
  <c r="G89" i="1"/>
  <c r="H89" i="1"/>
  <c r="H96" i="1"/>
  <c r="D91" i="1"/>
  <c r="E91" i="1"/>
  <c r="F91" i="1"/>
  <c r="G91" i="1"/>
  <c r="H91" i="1"/>
  <c r="H97" i="1"/>
  <c r="H98" i="1"/>
  <c r="G96" i="1"/>
  <c r="G97" i="1"/>
  <c r="G98" i="1"/>
  <c r="F95" i="1"/>
  <c r="D95" i="1"/>
  <c r="G92" i="1"/>
  <c r="H92" i="1"/>
  <c r="D88" i="1"/>
  <c r="E88" i="1"/>
  <c r="E95" i="1"/>
  <c r="J96" i="1"/>
  <c r="D87" i="1"/>
  <c r="D92" i="1"/>
  <c r="G77" i="1"/>
  <c r="H77" i="1"/>
  <c r="I84" i="1"/>
  <c r="G79" i="1"/>
  <c r="H79" i="1"/>
  <c r="I79" i="1"/>
  <c r="I85" i="1"/>
  <c r="I86" i="1"/>
  <c r="H84" i="1"/>
  <c r="H85" i="1"/>
  <c r="H86" i="1"/>
  <c r="G84" i="1"/>
  <c r="G85" i="1"/>
  <c r="G86" i="1"/>
  <c r="G76" i="1"/>
  <c r="G83" i="1"/>
  <c r="G80" i="1"/>
  <c r="H80" i="1"/>
  <c r="I80" i="1"/>
  <c r="J83" i="1"/>
  <c r="H76" i="1"/>
  <c r="I83" i="1"/>
  <c r="H83" i="1"/>
  <c r="D76" i="1"/>
  <c r="E76" i="1"/>
  <c r="E75" i="1"/>
  <c r="D75" i="1"/>
  <c r="D80" i="1"/>
  <c r="G65" i="1"/>
  <c r="H65" i="1"/>
  <c r="H72" i="1"/>
  <c r="J71" i="1"/>
  <c r="G64" i="1"/>
  <c r="H64" i="1"/>
  <c r="I71" i="1"/>
  <c r="H71" i="1"/>
  <c r="D71" i="1"/>
  <c r="G68" i="1"/>
  <c r="G67" i="1"/>
  <c r="H67" i="1"/>
  <c r="I67" i="1"/>
  <c r="J72" i="1"/>
  <c r="G71" i="1"/>
  <c r="E64" i="1"/>
  <c r="D64" i="1"/>
  <c r="I72" i="1"/>
  <c r="D63" i="1"/>
  <c r="E63" i="1"/>
  <c r="J60" i="1"/>
  <c r="J61" i="1"/>
  <c r="J62" i="1"/>
  <c r="J59" i="1"/>
  <c r="G52" i="1"/>
  <c r="H52" i="1"/>
  <c r="I59" i="1"/>
  <c r="G59" i="1"/>
  <c r="F58" i="1"/>
  <c r="G56" i="1"/>
  <c r="H56" i="1"/>
  <c r="I56" i="1"/>
  <c r="D56" i="1"/>
  <c r="E55" i="1"/>
  <c r="F55" i="1"/>
  <c r="D53" i="1"/>
  <c r="D60" i="1"/>
  <c r="D61" i="1"/>
  <c r="D62" i="1"/>
  <c r="H59" i="1"/>
  <c r="D52" i="1"/>
  <c r="E52" i="1"/>
  <c r="E59" i="1"/>
  <c r="G53" i="1"/>
  <c r="H53" i="1"/>
  <c r="I53" i="1"/>
  <c r="I60" i="1"/>
  <c r="G55" i="1"/>
  <c r="H55" i="1"/>
  <c r="I55" i="1"/>
  <c r="I61" i="1"/>
  <c r="I62" i="1"/>
  <c r="E51" i="1"/>
  <c r="E56" i="1"/>
  <c r="F56" i="1"/>
  <c r="D51" i="1"/>
  <c r="D55" i="1"/>
  <c r="J48" i="1"/>
  <c r="J49" i="1"/>
  <c r="J50" i="1"/>
  <c r="G41" i="1"/>
  <c r="H41" i="1"/>
  <c r="I48" i="1"/>
  <c r="G43" i="1"/>
  <c r="H43" i="1"/>
  <c r="I43" i="1"/>
  <c r="I49" i="1"/>
  <c r="I50" i="1"/>
  <c r="G48" i="1"/>
  <c r="G40" i="1"/>
  <c r="G47" i="1"/>
  <c r="D41" i="1"/>
  <c r="D48" i="1"/>
  <c r="J47" i="1"/>
  <c r="H40" i="1"/>
  <c r="I47" i="1"/>
  <c r="H47" i="1"/>
  <c r="D40" i="1"/>
  <c r="E40" i="1"/>
  <c r="G44" i="1"/>
  <c r="H44" i="1"/>
  <c r="I44" i="1"/>
  <c r="H48" i="1"/>
  <c r="D39" i="1"/>
  <c r="D44" i="1"/>
  <c r="G29" i="1"/>
  <c r="H29" i="1"/>
  <c r="H36" i="1"/>
  <c r="G31" i="1"/>
  <c r="H31" i="1"/>
  <c r="H37" i="1"/>
  <c r="H38" i="1"/>
  <c r="G36" i="1"/>
  <c r="G28" i="1"/>
  <c r="H28" i="1"/>
  <c r="I35" i="1"/>
  <c r="D35" i="1"/>
  <c r="G32" i="1"/>
  <c r="H32" i="1"/>
  <c r="D32" i="1"/>
  <c r="D31" i="1"/>
  <c r="I36" i="1"/>
  <c r="D29" i="1"/>
  <c r="D36" i="1"/>
  <c r="D37" i="1"/>
  <c r="D38" i="1"/>
  <c r="J35" i="1"/>
  <c r="H35" i="1"/>
  <c r="G35" i="1"/>
  <c r="E28" i="1"/>
  <c r="F35" i="1"/>
  <c r="D28" i="1"/>
  <c r="I32" i="1"/>
  <c r="E27" i="1"/>
  <c r="D27" i="1"/>
  <c r="D34" i="1"/>
  <c r="G17" i="1"/>
  <c r="H17" i="1"/>
  <c r="I24" i="1"/>
  <c r="G19" i="1"/>
  <c r="H19" i="1"/>
  <c r="I19" i="1"/>
  <c r="I25" i="1"/>
  <c r="I26" i="1"/>
  <c r="J24" i="1"/>
  <c r="J25" i="1"/>
  <c r="J26" i="1"/>
  <c r="H24" i="1"/>
  <c r="H25" i="1"/>
  <c r="H26" i="1"/>
  <c r="G16" i="1"/>
  <c r="G23" i="1"/>
  <c r="J20" i="1"/>
  <c r="G20" i="1"/>
  <c r="H20" i="1"/>
  <c r="G24" i="1"/>
  <c r="J23" i="1"/>
  <c r="H16" i="1"/>
  <c r="I23" i="1"/>
  <c r="H23" i="1"/>
  <c r="D16" i="1"/>
  <c r="I20" i="1"/>
  <c r="G25" i="1"/>
  <c r="G26" i="1"/>
  <c r="D15" i="1"/>
  <c r="D22" i="1"/>
  <c r="G5" i="1"/>
  <c r="G12" i="1"/>
  <c r="G7" i="1"/>
  <c r="G13" i="1"/>
  <c r="G14" i="1"/>
  <c r="J12" i="1"/>
  <c r="J13" i="1"/>
  <c r="J14" i="1"/>
  <c r="H5" i="1"/>
  <c r="I12" i="1"/>
  <c r="H7" i="1"/>
  <c r="I7" i="1"/>
  <c r="I13" i="1"/>
  <c r="I14" i="1"/>
  <c r="H12" i="1"/>
  <c r="H13" i="1"/>
  <c r="H14" i="1"/>
  <c r="D13" i="1"/>
  <c r="D14" i="1"/>
  <c r="D12" i="1"/>
  <c r="J11" i="1"/>
  <c r="G4" i="1"/>
  <c r="H4" i="1"/>
  <c r="H11" i="1"/>
  <c r="D11" i="1"/>
  <c r="F10" i="1"/>
  <c r="E10" i="1"/>
  <c r="D10" i="1"/>
  <c r="G8" i="1"/>
  <c r="H8" i="1"/>
  <c r="I8" i="1"/>
  <c r="F8" i="1"/>
  <c r="E8" i="1"/>
  <c r="D8" i="1"/>
  <c r="E7" i="1"/>
  <c r="F7" i="1"/>
  <c r="D7" i="1"/>
  <c r="E5" i="1"/>
  <c r="D5" i="1"/>
  <c r="I11" i="1"/>
  <c r="G11" i="1"/>
  <c r="E4" i="1"/>
  <c r="F11" i="1"/>
  <c r="D4" i="1"/>
  <c r="E1" i="1"/>
  <c r="F1" i="1"/>
  <c r="G1" i="1"/>
  <c r="H1" i="1"/>
  <c r="I1" i="1"/>
  <c r="J1" i="1"/>
  <c r="D1" i="1"/>
  <c r="A12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10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A9" i="4"/>
  <c r="A4" i="4"/>
  <c r="F9" i="4"/>
  <c r="E9" i="4"/>
  <c r="D9" i="4"/>
  <c r="D1" i="4"/>
  <c r="E1" i="4"/>
  <c r="F1" i="4"/>
  <c r="G1" i="4"/>
  <c r="H1" i="4"/>
  <c r="I1" i="4"/>
  <c r="J1" i="4"/>
  <c r="K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AA1" i="4"/>
  <c r="AB1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98" i="4"/>
  <c r="AV205" i="4"/>
  <c r="BC197" i="4"/>
  <c r="BC204" i="4"/>
  <c r="BB197" i="4"/>
  <c r="BB204" i="4"/>
  <c r="BA197" i="4"/>
  <c r="BA204" i="4"/>
  <c r="AZ197" i="4"/>
  <c r="AZ204" i="4"/>
  <c r="AY197" i="4"/>
  <c r="AY204" i="4"/>
  <c r="AX197" i="4"/>
  <c r="AX204" i="4"/>
  <c r="AW197" i="4"/>
  <c r="AW204" i="4"/>
  <c r="AV197" i="4"/>
  <c r="AV204" i="4"/>
  <c r="AU197" i="4"/>
  <c r="AU204" i="4"/>
  <c r="AT197" i="4"/>
  <c r="AT204" i="4"/>
  <c r="AS197" i="4"/>
  <c r="AS204" i="4"/>
  <c r="AR197" i="4"/>
  <c r="AR204" i="4"/>
  <c r="AQ197" i="4"/>
  <c r="AQ204" i="4"/>
  <c r="AP197" i="4"/>
  <c r="AP204" i="4"/>
  <c r="AO197" i="4"/>
  <c r="AO204" i="4"/>
  <c r="AN197" i="4"/>
  <c r="AN204" i="4"/>
  <c r="AM197" i="4"/>
  <c r="AM204" i="4"/>
  <c r="AL197" i="4"/>
  <c r="AL204" i="4"/>
  <c r="AH197" i="4"/>
  <c r="AA197" i="4"/>
  <c r="X197" i="4"/>
  <c r="U197" i="4"/>
  <c r="S197" i="4"/>
  <c r="T204" i="4"/>
  <c r="P197" i="4"/>
  <c r="P204" i="4"/>
  <c r="N197" i="4"/>
  <c r="M197" i="4"/>
  <c r="M204" i="4"/>
  <c r="K197" i="4"/>
  <c r="J197" i="4"/>
  <c r="J204" i="4"/>
  <c r="F197" i="4"/>
  <c r="D197" i="4"/>
  <c r="BC196" i="4"/>
  <c r="BC203" i="4"/>
  <c r="BB196" i="4"/>
  <c r="BB203" i="4"/>
  <c r="BA196" i="4"/>
  <c r="AZ196" i="4"/>
  <c r="AZ200" i="4"/>
  <c r="AY196" i="4"/>
  <c r="AX196" i="4"/>
  <c r="AX201" i="4"/>
  <c r="AW196" i="4"/>
  <c r="AW201" i="4"/>
  <c r="AV196" i="4"/>
  <c r="AV206" i="4"/>
  <c r="AV207" i="4"/>
  <c r="AU196" i="4"/>
  <c r="AT196" i="4"/>
  <c r="AT201" i="4"/>
  <c r="AS196" i="4"/>
  <c r="AS203" i="4"/>
  <c r="AR196" i="4"/>
  <c r="AR203" i="4"/>
  <c r="AQ196" i="4"/>
  <c r="AP196" i="4"/>
  <c r="AP200" i="4"/>
  <c r="AO196" i="4"/>
  <c r="AN196" i="4"/>
  <c r="AN201" i="4"/>
  <c r="AM196" i="4"/>
  <c r="AM201" i="4"/>
  <c r="AL196" i="4"/>
  <c r="AL206" i="4"/>
  <c r="AL207" i="4"/>
  <c r="AH196" i="4"/>
  <c r="AE196" i="4"/>
  <c r="AB196" i="4"/>
  <c r="AA196" i="4"/>
  <c r="AA203" i="4"/>
  <c r="X196" i="4"/>
  <c r="U196" i="4"/>
  <c r="S196" i="4"/>
  <c r="S198" i="4"/>
  <c r="P196" i="4"/>
  <c r="M196" i="4"/>
  <c r="K196" i="4"/>
  <c r="L203" i="4"/>
  <c r="J196" i="4"/>
  <c r="G196" i="4"/>
  <c r="F196" i="4"/>
  <c r="D196" i="4"/>
  <c r="BC194" i="4"/>
  <c r="BC195" i="4"/>
  <c r="AW194" i="4"/>
  <c r="AW195" i="4"/>
  <c r="AV194" i="4"/>
  <c r="AV195" i="4"/>
  <c r="AL194" i="4"/>
  <c r="AL195" i="4"/>
  <c r="BC192" i="4"/>
  <c r="AT192" i="4"/>
  <c r="AS192" i="4"/>
  <c r="AN192" i="4"/>
  <c r="AW191" i="4"/>
  <c r="AM191" i="4"/>
  <c r="AL191" i="4"/>
  <c r="X191" i="4"/>
  <c r="T191" i="4"/>
  <c r="BA189" i="4"/>
  <c r="AQ189" i="4"/>
  <c r="T189" i="4"/>
  <c r="AY188" i="4"/>
  <c r="AV188" i="4"/>
  <c r="AQ188" i="4"/>
  <c r="AL188" i="4"/>
  <c r="BB186" i="4"/>
  <c r="BB193" i="4"/>
  <c r="BA186" i="4"/>
  <c r="BA193" i="4"/>
  <c r="AW186" i="4"/>
  <c r="AW193" i="4"/>
  <c r="AV186" i="4"/>
  <c r="AV193" i="4"/>
  <c r="AM186" i="4"/>
  <c r="AM193" i="4"/>
  <c r="AL186" i="4"/>
  <c r="AL193" i="4"/>
  <c r="BC185" i="4"/>
  <c r="BB185" i="4"/>
  <c r="BB192" i="4"/>
  <c r="BA185" i="4"/>
  <c r="BA192" i="4"/>
  <c r="AZ185" i="4"/>
  <c r="AZ192" i="4"/>
  <c r="AY185" i="4"/>
  <c r="AY192" i="4"/>
  <c r="AX185" i="4"/>
  <c r="AX192" i="4"/>
  <c r="AW185" i="4"/>
  <c r="AW192" i="4"/>
  <c r="AV185" i="4"/>
  <c r="AV192" i="4"/>
  <c r="AU185" i="4"/>
  <c r="AU192" i="4"/>
  <c r="AT185" i="4"/>
  <c r="AS185" i="4"/>
  <c r="AR185" i="4"/>
  <c r="AR192" i="4"/>
  <c r="AQ185" i="4"/>
  <c r="AQ192" i="4"/>
  <c r="AP185" i="4"/>
  <c r="AP192" i="4"/>
  <c r="AO185" i="4"/>
  <c r="AO192" i="4"/>
  <c r="AN185" i="4"/>
  <c r="AM185" i="4"/>
  <c r="AM192" i="4"/>
  <c r="AL185" i="4"/>
  <c r="AL192" i="4"/>
  <c r="AA185" i="4"/>
  <c r="AB185" i="4"/>
  <c r="Y185" i="4"/>
  <c r="X185" i="4"/>
  <c r="X192" i="4"/>
  <c r="S185" i="4"/>
  <c r="S192" i="4"/>
  <c r="P185" i="4"/>
  <c r="P192" i="4"/>
  <c r="N185" i="4"/>
  <c r="M185" i="4"/>
  <c r="M192" i="4"/>
  <c r="J185" i="4"/>
  <c r="F185" i="4"/>
  <c r="D185" i="4"/>
  <c r="BC184" i="4"/>
  <c r="BC186" i="4"/>
  <c r="BC193" i="4"/>
  <c r="BB184" i="4"/>
  <c r="BB194" i="4"/>
  <c r="BB195" i="4"/>
  <c r="BA184" i="4"/>
  <c r="BA194" i="4"/>
  <c r="BA195" i="4"/>
  <c r="AZ184" i="4"/>
  <c r="AZ186" i="4"/>
  <c r="AZ193" i="4"/>
  <c r="AY184" i="4"/>
  <c r="AX184" i="4"/>
  <c r="AX186" i="4"/>
  <c r="AX193" i="4"/>
  <c r="AW184" i="4"/>
  <c r="AV184" i="4"/>
  <c r="AV191" i="4"/>
  <c r="AU184" i="4"/>
  <c r="AU189" i="4"/>
  <c r="AT184" i="4"/>
  <c r="AS184" i="4"/>
  <c r="AR184" i="4"/>
  <c r="AR191" i="4"/>
  <c r="AQ184" i="4"/>
  <c r="AQ194" i="4"/>
  <c r="AQ195" i="4"/>
  <c r="AP184" i="4"/>
  <c r="AO184" i="4"/>
  <c r="AN184" i="4"/>
  <c r="AM184" i="4"/>
  <c r="AM194" i="4"/>
  <c r="AM195" i="4"/>
  <c r="AL184" i="4"/>
  <c r="AL189" i="4"/>
  <c r="AH184" i="4"/>
  <c r="AI184" i="4"/>
  <c r="AE184" i="4"/>
  <c r="AA184" i="4"/>
  <c r="X184" i="4"/>
  <c r="V184" i="4"/>
  <c r="U184" i="4"/>
  <c r="S184" i="4"/>
  <c r="P184" i="4"/>
  <c r="M184" i="4"/>
  <c r="N184" i="4"/>
  <c r="J184" i="4"/>
  <c r="F184" i="4"/>
  <c r="D184" i="4"/>
  <c r="AY182" i="4"/>
  <c r="AY183" i="4"/>
  <c r="AU182" i="4"/>
  <c r="AU183" i="4"/>
  <c r="AO182" i="4"/>
  <c r="AO183" i="4"/>
  <c r="AP181" i="4"/>
  <c r="AO181" i="4"/>
  <c r="AY180" i="4"/>
  <c r="AS180" i="4"/>
  <c r="AQ180" i="4"/>
  <c r="AP180" i="4"/>
  <c r="AO180" i="4"/>
  <c r="AF180" i="4"/>
  <c r="AE180" i="4"/>
  <c r="O180" i="4"/>
  <c r="N180" i="4"/>
  <c r="M180" i="4"/>
  <c r="AU179" i="4"/>
  <c r="S179" i="4"/>
  <c r="M179" i="4"/>
  <c r="J179" i="4"/>
  <c r="BA177" i="4"/>
  <c r="AY177" i="4"/>
  <c r="AP177" i="4"/>
  <c r="AO177" i="4"/>
  <c r="AM177" i="4"/>
  <c r="AZ176" i="4"/>
  <c r="AY176" i="4"/>
  <c r="AO176" i="4"/>
  <c r="AM176" i="4"/>
  <c r="AY174" i="4"/>
  <c r="AY181" i="4"/>
  <c r="AP174" i="4"/>
  <c r="AO174" i="4"/>
  <c r="AL174" i="4"/>
  <c r="AL181" i="4"/>
  <c r="S174" i="4"/>
  <c r="M174" i="4"/>
  <c r="BC173" i="4"/>
  <c r="BC180" i="4"/>
  <c r="BB173" i="4"/>
  <c r="BB180" i="4"/>
  <c r="BA173" i="4"/>
  <c r="BA180" i="4"/>
  <c r="AZ173" i="4"/>
  <c r="AZ180" i="4"/>
  <c r="AY173" i="4"/>
  <c r="AX173" i="4"/>
  <c r="AX180" i="4"/>
  <c r="AW173" i="4"/>
  <c r="AW180" i="4"/>
  <c r="AV173" i="4"/>
  <c r="AV180" i="4"/>
  <c r="AU173" i="4"/>
  <c r="AU180" i="4"/>
  <c r="AT173" i="4"/>
  <c r="AT180" i="4"/>
  <c r="AS173" i="4"/>
  <c r="AR173" i="4"/>
  <c r="AR180" i="4"/>
  <c r="AQ173" i="4"/>
  <c r="AP173" i="4"/>
  <c r="AO173" i="4"/>
  <c r="AN173" i="4"/>
  <c r="AN180" i="4"/>
  <c r="AM173" i="4"/>
  <c r="AM180" i="4"/>
  <c r="AL173" i="4"/>
  <c r="AL180" i="4"/>
  <c r="AH173" i="4"/>
  <c r="AF173" i="4"/>
  <c r="AG180" i="4"/>
  <c r="AE173" i="4"/>
  <c r="AC173" i="4"/>
  <c r="AA173" i="4"/>
  <c r="AB173" i="4"/>
  <c r="AB180" i="4"/>
  <c r="X173" i="4"/>
  <c r="U173" i="4"/>
  <c r="S173" i="4"/>
  <c r="P173" i="4"/>
  <c r="P180" i="4"/>
  <c r="N173" i="4"/>
  <c r="M173" i="4"/>
  <c r="J173" i="4"/>
  <c r="G173" i="4"/>
  <c r="H173" i="4"/>
  <c r="F173" i="4"/>
  <c r="F180" i="4"/>
  <c r="D173" i="4"/>
  <c r="E180" i="4"/>
  <c r="BC172" i="4"/>
  <c r="BB172" i="4"/>
  <c r="BA172" i="4"/>
  <c r="AZ172" i="4"/>
  <c r="AZ179" i="4"/>
  <c r="AY172" i="4"/>
  <c r="AY179" i="4"/>
  <c r="AX172" i="4"/>
  <c r="AW172" i="4"/>
  <c r="AV172" i="4"/>
  <c r="AU172" i="4"/>
  <c r="AU176" i="4"/>
  <c r="AT172" i="4"/>
  <c r="AS172" i="4"/>
  <c r="AR172" i="4"/>
  <c r="AQ172" i="4"/>
  <c r="AP172" i="4"/>
  <c r="AP179" i="4"/>
  <c r="AO172" i="4"/>
  <c r="AO179" i="4"/>
  <c r="AN172" i="4"/>
  <c r="AN177" i="4"/>
  <c r="AM172" i="4"/>
  <c r="AM182" i="4"/>
  <c r="AM183" i="4"/>
  <c r="AL172" i="4"/>
  <c r="AL179" i="4"/>
  <c r="AH172" i="4"/>
  <c r="AE172" i="4"/>
  <c r="AA172" i="4"/>
  <c r="X172" i="4"/>
  <c r="X179" i="4"/>
  <c r="U172" i="4"/>
  <c r="S172" i="4"/>
  <c r="P172" i="4"/>
  <c r="M172" i="4"/>
  <c r="N172" i="4"/>
  <c r="O179" i="4"/>
  <c r="J172" i="4"/>
  <c r="F172" i="4"/>
  <c r="F179" i="4"/>
  <c r="D172" i="4"/>
  <c r="BB171" i="4"/>
  <c r="AN171" i="4"/>
  <c r="AS170" i="4"/>
  <c r="AS171" i="4"/>
  <c r="AP170" i="4"/>
  <c r="AP171" i="4"/>
  <c r="BB168" i="4"/>
  <c r="BA168" i="4"/>
  <c r="AQ168" i="4"/>
  <c r="AL168" i="4"/>
  <c r="AE168" i="4"/>
  <c r="U168" i="4"/>
  <c r="BB167" i="4"/>
  <c r="AR167" i="4"/>
  <c r="AN167" i="4"/>
  <c r="AA167" i="4"/>
  <c r="L167" i="4"/>
  <c r="G167" i="4"/>
  <c r="F167" i="4"/>
  <c r="BC165" i="4"/>
  <c r="BB165" i="4"/>
  <c r="AT165" i="4"/>
  <c r="AS165" i="4"/>
  <c r="AR165" i="4"/>
  <c r="AN165" i="4"/>
  <c r="T165" i="4"/>
  <c r="BC164" i="4"/>
  <c r="BB164" i="4"/>
  <c r="AS164" i="4"/>
  <c r="AR164" i="4"/>
  <c r="AN164" i="4"/>
  <c r="AS162" i="4"/>
  <c r="AS169" i="4"/>
  <c r="AR162" i="4"/>
  <c r="AR169" i="4"/>
  <c r="AE162" i="4"/>
  <c r="AE169" i="4"/>
  <c r="BC161" i="4"/>
  <c r="BC168" i="4"/>
  <c r="BB161" i="4"/>
  <c r="BA161" i="4"/>
  <c r="AZ161" i="4"/>
  <c r="AZ168" i="4"/>
  <c r="AY161" i="4"/>
  <c r="AY168" i="4"/>
  <c r="AX161" i="4"/>
  <c r="AX168" i="4"/>
  <c r="AW161" i="4"/>
  <c r="AW168" i="4"/>
  <c r="AV161" i="4"/>
  <c r="AV168" i="4"/>
  <c r="AU161" i="4"/>
  <c r="AU168" i="4"/>
  <c r="AT161" i="4"/>
  <c r="AT168" i="4"/>
  <c r="AS161" i="4"/>
  <c r="AS168" i="4"/>
  <c r="AR161" i="4"/>
  <c r="AR168" i="4"/>
  <c r="AQ161" i="4"/>
  <c r="AP161" i="4"/>
  <c r="AP168" i="4"/>
  <c r="AO161" i="4"/>
  <c r="AO168" i="4"/>
  <c r="AN161" i="4"/>
  <c r="AN168" i="4"/>
  <c r="AM161" i="4"/>
  <c r="AM168" i="4"/>
  <c r="AL161" i="4"/>
  <c r="AG161" i="4"/>
  <c r="AG168" i="4"/>
  <c r="AF161" i="4"/>
  <c r="AF168" i="4"/>
  <c r="AE161" i="4"/>
  <c r="AB161" i="4"/>
  <c r="AA161" i="4"/>
  <c r="AA168" i="4"/>
  <c r="V161" i="4"/>
  <c r="U161" i="4"/>
  <c r="S161" i="4"/>
  <c r="P161" i="4"/>
  <c r="P168" i="4"/>
  <c r="M161" i="4"/>
  <c r="G161" i="4"/>
  <c r="F161" i="4"/>
  <c r="F168" i="4"/>
  <c r="D161" i="4"/>
  <c r="BC160" i="4"/>
  <c r="BC167" i="4"/>
  <c r="BB160" i="4"/>
  <c r="BB170" i="4"/>
  <c r="BA160" i="4"/>
  <c r="AZ160" i="4"/>
  <c r="AY160" i="4"/>
  <c r="AX160" i="4"/>
  <c r="AX170" i="4"/>
  <c r="AX171" i="4"/>
  <c r="AW160" i="4"/>
  <c r="AW165" i="4"/>
  <c r="AV160" i="4"/>
  <c r="AV162" i="4"/>
  <c r="AV169" i="4"/>
  <c r="AU160" i="4"/>
  <c r="AT160" i="4"/>
  <c r="AS160" i="4"/>
  <c r="AS167" i="4"/>
  <c r="AR160" i="4"/>
  <c r="AR170" i="4"/>
  <c r="AR171" i="4"/>
  <c r="AQ160" i="4"/>
  <c r="AQ170" i="4"/>
  <c r="AQ171" i="4"/>
  <c r="AP160" i="4"/>
  <c r="AO160" i="4"/>
  <c r="AN160" i="4"/>
  <c r="AN170" i="4"/>
  <c r="AM160" i="4"/>
  <c r="AL160" i="4"/>
  <c r="AH160" i="4"/>
  <c r="AE160" i="4"/>
  <c r="AE167" i="4"/>
  <c r="AA160" i="4"/>
  <c r="AA162" i="4"/>
  <c r="AA169" i="4"/>
  <c r="X160" i="4"/>
  <c r="V160" i="4"/>
  <c r="U160" i="4"/>
  <c r="U165" i="4"/>
  <c r="S160" i="4"/>
  <c r="P160" i="4"/>
  <c r="Q160" i="4"/>
  <c r="M160" i="4"/>
  <c r="M167" i="4"/>
  <c r="K160" i="4"/>
  <c r="J160" i="4"/>
  <c r="G160" i="4"/>
  <c r="F160" i="4"/>
  <c r="D160" i="4"/>
  <c r="D162" i="4"/>
  <c r="AZ158" i="4"/>
  <c r="AZ159" i="4"/>
  <c r="AQ158" i="4"/>
  <c r="AQ159" i="4"/>
  <c r="P157" i="4"/>
  <c r="AN156" i="4"/>
  <c r="D156" i="4"/>
  <c r="AZ155" i="4"/>
  <c r="AH155" i="4"/>
  <c r="AE155" i="4"/>
  <c r="Z155" i="4"/>
  <c r="P155" i="4"/>
  <c r="AV153" i="4"/>
  <c r="AT153" i="4"/>
  <c r="AR153" i="4"/>
  <c r="D153" i="4"/>
  <c r="E153" i="4"/>
  <c r="F153" i="4"/>
  <c r="BC152" i="4"/>
  <c r="AZ152" i="4"/>
  <c r="AT152" i="4"/>
  <c r="AB152" i="4"/>
  <c r="D152" i="4"/>
  <c r="E152" i="4"/>
  <c r="AT150" i="4"/>
  <c r="AT157" i="4"/>
  <c r="AO150" i="4"/>
  <c r="AO157" i="4"/>
  <c r="P150" i="4"/>
  <c r="D150" i="4"/>
  <c r="D157" i="4"/>
  <c r="BC149" i="4"/>
  <c r="BC156" i="4"/>
  <c r="BB149" i="4"/>
  <c r="BB156" i="4"/>
  <c r="BA149" i="4"/>
  <c r="BA156" i="4"/>
  <c r="AZ149" i="4"/>
  <c r="AZ156" i="4"/>
  <c r="AY149" i="4"/>
  <c r="AY156" i="4"/>
  <c r="AX149" i="4"/>
  <c r="AX156" i="4"/>
  <c r="AW149" i="4"/>
  <c r="AW156" i="4"/>
  <c r="AV149" i="4"/>
  <c r="AV156" i="4"/>
  <c r="AU149" i="4"/>
  <c r="AU156" i="4"/>
  <c r="AT149" i="4"/>
  <c r="AT156" i="4"/>
  <c r="AS149" i="4"/>
  <c r="AS156" i="4"/>
  <c r="AR149" i="4"/>
  <c r="AR156" i="4"/>
  <c r="AQ149" i="4"/>
  <c r="AQ156" i="4"/>
  <c r="AP149" i="4"/>
  <c r="AP156" i="4"/>
  <c r="AO149" i="4"/>
  <c r="AO156" i="4"/>
  <c r="AN149" i="4"/>
  <c r="AM149" i="4"/>
  <c r="AM156" i="4"/>
  <c r="AL149" i="4"/>
  <c r="AL156" i="4"/>
  <c r="AE149" i="4"/>
  <c r="AA149" i="4"/>
  <c r="AB149" i="4"/>
  <c r="X149" i="4"/>
  <c r="U149" i="4"/>
  <c r="U156" i="4"/>
  <c r="S149" i="4"/>
  <c r="T156" i="4"/>
  <c r="P149" i="4"/>
  <c r="J149" i="4"/>
  <c r="F149" i="4"/>
  <c r="D149" i="4"/>
  <c r="E156" i="4"/>
  <c r="BC148" i="4"/>
  <c r="BB148" i="4"/>
  <c r="BA148" i="4"/>
  <c r="BA153" i="4"/>
  <c r="AZ148" i="4"/>
  <c r="AY148" i="4"/>
  <c r="AY158" i="4"/>
  <c r="AY159" i="4"/>
  <c r="AX148" i="4"/>
  <c r="AX152" i="4"/>
  <c r="AW148" i="4"/>
  <c r="AW153" i="4"/>
  <c r="AV148" i="4"/>
  <c r="AV150" i="4"/>
  <c r="AV157" i="4"/>
  <c r="AU148" i="4"/>
  <c r="AT148" i="4"/>
  <c r="AT158" i="4"/>
  <c r="AT159" i="4"/>
  <c r="AS148" i="4"/>
  <c r="AR148" i="4"/>
  <c r="AQ148" i="4"/>
  <c r="AP148" i="4"/>
  <c r="AP158" i="4"/>
  <c r="AP159" i="4"/>
  <c r="AO148" i="4"/>
  <c r="AN148" i="4"/>
  <c r="AM148" i="4"/>
  <c r="AM152" i="4"/>
  <c r="AL148" i="4"/>
  <c r="AL158" i="4"/>
  <c r="AL159" i="4"/>
  <c r="AH148" i="4"/>
  <c r="AE148" i="4"/>
  <c r="AF148" i="4"/>
  <c r="AA148" i="4"/>
  <c r="AB148" i="4"/>
  <c r="X148" i="4"/>
  <c r="Y148" i="4"/>
  <c r="V148" i="4"/>
  <c r="V155" i="4"/>
  <c r="U148" i="4"/>
  <c r="U155" i="4"/>
  <c r="S148" i="4"/>
  <c r="S150" i="4"/>
  <c r="Q148" i="4"/>
  <c r="P148" i="4"/>
  <c r="M148" i="4"/>
  <c r="J148" i="4"/>
  <c r="K148" i="4"/>
  <c r="F148" i="4"/>
  <c r="D148" i="4"/>
  <c r="E155" i="4"/>
  <c r="AN146" i="4"/>
  <c r="AN147" i="4"/>
  <c r="AY144" i="4"/>
  <c r="AU144" i="4"/>
  <c r="AP144" i="4"/>
  <c r="AE144" i="4"/>
  <c r="U144" i="4"/>
  <c r="BB143" i="4"/>
  <c r="AY143" i="4"/>
  <c r="AQ143" i="4"/>
  <c r="AP143" i="4"/>
  <c r="AE143" i="4"/>
  <c r="J143" i="4"/>
  <c r="BC141" i="4"/>
  <c r="AZ141" i="4"/>
  <c r="AU141" i="4"/>
  <c r="AQ141" i="4"/>
  <c r="AN141" i="4"/>
  <c r="BA140" i="4"/>
  <c r="AZ140" i="4"/>
  <c r="BC138" i="4"/>
  <c r="BC145" i="4"/>
  <c r="AY138" i="4"/>
  <c r="AY145" i="4"/>
  <c r="AX138" i="4"/>
  <c r="AX145" i="4"/>
  <c r="D138" i="4"/>
  <c r="BC137" i="4"/>
  <c r="BC144" i="4"/>
  <c r="BB137" i="4"/>
  <c r="BB144" i="4"/>
  <c r="BA137" i="4"/>
  <c r="BA144" i="4"/>
  <c r="AZ137" i="4"/>
  <c r="AZ144" i="4"/>
  <c r="AY137" i="4"/>
  <c r="AX137" i="4"/>
  <c r="AX144" i="4"/>
  <c r="AW137" i="4"/>
  <c r="AW144" i="4"/>
  <c r="AV137" i="4"/>
  <c r="AV144" i="4"/>
  <c r="AU137" i="4"/>
  <c r="AT137" i="4"/>
  <c r="AT144" i="4"/>
  <c r="AS137" i="4"/>
  <c r="AS144" i="4"/>
  <c r="AR137" i="4"/>
  <c r="AR144" i="4"/>
  <c r="AQ137" i="4"/>
  <c r="AQ144" i="4"/>
  <c r="AP137" i="4"/>
  <c r="AO137" i="4"/>
  <c r="AO144" i="4"/>
  <c r="AN137" i="4"/>
  <c r="AN144" i="4"/>
  <c r="AM137" i="4"/>
  <c r="AM144" i="4"/>
  <c r="AL137" i="4"/>
  <c r="AL144" i="4"/>
  <c r="AE137" i="4"/>
  <c r="AF137" i="4"/>
  <c r="AA137" i="4"/>
  <c r="X137" i="4"/>
  <c r="Y137" i="4"/>
  <c r="V137" i="4"/>
  <c r="W144" i="4"/>
  <c r="U137" i="4"/>
  <c r="S137" i="4"/>
  <c r="S144" i="4"/>
  <c r="P137" i="4"/>
  <c r="J137" i="4"/>
  <c r="F137" i="4"/>
  <c r="D137" i="4"/>
  <c r="BC136" i="4"/>
  <c r="BB136" i="4"/>
  <c r="BA136" i="4"/>
  <c r="BA141" i="4"/>
  <c r="AZ136" i="4"/>
  <c r="AZ138" i="4"/>
  <c r="AZ145" i="4"/>
  <c r="AY136" i="4"/>
  <c r="AX136" i="4"/>
  <c r="AX140" i="4"/>
  <c r="AW136" i="4"/>
  <c r="AW141" i="4"/>
  <c r="AV136" i="4"/>
  <c r="AU136" i="4"/>
  <c r="AU140" i="4"/>
  <c r="AT136" i="4"/>
  <c r="AT146" i="4"/>
  <c r="AT147" i="4"/>
  <c r="AS136" i="4"/>
  <c r="AS141" i="4"/>
  <c r="AR136" i="4"/>
  <c r="AQ136" i="4"/>
  <c r="AQ140" i="4"/>
  <c r="AP136" i="4"/>
  <c r="AP140" i="4"/>
  <c r="AO136" i="4"/>
  <c r="AO146" i="4"/>
  <c r="AO147" i="4"/>
  <c r="AN136" i="4"/>
  <c r="AN140" i="4"/>
  <c r="AM136" i="4"/>
  <c r="AM138" i="4"/>
  <c r="AM145" i="4"/>
  <c r="AL136" i="4"/>
  <c r="AH136" i="4"/>
  <c r="AE136" i="4"/>
  <c r="AE138" i="4"/>
  <c r="AE145" i="4"/>
  <c r="AA136" i="4"/>
  <c r="X136" i="4"/>
  <c r="U136" i="4"/>
  <c r="V136" i="4"/>
  <c r="V143" i="4"/>
  <c r="S136" i="4"/>
  <c r="P136" i="4"/>
  <c r="M136" i="4"/>
  <c r="N136" i="4"/>
  <c r="J136" i="4"/>
  <c r="F136" i="4"/>
  <c r="G136" i="4"/>
  <c r="D136" i="4"/>
  <c r="D140" i="4"/>
  <c r="E140" i="4"/>
  <c r="AZ134" i="4"/>
  <c r="AZ135" i="4"/>
  <c r="AW134" i="4"/>
  <c r="AW135" i="4"/>
  <c r="AU134" i="4"/>
  <c r="AU135" i="4"/>
  <c r="AO134" i="4"/>
  <c r="AO135" i="4"/>
  <c r="AO133" i="4"/>
  <c r="AU132" i="4"/>
  <c r="AP132" i="4"/>
  <c r="AM132" i="4"/>
  <c r="AL132" i="4"/>
  <c r="AW131" i="4"/>
  <c r="AU131" i="4"/>
  <c r="AT131" i="4"/>
  <c r="AP131" i="4"/>
  <c r="BA129" i="4"/>
  <c r="AZ129" i="4"/>
  <c r="AO129" i="4"/>
  <c r="AZ128" i="4"/>
  <c r="AO128" i="4"/>
  <c r="AZ126" i="4"/>
  <c r="AZ133" i="4"/>
  <c r="AY126" i="4"/>
  <c r="AY133" i="4"/>
  <c r="AQ126" i="4"/>
  <c r="AQ133" i="4"/>
  <c r="BC125" i="4"/>
  <c r="BC132" i="4"/>
  <c r="BB125" i="4"/>
  <c r="BB132" i="4"/>
  <c r="BA125" i="4"/>
  <c r="BA132" i="4"/>
  <c r="AZ125" i="4"/>
  <c r="AZ132" i="4"/>
  <c r="AY125" i="4"/>
  <c r="AY132" i="4"/>
  <c r="AX125" i="4"/>
  <c r="AX132" i="4"/>
  <c r="AW125" i="4"/>
  <c r="AW132" i="4"/>
  <c r="AV125" i="4"/>
  <c r="AV132" i="4"/>
  <c r="AU125" i="4"/>
  <c r="AT125" i="4"/>
  <c r="AT132" i="4"/>
  <c r="AS125" i="4"/>
  <c r="AS132" i="4"/>
  <c r="AR125" i="4"/>
  <c r="AR132" i="4"/>
  <c r="AQ125" i="4"/>
  <c r="AQ132" i="4"/>
  <c r="AP125" i="4"/>
  <c r="AO125" i="4"/>
  <c r="AO132" i="4"/>
  <c r="AN125" i="4"/>
  <c r="AN132" i="4"/>
  <c r="AM125" i="4"/>
  <c r="AL125" i="4"/>
  <c r="AA125" i="4"/>
  <c r="X125" i="4"/>
  <c r="U125" i="4"/>
  <c r="S125" i="4"/>
  <c r="P125" i="4"/>
  <c r="Q125" i="4"/>
  <c r="Q132" i="4"/>
  <c r="J125" i="4"/>
  <c r="J132" i="4"/>
  <c r="D125" i="4"/>
  <c r="D132" i="4"/>
  <c r="BC124" i="4"/>
  <c r="BB124" i="4"/>
  <c r="BA124" i="4"/>
  <c r="BA128" i="4"/>
  <c r="AZ124" i="4"/>
  <c r="AZ131" i="4"/>
  <c r="AY124" i="4"/>
  <c r="AX124" i="4"/>
  <c r="AX134" i="4"/>
  <c r="AX135" i="4"/>
  <c r="AW124" i="4"/>
  <c r="AW129" i="4"/>
  <c r="AV124" i="4"/>
  <c r="AV131" i="4"/>
  <c r="AU124" i="4"/>
  <c r="AT124" i="4"/>
  <c r="AS124" i="4"/>
  <c r="AS129" i="4"/>
  <c r="AR124" i="4"/>
  <c r="AQ124" i="4"/>
  <c r="AP124" i="4"/>
  <c r="AO124" i="4"/>
  <c r="AO126" i="4"/>
  <c r="AN124" i="4"/>
  <c r="AM124" i="4"/>
  <c r="AL124" i="4"/>
  <c r="AL126" i="4"/>
  <c r="AL133" i="4"/>
  <c r="AH124" i="4"/>
  <c r="AE124" i="4"/>
  <c r="AE131" i="4"/>
  <c r="AA124" i="4"/>
  <c r="X124" i="4"/>
  <c r="X126" i="4"/>
  <c r="X133" i="4"/>
  <c r="V124" i="4"/>
  <c r="W131" i="4"/>
  <c r="U124" i="4"/>
  <c r="S124" i="4"/>
  <c r="P124" i="4"/>
  <c r="M124" i="4"/>
  <c r="J124" i="4"/>
  <c r="F124" i="4"/>
  <c r="D124" i="4"/>
  <c r="D126" i="4"/>
  <c r="BC122" i="4"/>
  <c r="BC123" i="4"/>
  <c r="AO122" i="4"/>
  <c r="AO123" i="4"/>
  <c r="BA121" i="4"/>
  <c r="AN120" i="4"/>
  <c r="AA120" i="4"/>
  <c r="S120" i="4"/>
  <c r="M120" i="4"/>
  <c r="BC119" i="4"/>
  <c r="BA119" i="4"/>
  <c r="AQ119" i="4"/>
  <c r="AO119" i="4"/>
  <c r="AE119" i="4"/>
  <c r="U119" i="4"/>
  <c r="J119" i="4"/>
  <c r="BC117" i="4"/>
  <c r="BA117" i="4"/>
  <c r="AQ117" i="4"/>
  <c r="AQ116" i="4"/>
  <c r="AO116" i="4"/>
  <c r="AM116" i="4"/>
  <c r="F116" i="4"/>
  <c r="AS114" i="4"/>
  <c r="AS121" i="4"/>
  <c r="AO114" i="4"/>
  <c r="AO121" i="4"/>
  <c r="F114" i="4"/>
  <c r="F121" i="4"/>
  <c r="F122" i="4"/>
  <c r="F123" i="4"/>
  <c r="BC113" i="4"/>
  <c r="BC120" i="4"/>
  <c r="BB113" i="4"/>
  <c r="BB120" i="4"/>
  <c r="BA113" i="4"/>
  <c r="BA120" i="4"/>
  <c r="AZ113" i="4"/>
  <c r="AZ120" i="4"/>
  <c r="AY113" i="4"/>
  <c r="AY120" i="4"/>
  <c r="AX113" i="4"/>
  <c r="AX120" i="4"/>
  <c r="AW113" i="4"/>
  <c r="AW120" i="4"/>
  <c r="AV113" i="4"/>
  <c r="AV120" i="4"/>
  <c r="AU113" i="4"/>
  <c r="AU120" i="4"/>
  <c r="AT113" i="4"/>
  <c r="AT120" i="4"/>
  <c r="AS113" i="4"/>
  <c r="AS120" i="4"/>
  <c r="AR113" i="4"/>
  <c r="AR120" i="4"/>
  <c r="AQ113" i="4"/>
  <c r="AQ120" i="4"/>
  <c r="AP113" i="4"/>
  <c r="AP120" i="4"/>
  <c r="AO113" i="4"/>
  <c r="AO120" i="4"/>
  <c r="AN113" i="4"/>
  <c r="AM113" i="4"/>
  <c r="AM120" i="4"/>
  <c r="AL113" i="4"/>
  <c r="AL120" i="4"/>
  <c r="AH113" i="4"/>
  <c r="AE113" i="4"/>
  <c r="AE120" i="4"/>
  <c r="AB113" i="4"/>
  <c r="AB120" i="4"/>
  <c r="AA113" i="4"/>
  <c r="X113" i="4"/>
  <c r="S113" i="4"/>
  <c r="T113" i="4"/>
  <c r="P113" i="4"/>
  <c r="M113" i="4"/>
  <c r="N113" i="4"/>
  <c r="J113" i="4"/>
  <c r="K113" i="4"/>
  <c r="L120" i="4"/>
  <c r="D113" i="4"/>
  <c r="D120" i="4"/>
  <c r="BC112" i="4"/>
  <c r="BC116" i="4"/>
  <c r="BB112" i="4"/>
  <c r="BA112" i="4"/>
  <c r="BA114" i="4"/>
  <c r="AZ112" i="4"/>
  <c r="AY112" i="4"/>
  <c r="AY116" i="4"/>
  <c r="AX112" i="4"/>
  <c r="AX116" i="4"/>
  <c r="AW112" i="4"/>
  <c r="AV112" i="4"/>
  <c r="AV119" i="4"/>
  <c r="AU112" i="4"/>
  <c r="AU119" i="4"/>
  <c r="AT112" i="4"/>
  <c r="AT122" i="4"/>
  <c r="AT123" i="4"/>
  <c r="AS112" i="4"/>
  <c r="AR112" i="4"/>
  <c r="AQ112" i="4"/>
  <c r="AP112" i="4"/>
  <c r="AO112" i="4"/>
  <c r="AO117" i="4"/>
  <c r="AN112" i="4"/>
  <c r="AN122" i="4"/>
  <c r="AN123" i="4"/>
  <c r="AM112" i="4"/>
  <c r="AL112" i="4"/>
  <c r="AL114" i="4"/>
  <c r="AL121" i="4"/>
  <c r="AH112" i="4"/>
  <c r="AF112" i="4"/>
  <c r="AG119" i="4"/>
  <c r="AE112" i="4"/>
  <c r="AA112" i="4"/>
  <c r="X112" i="4"/>
  <c r="U112" i="4"/>
  <c r="S112" i="4"/>
  <c r="T119" i="4"/>
  <c r="Q112" i="4"/>
  <c r="P112" i="4"/>
  <c r="P119" i="4"/>
  <c r="M112" i="4"/>
  <c r="M119" i="4"/>
  <c r="K112" i="4"/>
  <c r="J112" i="4"/>
  <c r="F112" i="4"/>
  <c r="F119" i="4"/>
  <c r="D112" i="4"/>
  <c r="BA110" i="4"/>
  <c r="BA111" i="4"/>
  <c r="AP110" i="4"/>
  <c r="AP111" i="4"/>
  <c r="AM110" i="4"/>
  <c r="AM111" i="4"/>
  <c r="AT108" i="4"/>
  <c r="AR108" i="4"/>
  <c r="AO108" i="4"/>
  <c r="X108" i="4"/>
  <c r="V108" i="4"/>
  <c r="U108" i="4"/>
  <c r="BB107" i="4"/>
  <c r="BA107" i="4"/>
  <c r="AV107" i="4"/>
  <c r="AU107" i="4"/>
  <c r="AO107" i="4"/>
  <c r="E107" i="4"/>
  <c r="D107" i="4"/>
  <c r="BA105" i="4"/>
  <c r="T105" i="4"/>
  <c r="D105" i="4"/>
  <c r="E105" i="4"/>
  <c r="AR104" i="4"/>
  <c r="AP104" i="4"/>
  <c r="AL104" i="4"/>
  <c r="U104" i="4"/>
  <c r="T104" i="4"/>
  <c r="AY102" i="4"/>
  <c r="AY109" i="4"/>
  <c r="AR102" i="4"/>
  <c r="AR109" i="4"/>
  <c r="AQ102" i="4"/>
  <c r="AQ109" i="4"/>
  <c r="AP102" i="4"/>
  <c r="AP109" i="4"/>
  <c r="AM102" i="4"/>
  <c r="AM109" i="4"/>
  <c r="AL102" i="4"/>
  <c r="AL109" i="4"/>
  <c r="BC101" i="4"/>
  <c r="BC108" i="4"/>
  <c r="BB101" i="4"/>
  <c r="BB108" i="4"/>
  <c r="BA101" i="4"/>
  <c r="BA108" i="4"/>
  <c r="AZ101" i="4"/>
  <c r="AZ108" i="4"/>
  <c r="AY101" i="4"/>
  <c r="AY108" i="4"/>
  <c r="AX101" i="4"/>
  <c r="AX108" i="4"/>
  <c r="AW101" i="4"/>
  <c r="AW108" i="4"/>
  <c r="AV101" i="4"/>
  <c r="AV108" i="4"/>
  <c r="AU101" i="4"/>
  <c r="AU108" i="4"/>
  <c r="AT101" i="4"/>
  <c r="AS101" i="4"/>
  <c r="AS108" i="4"/>
  <c r="AR101" i="4"/>
  <c r="AQ101" i="4"/>
  <c r="AQ108" i="4"/>
  <c r="AP101" i="4"/>
  <c r="AP108" i="4"/>
  <c r="AO101" i="4"/>
  <c r="AN101" i="4"/>
  <c r="AN108" i="4"/>
  <c r="AM101" i="4"/>
  <c r="AM108" i="4"/>
  <c r="AL101" i="4"/>
  <c r="AL108" i="4"/>
  <c r="AH101" i="4"/>
  <c r="AA101" i="4"/>
  <c r="X101" i="4"/>
  <c r="Y101" i="4"/>
  <c r="U101" i="4"/>
  <c r="V101" i="4"/>
  <c r="W108" i="4"/>
  <c r="S101" i="4"/>
  <c r="T108" i="4"/>
  <c r="P101" i="4"/>
  <c r="M101" i="4"/>
  <c r="F101" i="4"/>
  <c r="G101" i="4"/>
  <c r="D101" i="4"/>
  <c r="BC100" i="4"/>
  <c r="BC102" i="4"/>
  <c r="BC109" i="4"/>
  <c r="BB100" i="4"/>
  <c r="BB105" i="4"/>
  <c r="BA100" i="4"/>
  <c r="BA102" i="4"/>
  <c r="BA109" i="4"/>
  <c r="AZ100" i="4"/>
  <c r="AZ104" i="4"/>
  <c r="AY100" i="4"/>
  <c r="AX100" i="4"/>
  <c r="AW100" i="4"/>
  <c r="AV100" i="4"/>
  <c r="AV105" i="4"/>
  <c r="AU100" i="4"/>
  <c r="AU105" i="4"/>
  <c r="AT100" i="4"/>
  <c r="AT104" i="4"/>
  <c r="AS100" i="4"/>
  <c r="AR100" i="4"/>
  <c r="AR110" i="4"/>
  <c r="AR111" i="4"/>
  <c r="AQ100" i="4"/>
  <c r="AQ107" i="4"/>
  <c r="AP100" i="4"/>
  <c r="AP105" i="4"/>
  <c r="AO100" i="4"/>
  <c r="AN100" i="4"/>
  <c r="AM100" i="4"/>
  <c r="AM107" i="4"/>
  <c r="AL100" i="4"/>
  <c r="AL110" i="4"/>
  <c r="AL111" i="4"/>
  <c r="AH100" i="4"/>
  <c r="AE100" i="4"/>
  <c r="AE107" i="4"/>
  <c r="AB100" i="4"/>
  <c r="AA100" i="4"/>
  <c r="X100" i="4"/>
  <c r="Y100" i="4"/>
  <c r="Y107" i="4"/>
  <c r="U100" i="4"/>
  <c r="S100" i="4"/>
  <c r="P100" i="4"/>
  <c r="M100" i="4"/>
  <c r="N100" i="4"/>
  <c r="N107" i="4"/>
  <c r="J100" i="4"/>
  <c r="F100" i="4"/>
  <c r="F104" i="4"/>
  <c r="D100" i="4"/>
  <c r="D104" i="4"/>
  <c r="E104" i="4"/>
  <c r="AS98" i="4"/>
  <c r="AS99" i="4"/>
  <c r="AT97" i="4"/>
  <c r="AZ96" i="4"/>
  <c r="AV96" i="4"/>
  <c r="AU96" i="4"/>
  <c r="AP96" i="4"/>
  <c r="AO96" i="4"/>
  <c r="AE96" i="4"/>
  <c r="AT95" i="4"/>
  <c r="AS95" i="4"/>
  <c r="AR95" i="4"/>
  <c r="AH95" i="4"/>
  <c r="AB95" i="4"/>
  <c r="J95" i="4"/>
  <c r="F95" i="4"/>
  <c r="E95" i="4"/>
  <c r="D95" i="4"/>
  <c r="BC93" i="4"/>
  <c r="AX93" i="4"/>
  <c r="BC92" i="4"/>
  <c r="BA92" i="4"/>
  <c r="AU92" i="4"/>
  <c r="AS92" i="4"/>
  <c r="M92" i="4"/>
  <c r="AT90" i="4"/>
  <c r="AS90" i="4"/>
  <c r="AS97" i="4"/>
  <c r="AH90" i="4"/>
  <c r="AH97" i="4"/>
  <c r="S90" i="4"/>
  <c r="S97" i="4"/>
  <c r="BC89" i="4"/>
  <c r="BC96" i="4"/>
  <c r="BB89" i="4"/>
  <c r="BB96" i="4"/>
  <c r="BA89" i="4"/>
  <c r="BA96" i="4"/>
  <c r="AZ89" i="4"/>
  <c r="AY89" i="4"/>
  <c r="AY96" i="4"/>
  <c r="AX89" i="4"/>
  <c r="AX96" i="4"/>
  <c r="AW89" i="4"/>
  <c r="AW96" i="4"/>
  <c r="AV89" i="4"/>
  <c r="AU89" i="4"/>
  <c r="AT89" i="4"/>
  <c r="AT96" i="4"/>
  <c r="AS89" i="4"/>
  <c r="AS96" i="4"/>
  <c r="AR89" i="4"/>
  <c r="AR96" i="4"/>
  <c r="AQ89" i="4"/>
  <c r="AQ96" i="4"/>
  <c r="AP89" i="4"/>
  <c r="AO89" i="4"/>
  <c r="AN89" i="4"/>
  <c r="AN96" i="4"/>
  <c r="AM89" i="4"/>
  <c r="AM96" i="4"/>
  <c r="AL89" i="4"/>
  <c r="AL96" i="4"/>
  <c r="AH89" i="4"/>
  <c r="AH96" i="4"/>
  <c r="AF89" i="4"/>
  <c r="AE89" i="4"/>
  <c r="AA89" i="4"/>
  <c r="AA96" i="4"/>
  <c r="X89" i="4"/>
  <c r="U89" i="4"/>
  <c r="U96" i="4"/>
  <c r="S89" i="4"/>
  <c r="S96" i="4"/>
  <c r="P89" i="4"/>
  <c r="Q89" i="4"/>
  <c r="Q96" i="4"/>
  <c r="G89" i="4"/>
  <c r="F89" i="4"/>
  <c r="F96" i="4"/>
  <c r="D89" i="4"/>
  <c r="D96" i="4"/>
  <c r="BC88" i="4"/>
  <c r="BC98" i="4"/>
  <c r="BC99" i="4"/>
  <c r="BB88" i="4"/>
  <c r="BA88" i="4"/>
  <c r="BA90" i="4"/>
  <c r="BA97" i="4"/>
  <c r="AZ88" i="4"/>
  <c r="AY88" i="4"/>
  <c r="AY95" i="4"/>
  <c r="AX88" i="4"/>
  <c r="AX98" i="4"/>
  <c r="AX99" i="4"/>
  <c r="AW88" i="4"/>
  <c r="AW95" i="4"/>
  <c r="AV88" i="4"/>
  <c r="AU88" i="4"/>
  <c r="AU93" i="4"/>
  <c r="AT88" i="4"/>
  <c r="AS88" i="4"/>
  <c r="AS93" i="4"/>
  <c r="AR88" i="4"/>
  <c r="AQ88" i="4"/>
  <c r="AP88" i="4"/>
  <c r="AP95" i="4"/>
  <c r="AO88" i="4"/>
  <c r="AN88" i="4"/>
  <c r="AM88" i="4"/>
  <c r="AL88" i="4"/>
  <c r="AH88" i="4"/>
  <c r="AI88" i="4"/>
  <c r="AE88" i="4"/>
  <c r="AB88" i="4"/>
  <c r="AA88" i="4"/>
  <c r="AA95" i="4"/>
  <c r="X88" i="4"/>
  <c r="U88" i="4"/>
  <c r="U95" i="4"/>
  <c r="S88" i="4"/>
  <c r="S95" i="4"/>
  <c r="P88" i="4"/>
  <c r="P95" i="4"/>
  <c r="M88" i="4"/>
  <c r="M95" i="4"/>
  <c r="J88" i="4"/>
  <c r="F88" i="4"/>
  <c r="G88" i="4"/>
  <c r="D88" i="4"/>
  <c r="D90" i="4"/>
  <c r="BB86" i="4"/>
  <c r="BB87" i="4"/>
  <c r="BA86" i="4"/>
  <c r="BA87" i="4"/>
  <c r="BB84" i="4"/>
  <c r="BA84" i="4"/>
  <c r="AW84" i="4"/>
  <c r="AR84" i="4"/>
  <c r="AQ84" i="4"/>
  <c r="AM84" i="4"/>
  <c r="E84" i="4"/>
  <c r="D84" i="4"/>
  <c r="AT83" i="4"/>
  <c r="AA83" i="4"/>
  <c r="X83" i="4"/>
  <c r="U83" i="4"/>
  <c r="AX81" i="4"/>
  <c r="AT81" i="4"/>
  <c r="AN81" i="4"/>
  <c r="AX80" i="4"/>
  <c r="AN80" i="4"/>
  <c r="AX78" i="4"/>
  <c r="AX85" i="4"/>
  <c r="AU78" i="4"/>
  <c r="AU85" i="4"/>
  <c r="AR78" i="4"/>
  <c r="AR85" i="4"/>
  <c r="AO78" i="4"/>
  <c r="AO85" i="4"/>
  <c r="AA78" i="4"/>
  <c r="AA85" i="4"/>
  <c r="BC77" i="4"/>
  <c r="BC84" i="4"/>
  <c r="BB77" i="4"/>
  <c r="BA77" i="4"/>
  <c r="AZ77" i="4"/>
  <c r="AZ84" i="4"/>
  <c r="AY77" i="4"/>
  <c r="AY84" i="4"/>
  <c r="AX77" i="4"/>
  <c r="AX84" i="4"/>
  <c r="AW77" i="4"/>
  <c r="AV77" i="4"/>
  <c r="AV84" i="4"/>
  <c r="AU77" i="4"/>
  <c r="AU84" i="4"/>
  <c r="AT77" i="4"/>
  <c r="AT84" i="4"/>
  <c r="AS77" i="4"/>
  <c r="AS84" i="4"/>
  <c r="AR77" i="4"/>
  <c r="AQ77" i="4"/>
  <c r="AP77" i="4"/>
  <c r="AP84" i="4"/>
  <c r="AO77" i="4"/>
  <c r="AO84" i="4"/>
  <c r="AN77" i="4"/>
  <c r="AN84" i="4"/>
  <c r="AM77" i="4"/>
  <c r="AL77" i="4"/>
  <c r="AL84" i="4"/>
  <c r="AH77" i="4"/>
  <c r="AH84" i="4"/>
  <c r="AE77" i="4"/>
  <c r="AA77" i="4"/>
  <c r="U77" i="4"/>
  <c r="U84" i="4"/>
  <c r="S77" i="4"/>
  <c r="T84" i="4"/>
  <c r="P77" i="4"/>
  <c r="P84" i="4"/>
  <c r="M77" i="4"/>
  <c r="N77" i="4"/>
  <c r="N84" i="4"/>
  <c r="J77" i="4"/>
  <c r="K77" i="4"/>
  <c r="L84" i="4"/>
  <c r="F77" i="4"/>
  <c r="F84" i="4"/>
  <c r="D77" i="4"/>
  <c r="BC76" i="4"/>
  <c r="BB76" i="4"/>
  <c r="BB83" i="4"/>
  <c r="BA76" i="4"/>
  <c r="BA83" i="4"/>
  <c r="AZ76" i="4"/>
  <c r="AZ83" i="4"/>
  <c r="AY76" i="4"/>
  <c r="AY80" i="4"/>
  <c r="AX76" i="4"/>
  <c r="AX83" i="4"/>
  <c r="AW76" i="4"/>
  <c r="AW86" i="4"/>
  <c r="AW87" i="4"/>
  <c r="AV76" i="4"/>
  <c r="AV81" i="4"/>
  <c r="AU76" i="4"/>
  <c r="AT76" i="4"/>
  <c r="AS76" i="4"/>
  <c r="AR76" i="4"/>
  <c r="AQ76" i="4"/>
  <c r="AP76" i="4"/>
  <c r="AO76" i="4"/>
  <c r="AO86" i="4"/>
  <c r="AO87" i="4"/>
  <c r="AN76" i="4"/>
  <c r="AN83" i="4"/>
  <c r="AM76" i="4"/>
  <c r="AL76" i="4"/>
  <c r="AL86" i="4"/>
  <c r="AL87" i="4"/>
  <c r="AH76" i="4"/>
  <c r="AE76" i="4"/>
  <c r="AE78" i="4"/>
  <c r="AE85" i="4"/>
  <c r="AA76" i="4"/>
  <c r="AB76" i="4"/>
  <c r="X76" i="4"/>
  <c r="U76" i="4"/>
  <c r="V76" i="4"/>
  <c r="S76" i="4"/>
  <c r="P76" i="4"/>
  <c r="M76" i="4"/>
  <c r="N76" i="4"/>
  <c r="J76" i="4"/>
  <c r="F76" i="4"/>
  <c r="F78" i="4"/>
  <c r="F85" i="4"/>
  <c r="D76" i="4"/>
  <c r="D78" i="4"/>
  <c r="AQ75" i="4"/>
  <c r="BB74" i="4"/>
  <c r="BB75" i="4"/>
  <c r="BA74" i="4"/>
  <c r="BA75" i="4"/>
  <c r="AQ74" i="4"/>
  <c r="AO74" i="4"/>
  <c r="AO75" i="4"/>
  <c r="AN74" i="4"/>
  <c r="AN75" i="4"/>
  <c r="AQ73" i="4"/>
  <c r="AZ72" i="4"/>
  <c r="AA72" i="4"/>
  <c r="X72" i="4"/>
  <c r="S72" i="4"/>
  <c r="M72" i="4"/>
  <c r="E72" i="4"/>
  <c r="AY71" i="4"/>
  <c r="AO71" i="4"/>
  <c r="AL71" i="4"/>
  <c r="AE71" i="4"/>
  <c r="S71" i="4"/>
  <c r="F71" i="4"/>
  <c r="E71" i="4"/>
  <c r="BB69" i="4"/>
  <c r="BA69" i="4"/>
  <c r="AR69" i="4"/>
  <c r="AQ69" i="4"/>
  <c r="AO69" i="4"/>
  <c r="BB68" i="4"/>
  <c r="BA68" i="4"/>
  <c r="AQ68" i="4"/>
  <c r="AO68" i="4"/>
  <c r="BB66" i="4"/>
  <c r="BB73" i="4"/>
  <c r="BA66" i="4"/>
  <c r="BA73" i="4"/>
  <c r="AW66" i="4"/>
  <c r="AW73" i="4"/>
  <c r="AQ66" i="4"/>
  <c r="AO66" i="4"/>
  <c r="AO73" i="4"/>
  <c r="AA66" i="4"/>
  <c r="AA73" i="4"/>
  <c r="S66" i="4"/>
  <c r="T73" i="4"/>
  <c r="P66" i="4"/>
  <c r="P73" i="4"/>
  <c r="BC65" i="4"/>
  <c r="BC72" i="4"/>
  <c r="BB65" i="4"/>
  <c r="BB72" i="4"/>
  <c r="BA65" i="4"/>
  <c r="BA72" i="4"/>
  <c r="AZ65" i="4"/>
  <c r="AY65" i="4"/>
  <c r="AY72" i="4"/>
  <c r="AX65" i="4"/>
  <c r="AX72" i="4"/>
  <c r="AW65" i="4"/>
  <c r="AW72" i="4"/>
  <c r="AV65" i="4"/>
  <c r="AV72" i="4"/>
  <c r="AU65" i="4"/>
  <c r="AU72" i="4"/>
  <c r="AT65" i="4"/>
  <c r="AT72" i="4"/>
  <c r="AS65" i="4"/>
  <c r="AS72" i="4"/>
  <c r="AR65" i="4"/>
  <c r="AR72" i="4"/>
  <c r="AQ65" i="4"/>
  <c r="AQ72" i="4"/>
  <c r="AP65" i="4"/>
  <c r="AP72" i="4"/>
  <c r="AO65" i="4"/>
  <c r="AO72" i="4"/>
  <c r="AN65" i="4"/>
  <c r="AN72" i="4"/>
  <c r="AM65" i="4"/>
  <c r="AM72" i="4"/>
  <c r="AL65" i="4"/>
  <c r="AL72" i="4"/>
  <c r="AH65" i="4"/>
  <c r="AF65" i="4"/>
  <c r="AE65" i="4"/>
  <c r="AE72" i="4"/>
  <c r="AA65" i="4"/>
  <c r="AB65" i="4"/>
  <c r="X65" i="4"/>
  <c r="Y65" i="4"/>
  <c r="Y72" i="4"/>
  <c r="U65" i="4"/>
  <c r="U72" i="4"/>
  <c r="S65" i="4"/>
  <c r="T72" i="4"/>
  <c r="P65" i="4"/>
  <c r="M65" i="4"/>
  <c r="N65" i="4"/>
  <c r="F65" i="4"/>
  <c r="F72" i="4"/>
  <c r="D65" i="4"/>
  <c r="D72" i="4"/>
  <c r="BC64" i="4"/>
  <c r="BC74" i="4"/>
  <c r="BC75" i="4"/>
  <c r="BB64" i="4"/>
  <c r="BB71" i="4"/>
  <c r="BA64" i="4"/>
  <c r="BA71" i="4"/>
  <c r="AZ64" i="4"/>
  <c r="AZ69" i="4"/>
  <c r="AY64" i="4"/>
  <c r="AY69" i="4"/>
  <c r="AX64" i="4"/>
  <c r="AW64" i="4"/>
  <c r="AW74" i="4"/>
  <c r="AW75" i="4"/>
  <c r="AV64" i="4"/>
  <c r="AV71" i="4"/>
  <c r="AU64" i="4"/>
  <c r="AU74" i="4"/>
  <c r="AU75" i="4"/>
  <c r="AT64" i="4"/>
  <c r="AT74" i="4"/>
  <c r="AT75" i="4"/>
  <c r="AS64" i="4"/>
  <c r="AS74" i="4"/>
  <c r="AS75" i="4"/>
  <c r="AR64" i="4"/>
  <c r="AR71" i="4"/>
  <c r="AQ64" i="4"/>
  <c r="AQ71" i="4"/>
  <c r="AP64" i="4"/>
  <c r="AP71" i="4"/>
  <c r="AO64" i="4"/>
  <c r="AN64" i="4"/>
  <c r="AM64" i="4"/>
  <c r="AM71" i="4"/>
  <c r="AL64" i="4"/>
  <c r="AH64" i="4"/>
  <c r="AH66" i="4"/>
  <c r="AH73" i="4"/>
  <c r="AE64" i="4"/>
  <c r="AF64" i="4"/>
  <c r="AB64" i="4"/>
  <c r="AA64" i="4"/>
  <c r="AA71" i="4"/>
  <c r="X64" i="4"/>
  <c r="U64" i="4"/>
  <c r="S64" i="4"/>
  <c r="T71" i="4"/>
  <c r="P64" i="4"/>
  <c r="P71" i="4"/>
  <c r="M64" i="4"/>
  <c r="N64" i="4"/>
  <c r="O71" i="4"/>
  <c r="J64" i="4"/>
  <c r="J71" i="4"/>
  <c r="G64" i="4"/>
  <c r="F64" i="4"/>
  <c r="D64" i="4"/>
  <c r="AW62" i="4"/>
  <c r="AW63" i="4"/>
  <c r="AN62" i="4"/>
  <c r="AN63" i="4"/>
  <c r="AM62" i="4"/>
  <c r="AM63" i="4"/>
  <c r="AW61" i="4"/>
  <c r="X61" i="4"/>
  <c r="S61" i="4"/>
  <c r="AV60" i="4"/>
  <c r="AU60" i="4"/>
  <c r="J60" i="4"/>
  <c r="AX59" i="4"/>
  <c r="AW59" i="4"/>
  <c r="AV59" i="4"/>
  <c r="AR59" i="4"/>
  <c r="Y59" i="4"/>
  <c r="X59" i="4"/>
  <c r="T59" i="4"/>
  <c r="S59" i="4"/>
  <c r="J59" i="4"/>
  <c r="AM57" i="4"/>
  <c r="AL57" i="4"/>
  <c r="AX56" i="4"/>
  <c r="AW56" i="4"/>
  <c r="AM56" i="4"/>
  <c r="AL56" i="4"/>
  <c r="AX54" i="4"/>
  <c r="AX61" i="4"/>
  <c r="AV54" i="4"/>
  <c r="AV61" i="4"/>
  <c r="AU54" i="4"/>
  <c r="AU61" i="4"/>
  <c r="AN54" i="4"/>
  <c r="AN61" i="4"/>
  <c r="AM54" i="4"/>
  <c r="AM61" i="4"/>
  <c r="X54" i="4"/>
  <c r="BC53" i="4"/>
  <c r="BC60" i="4"/>
  <c r="BB53" i="4"/>
  <c r="BB60" i="4"/>
  <c r="BA53" i="4"/>
  <c r="BA60" i="4"/>
  <c r="AZ53" i="4"/>
  <c r="AZ60" i="4"/>
  <c r="AY53" i="4"/>
  <c r="AY60" i="4"/>
  <c r="AX53" i="4"/>
  <c r="AX60" i="4"/>
  <c r="AW53" i="4"/>
  <c r="AW60" i="4"/>
  <c r="AV53" i="4"/>
  <c r="AU53" i="4"/>
  <c r="AT53" i="4"/>
  <c r="AT60" i="4"/>
  <c r="AS53" i="4"/>
  <c r="AS60" i="4"/>
  <c r="AR53" i="4"/>
  <c r="AR60" i="4"/>
  <c r="AQ53" i="4"/>
  <c r="AQ60" i="4"/>
  <c r="AP53" i="4"/>
  <c r="AP60" i="4"/>
  <c r="AO53" i="4"/>
  <c r="AO60" i="4"/>
  <c r="AN53" i="4"/>
  <c r="AN60" i="4"/>
  <c r="AM53" i="4"/>
  <c r="AM60" i="4"/>
  <c r="AL53" i="4"/>
  <c r="AL60" i="4"/>
  <c r="AH53" i="4"/>
  <c r="AE53" i="4"/>
  <c r="AE60" i="4"/>
  <c r="AA53" i="4"/>
  <c r="AB53" i="4"/>
  <c r="AC53" i="4"/>
  <c r="X53" i="4"/>
  <c r="X60" i="4"/>
  <c r="U53" i="4"/>
  <c r="V53" i="4"/>
  <c r="W60" i="4"/>
  <c r="S53" i="4"/>
  <c r="S60" i="4"/>
  <c r="P53" i="4"/>
  <c r="P60" i="4"/>
  <c r="M53" i="4"/>
  <c r="M60" i="4"/>
  <c r="J53" i="4"/>
  <c r="K53" i="4"/>
  <c r="F53" i="4"/>
  <c r="G53" i="4"/>
  <c r="G60" i="4"/>
  <c r="D53" i="4"/>
  <c r="D60" i="4"/>
  <c r="BC52" i="4"/>
  <c r="BC54" i="4"/>
  <c r="BC61" i="4"/>
  <c r="BB52" i="4"/>
  <c r="BA52" i="4"/>
  <c r="AZ52" i="4"/>
  <c r="AY52" i="4"/>
  <c r="AY54" i="4"/>
  <c r="AY61" i="4"/>
  <c r="AX52" i="4"/>
  <c r="AX57" i="4"/>
  <c r="AW52" i="4"/>
  <c r="AW54" i="4"/>
  <c r="AV52" i="4"/>
  <c r="AV62" i="4"/>
  <c r="AV63" i="4"/>
  <c r="AU52" i="4"/>
  <c r="AU59" i="4"/>
  <c r="AT52" i="4"/>
  <c r="AT62" i="4"/>
  <c r="AT63" i="4"/>
  <c r="AS52" i="4"/>
  <c r="AS54" i="4"/>
  <c r="AS61" i="4"/>
  <c r="AR52" i="4"/>
  <c r="AQ52" i="4"/>
  <c r="AQ59" i="4"/>
  <c r="AP52" i="4"/>
  <c r="AP62" i="4"/>
  <c r="AP63" i="4"/>
  <c r="AO52" i="4"/>
  <c r="AO62" i="4"/>
  <c r="AO63" i="4"/>
  <c r="AN52" i="4"/>
  <c r="AN57" i="4"/>
  <c r="AM52" i="4"/>
  <c r="AM59" i="4"/>
  <c r="AL52" i="4"/>
  <c r="AL62" i="4"/>
  <c r="AL63" i="4"/>
  <c r="AH52" i="4"/>
  <c r="AH54" i="4"/>
  <c r="AH61" i="4"/>
  <c r="AE52" i="4"/>
  <c r="AA52" i="4"/>
  <c r="AA54" i="4"/>
  <c r="AA61" i="4"/>
  <c r="Y52" i="4"/>
  <c r="Z59" i="4"/>
  <c r="X52" i="4"/>
  <c r="U52" i="4"/>
  <c r="S52" i="4"/>
  <c r="S54" i="4"/>
  <c r="T61" i="4"/>
  <c r="P52" i="4"/>
  <c r="Q52" i="4"/>
  <c r="M52" i="4"/>
  <c r="J52" i="4"/>
  <c r="J54" i="4"/>
  <c r="J61" i="4"/>
  <c r="F52" i="4"/>
  <c r="D52" i="4"/>
  <c r="AV50" i="4"/>
  <c r="AV51" i="4"/>
  <c r="AS50" i="4"/>
  <c r="AS51" i="4"/>
  <c r="AL50" i="4"/>
  <c r="AL51" i="4"/>
  <c r="AE49" i="4"/>
  <c r="X49" i="4"/>
  <c r="BB48" i="4"/>
  <c r="AS48" i="4"/>
  <c r="AR48" i="4"/>
  <c r="AH48" i="4"/>
  <c r="J48" i="4"/>
  <c r="BC47" i="4"/>
  <c r="AV47" i="4"/>
  <c r="AQ47" i="4"/>
  <c r="AO45" i="4"/>
  <c r="AS44" i="4"/>
  <c r="AP44" i="4"/>
  <c r="AO44" i="4"/>
  <c r="BC42" i="4"/>
  <c r="BC49" i="4"/>
  <c r="AS42" i="4"/>
  <c r="AS49" i="4"/>
  <c r="AH42" i="4"/>
  <c r="AH49" i="4"/>
  <c r="AE42" i="4"/>
  <c r="X42" i="4"/>
  <c r="U42" i="4"/>
  <c r="U49" i="4"/>
  <c r="BC41" i="4"/>
  <c r="BC48" i="4"/>
  <c r="BB41" i="4"/>
  <c r="BA41" i="4"/>
  <c r="BA48" i="4"/>
  <c r="AZ41" i="4"/>
  <c r="AZ48" i="4"/>
  <c r="AY41" i="4"/>
  <c r="AY48" i="4"/>
  <c r="AX41" i="4"/>
  <c r="AX48" i="4"/>
  <c r="AW41" i="4"/>
  <c r="AW48" i="4"/>
  <c r="AV41" i="4"/>
  <c r="AV48" i="4"/>
  <c r="AU41" i="4"/>
  <c r="AU48" i="4"/>
  <c r="AT41" i="4"/>
  <c r="AT48" i="4"/>
  <c r="AS41" i="4"/>
  <c r="AR41" i="4"/>
  <c r="AQ41" i="4"/>
  <c r="AQ48" i="4"/>
  <c r="AP41" i="4"/>
  <c r="AP48" i="4"/>
  <c r="AO41" i="4"/>
  <c r="AO48" i="4"/>
  <c r="AN41" i="4"/>
  <c r="AN48" i="4"/>
  <c r="AM41" i="4"/>
  <c r="AM48" i="4"/>
  <c r="AL41" i="4"/>
  <c r="AL48" i="4"/>
  <c r="AI41" i="4"/>
  <c r="AI48" i="4"/>
  <c r="AH41" i="4"/>
  <c r="AE41" i="4"/>
  <c r="AA41" i="4"/>
  <c r="AB41" i="4"/>
  <c r="AB48" i="4"/>
  <c r="X41" i="4"/>
  <c r="U41" i="4"/>
  <c r="V41" i="4"/>
  <c r="S41" i="4"/>
  <c r="T48" i="4"/>
  <c r="P41" i="4"/>
  <c r="P48" i="4"/>
  <c r="M41" i="4"/>
  <c r="M48" i="4"/>
  <c r="J41" i="4"/>
  <c r="K41" i="4"/>
  <c r="L48" i="4"/>
  <c r="F41" i="4"/>
  <c r="G41" i="4"/>
  <c r="D41" i="4"/>
  <c r="E48" i="4"/>
  <c r="BC40" i="4"/>
  <c r="BC45" i="4"/>
  <c r="BB40" i="4"/>
  <c r="BB50" i="4"/>
  <c r="BB51" i="4"/>
  <c r="BA40" i="4"/>
  <c r="BA50" i="4"/>
  <c r="BA51" i="4"/>
  <c r="AZ40" i="4"/>
  <c r="AZ44" i="4"/>
  <c r="AY40" i="4"/>
  <c r="AY47" i="4"/>
  <c r="AX40" i="4"/>
  <c r="AX47" i="4"/>
  <c r="AW40" i="4"/>
  <c r="AW45" i="4"/>
  <c r="AV40" i="4"/>
  <c r="AU40" i="4"/>
  <c r="AT40" i="4"/>
  <c r="AT45" i="4"/>
  <c r="AS40" i="4"/>
  <c r="AS45" i="4"/>
  <c r="AR40" i="4"/>
  <c r="AR42" i="4"/>
  <c r="AR49" i="4"/>
  <c r="AQ40" i="4"/>
  <c r="AQ42" i="4"/>
  <c r="AQ49" i="4"/>
  <c r="AP40" i="4"/>
  <c r="AP50" i="4"/>
  <c r="AP51" i="4"/>
  <c r="AO40" i="4"/>
  <c r="AO47" i="4"/>
  <c r="AN40" i="4"/>
  <c r="AN47" i="4"/>
  <c r="AM40" i="4"/>
  <c r="AM47" i="4"/>
  <c r="AL40" i="4"/>
  <c r="AL44" i="4"/>
  <c r="AH40" i="4"/>
  <c r="AH47" i="4"/>
  <c r="AE40" i="4"/>
  <c r="AE47" i="4"/>
  <c r="AA40" i="4"/>
  <c r="X40" i="4"/>
  <c r="X47" i="4"/>
  <c r="U40" i="4"/>
  <c r="V40" i="4"/>
  <c r="S40" i="4"/>
  <c r="P40" i="4"/>
  <c r="M40" i="4"/>
  <c r="N40" i="4"/>
  <c r="J40" i="4"/>
  <c r="J42" i="4"/>
  <c r="J49" i="4"/>
  <c r="F40" i="4"/>
  <c r="F42" i="4"/>
  <c r="F49" i="4"/>
  <c r="D40" i="4"/>
  <c r="D42" i="4"/>
  <c r="AQ38" i="4"/>
  <c r="AQ39" i="4"/>
  <c r="AP38" i="4"/>
  <c r="AP39" i="4"/>
  <c r="AO38" i="4"/>
  <c r="AO39" i="4"/>
  <c r="AN38" i="4"/>
  <c r="AN39" i="4"/>
  <c r="AL38" i="4"/>
  <c r="AL39" i="4"/>
  <c r="AP37" i="4"/>
  <c r="AN37" i="4"/>
  <c r="AZ36" i="4"/>
  <c r="Q36" i="4"/>
  <c r="P36" i="4"/>
  <c r="BA35" i="4"/>
  <c r="AZ35" i="4"/>
  <c r="AY35" i="4"/>
  <c r="AU35" i="4"/>
  <c r="AQ35" i="4"/>
  <c r="AP35" i="4"/>
  <c r="AN35" i="4"/>
  <c r="U35" i="4"/>
  <c r="BA33" i="4"/>
  <c r="AZ33" i="4"/>
  <c r="AX33" i="4"/>
  <c r="AQ33" i="4"/>
  <c r="AP33" i="4"/>
  <c r="AO33" i="4"/>
  <c r="AN33" i="4"/>
  <c r="AM33" i="4"/>
  <c r="BA32" i="4"/>
  <c r="AZ32" i="4"/>
  <c r="AQ32" i="4"/>
  <c r="AO32" i="4"/>
  <c r="D32" i="4"/>
  <c r="E32" i="4"/>
  <c r="F32" i="4"/>
  <c r="AY30" i="4"/>
  <c r="AY37" i="4"/>
  <c r="AX30" i="4"/>
  <c r="AX37" i="4"/>
  <c r="AN30" i="4"/>
  <c r="U30" i="4"/>
  <c r="U37" i="4"/>
  <c r="BC29" i="4"/>
  <c r="BC36" i="4"/>
  <c r="BB29" i="4"/>
  <c r="BB36" i="4"/>
  <c r="BA29" i="4"/>
  <c r="BA36" i="4"/>
  <c r="AZ29" i="4"/>
  <c r="AY29" i="4"/>
  <c r="AY36" i="4"/>
  <c r="AX29" i="4"/>
  <c r="AX36" i="4"/>
  <c r="AW29" i="4"/>
  <c r="AW36" i="4"/>
  <c r="AV29" i="4"/>
  <c r="AV36" i="4"/>
  <c r="AU29" i="4"/>
  <c r="AU36" i="4"/>
  <c r="AT29" i="4"/>
  <c r="AT36" i="4"/>
  <c r="AS29" i="4"/>
  <c r="AS36" i="4"/>
  <c r="AR29" i="4"/>
  <c r="AR36" i="4"/>
  <c r="AQ29" i="4"/>
  <c r="AQ36" i="4"/>
  <c r="AP29" i="4"/>
  <c r="AP36" i="4"/>
  <c r="AO29" i="4"/>
  <c r="AO36" i="4"/>
  <c r="AN29" i="4"/>
  <c r="AN36" i="4"/>
  <c r="AM29" i="4"/>
  <c r="AM36" i="4"/>
  <c r="AL29" i="4"/>
  <c r="AL36" i="4"/>
  <c r="AH29" i="4"/>
  <c r="AE29" i="4"/>
  <c r="AE36" i="4"/>
  <c r="AA29" i="4"/>
  <c r="AB29" i="4"/>
  <c r="AC29" i="4"/>
  <c r="X29" i="4"/>
  <c r="X36" i="4"/>
  <c r="U29" i="4"/>
  <c r="S29" i="4"/>
  <c r="P29" i="4"/>
  <c r="Q29" i="4"/>
  <c r="R36" i="4"/>
  <c r="M29" i="4"/>
  <c r="N29" i="4"/>
  <c r="J29" i="4"/>
  <c r="K29" i="4"/>
  <c r="K36" i="4"/>
  <c r="F29" i="4"/>
  <c r="D29" i="4"/>
  <c r="E36" i="4"/>
  <c r="BC28" i="4"/>
  <c r="BC35" i="4"/>
  <c r="BB28" i="4"/>
  <c r="BB38" i="4"/>
  <c r="BB39" i="4"/>
  <c r="BA28" i="4"/>
  <c r="BA30" i="4"/>
  <c r="BA37" i="4"/>
  <c r="AZ28" i="4"/>
  <c r="AZ30" i="4"/>
  <c r="AZ37" i="4"/>
  <c r="AY28" i="4"/>
  <c r="AY33" i="4"/>
  <c r="AX28" i="4"/>
  <c r="AX32" i="4"/>
  <c r="AW28" i="4"/>
  <c r="AW38" i="4"/>
  <c r="AW39" i="4"/>
  <c r="AV28" i="4"/>
  <c r="AV33" i="4"/>
  <c r="AU28" i="4"/>
  <c r="AU32" i="4"/>
  <c r="AT28" i="4"/>
  <c r="AT33" i="4"/>
  <c r="AS28" i="4"/>
  <c r="AR28" i="4"/>
  <c r="AQ28" i="4"/>
  <c r="AQ30" i="4"/>
  <c r="AQ37" i="4"/>
  <c r="AP28" i="4"/>
  <c r="AP30" i="4"/>
  <c r="AO28" i="4"/>
  <c r="AO35" i="4"/>
  <c r="AN28" i="4"/>
  <c r="AN32" i="4"/>
  <c r="AM28" i="4"/>
  <c r="AL28" i="4"/>
  <c r="AL33" i="4"/>
  <c r="AH28" i="4"/>
  <c r="AE28" i="4"/>
  <c r="AE35" i="4"/>
  <c r="AA28" i="4"/>
  <c r="AB28" i="4"/>
  <c r="Y28" i="4"/>
  <c r="Y35" i="4"/>
  <c r="X28" i="4"/>
  <c r="X35" i="4"/>
  <c r="U28" i="4"/>
  <c r="S28" i="4"/>
  <c r="P28" i="4"/>
  <c r="Q28" i="4"/>
  <c r="M28" i="4"/>
  <c r="N28" i="4"/>
  <c r="O35" i="4"/>
  <c r="J28" i="4"/>
  <c r="J30" i="4"/>
  <c r="J37" i="4"/>
  <c r="G28" i="4"/>
  <c r="F28" i="4"/>
  <c r="D28" i="4"/>
  <c r="BC27" i="4"/>
  <c r="AZ27" i="4"/>
  <c r="AS27" i="4"/>
  <c r="AR27" i="4"/>
  <c r="AP27" i="4"/>
  <c r="AO27" i="4"/>
  <c r="BC26" i="4"/>
  <c r="BB26" i="4"/>
  <c r="BB27" i="4"/>
  <c r="BA26" i="4"/>
  <c r="BA27" i="4"/>
  <c r="AZ26" i="4"/>
  <c r="AY26" i="4"/>
  <c r="AY27" i="4"/>
  <c r="AX26" i="4"/>
  <c r="AX27" i="4"/>
  <c r="AW26" i="4"/>
  <c r="AW27" i="4"/>
  <c r="AV26" i="4"/>
  <c r="AV27" i="4"/>
  <c r="AU26" i="4"/>
  <c r="AU27" i="4"/>
  <c r="AT26" i="4"/>
  <c r="AT27" i="4"/>
  <c r="AS26" i="4"/>
  <c r="AR26" i="4"/>
  <c r="AQ26" i="4"/>
  <c r="AQ27" i="4"/>
  <c r="AP26" i="4"/>
  <c r="AO26" i="4"/>
  <c r="AN26" i="4"/>
  <c r="AN27" i="4"/>
  <c r="AM26" i="4"/>
  <c r="AM27" i="4"/>
  <c r="AL26" i="4"/>
  <c r="AL27" i="4"/>
  <c r="AY25" i="4"/>
  <c r="AP25" i="4"/>
  <c r="AO25" i="4"/>
  <c r="AM25" i="4"/>
  <c r="Q25" i="4"/>
  <c r="P25" i="4"/>
  <c r="AY24" i="4"/>
  <c r="AW24" i="4"/>
  <c r="U24" i="4"/>
  <c r="P24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D21" i="4"/>
  <c r="E21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G20" i="4"/>
  <c r="H20" i="4"/>
  <c r="I20" i="4"/>
  <c r="D20" i="4"/>
  <c r="E20" i="4"/>
  <c r="BC18" i="4"/>
  <c r="BC25" i="4"/>
  <c r="BB18" i="4"/>
  <c r="BB25" i="4"/>
  <c r="BA18" i="4"/>
  <c r="BA25" i="4"/>
  <c r="AZ18" i="4"/>
  <c r="AZ25" i="4"/>
  <c r="AY18" i="4"/>
  <c r="AX18" i="4"/>
  <c r="AX25" i="4"/>
  <c r="AW18" i="4"/>
  <c r="AW25" i="4"/>
  <c r="AV18" i="4"/>
  <c r="AV25" i="4"/>
  <c r="AU18" i="4"/>
  <c r="AU25" i="4"/>
  <c r="AT18" i="4"/>
  <c r="AT25" i="4"/>
  <c r="AS18" i="4"/>
  <c r="AS25" i="4"/>
  <c r="AR18" i="4"/>
  <c r="AR25" i="4"/>
  <c r="AQ18" i="4"/>
  <c r="AQ25" i="4"/>
  <c r="AP18" i="4"/>
  <c r="AO18" i="4"/>
  <c r="AN18" i="4"/>
  <c r="AN25" i="4"/>
  <c r="AM18" i="4"/>
  <c r="AL18" i="4"/>
  <c r="AL25" i="4"/>
  <c r="AH18" i="4"/>
  <c r="AE18" i="4"/>
  <c r="AF18" i="4"/>
  <c r="AA18" i="4"/>
  <c r="AB18" i="4"/>
  <c r="U18" i="4"/>
  <c r="S18" i="4"/>
  <c r="T25" i="4"/>
  <c r="Q18" i="4"/>
  <c r="R25" i="4"/>
  <c r="P18" i="4"/>
  <c r="M18" i="4"/>
  <c r="N18" i="4"/>
  <c r="J18" i="4"/>
  <c r="K18" i="4"/>
  <c r="F18" i="4"/>
  <c r="G18" i="4"/>
  <c r="H18" i="4"/>
  <c r="I25" i="4"/>
  <c r="D18" i="4"/>
  <c r="BC17" i="4"/>
  <c r="BC24" i="4"/>
  <c r="BB17" i="4"/>
  <c r="BB24" i="4"/>
  <c r="BA17" i="4"/>
  <c r="BA24" i="4"/>
  <c r="AZ17" i="4"/>
  <c r="AZ24" i="4"/>
  <c r="AY17" i="4"/>
  <c r="AX17" i="4"/>
  <c r="AX24" i="4"/>
  <c r="AW17" i="4"/>
  <c r="AV17" i="4"/>
  <c r="AV24" i="4"/>
  <c r="AU17" i="4"/>
  <c r="AU24" i="4"/>
  <c r="AT17" i="4"/>
  <c r="AT24" i="4"/>
  <c r="AS17" i="4"/>
  <c r="AS24" i="4"/>
  <c r="AR17" i="4"/>
  <c r="AR24" i="4"/>
  <c r="AQ17" i="4"/>
  <c r="AQ24" i="4"/>
  <c r="AP17" i="4"/>
  <c r="AP24" i="4"/>
  <c r="AO17" i="4"/>
  <c r="AO24" i="4"/>
  <c r="AN17" i="4"/>
  <c r="AN24" i="4"/>
  <c r="AM17" i="4"/>
  <c r="AM24" i="4"/>
  <c r="AL17" i="4"/>
  <c r="AL24" i="4"/>
  <c r="AH17" i="4"/>
  <c r="AI17" i="4"/>
  <c r="AE17" i="4"/>
  <c r="AE24" i="4"/>
  <c r="AA17" i="4"/>
  <c r="X17" i="4"/>
  <c r="Y17" i="4"/>
  <c r="Z24" i="4"/>
  <c r="V17" i="4"/>
  <c r="W24" i="4"/>
  <c r="U17" i="4"/>
  <c r="S17" i="4"/>
  <c r="S24" i="4"/>
  <c r="Q17" i="4"/>
  <c r="P17" i="4"/>
  <c r="M17" i="4"/>
  <c r="M24" i="4"/>
  <c r="K17" i="4"/>
  <c r="L24" i="4"/>
  <c r="J17" i="4"/>
  <c r="J24" i="4"/>
  <c r="F17" i="4"/>
  <c r="F24" i="4"/>
  <c r="D17" i="4"/>
  <c r="E2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D14" i="4"/>
  <c r="A10" i="1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E11" i="2"/>
  <c r="AD11" i="2"/>
  <c r="AC11" i="2"/>
  <c r="AB11" i="2"/>
  <c r="AA11" i="2"/>
  <c r="Z11" i="2"/>
  <c r="Y11" i="2"/>
  <c r="X11" i="2"/>
  <c r="W11" i="2"/>
  <c r="V11" i="2"/>
  <c r="U11" i="2"/>
  <c r="T11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S11" i="2"/>
  <c r="R11" i="2"/>
  <c r="Q11" i="2"/>
  <c r="P11" i="2"/>
  <c r="L11" i="2"/>
  <c r="M11" i="2"/>
  <c r="N11" i="2"/>
  <c r="O11" i="2"/>
  <c r="A11" i="2"/>
  <c r="K11" i="2"/>
  <c r="J11" i="2"/>
  <c r="I11" i="2"/>
  <c r="H11" i="2"/>
  <c r="G11" i="2"/>
  <c r="F11" i="2"/>
  <c r="E11" i="2"/>
  <c r="D11" i="2"/>
  <c r="S10" i="2"/>
  <c r="R10" i="2"/>
  <c r="Q10" i="2"/>
  <c r="P10" i="2"/>
  <c r="O10" i="2"/>
  <c r="N10" i="2"/>
  <c r="M10" i="2"/>
  <c r="L10" i="2"/>
  <c r="A10" i="2"/>
  <c r="K10" i="2"/>
  <c r="J10" i="2"/>
  <c r="I10" i="2"/>
  <c r="H10" i="2"/>
  <c r="G10" i="2"/>
  <c r="F10" i="2"/>
  <c r="E10" i="2"/>
  <c r="D10" i="2"/>
  <c r="S9" i="2"/>
  <c r="R9" i="2"/>
  <c r="L9" i="2"/>
  <c r="M9" i="2"/>
  <c r="N9" i="2"/>
  <c r="O9" i="2"/>
  <c r="P9" i="2"/>
  <c r="A6" i="2"/>
  <c r="Q9" i="2"/>
  <c r="A9" i="2"/>
  <c r="A4" i="2"/>
  <c r="K9" i="2"/>
  <c r="J9" i="2"/>
  <c r="I9" i="2"/>
  <c r="H9" i="2"/>
  <c r="G9" i="2"/>
  <c r="F9" i="2"/>
  <c r="E9" i="2"/>
  <c r="D9" i="2"/>
  <c r="AT9" i="2"/>
  <c r="AU9" i="2"/>
  <c r="AT10" i="2"/>
  <c r="AU10" i="2"/>
  <c r="AT11" i="2"/>
  <c r="AU11" i="2"/>
  <c r="A12" i="2"/>
  <c r="I3" i="3"/>
  <c r="I4" i="3"/>
  <c r="I8" i="3"/>
  <c r="I9" i="3"/>
  <c r="I11" i="3"/>
  <c r="J11" i="3"/>
  <c r="I13" i="3"/>
  <c r="I15" i="3"/>
  <c r="J15" i="3"/>
  <c r="I17" i="3"/>
  <c r="I18" i="3"/>
  <c r="I19" i="3"/>
  <c r="C18" i="3" a="1"/>
  <c r="C18" i="3"/>
  <c r="C17" i="3" a="1"/>
  <c r="B17" i="3"/>
  <c r="C16" i="3" a="1"/>
  <c r="C15" i="3" a="1"/>
  <c r="N11" i="3"/>
  <c r="N12" i="3"/>
  <c r="N13" i="3"/>
  <c r="C14" i="3" a="1"/>
  <c r="C13" i="3" a="1"/>
  <c r="C13" i="3"/>
  <c r="C12" i="3" a="1"/>
  <c r="C12" i="3"/>
  <c r="C11" i="3" a="1"/>
  <c r="C11" i="3"/>
  <c r="C10" i="3" a="1"/>
  <c r="N9" i="3"/>
  <c r="C9" i="3" a="1"/>
  <c r="C9" i="3"/>
  <c r="N8" i="3"/>
  <c r="C8" i="3" a="1"/>
  <c r="C8" i="3"/>
  <c r="B8" i="3"/>
  <c r="N7" i="3"/>
  <c r="C7" i="3" a="1"/>
  <c r="C7" i="3"/>
  <c r="B7" i="3"/>
  <c r="C6" i="3" a="1"/>
  <c r="C6" i="3"/>
  <c r="N5" i="3"/>
  <c r="C5" i="3" a="1"/>
  <c r="C5" i="3"/>
  <c r="B5" i="3"/>
  <c r="N4" i="3"/>
  <c r="C4" i="3" a="1"/>
  <c r="C4" i="3"/>
  <c r="N3" i="3"/>
  <c r="C3" i="3"/>
  <c r="B3" i="3"/>
  <c r="BC193" i="1"/>
  <c r="BC194" i="1"/>
  <c r="BA193" i="1"/>
  <c r="BA194" i="1"/>
  <c r="AZ193" i="1"/>
  <c r="AZ194" i="1"/>
  <c r="AX193" i="1"/>
  <c r="AX194" i="1"/>
  <c r="AW193" i="1"/>
  <c r="AW194" i="1"/>
  <c r="AV193" i="1"/>
  <c r="AV194" i="1"/>
  <c r="BC185" i="1"/>
  <c r="BC192" i="1"/>
  <c r="BA185" i="1"/>
  <c r="BA192" i="1"/>
  <c r="AX185" i="1"/>
  <c r="AX192" i="1"/>
  <c r="AW185" i="1"/>
  <c r="AW192" i="1"/>
  <c r="AV185" i="1"/>
  <c r="AV192" i="1"/>
  <c r="BC184" i="1"/>
  <c r="BC191" i="1"/>
  <c r="BB184" i="1"/>
  <c r="BB191" i="1"/>
  <c r="BA184" i="1"/>
  <c r="BA191" i="1"/>
  <c r="AZ184" i="1"/>
  <c r="AZ191" i="1"/>
  <c r="AY184" i="1"/>
  <c r="AY191" i="1"/>
  <c r="AX184" i="1"/>
  <c r="AX191" i="1"/>
  <c r="AW184" i="1"/>
  <c r="AW191" i="1"/>
  <c r="AV184" i="1"/>
  <c r="AV191" i="1"/>
  <c r="BA188" i="1"/>
  <c r="AZ188" i="1"/>
  <c r="AX188" i="1"/>
  <c r="AW188" i="1"/>
  <c r="AV188" i="1"/>
  <c r="BB187" i="1"/>
  <c r="BA187" i="1"/>
  <c r="AX187" i="1"/>
  <c r="AW187" i="1"/>
  <c r="AV187" i="1"/>
  <c r="BC181" i="1"/>
  <c r="BC182" i="1"/>
  <c r="BA181" i="1"/>
  <c r="BA182" i="1"/>
  <c r="AZ175" i="1"/>
  <c r="AZ181" i="1"/>
  <c r="AZ182" i="1"/>
  <c r="AY175" i="1"/>
  <c r="AY181" i="1"/>
  <c r="AY182" i="1"/>
  <c r="AX181" i="1"/>
  <c r="AX182" i="1"/>
  <c r="AV175" i="1"/>
  <c r="AV181" i="1"/>
  <c r="AV182" i="1"/>
  <c r="BA173" i="1"/>
  <c r="BA180" i="1"/>
  <c r="AZ173" i="1"/>
  <c r="AZ180" i="1"/>
  <c r="AY173" i="1"/>
  <c r="AY180" i="1"/>
  <c r="AX173" i="1"/>
  <c r="AX180" i="1"/>
  <c r="AV173" i="1"/>
  <c r="AV180" i="1"/>
  <c r="BC172" i="1"/>
  <c r="BC179" i="1"/>
  <c r="BB172" i="1"/>
  <c r="BB179" i="1"/>
  <c r="BA172" i="1"/>
  <c r="BA179" i="1"/>
  <c r="AZ172" i="1"/>
  <c r="AZ179" i="1"/>
  <c r="AY172" i="1"/>
  <c r="AY179" i="1"/>
  <c r="AX172" i="1"/>
  <c r="AX179" i="1"/>
  <c r="AW172" i="1"/>
  <c r="AW179" i="1"/>
  <c r="AV172" i="1"/>
  <c r="AV179" i="1"/>
  <c r="BA176" i="1"/>
  <c r="AZ176" i="1"/>
  <c r="AY176" i="1"/>
  <c r="AX176" i="1"/>
  <c r="AW176" i="1"/>
  <c r="AV176" i="1"/>
  <c r="BA175" i="1"/>
  <c r="AX175" i="1"/>
  <c r="AW175" i="1"/>
  <c r="BA169" i="1"/>
  <c r="BA170" i="1"/>
  <c r="AY164" i="1"/>
  <c r="AY169" i="1"/>
  <c r="AY170" i="1"/>
  <c r="AW169" i="1"/>
  <c r="AW170" i="1"/>
  <c r="AV169" i="1"/>
  <c r="AV170" i="1"/>
  <c r="BC161" i="1"/>
  <c r="BC168" i="1"/>
  <c r="BA161" i="1"/>
  <c r="BA168" i="1"/>
  <c r="AY161" i="1"/>
  <c r="AY168" i="1"/>
  <c r="AW161" i="1"/>
  <c r="AW168" i="1"/>
  <c r="BC160" i="1"/>
  <c r="BC167" i="1"/>
  <c r="BB160" i="1"/>
  <c r="BB167" i="1"/>
  <c r="BA160" i="1"/>
  <c r="BA167" i="1"/>
  <c r="AZ160" i="1"/>
  <c r="AZ167" i="1"/>
  <c r="AY160" i="1"/>
  <c r="AY167" i="1"/>
  <c r="AX160" i="1"/>
  <c r="AX167" i="1"/>
  <c r="AW160" i="1"/>
  <c r="AW167" i="1"/>
  <c r="AV160" i="1"/>
  <c r="AV167" i="1"/>
  <c r="BA164" i="1"/>
  <c r="AW164" i="1"/>
  <c r="BA163" i="1"/>
  <c r="AZ163" i="1"/>
  <c r="AY163" i="1"/>
  <c r="AW163" i="1"/>
  <c r="BC151" i="1"/>
  <c r="BC157" i="1"/>
  <c r="BC158" i="1"/>
  <c r="BB157" i="1"/>
  <c r="BB158" i="1"/>
  <c r="AZ157" i="1"/>
  <c r="AZ158" i="1"/>
  <c r="AY152" i="1"/>
  <c r="AY157" i="1"/>
  <c r="AY158" i="1"/>
  <c r="AX157" i="1"/>
  <c r="AX158" i="1"/>
  <c r="AW157" i="1"/>
  <c r="AW158" i="1"/>
  <c r="BC149" i="1"/>
  <c r="BC156" i="1"/>
  <c r="AZ149" i="1"/>
  <c r="AZ156" i="1"/>
  <c r="AY149" i="1"/>
  <c r="AY156" i="1"/>
  <c r="AX149" i="1"/>
  <c r="AX156" i="1"/>
  <c r="AW149" i="1"/>
  <c r="AW156" i="1"/>
  <c r="BC148" i="1"/>
  <c r="BC155" i="1"/>
  <c r="BB148" i="1"/>
  <c r="BB155" i="1"/>
  <c r="BA148" i="1"/>
  <c r="BA155" i="1"/>
  <c r="AZ148" i="1"/>
  <c r="AZ155" i="1"/>
  <c r="AY148" i="1"/>
  <c r="AY155" i="1"/>
  <c r="AX148" i="1"/>
  <c r="AX155" i="1"/>
  <c r="AW148" i="1"/>
  <c r="AW155" i="1"/>
  <c r="AV148" i="1"/>
  <c r="AV155" i="1"/>
  <c r="BC152" i="1"/>
  <c r="BB152" i="1"/>
  <c r="AZ152" i="1"/>
  <c r="AW152" i="1"/>
  <c r="AV152" i="1"/>
  <c r="BB151" i="1"/>
  <c r="BA151" i="1"/>
  <c r="AZ151" i="1"/>
  <c r="AY151" i="1"/>
  <c r="AW151" i="1"/>
  <c r="AZ145" i="1"/>
  <c r="AZ146" i="1"/>
  <c r="AY140" i="1"/>
  <c r="AY145" i="1"/>
  <c r="AY146" i="1"/>
  <c r="AX145" i="1"/>
  <c r="AX146" i="1"/>
  <c r="AW145" i="1"/>
  <c r="AW146" i="1"/>
  <c r="BB137" i="1"/>
  <c r="BB144" i="1"/>
  <c r="AZ137" i="1"/>
  <c r="AZ144" i="1"/>
  <c r="AY137" i="1"/>
  <c r="AY144" i="1"/>
  <c r="AX137" i="1"/>
  <c r="AX144" i="1"/>
  <c r="AW137" i="1"/>
  <c r="AW144" i="1"/>
  <c r="BC136" i="1"/>
  <c r="BC143" i="1"/>
  <c r="BB136" i="1"/>
  <c r="BB143" i="1"/>
  <c r="BA136" i="1"/>
  <c r="BA143" i="1"/>
  <c r="AZ136" i="1"/>
  <c r="AZ143" i="1"/>
  <c r="AY136" i="1"/>
  <c r="AY143" i="1"/>
  <c r="AX136" i="1"/>
  <c r="AX143" i="1"/>
  <c r="AW136" i="1"/>
  <c r="AW143" i="1"/>
  <c r="AV136" i="1"/>
  <c r="AV143" i="1"/>
  <c r="BB140" i="1"/>
  <c r="BA140" i="1"/>
  <c r="AZ140" i="1"/>
  <c r="AW140" i="1"/>
  <c r="BB139" i="1"/>
  <c r="BA139" i="1"/>
  <c r="AZ139" i="1"/>
  <c r="AY139" i="1"/>
  <c r="AW139" i="1"/>
  <c r="BC133" i="1"/>
  <c r="BC134" i="1"/>
  <c r="BB127" i="1"/>
  <c r="BB133" i="1"/>
  <c r="BB134" i="1"/>
  <c r="BA128" i="1"/>
  <c r="BA133" i="1"/>
  <c r="BA134" i="1"/>
  <c r="AZ133" i="1"/>
  <c r="AZ134" i="1"/>
  <c r="AY133" i="1"/>
  <c r="AY134" i="1"/>
  <c r="AW133" i="1"/>
  <c r="AW134" i="1"/>
  <c r="AV133" i="1"/>
  <c r="AV134" i="1"/>
  <c r="BB125" i="1"/>
  <c r="BB132" i="1"/>
  <c r="BA125" i="1"/>
  <c r="BA132" i="1"/>
  <c r="AZ125" i="1"/>
  <c r="AZ132" i="1"/>
  <c r="AY125" i="1"/>
  <c r="AY132" i="1"/>
  <c r="AV125" i="1"/>
  <c r="AV132" i="1"/>
  <c r="BC124" i="1"/>
  <c r="BC131" i="1"/>
  <c r="BB124" i="1"/>
  <c r="BB131" i="1"/>
  <c r="BA124" i="1"/>
  <c r="BA131" i="1"/>
  <c r="AZ124" i="1"/>
  <c r="AZ131" i="1"/>
  <c r="AY124" i="1"/>
  <c r="AY131" i="1"/>
  <c r="AX124" i="1"/>
  <c r="AX131" i="1"/>
  <c r="AW124" i="1"/>
  <c r="AW131" i="1"/>
  <c r="AV124" i="1"/>
  <c r="AV131" i="1"/>
  <c r="BC128" i="1"/>
  <c r="BB128" i="1"/>
  <c r="AZ128" i="1"/>
  <c r="AY128" i="1"/>
  <c r="AW128" i="1"/>
  <c r="AV128" i="1"/>
  <c r="BA127" i="1"/>
  <c r="AZ127" i="1"/>
  <c r="AY127" i="1"/>
  <c r="AX127" i="1"/>
  <c r="AW127" i="1"/>
  <c r="AV127" i="1"/>
  <c r="BB121" i="1"/>
  <c r="BB122" i="1"/>
  <c r="BA113" i="1"/>
  <c r="BA120" i="1"/>
  <c r="BA121" i="1"/>
  <c r="BA122" i="1"/>
  <c r="AZ121" i="1"/>
  <c r="AZ122" i="1"/>
  <c r="AX121" i="1"/>
  <c r="AX122" i="1"/>
  <c r="AW116" i="1"/>
  <c r="AV113" i="1"/>
  <c r="AV120" i="1"/>
  <c r="AV121" i="1"/>
  <c r="AV122" i="1"/>
  <c r="BB113" i="1"/>
  <c r="BB120" i="1"/>
  <c r="AX113" i="1"/>
  <c r="AX120" i="1"/>
  <c r="BC112" i="1"/>
  <c r="BC119" i="1"/>
  <c r="BB112" i="1"/>
  <c r="BB119" i="1"/>
  <c r="BA112" i="1"/>
  <c r="BA119" i="1"/>
  <c r="AZ112" i="1"/>
  <c r="AZ119" i="1"/>
  <c r="AY112" i="1"/>
  <c r="AY119" i="1"/>
  <c r="AX112" i="1"/>
  <c r="AX119" i="1"/>
  <c r="AW112" i="1"/>
  <c r="AW119" i="1"/>
  <c r="AV112" i="1"/>
  <c r="AV119" i="1"/>
  <c r="BB116" i="1"/>
  <c r="BA116" i="1"/>
  <c r="AX116" i="1"/>
  <c r="AV116" i="1"/>
  <c r="BB115" i="1"/>
  <c r="BA115" i="1"/>
  <c r="AZ115" i="1"/>
  <c r="AX115" i="1"/>
  <c r="BC103" i="1"/>
  <c r="BC109" i="1"/>
  <c r="BC110" i="1"/>
  <c r="BB109" i="1"/>
  <c r="BB110" i="1"/>
  <c r="AZ109" i="1"/>
  <c r="AZ110" i="1"/>
  <c r="AV109" i="1"/>
  <c r="AV110" i="1"/>
  <c r="BC101" i="1"/>
  <c r="BC108" i="1"/>
  <c r="BB101" i="1"/>
  <c r="BB108" i="1"/>
  <c r="AZ101" i="1"/>
  <c r="AZ108" i="1"/>
  <c r="AX101" i="1"/>
  <c r="AX108" i="1"/>
  <c r="AW101" i="1"/>
  <c r="AW108" i="1"/>
  <c r="AV101" i="1"/>
  <c r="AV108" i="1"/>
  <c r="BC100" i="1"/>
  <c r="BC107" i="1"/>
  <c r="BB100" i="1"/>
  <c r="BB107" i="1"/>
  <c r="BA100" i="1"/>
  <c r="BA107" i="1"/>
  <c r="AZ100" i="1"/>
  <c r="AZ107" i="1"/>
  <c r="AY100" i="1"/>
  <c r="AY107" i="1"/>
  <c r="AX100" i="1"/>
  <c r="AX107" i="1"/>
  <c r="AW100" i="1"/>
  <c r="AW107" i="1"/>
  <c r="AV100" i="1"/>
  <c r="AV107" i="1"/>
  <c r="BC104" i="1"/>
  <c r="BA104" i="1"/>
  <c r="AZ104" i="1"/>
  <c r="AY104" i="1"/>
  <c r="AX104" i="1"/>
  <c r="AV104" i="1"/>
  <c r="BA103" i="1"/>
  <c r="AZ103" i="1"/>
  <c r="AY103" i="1"/>
  <c r="AX103" i="1"/>
  <c r="AW103" i="1"/>
  <c r="AV103" i="1"/>
  <c r="BC97" i="1"/>
  <c r="BC98" i="1"/>
  <c r="BB92" i="1"/>
  <c r="BB97" i="1"/>
  <c r="BB98" i="1"/>
  <c r="BA97" i="1"/>
  <c r="BA98" i="1"/>
  <c r="AY97" i="1"/>
  <c r="AY98" i="1"/>
  <c r="AX92" i="1"/>
  <c r="AX97" i="1"/>
  <c r="AX98" i="1"/>
  <c r="AV97" i="1"/>
  <c r="AV98" i="1"/>
  <c r="BC89" i="1"/>
  <c r="BC96" i="1"/>
  <c r="BB89" i="1"/>
  <c r="BB96" i="1"/>
  <c r="AY89" i="1"/>
  <c r="AY96" i="1"/>
  <c r="AX89" i="1"/>
  <c r="AX96" i="1"/>
  <c r="AV89" i="1"/>
  <c r="AV96" i="1"/>
  <c r="BC88" i="1"/>
  <c r="BC95" i="1"/>
  <c r="BB88" i="1"/>
  <c r="BB95" i="1"/>
  <c r="BA88" i="1"/>
  <c r="BA95" i="1"/>
  <c r="AZ88" i="1"/>
  <c r="AZ95" i="1"/>
  <c r="AY88" i="1"/>
  <c r="AY95" i="1"/>
  <c r="AX88" i="1"/>
  <c r="AX95" i="1"/>
  <c r="AW88" i="1"/>
  <c r="AW95" i="1"/>
  <c r="AV88" i="1"/>
  <c r="AV95" i="1"/>
  <c r="BC92" i="1"/>
  <c r="AY92" i="1"/>
  <c r="AV92" i="1"/>
  <c r="BC91" i="1"/>
  <c r="BB91" i="1"/>
  <c r="AZ91" i="1"/>
  <c r="AY91" i="1"/>
  <c r="AX91" i="1"/>
  <c r="AV91" i="1"/>
  <c r="BC85" i="1"/>
  <c r="BC86" i="1"/>
  <c r="BA79" i="1"/>
  <c r="BA85" i="1"/>
  <c r="BA86" i="1"/>
  <c r="AZ85" i="1"/>
  <c r="AZ86" i="1"/>
  <c r="AY85" i="1"/>
  <c r="AY86" i="1"/>
  <c r="AX85" i="1"/>
  <c r="AX86" i="1"/>
  <c r="AV85" i="1"/>
  <c r="AV86" i="1"/>
  <c r="BC77" i="1"/>
  <c r="BC84" i="1"/>
  <c r="BA77" i="1"/>
  <c r="BA84" i="1"/>
  <c r="AZ77" i="1"/>
  <c r="AZ84" i="1"/>
  <c r="AY77" i="1"/>
  <c r="AY84" i="1"/>
  <c r="AW77" i="1"/>
  <c r="AW84" i="1"/>
  <c r="AV77" i="1"/>
  <c r="AV84" i="1"/>
  <c r="BC76" i="1"/>
  <c r="BC83" i="1"/>
  <c r="BB76" i="1"/>
  <c r="BB83" i="1"/>
  <c r="BA76" i="1"/>
  <c r="BA83" i="1"/>
  <c r="AZ76" i="1"/>
  <c r="AZ83" i="1"/>
  <c r="AY76" i="1"/>
  <c r="AY83" i="1"/>
  <c r="AX76" i="1"/>
  <c r="AX83" i="1"/>
  <c r="AW76" i="1"/>
  <c r="AW83" i="1"/>
  <c r="AV76" i="1"/>
  <c r="AV83" i="1"/>
  <c r="BC80" i="1"/>
  <c r="BA80" i="1"/>
  <c r="AZ80" i="1"/>
  <c r="AY80" i="1"/>
  <c r="AV80" i="1"/>
  <c r="BC79" i="1"/>
  <c r="BB79" i="1"/>
  <c r="AZ79" i="1"/>
  <c r="AY79" i="1"/>
  <c r="AV79" i="1"/>
  <c r="BC73" i="1"/>
  <c r="BC74" i="1"/>
  <c r="BB73" i="1"/>
  <c r="BB74" i="1"/>
  <c r="BA65" i="1"/>
  <c r="BA72" i="1"/>
  <c r="AZ73" i="1"/>
  <c r="AZ74" i="1"/>
  <c r="AY73" i="1"/>
  <c r="AY74" i="1"/>
  <c r="AX73" i="1"/>
  <c r="AX74" i="1"/>
  <c r="AV73" i="1"/>
  <c r="AV74" i="1"/>
  <c r="BC65" i="1"/>
  <c r="BC72" i="1"/>
  <c r="BB65" i="1"/>
  <c r="BB72" i="1"/>
  <c r="AZ65" i="1"/>
  <c r="AZ72" i="1"/>
  <c r="AY65" i="1"/>
  <c r="AY72" i="1"/>
  <c r="AX65" i="1"/>
  <c r="AX72" i="1"/>
  <c r="AV65" i="1"/>
  <c r="AV72" i="1"/>
  <c r="BC64" i="1"/>
  <c r="BC71" i="1"/>
  <c r="BB64" i="1"/>
  <c r="BB71" i="1"/>
  <c r="BA64" i="1"/>
  <c r="BA71" i="1"/>
  <c r="AZ64" i="1"/>
  <c r="AZ71" i="1"/>
  <c r="AY64" i="1"/>
  <c r="AY71" i="1"/>
  <c r="AX64" i="1"/>
  <c r="AX71" i="1"/>
  <c r="AW64" i="1"/>
  <c r="AW71" i="1"/>
  <c r="AV64" i="1"/>
  <c r="AV71" i="1"/>
  <c r="BC68" i="1"/>
  <c r="BB68" i="1"/>
  <c r="AZ68" i="1"/>
  <c r="AY68" i="1"/>
  <c r="AV68" i="1"/>
  <c r="BC67" i="1"/>
  <c r="BB67" i="1"/>
  <c r="AZ67" i="1"/>
  <c r="AY67" i="1"/>
  <c r="AX67" i="1"/>
  <c r="AW67" i="1"/>
  <c r="AV67" i="1"/>
  <c r="BC61" i="1"/>
  <c r="BC62" i="1"/>
  <c r="BB61" i="1"/>
  <c r="BB62" i="1"/>
  <c r="AZ61" i="1"/>
  <c r="AZ62" i="1"/>
  <c r="AX61" i="1"/>
  <c r="AX62" i="1"/>
  <c r="AV61" i="1"/>
  <c r="AV62" i="1"/>
  <c r="BC53" i="1"/>
  <c r="BC60" i="1"/>
  <c r="BB53" i="1"/>
  <c r="BB60" i="1"/>
  <c r="AZ53" i="1"/>
  <c r="AZ60" i="1"/>
  <c r="AX53" i="1"/>
  <c r="AX60" i="1"/>
  <c r="AV53" i="1"/>
  <c r="AV60" i="1"/>
  <c r="BC52" i="1"/>
  <c r="BC59" i="1"/>
  <c r="BB52" i="1"/>
  <c r="BB59" i="1"/>
  <c r="BA52" i="1"/>
  <c r="BA59" i="1"/>
  <c r="AZ52" i="1"/>
  <c r="AZ59" i="1"/>
  <c r="AY52" i="1"/>
  <c r="AY59" i="1"/>
  <c r="AX52" i="1"/>
  <c r="AX59" i="1"/>
  <c r="AW52" i="1"/>
  <c r="AW59" i="1"/>
  <c r="AV52" i="1"/>
  <c r="AV59" i="1"/>
  <c r="BC56" i="1"/>
  <c r="BB56" i="1"/>
  <c r="AZ56" i="1"/>
  <c r="AV56" i="1"/>
  <c r="BC55" i="1"/>
  <c r="BB55" i="1"/>
  <c r="AZ55" i="1"/>
  <c r="AY55" i="1"/>
  <c r="AX55" i="1"/>
  <c r="AV55" i="1"/>
  <c r="BC43" i="1"/>
  <c r="BC49" i="1"/>
  <c r="BC50" i="1"/>
  <c r="BB49" i="1"/>
  <c r="BB50" i="1"/>
  <c r="BA49" i="1"/>
  <c r="BA50" i="1"/>
  <c r="AY49" i="1"/>
  <c r="AY50" i="1"/>
  <c r="AW49" i="1"/>
  <c r="AW50" i="1"/>
  <c r="AV43" i="1"/>
  <c r="AV49" i="1"/>
  <c r="AV50" i="1"/>
  <c r="BB41" i="1"/>
  <c r="BB48" i="1"/>
  <c r="BA41" i="1"/>
  <c r="BA48" i="1"/>
  <c r="AX41" i="1"/>
  <c r="AX48" i="1"/>
  <c r="AW41" i="1"/>
  <c r="AW48" i="1"/>
  <c r="AV41" i="1"/>
  <c r="AV48" i="1"/>
  <c r="BC40" i="1"/>
  <c r="BC47" i="1"/>
  <c r="BB40" i="1"/>
  <c r="BB47" i="1"/>
  <c r="BA40" i="1"/>
  <c r="BA47" i="1"/>
  <c r="AZ40" i="1"/>
  <c r="AZ47" i="1"/>
  <c r="AY40" i="1"/>
  <c r="AY47" i="1"/>
  <c r="AX40" i="1"/>
  <c r="AX47" i="1"/>
  <c r="AW40" i="1"/>
  <c r="AW47" i="1"/>
  <c r="AV40" i="1"/>
  <c r="AV47" i="1"/>
  <c r="BC44" i="1"/>
  <c r="BB44" i="1"/>
  <c r="BA44" i="1"/>
  <c r="AZ44" i="1"/>
  <c r="AW44" i="1"/>
  <c r="BB43" i="1"/>
  <c r="BA43" i="1"/>
  <c r="AX43" i="1"/>
  <c r="AW43" i="1"/>
  <c r="BC37" i="1"/>
  <c r="BC38" i="1"/>
  <c r="BB32" i="1"/>
  <c r="BB37" i="1"/>
  <c r="BB38" i="1"/>
  <c r="BA37" i="1"/>
  <c r="BA38" i="1"/>
  <c r="AZ37" i="1"/>
  <c r="AZ38" i="1"/>
  <c r="AY37" i="1"/>
  <c r="AY38" i="1"/>
  <c r="AX31" i="1"/>
  <c r="AX37" i="1"/>
  <c r="AX38" i="1"/>
  <c r="AW32" i="1"/>
  <c r="AV37" i="1"/>
  <c r="AV38" i="1"/>
  <c r="BC29" i="1"/>
  <c r="BC36" i="1"/>
  <c r="BA29" i="1"/>
  <c r="BA36" i="1"/>
  <c r="AZ29" i="1"/>
  <c r="AZ36" i="1"/>
  <c r="AY29" i="1"/>
  <c r="AY36" i="1"/>
  <c r="AX29" i="1"/>
  <c r="AX36" i="1"/>
  <c r="BC28" i="1"/>
  <c r="BC35" i="1"/>
  <c r="BB28" i="1"/>
  <c r="BB35" i="1"/>
  <c r="BA28" i="1"/>
  <c r="BA35" i="1"/>
  <c r="AZ28" i="1"/>
  <c r="AZ35" i="1"/>
  <c r="AY28" i="1"/>
  <c r="AY35" i="1"/>
  <c r="AX28" i="1"/>
  <c r="AX35" i="1"/>
  <c r="AW28" i="1"/>
  <c r="AW35" i="1"/>
  <c r="AV28" i="1"/>
  <c r="AV35" i="1"/>
  <c r="BC32" i="1"/>
  <c r="BA32" i="1"/>
  <c r="AY32" i="1"/>
  <c r="AX32" i="1"/>
  <c r="BC31" i="1"/>
  <c r="BB31" i="1"/>
  <c r="BA31" i="1"/>
  <c r="AY31" i="1"/>
  <c r="AV31" i="1"/>
  <c r="AZ17" i="1"/>
  <c r="AZ24" i="1"/>
  <c r="AZ25" i="1"/>
  <c r="AZ26" i="1"/>
  <c r="AY20" i="1"/>
  <c r="AY25" i="1"/>
  <c r="AY26" i="1"/>
  <c r="AX25" i="1"/>
  <c r="AX26" i="1"/>
  <c r="AW19" i="1"/>
  <c r="AV25" i="1"/>
  <c r="AV26" i="1"/>
  <c r="BA17" i="1"/>
  <c r="BA24" i="1"/>
  <c r="AX17" i="1"/>
  <c r="AX24" i="1"/>
  <c r="AV17" i="1"/>
  <c r="AV24" i="1"/>
  <c r="BC16" i="1"/>
  <c r="BC23" i="1"/>
  <c r="BB16" i="1"/>
  <c r="BB23" i="1"/>
  <c r="BA16" i="1"/>
  <c r="BA23" i="1"/>
  <c r="AZ16" i="1"/>
  <c r="AZ23" i="1"/>
  <c r="AY16" i="1"/>
  <c r="AY23" i="1"/>
  <c r="AX16" i="1"/>
  <c r="AX23" i="1"/>
  <c r="AW16" i="1"/>
  <c r="AW23" i="1"/>
  <c r="AV16" i="1"/>
  <c r="AV23" i="1"/>
  <c r="AZ20" i="1"/>
  <c r="AX20" i="1"/>
  <c r="AV20" i="1"/>
  <c r="AZ19" i="1"/>
  <c r="AX19" i="1"/>
  <c r="AV19" i="1"/>
  <c r="BC13" i="1"/>
  <c r="BC14" i="1"/>
  <c r="BB13" i="1"/>
  <c r="BB14" i="1"/>
  <c r="BA13" i="1"/>
  <c r="BA14" i="1"/>
  <c r="AZ13" i="1"/>
  <c r="AZ14" i="1"/>
  <c r="AY13" i="1"/>
  <c r="AY14" i="1"/>
  <c r="AX13" i="1"/>
  <c r="AX14" i="1"/>
  <c r="AW13" i="1"/>
  <c r="AW14" i="1"/>
  <c r="AV13" i="1"/>
  <c r="AV14" i="1"/>
  <c r="BC5" i="1"/>
  <c r="BC12" i="1"/>
  <c r="BB5" i="1"/>
  <c r="BB12" i="1"/>
  <c r="BA5" i="1"/>
  <c r="BA12" i="1"/>
  <c r="AZ5" i="1"/>
  <c r="AZ12" i="1"/>
  <c r="AY5" i="1"/>
  <c r="AY12" i="1"/>
  <c r="AX5" i="1"/>
  <c r="AX12" i="1"/>
  <c r="AW5" i="1"/>
  <c r="AW12" i="1"/>
  <c r="AV5" i="1"/>
  <c r="AV12" i="1"/>
  <c r="BC4" i="1"/>
  <c r="BC11" i="1"/>
  <c r="BB4" i="1"/>
  <c r="BB11" i="1"/>
  <c r="BA4" i="1"/>
  <c r="BA11" i="1"/>
  <c r="AZ4" i="1"/>
  <c r="AZ11" i="1"/>
  <c r="AY4" i="1"/>
  <c r="AY11" i="1"/>
  <c r="AX4" i="1"/>
  <c r="AX11" i="1"/>
  <c r="AW4" i="1"/>
  <c r="AW11" i="1"/>
  <c r="AV4" i="1"/>
  <c r="AV11" i="1"/>
  <c r="BC10" i="1"/>
  <c r="BB10" i="1"/>
  <c r="BA10" i="1"/>
  <c r="AZ10" i="1"/>
  <c r="AY10" i="1"/>
  <c r="AX10" i="1"/>
  <c r="AW10" i="1"/>
  <c r="AV10" i="1"/>
  <c r="BC8" i="1"/>
  <c r="BB8" i="1"/>
  <c r="BA8" i="1"/>
  <c r="AZ8" i="1"/>
  <c r="AY8" i="1"/>
  <c r="AX8" i="1"/>
  <c r="AW8" i="1"/>
  <c r="AV8" i="1"/>
  <c r="BC7" i="1"/>
  <c r="BB7" i="1"/>
  <c r="BA7" i="1"/>
  <c r="AZ7" i="1"/>
  <c r="AY7" i="1"/>
  <c r="AX7" i="1"/>
  <c r="AW7" i="1"/>
  <c r="AV7" i="1"/>
  <c r="A13" i="2"/>
  <c r="D31" i="3"/>
  <c r="D30" i="3"/>
  <c r="E28" i="3"/>
  <c r="J28" i="3"/>
  <c r="D20" i="3"/>
  <c r="J32" i="3"/>
  <c r="J33" i="3"/>
  <c r="J34" i="3"/>
  <c r="D25" i="3"/>
  <c r="D3" i="3"/>
  <c r="E3" i="3"/>
  <c r="J3" i="3"/>
  <c r="D27" i="3"/>
  <c r="I35" i="3"/>
  <c r="D22" i="3"/>
  <c r="D23" i="3"/>
  <c r="N14" i="3"/>
  <c r="D7" i="3"/>
  <c r="H374" i="1"/>
  <c r="J372" i="1"/>
  <c r="L365" i="1"/>
  <c r="L372" i="1"/>
  <c r="M365" i="1"/>
  <c r="M372" i="1"/>
  <c r="O365" i="1"/>
  <c r="O372" i="1"/>
  <c r="P365" i="1"/>
  <c r="P372" i="1"/>
  <c r="T365" i="1"/>
  <c r="T372" i="1"/>
  <c r="V365" i="1"/>
  <c r="V372" i="1"/>
  <c r="W365" i="1"/>
  <c r="W372" i="1"/>
  <c r="Y365" i="1"/>
  <c r="Y372" i="1"/>
  <c r="Z365" i="1"/>
  <c r="Z372" i="1"/>
  <c r="AD365" i="1"/>
  <c r="AD372" i="1"/>
  <c r="AF365" i="1"/>
  <c r="AF372" i="1"/>
  <c r="AG365" i="1"/>
  <c r="AG372" i="1"/>
  <c r="AI365" i="1"/>
  <c r="AI372" i="1"/>
  <c r="AJ365" i="1"/>
  <c r="AJ372" i="1"/>
  <c r="AN365" i="1"/>
  <c r="AN372" i="1"/>
  <c r="AP365" i="1"/>
  <c r="AP372" i="1"/>
  <c r="AQ365" i="1"/>
  <c r="AQ372" i="1"/>
  <c r="AS365" i="1"/>
  <c r="AS372" i="1"/>
  <c r="A372" i="1"/>
  <c r="AX365" i="1"/>
  <c r="AX372" i="1"/>
  <c r="L368" i="1"/>
  <c r="V368" i="1"/>
  <c r="AF368" i="1"/>
  <c r="AP368" i="1"/>
  <c r="AZ368" i="1"/>
  <c r="I367" i="1"/>
  <c r="I373" i="1"/>
  <c r="I374" i="1"/>
  <c r="S373" i="1"/>
  <c r="S374" i="1"/>
  <c r="AC373" i="1"/>
  <c r="AC374" i="1"/>
  <c r="AM373" i="1"/>
  <c r="AM374" i="1"/>
  <c r="AW373" i="1"/>
  <c r="AW374" i="1"/>
  <c r="L367" i="1"/>
  <c r="V367" i="1"/>
  <c r="AF367" i="1"/>
  <c r="AP367" i="1"/>
  <c r="AZ367" i="1"/>
  <c r="M368" i="1"/>
  <c r="W368" i="1"/>
  <c r="AG368" i="1"/>
  <c r="AQ368" i="1"/>
  <c r="BA368" i="1"/>
  <c r="J373" i="1"/>
  <c r="J374" i="1"/>
  <c r="T373" i="1"/>
  <c r="T374" i="1"/>
  <c r="AD373" i="1"/>
  <c r="AD374" i="1"/>
  <c r="AN373" i="1"/>
  <c r="AN374" i="1"/>
  <c r="AX373" i="1"/>
  <c r="AX374" i="1"/>
  <c r="AZ365" i="1"/>
  <c r="AZ372" i="1"/>
  <c r="M367" i="1"/>
  <c r="W367" i="1"/>
  <c r="AG367" i="1"/>
  <c r="AQ367" i="1"/>
  <c r="BA367" i="1"/>
  <c r="N368" i="1"/>
  <c r="X368" i="1"/>
  <c r="AH368" i="1"/>
  <c r="AR368" i="1"/>
  <c r="BB368" i="1"/>
  <c r="K373" i="1"/>
  <c r="K374" i="1"/>
  <c r="U373" i="1"/>
  <c r="U374" i="1"/>
  <c r="AE373" i="1"/>
  <c r="AE374" i="1"/>
  <c r="AO373" i="1"/>
  <c r="AO374" i="1"/>
  <c r="AY373" i="1"/>
  <c r="AY374" i="1"/>
  <c r="BA365" i="1"/>
  <c r="BA372" i="1"/>
  <c r="N367" i="1"/>
  <c r="X367" i="1"/>
  <c r="AH367" i="1"/>
  <c r="AR367" i="1"/>
  <c r="BB367" i="1"/>
  <c r="O368" i="1"/>
  <c r="Y368" i="1"/>
  <c r="AI368" i="1"/>
  <c r="AS368" i="1"/>
  <c r="BC368" i="1"/>
  <c r="L373" i="1"/>
  <c r="L374" i="1"/>
  <c r="V373" i="1"/>
  <c r="V374" i="1"/>
  <c r="AF373" i="1"/>
  <c r="AF374" i="1"/>
  <c r="AP373" i="1"/>
  <c r="AP374" i="1"/>
  <c r="AZ373" i="1"/>
  <c r="AZ374" i="1"/>
  <c r="M373" i="1"/>
  <c r="M374" i="1"/>
  <c r="W373" i="1"/>
  <c r="W374" i="1"/>
  <c r="AG373" i="1"/>
  <c r="AG374" i="1"/>
  <c r="AQ373" i="1"/>
  <c r="AQ374" i="1"/>
  <c r="BA373" i="1"/>
  <c r="BA374" i="1"/>
  <c r="BC365" i="1"/>
  <c r="BC372" i="1"/>
  <c r="N373" i="1"/>
  <c r="N374" i="1"/>
  <c r="X373" i="1"/>
  <c r="X374" i="1"/>
  <c r="AH373" i="1"/>
  <c r="AH374" i="1"/>
  <c r="AR373" i="1"/>
  <c r="AR374" i="1"/>
  <c r="BB373" i="1"/>
  <c r="BB374" i="1"/>
  <c r="AT365" i="1"/>
  <c r="AT372" i="1"/>
  <c r="O373" i="1"/>
  <c r="O374" i="1"/>
  <c r="Y373" i="1"/>
  <c r="Y374" i="1"/>
  <c r="AI373" i="1"/>
  <c r="AI374" i="1"/>
  <c r="AS373" i="1"/>
  <c r="AS374" i="1"/>
  <c r="BC373" i="1"/>
  <c r="BC374" i="1"/>
  <c r="P373" i="1"/>
  <c r="P374" i="1"/>
  <c r="Z373" i="1"/>
  <c r="Z374" i="1"/>
  <c r="AJ373" i="1"/>
  <c r="AJ374" i="1"/>
  <c r="AT373" i="1"/>
  <c r="AT374" i="1"/>
  <c r="S367" i="1"/>
  <c r="AC367" i="1"/>
  <c r="AM367" i="1"/>
  <c r="AW367" i="1"/>
  <c r="A359" i="1"/>
  <c r="J353" i="1"/>
  <c r="J360" i="1"/>
  <c r="K353" i="1"/>
  <c r="K360" i="1"/>
  <c r="L353" i="1"/>
  <c r="L360" i="1"/>
  <c r="M353" i="1"/>
  <c r="M360" i="1"/>
  <c r="R353" i="1"/>
  <c r="R360" i="1"/>
  <c r="T353" i="1"/>
  <c r="T360" i="1"/>
  <c r="U353" i="1"/>
  <c r="U360" i="1"/>
  <c r="V353" i="1"/>
  <c r="V360" i="1"/>
  <c r="W353" i="1"/>
  <c r="W360" i="1"/>
  <c r="AB353" i="1"/>
  <c r="AB360" i="1"/>
  <c r="AD353" i="1"/>
  <c r="AD360" i="1"/>
  <c r="AE353" i="1"/>
  <c r="AE360" i="1"/>
  <c r="AF353" i="1"/>
  <c r="AF360" i="1"/>
  <c r="AG353" i="1"/>
  <c r="AG360" i="1"/>
  <c r="AL353" i="1"/>
  <c r="AL360" i="1"/>
  <c r="AN353" i="1"/>
  <c r="AN360" i="1"/>
  <c r="AO353" i="1"/>
  <c r="AO360" i="1"/>
  <c r="AP353" i="1"/>
  <c r="AP360" i="1"/>
  <c r="AQ353" i="1"/>
  <c r="AQ360" i="1"/>
  <c r="A360" i="1"/>
  <c r="AX353" i="1"/>
  <c r="AX360" i="1"/>
  <c r="K355" i="1"/>
  <c r="U355" i="1"/>
  <c r="AE355" i="1"/>
  <c r="AO355" i="1"/>
  <c r="AY355" i="1"/>
  <c r="L356" i="1"/>
  <c r="V356" i="1"/>
  <c r="AF356" i="1"/>
  <c r="AP356" i="1"/>
  <c r="AZ356" i="1"/>
  <c r="A358" i="1"/>
  <c r="I355" i="1"/>
  <c r="I361" i="1"/>
  <c r="I362" i="1"/>
  <c r="S361" i="1"/>
  <c r="S362" i="1"/>
  <c r="AC361" i="1"/>
  <c r="AC362" i="1"/>
  <c r="AM361" i="1"/>
  <c r="AM362" i="1"/>
  <c r="AW361" i="1"/>
  <c r="AW362" i="1"/>
  <c r="AY353" i="1"/>
  <c r="AY360" i="1"/>
  <c r="L355" i="1"/>
  <c r="V355" i="1"/>
  <c r="AF355" i="1"/>
  <c r="AP355" i="1"/>
  <c r="AZ355" i="1"/>
  <c r="M356" i="1"/>
  <c r="W356" i="1"/>
  <c r="AG356" i="1"/>
  <c r="AQ356" i="1"/>
  <c r="BA356" i="1"/>
  <c r="J361" i="1"/>
  <c r="J362" i="1"/>
  <c r="T361" i="1"/>
  <c r="T362" i="1"/>
  <c r="AD361" i="1"/>
  <c r="AD362" i="1"/>
  <c r="AN361" i="1"/>
  <c r="AN362" i="1"/>
  <c r="AX361" i="1"/>
  <c r="AX362" i="1"/>
  <c r="AZ353" i="1"/>
  <c r="AZ360" i="1"/>
  <c r="M355" i="1"/>
  <c r="W355" i="1"/>
  <c r="AG355" i="1"/>
  <c r="AQ355" i="1"/>
  <c r="BA355" i="1"/>
  <c r="K361" i="1"/>
  <c r="K362" i="1"/>
  <c r="U361" i="1"/>
  <c r="U362" i="1"/>
  <c r="AE361" i="1"/>
  <c r="AE362" i="1"/>
  <c r="AO361" i="1"/>
  <c r="AO362" i="1"/>
  <c r="AY361" i="1"/>
  <c r="AY362" i="1"/>
  <c r="BA353" i="1"/>
  <c r="BA360" i="1"/>
  <c r="BB355" i="1"/>
  <c r="L361" i="1"/>
  <c r="L362" i="1"/>
  <c r="V361" i="1"/>
  <c r="V362" i="1"/>
  <c r="AF361" i="1"/>
  <c r="AF362" i="1"/>
  <c r="AP361" i="1"/>
  <c r="AP362" i="1"/>
  <c r="AZ361" i="1"/>
  <c r="AZ362" i="1"/>
  <c r="M361" i="1"/>
  <c r="M362" i="1"/>
  <c r="W361" i="1"/>
  <c r="W362" i="1"/>
  <c r="AG361" i="1"/>
  <c r="AG362" i="1"/>
  <c r="AQ361" i="1"/>
  <c r="AQ362" i="1"/>
  <c r="BA361" i="1"/>
  <c r="BA362" i="1"/>
  <c r="N361" i="1"/>
  <c r="N362" i="1"/>
  <c r="X361" i="1"/>
  <c r="X362" i="1"/>
  <c r="AH361" i="1"/>
  <c r="AH362" i="1"/>
  <c r="AR361" i="1"/>
  <c r="AR362" i="1"/>
  <c r="BB361" i="1"/>
  <c r="BB362" i="1"/>
  <c r="H356" i="1"/>
  <c r="R356" i="1"/>
  <c r="AB356" i="1"/>
  <c r="AL356" i="1"/>
  <c r="AV356" i="1"/>
  <c r="R355" i="1"/>
  <c r="AB355" i="1"/>
  <c r="AL355" i="1"/>
  <c r="AV355" i="1"/>
  <c r="I356" i="1"/>
  <c r="S356" i="1"/>
  <c r="AC356" i="1"/>
  <c r="AM356" i="1"/>
  <c r="AW356" i="1"/>
  <c r="P361" i="1"/>
  <c r="P362" i="1"/>
  <c r="Z361" i="1"/>
  <c r="Z362" i="1"/>
  <c r="AJ361" i="1"/>
  <c r="AJ362" i="1"/>
  <c r="AT361" i="1"/>
  <c r="AT362" i="1"/>
  <c r="AV353" i="1"/>
  <c r="AV360" i="1"/>
  <c r="S355" i="1"/>
  <c r="AC355" i="1"/>
  <c r="AM355" i="1"/>
  <c r="AW355" i="1"/>
  <c r="T356" i="1"/>
  <c r="AD356" i="1"/>
  <c r="AN356" i="1"/>
  <c r="AX356" i="1"/>
  <c r="G361" i="1"/>
  <c r="G362" i="1"/>
  <c r="Q361" i="1"/>
  <c r="Q362" i="1"/>
  <c r="AA361" i="1"/>
  <c r="AA362" i="1"/>
  <c r="AK361" i="1"/>
  <c r="AK362" i="1"/>
  <c r="AU361" i="1"/>
  <c r="AU362" i="1"/>
  <c r="AE341" i="1"/>
  <c r="AE348" i="1"/>
  <c r="AQ344" i="1"/>
  <c r="V344" i="1"/>
  <c r="AK341" i="1"/>
  <c r="AK348" i="1"/>
  <c r="X343" i="1"/>
  <c r="AT343" i="1"/>
  <c r="W344" i="1"/>
  <c r="AU344" i="1"/>
  <c r="G348" i="1"/>
  <c r="AO341" i="1"/>
  <c r="AO348" i="1"/>
  <c r="Y343" i="1"/>
  <c r="AU343" i="1"/>
  <c r="Z344" i="1"/>
  <c r="AZ344" i="1"/>
  <c r="J341" i="1"/>
  <c r="K341" i="1"/>
  <c r="K348" i="1"/>
  <c r="AT341" i="1"/>
  <c r="AT348" i="1"/>
  <c r="Z343" i="1"/>
  <c r="BB343" i="1"/>
  <c r="AA344" i="1"/>
  <c r="BA344" i="1"/>
  <c r="P349" i="1"/>
  <c r="P350" i="1"/>
  <c r="P341" i="1"/>
  <c r="P348" i="1"/>
  <c r="AU341" i="1"/>
  <c r="AU348" i="1"/>
  <c r="AA343" i="1"/>
  <c r="BC343" i="1"/>
  <c r="AF344" i="1"/>
  <c r="Z349" i="1"/>
  <c r="Z350" i="1"/>
  <c r="Q341" i="1"/>
  <c r="Q348" i="1"/>
  <c r="AY341" i="1"/>
  <c r="AY348" i="1"/>
  <c r="AH343" i="1"/>
  <c r="AG344" i="1"/>
  <c r="AJ349" i="1"/>
  <c r="AJ350" i="1"/>
  <c r="AP344" i="1"/>
  <c r="U341" i="1"/>
  <c r="U348" i="1"/>
  <c r="AI343" i="1"/>
  <c r="AJ344" i="1"/>
  <c r="AT349" i="1"/>
  <c r="AT350" i="1"/>
  <c r="I348" i="1"/>
  <c r="I343" i="1"/>
  <c r="I349" i="1"/>
  <c r="I350" i="1"/>
  <c r="S349" i="1"/>
  <c r="S350" i="1"/>
  <c r="AC349" i="1"/>
  <c r="AC350" i="1"/>
  <c r="AM349" i="1"/>
  <c r="AM350" i="1"/>
  <c r="AW349" i="1"/>
  <c r="AW350" i="1"/>
  <c r="J348" i="1"/>
  <c r="J349" i="1"/>
  <c r="J350" i="1"/>
  <c r="T349" i="1"/>
  <c r="T350" i="1"/>
  <c r="AD349" i="1"/>
  <c r="AD350" i="1"/>
  <c r="AN349" i="1"/>
  <c r="AN350" i="1"/>
  <c r="AX349" i="1"/>
  <c r="AX350" i="1"/>
  <c r="R341" i="1"/>
  <c r="R348" i="1"/>
  <c r="AB341" i="1"/>
  <c r="AB348" i="1"/>
  <c r="AL341" i="1"/>
  <c r="AL348" i="1"/>
  <c r="AV341" i="1"/>
  <c r="AV348" i="1"/>
  <c r="N344" i="1"/>
  <c r="X344" i="1"/>
  <c r="AH344" i="1"/>
  <c r="AR344" i="1"/>
  <c r="BB344" i="1"/>
  <c r="K349" i="1"/>
  <c r="K350" i="1"/>
  <c r="U349" i="1"/>
  <c r="U350" i="1"/>
  <c r="AE349" i="1"/>
  <c r="AE350" i="1"/>
  <c r="AO349" i="1"/>
  <c r="AO350" i="1"/>
  <c r="AY349" i="1"/>
  <c r="AY350" i="1"/>
  <c r="S341" i="1"/>
  <c r="S348" i="1"/>
  <c r="AC341" i="1"/>
  <c r="AC348" i="1"/>
  <c r="AM341" i="1"/>
  <c r="AM348" i="1"/>
  <c r="AW341" i="1"/>
  <c r="AW348" i="1"/>
  <c r="O344" i="1"/>
  <c r="Y344" i="1"/>
  <c r="AI344" i="1"/>
  <c r="AS344" i="1"/>
  <c r="BC344" i="1"/>
  <c r="L341" i="1"/>
  <c r="L348" i="1"/>
  <c r="L349" i="1"/>
  <c r="L350" i="1"/>
  <c r="V349" i="1"/>
  <c r="V350" i="1"/>
  <c r="AF349" i="1"/>
  <c r="AF350" i="1"/>
  <c r="AP349" i="1"/>
  <c r="AP350" i="1"/>
  <c r="AZ349" i="1"/>
  <c r="AZ350" i="1"/>
  <c r="T341" i="1"/>
  <c r="T348" i="1"/>
  <c r="AD341" i="1"/>
  <c r="AD348" i="1"/>
  <c r="AN341" i="1"/>
  <c r="AN348" i="1"/>
  <c r="AX341" i="1"/>
  <c r="AX348" i="1"/>
  <c r="R343" i="1"/>
  <c r="AB343" i="1"/>
  <c r="AL343" i="1"/>
  <c r="AV343" i="1"/>
  <c r="M341" i="1"/>
  <c r="M348" i="1"/>
  <c r="M349" i="1"/>
  <c r="M350" i="1"/>
  <c r="W349" i="1"/>
  <c r="W350" i="1"/>
  <c r="AG349" i="1"/>
  <c r="AG350" i="1"/>
  <c r="AQ349" i="1"/>
  <c r="AQ350" i="1"/>
  <c r="BA349" i="1"/>
  <c r="BA350" i="1"/>
  <c r="S343" i="1"/>
  <c r="AC343" i="1"/>
  <c r="AM343" i="1"/>
  <c r="AW343" i="1"/>
  <c r="N349" i="1"/>
  <c r="N350" i="1"/>
  <c r="X349" i="1"/>
  <c r="X350" i="1"/>
  <c r="AH349" i="1"/>
  <c r="AH350" i="1"/>
  <c r="AR349" i="1"/>
  <c r="AR350" i="1"/>
  <c r="BB349" i="1"/>
  <c r="BB350" i="1"/>
  <c r="V341" i="1"/>
  <c r="V348" i="1"/>
  <c r="AF341" i="1"/>
  <c r="AF348" i="1"/>
  <c r="AP341" i="1"/>
  <c r="AP348" i="1"/>
  <c r="AZ341" i="1"/>
  <c r="AZ348" i="1"/>
  <c r="T343" i="1"/>
  <c r="AD343" i="1"/>
  <c r="AN343" i="1"/>
  <c r="AX343" i="1"/>
  <c r="R344" i="1"/>
  <c r="AB344" i="1"/>
  <c r="AL344" i="1"/>
  <c r="AV344" i="1"/>
  <c r="O349" i="1"/>
  <c r="O350" i="1"/>
  <c r="Y349" i="1"/>
  <c r="Y350" i="1"/>
  <c r="AI349" i="1"/>
  <c r="AI350" i="1"/>
  <c r="AS349" i="1"/>
  <c r="AS350" i="1"/>
  <c r="BC349" i="1"/>
  <c r="BC350" i="1"/>
  <c r="W341" i="1"/>
  <c r="W348" i="1"/>
  <c r="AG341" i="1"/>
  <c r="AG348" i="1"/>
  <c r="AQ341" i="1"/>
  <c r="AQ348" i="1"/>
  <c r="BA341" i="1"/>
  <c r="BA348" i="1"/>
  <c r="U343" i="1"/>
  <c r="AE343" i="1"/>
  <c r="AO343" i="1"/>
  <c r="AY343" i="1"/>
  <c r="G349" i="1"/>
  <c r="G350" i="1"/>
  <c r="Q349" i="1"/>
  <c r="Q350" i="1"/>
  <c r="AA349" i="1"/>
  <c r="AA350" i="1"/>
  <c r="AK349" i="1"/>
  <c r="AK350" i="1"/>
  <c r="AU349" i="1"/>
  <c r="AU350" i="1"/>
  <c r="A299" i="1"/>
  <c r="P293" i="1"/>
  <c r="P300" i="1"/>
  <c r="Z293" i="1"/>
  <c r="Z300" i="1"/>
  <c r="AJ293" i="1"/>
  <c r="AJ300" i="1"/>
  <c r="AT293" i="1"/>
  <c r="AT300" i="1"/>
  <c r="P295" i="1"/>
  <c r="Z295" i="1"/>
  <c r="AJ295" i="1"/>
  <c r="AT295" i="1"/>
  <c r="Q296" i="1"/>
  <c r="AA296" i="1"/>
  <c r="AK296" i="1"/>
  <c r="AU296" i="1"/>
  <c r="A298" i="1"/>
  <c r="N301" i="1"/>
  <c r="N302" i="1"/>
  <c r="X301" i="1"/>
  <c r="X302" i="1"/>
  <c r="AH301" i="1"/>
  <c r="AH302" i="1"/>
  <c r="AR301" i="1"/>
  <c r="AR302" i="1"/>
  <c r="BB301" i="1"/>
  <c r="BB302" i="1"/>
  <c r="R307" i="1"/>
  <c r="R308" i="1"/>
  <c r="AB307" i="1"/>
  <c r="AB308" i="1"/>
  <c r="AL307" i="1"/>
  <c r="AL308" i="1"/>
  <c r="AV307" i="1"/>
  <c r="AV308" i="1"/>
  <c r="U305" i="1"/>
  <c r="U312" i="1"/>
  <c r="AF305" i="1"/>
  <c r="AF312" i="1"/>
  <c r="AQ305" i="1"/>
  <c r="AQ312" i="1"/>
  <c r="BB305" i="1"/>
  <c r="BB312" i="1"/>
  <c r="S307" i="1"/>
  <c r="AE307" i="1"/>
  <c r="AQ307" i="1"/>
  <c r="V308" i="1"/>
  <c r="AY308" i="1"/>
  <c r="AD313" i="1"/>
  <c r="AD314" i="1"/>
  <c r="AR313" i="1"/>
  <c r="AR314" i="1"/>
  <c r="O301" i="1"/>
  <c r="O302" i="1"/>
  <c r="Y301" i="1"/>
  <c r="Y302" i="1"/>
  <c r="AI301" i="1"/>
  <c r="AI302" i="1"/>
  <c r="AS301" i="1"/>
  <c r="AS302" i="1"/>
  <c r="BC301" i="1"/>
  <c r="BC302" i="1"/>
  <c r="T307" i="1"/>
  <c r="AE313" i="1"/>
  <c r="AE314" i="1"/>
  <c r="G324" i="1"/>
  <c r="G325" i="1"/>
  <c r="O317" i="1"/>
  <c r="O324" i="1"/>
  <c r="Q317" i="1"/>
  <c r="Q324" i="1"/>
  <c r="R317" i="1"/>
  <c r="R324" i="1"/>
  <c r="T317" i="1"/>
  <c r="T324" i="1"/>
  <c r="U317" i="1"/>
  <c r="U324" i="1"/>
  <c r="AA317" i="1"/>
  <c r="AA324" i="1"/>
  <c r="AB317" i="1"/>
  <c r="AB324" i="1"/>
  <c r="AD317" i="1"/>
  <c r="AD324" i="1"/>
  <c r="AG317" i="1"/>
  <c r="AG324" i="1"/>
  <c r="AH317" i="1"/>
  <c r="AH324" i="1"/>
  <c r="AI317" i="1"/>
  <c r="AI324" i="1"/>
  <c r="AK317" i="1"/>
  <c r="AK324" i="1"/>
  <c r="AL317" i="1"/>
  <c r="AL324" i="1"/>
  <c r="AN317" i="1"/>
  <c r="AN324" i="1"/>
  <c r="A324" i="1"/>
  <c r="Q325" i="1"/>
  <c r="Q326" i="1"/>
  <c r="Q319" i="1"/>
  <c r="Q320" i="1"/>
  <c r="P301" i="1"/>
  <c r="P302" i="1"/>
  <c r="Z301" i="1"/>
  <c r="Z302" i="1"/>
  <c r="AJ301" i="1"/>
  <c r="AJ302" i="1"/>
  <c r="AT301" i="1"/>
  <c r="AT302" i="1"/>
  <c r="AN308" i="1"/>
  <c r="S313" i="1"/>
  <c r="S314" i="1"/>
  <c r="AW313" i="1"/>
  <c r="AW314" i="1"/>
  <c r="I300" i="1"/>
  <c r="N293" i="1"/>
  <c r="N300" i="1"/>
  <c r="O293" i="1"/>
  <c r="O300" i="1"/>
  <c r="S293" i="1"/>
  <c r="S300" i="1"/>
  <c r="W293" i="1"/>
  <c r="W300" i="1"/>
  <c r="X293" i="1"/>
  <c r="X300" i="1"/>
  <c r="Y293" i="1"/>
  <c r="Y300" i="1"/>
  <c r="AC293" i="1"/>
  <c r="AC300" i="1"/>
  <c r="AG293" i="1"/>
  <c r="AG300" i="1"/>
  <c r="AH293" i="1"/>
  <c r="AH300" i="1"/>
  <c r="AI293" i="1"/>
  <c r="AI300" i="1"/>
  <c r="AM293" i="1"/>
  <c r="AM300" i="1"/>
  <c r="AQ293" i="1"/>
  <c r="AQ300" i="1"/>
  <c r="AR293" i="1"/>
  <c r="AR300" i="1"/>
  <c r="AS293" i="1"/>
  <c r="AS300" i="1"/>
  <c r="A300" i="1"/>
  <c r="AW293" i="1"/>
  <c r="AW300" i="1"/>
  <c r="I295" i="1"/>
  <c r="S295" i="1"/>
  <c r="AC295" i="1"/>
  <c r="AM295" i="1"/>
  <c r="AW295" i="1"/>
  <c r="G301" i="1"/>
  <c r="G302" i="1"/>
  <c r="Q301" i="1"/>
  <c r="Q302" i="1"/>
  <c r="AA301" i="1"/>
  <c r="AA302" i="1"/>
  <c r="AK301" i="1"/>
  <c r="AK302" i="1"/>
  <c r="AU301" i="1"/>
  <c r="AU302" i="1"/>
  <c r="M305" i="1"/>
  <c r="M312" i="1"/>
  <c r="V307" i="1"/>
  <c r="L308" i="1"/>
  <c r="AO308" i="1"/>
  <c r="T313" i="1"/>
  <c r="T314" i="1"/>
  <c r="AG313" i="1"/>
  <c r="AG314" i="1"/>
  <c r="AX313" i="1"/>
  <c r="AX314" i="1"/>
  <c r="H301" i="1"/>
  <c r="H302" i="1"/>
  <c r="R301" i="1"/>
  <c r="R302" i="1"/>
  <c r="AB301" i="1"/>
  <c r="AB302" i="1"/>
  <c r="AL301" i="1"/>
  <c r="AL302" i="1"/>
  <c r="AV301" i="1"/>
  <c r="AV302" i="1"/>
  <c r="W307" i="1"/>
  <c r="AW307" i="1"/>
  <c r="M308" i="1"/>
  <c r="AP308" i="1"/>
  <c r="U313" i="1"/>
  <c r="U314" i="1"/>
  <c r="AZ313" i="1"/>
  <c r="AZ314" i="1"/>
  <c r="I301" i="1"/>
  <c r="I302" i="1"/>
  <c r="S301" i="1"/>
  <c r="S302" i="1"/>
  <c r="AC301" i="1"/>
  <c r="AC302" i="1"/>
  <c r="AM301" i="1"/>
  <c r="AM302" i="1"/>
  <c r="AW301" i="1"/>
  <c r="AW302" i="1"/>
  <c r="AW305" i="1"/>
  <c r="AW312" i="1"/>
  <c r="AX307" i="1"/>
  <c r="AD308" i="1"/>
  <c r="AQ308" i="1"/>
  <c r="I305" i="1"/>
  <c r="I312" i="1"/>
  <c r="I313" i="1"/>
  <c r="I314" i="1"/>
  <c r="BA313" i="1"/>
  <c r="BA314" i="1"/>
  <c r="A323" i="1"/>
  <c r="J301" i="1"/>
  <c r="J302" i="1"/>
  <c r="T301" i="1"/>
  <c r="T302" i="1"/>
  <c r="AD301" i="1"/>
  <c r="AD302" i="1"/>
  <c r="AN301" i="1"/>
  <c r="AN302" i="1"/>
  <c r="AX301" i="1"/>
  <c r="AX302" i="1"/>
  <c r="N313" i="1"/>
  <c r="N314" i="1"/>
  <c r="X313" i="1"/>
  <c r="X314" i="1"/>
  <c r="AH313" i="1"/>
  <c r="AH314" i="1"/>
  <c r="AM305" i="1"/>
  <c r="AM312" i="1"/>
  <c r="AX305" i="1"/>
  <c r="AX312" i="1"/>
  <c r="M307" i="1"/>
  <c r="AM307" i="1"/>
  <c r="AY307" i="1"/>
  <c r="AE308" i="1"/>
  <c r="AR308" i="1"/>
  <c r="W313" i="1"/>
  <c r="W314" i="1"/>
  <c r="AM313" i="1"/>
  <c r="AM314" i="1"/>
  <c r="BB313" i="1"/>
  <c r="BB314" i="1"/>
  <c r="L325" i="1"/>
  <c r="L326" i="1"/>
  <c r="V320" i="1"/>
  <c r="V319" i="1"/>
  <c r="AF320" i="1"/>
  <c r="AF325" i="1"/>
  <c r="AF326" i="1"/>
  <c r="AZ320" i="1"/>
  <c r="AZ317" i="1"/>
  <c r="AZ324" i="1"/>
  <c r="AZ319" i="1"/>
  <c r="AP319" i="1"/>
  <c r="AP325" i="1"/>
  <c r="AP326" i="1"/>
  <c r="BA293" i="1"/>
  <c r="BA300" i="1"/>
  <c r="W295" i="1"/>
  <c r="AG295" i="1"/>
  <c r="AQ295" i="1"/>
  <c r="BA295" i="1"/>
  <c r="N296" i="1"/>
  <c r="X296" i="1"/>
  <c r="AH296" i="1"/>
  <c r="AR296" i="1"/>
  <c r="BB296" i="1"/>
  <c r="O313" i="1"/>
  <c r="O314" i="1"/>
  <c r="Y313" i="1"/>
  <c r="Y314" i="1"/>
  <c r="AI313" i="1"/>
  <c r="AI314" i="1"/>
  <c r="AS313" i="1"/>
  <c r="AS314" i="1"/>
  <c r="R305" i="1"/>
  <c r="R312" i="1"/>
  <c r="AC305" i="1"/>
  <c r="AC312" i="1"/>
  <c r="AN305" i="1"/>
  <c r="AN312" i="1"/>
  <c r="AY305" i="1"/>
  <c r="AY312" i="1"/>
  <c r="N307" i="1"/>
  <c r="AN307" i="1"/>
  <c r="AZ307" i="1"/>
  <c r="AF308" i="1"/>
  <c r="AS308" i="1"/>
  <c r="BC313" i="1"/>
  <c r="BC314" i="1"/>
  <c r="M325" i="1"/>
  <c r="M326" i="1"/>
  <c r="AG325" i="1"/>
  <c r="AG326" i="1"/>
  <c r="AQ325" i="1"/>
  <c r="AQ326" i="1"/>
  <c r="BA317" i="1"/>
  <c r="BA324" i="1"/>
  <c r="BA319" i="1"/>
  <c r="BA320" i="1"/>
  <c r="BA325" i="1"/>
  <c r="BA326" i="1"/>
  <c r="W319" i="1"/>
  <c r="AQ319" i="1"/>
  <c r="AZ325" i="1"/>
  <c r="AZ326" i="1"/>
  <c r="BB293" i="1"/>
  <c r="BB300" i="1"/>
  <c r="O296" i="1"/>
  <c r="Y296" i="1"/>
  <c r="AI296" i="1"/>
  <c r="AS296" i="1"/>
  <c r="BC296" i="1"/>
  <c r="L301" i="1"/>
  <c r="L302" i="1"/>
  <c r="V301" i="1"/>
  <c r="V302" i="1"/>
  <c r="AF301" i="1"/>
  <c r="AF302" i="1"/>
  <c r="AP301" i="1"/>
  <c r="AP302" i="1"/>
  <c r="AZ301" i="1"/>
  <c r="AZ302" i="1"/>
  <c r="S305" i="1"/>
  <c r="S312" i="1"/>
  <c r="AD305" i="1"/>
  <c r="AD312" i="1"/>
  <c r="AO305" i="1"/>
  <c r="AO312" i="1"/>
  <c r="O307" i="1"/>
  <c r="AC307" i="1"/>
  <c r="AO307" i="1"/>
  <c r="BA307" i="1"/>
  <c r="T308" i="1"/>
  <c r="AG308" i="1"/>
  <c r="AB313" i="1"/>
  <c r="AB314" i="1"/>
  <c r="AP313" i="1"/>
  <c r="AP314" i="1"/>
  <c r="AH319" i="1"/>
  <c r="AR325" i="1"/>
  <c r="AR326" i="1"/>
  <c r="BB319" i="1"/>
  <c r="BB320" i="1"/>
  <c r="X319" i="1"/>
  <c r="AR319" i="1"/>
  <c r="BB325" i="1"/>
  <c r="BB326" i="1"/>
  <c r="BC293" i="1"/>
  <c r="BC300" i="1"/>
  <c r="Q305" i="1"/>
  <c r="Q312" i="1"/>
  <c r="T305" i="1"/>
  <c r="T312" i="1"/>
  <c r="AA305" i="1"/>
  <c r="AA312" i="1"/>
  <c r="AK305" i="1"/>
  <c r="AK312" i="1"/>
  <c r="AP305" i="1"/>
  <c r="AP312" i="1"/>
  <c r="A312" i="1"/>
  <c r="Q307" i="1"/>
  <c r="Q308" i="1"/>
  <c r="AA307" i="1"/>
  <c r="AA308" i="1"/>
  <c r="AK307" i="1"/>
  <c r="AK308" i="1"/>
  <c r="AU313" i="1"/>
  <c r="AU314" i="1"/>
  <c r="AU305" i="1"/>
  <c r="AU312" i="1"/>
  <c r="AU307" i="1"/>
  <c r="AU308" i="1"/>
  <c r="BA305" i="1"/>
  <c r="BA312" i="1"/>
  <c r="BB307" i="1"/>
  <c r="AH308" i="1"/>
  <c r="M313" i="1"/>
  <c r="M314" i="1"/>
  <c r="AC313" i="1"/>
  <c r="AC314" i="1"/>
  <c r="AQ313" i="1"/>
  <c r="AQ314" i="1"/>
  <c r="O325" i="1"/>
  <c r="O326" i="1"/>
  <c r="Y325" i="1"/>
  <c r="Y326" i="1"/>
  <c r="AI319" i="1"/>
  <c r="AI320" i="1"/>
  <c r="AI325" i="1"/>
  <c r="AI326" i="1"/>
  <c r="AS325" i="1"/>
  <c r="AS326" i="1"/>
  <c r="BC320" i="1"/>
  <c r="BB317" i="1"/>
  <c r="BB324" i="1"/>
  <c r="Y319" i="1"/>
  <c r="AS319" i="1"/>
  <c r="V325" i="1"/>
  <c r="V326" i="1"/>
  <c r="BC325" i="1"/>
  <c r="BC326" i="1"/>
  <c r="L329" i="1"/>
  <c r="L336" i="1"/>
  <c r="L331" i="1"/>
  <c r="L337" i="1"/>
  <c r="L338" i="1"/>
  <c r="V332" i="1"/>
  <c r="AF332" i="1"/>
  <c r="AF337" i="1"/>
  <c r="AF338" i="1"/>
  <c r="AF329" i="1"/>
  <c r="AF336" i="1"/>
  <c r="AF331" i="1"/>
  <c r="AP332" i="1"/>
  <c r="AP337" i="1"/>
  <c r="AP338" i="1"/>
  <c r="AP329" i="1"/>
  <c r="AP336" i="1"/>
  <c r="AZ332" i="1"/>
  <c r="AZ331" i="1"/>
  <c r="V337" i="1"/>
  <c r="V338" i="1"/>
  <c r="AZ337" i="1"/>
  <c r="AZ338" i="1"/>
  <c r="BA329" i="1"/>
  <c r="BA336" i="1"/>
  <c r="W331" i="1"/>
  <c r="AQ332" i="1"/>
  <c r="BA337" i="1"/>
  <c r="BA338" i="1"/>
  <c r="AQ329" i="1"/>
  <c r="AQ336" i="1"/>
  <c r="M331" i="1"/>
  <c r="AG332" i="1"/>
  <c r="A335" i="1"/>
  <c r="AQ337" i="1"/>
  <c r="AQ338" i="1"/>
  <c r="H336" i="1"/>
  <c r="H331" i="1"/>
  <c r="H337" i="1"/>
  <c r="H338" i="1"/>
  <c r="R337" i="1"/>
  <c r="R338" i="1"/>
  <c r="R331" i="1"/>
  <c r="R329" i="1"/>
  <c r="R336" i="1"/>
  <c r="AB337" i="1"/>
  <c r="AB338" i="1"/>
  <c r="AB331" i="1"/>
  <c r="AB329" i="1"/>
  <c r="AB336" i="1"/>
  <c r="AL337" i="1"/>
  <c r="AL338" i="1"/>
  <c r="AL331" i="1"/>
  <c r="AL329" i="1"/>
  <c r="AL336" i="1"/>
  <c r="AV337" i="1"/>
  <c r="AV338" i="1"/>
  <c r="AV331" i="1"/>
  <c r="AV329" i="1"/>
  <c r="AV336" i="1"/>
  <c r="AV332" i="1"/>
  <c r="I331" i="1"/>
  <c r="I332" i="1"/>
  <c r="I337" i="1"/>
  <c r="I338" i="1"/>
  <c r="S331" i="1"/>
  <c r="S332" i="1"/>
  <c r="S337" i="1"/>
  <c r="S338" i="1"/>
  <c r="AC331" i="1"/>
  <c r="AC332" i="1"/>
  <c r="AC337" i="1"/>
  <c r="AC338" i="1"/>
  <c r="AM331" i="1"/>
  <c r="AM332" i="1"/>
  <c r="AM337" i="1"/>
  <c r="AM338" i="1"/>
  <c r="AW331" i="1"/>
  <c r="AW332" i="1"/>
  <c r="AW337" i="1"/>
  <c r="AW338" i="1"/>
  <c r="M329" i="1"/>
  <c r="M336" i="1"/>
  <c r="G336" i="1"/>
  <c r="O329" i="1"/>
  <c r="O336" i="1"/>
  <c r="P329" i="1"/>
  <c r="P336" i="1"/>
  <c r="Q329" i="1"/>
  <c r="Q336" i="1"/>
  <c r="S329" i="1"/>
  <c r="S336" i="1"/>
  <c r="Y329" i="1"/>
  <c r="Y336" i="1"/>
  <c r="Z329" i="1"/>
  <c r="Z336" i="1"/>
  <c r="AA329" i="1"/>
  <c r="AA336" i="1"/>
  <c r="AE329" i="1"/>
  <c r="AE336" i="1"/>
  <c r="AG329" i="1"/>
  <c r="AG336" i="1"/>
  <c r="AI329" i="1"/>
  <c r="AI336" i="1"/>
  <c r="AJ329" i="1"/>
  <c r="AJ336" i="1"/>
  <c r="AK329" i="1"/>
  <c r="AK336" i="1"/>
  <c r="AS329" i="1"/>
  <c r="AS336" i="1"/>
  <c r="A336" i="1"/>
  <c r="AW329" i="1"/>
  <c r="AW336" i="1"/>
  <c r="AG331" i="1"/>
  <c r="AY331" i="1"/>
  <c r="BA332" i="1"/>
  <c r="M337" i="1"/>
  <c r="M338" i="1"/>
  <c r="AE337" i="1"/>
  <c r="AE338" i="1"/>
  <c r="T319" i="1"/>
  <c r="T320" i="1"/>
  <c r="AD319" i="1"/>
  <c r="AD320" i="1"/>
  <c r="AN319" i="1"/>
  <c r="AN320" i="1"/>
  <c r="AX319" i="1"/>
  <c r="AX320" i="1"/>
  <c r="AX317" i="1"/>
  <c r="AX324" i="1"/>
  <c r="AX325" i="1"/>
  <c r="AX326" i="1"/>
  <c r="T332" i="1"/>
  <c r="T331" i="1"/>
  <c r="AD332" i="1"/>
  <c r="AD331" i="1"/>
  <c r="AN332" i="1"/>
  <c r="AN331" i="1"/>
  <c r="AX332" i="1"/>
  <c r="AX331" i="1"/>
  <c r="AX329" i="1"/>
  <c r="AX336" i="1"/>
  <c r="R332" i="1"/>
  <c r="AX337" i="1"/>
  <c r="AX338" i="1"/>
  <c r="U320" i="1"/>
  <c r="U319" i="1"/>
  <c r="AE320" i="1"/>
  <c r="AE319" i="1"/>
  <c r="AO320" i="1"/>
  <c r="AO319" i="1"/>
  <c r="AY320" i="1"/>
  <c r="AY319" i="1"/>
  <c r="AY325" i="1"/>
  <c r="AY326" i="1"/>
  <c r="AY329" i="1"/>
  <c r="AY336" i="1"/>
  <c r="U331" i="1"/>
  <c r="AY337" i="1"/>
  <c r="AY338" i="1"/>
  <c r="I319" i="1"/>
  <c r="I325" i="1"/>
  <c r="I326" i="1"/>
  <c r="S325" i="1"/>
  <c r="S326" i="1"/>
  <c r="AC325" i="1"/>
  <c r="AC326" i="1"/>
  <c r="AM325" i="1"/>
  <c r="AM326" i="1"/>
  <c r="AW325" i="1"/>
  <c r="AW326" i="1"/>
  <c r="AU317" i="1"/>
  <c r="AU324" i="1"/>
  <c r="R319" i="1"/>
  <c r="AB319" i="1"/>
  <c r="AL319" i="1"/>
  <c r="AV319" i="1"/>
  <c r="I320" i="1"/>
  <c r="S320" i="1"/>
  <c r="AC320" i="1"/>
  <c r="AM320" i="1"/>
  <c r="AW320" i="1"/>
  <c r="P325" i="1"/>
  <c r="P326" i="1"/>
  <c r="Z325" i="1"/>
  <c r="Z326" i="1"/>
  <c r="AJ325" i="1"/>
  <c r="AJ326" i="1"/>
  <c r="AT325" i="1"/>
  <c r="AT326" i="1"/>
  <c r="BC329" i="1"/>
  <c r="BC336" i="1"/>
  <c r="Q331" i="1"/>
  <c r="AA331" i="1"/>
  <c r="AK331" i="1"/>
  <c r="AU331" i="1"/>
  <c r="P337" i="1"/>
  <c r="P338" i="1"/>
  <c r="Z337" i="1"/>
  <c r="Z338" i="1"/>
  <c r="AJ337" i="1"/>
  <c r="AJ338" i="1"/>
  <c r="AT337" i="1"/>
  <c r="AT338" i="1"/>
  <c r="AV317" i="1"/>
  <c r="AV324" i="1"/>
  <c r="S319" i="1"/>
  <c r="AC319" i="1"/>
  <c r="AM319" i="1"/>
  <c r="AW319" i="1"/>
  <c r="AA325" i="1"/>
  <c r="AA326" i="1"/>
  <c r="AK325" i="1"/>
  <c r="AK326" i="1"/>
  <c r="AU325" i="1"/>
  <c r="AU326" i="1"/>
  <c r="AT329" i="1"/>
  <c r="AT336" i="1"/>
  <c r="G337" i="1"/>
  <c r="G338" i="1"/>
  <c r="Q337" i="1"/>
  <c r="Q338" i="1"/>
  <c r="AA337" i="1"/>
  <c r="AA338" i="1"/>
  <c r="AK337" i="1"/>
  <c r="AK338" i="1"/>
  <c r="AU337" i="1"/>
  <c r="AU338" i="1"/>
  <c r="AU329" i="1"/>
  <c r="AU336" i="1"/>
  <c r="A251" i="1"/>
  <c r="H247" i="1"/>
  <c r="H245" i="1"/>
  <c r="H252" i="1"/>
  <c r="H253" i="1"/>
  <c r="H254" i="1"/>
  <c r="R247" i="1"/>
  <c r="R245" i="1"/>
  <c r="R252" i="1"/>
  <c r="R248" i="1"/>
  <c r="R253" i="1"/>
  <c r="R254" i="1"/>
  <c r="AB247" i="1"/>
  <c r="AB245" i="1"/>
  <c r="AB252" i="1"/>
  <c r="AB248" i="1"/>
  <c r="AB253" i="1"/>
  <c r="AB254" i="1"/>
  <c r="AL247" i="1"/>
  <c r="AL245" i="1"/>
  <c r="AL252" i="1"/>
  <c r="AL248" i="1"/>
  <c r="AL253" i="1"/>
  <c r="AL254" i="1"/>
  <c r="AV247" i="1"/>
  <c r="AV245" i="1"/>
  <c r="AV252" i="1"/>
  <c r="AV248" i="1"/>
  <c r="AV253" i="1"/>
  <c r="AV254" i="1"/>
  <c r="K252" i="1"/>
  <c r="W245" i="1"/>
  <c r="W252" i="1"/>
  <c r="AW245" i="1"/>
  <c r="AW252" i="1"/>
  <c r="K247" i="1"/>
  <c r="W247" i="1"/>
  <c r="AM247" i="1"/>
  <c r="W248" i="1"/>
  <c r="AN248" i="1"/>
  <c r="I245" i="1"/>
  <c r="I252" i="1"/>
  <c r="I247" i="1"/>
  <c r="I253" i="1"/>
  <c r="I254" i="1"/>
  <c r="W253" i="1"/>
  <c r="W254" i="1"/>
  <c r="AO253" i="1"/>
  <c r="AO254" i="1"/>
  <c r="G264" i="1"/>
  <c r="G259" i="1"/>
  <c r="G265" i="1"/>
  <c r="G266" i="1"/>
  <c r="G260" i="1"/>
  <c r="H264" i="1"/>
  <c r="J264" i="1"/>
  <c r="N257" i="1"/>
  <c r="N264" i="1"/>
  <c r="O257" i="1"/>
  <c r="O264" i="1"/>
  <c r="P257" i="1"/>
  <c r="P264" i="1"/>
  <c r="R257" i="1"/>
  <c r="R264" i="1"/>
  <c r="S257" i="1"/>
  <c r="S264" i="1"/>
  <c r="T257" i="1"/>
  <c r="T264" i="1"/>
  <c r="U257" i="1"/>
  <c r="U264" i="1"/>
  <c r="X257" i="1"/>
  <c r="X264" i="1"/>
  <c r="Y257" i="1"/>
  <c r="Y264" i="1"/>
  <c r="Z257" i="1"/>
  <c r="Z264" i="1"/>
  <c r="AA257" i="1"/>
  <c r="AA264" i="1"/>
  <c r="AC257" i="1"/>
  <c r="AC264" i="1"/>
  <c r="AD257" i="1"/>
  <c r="AD264" i="1"/>
  <c r="AI257" i="1"/>
  <c r="AI264" i="1"/>
  <c r="AJ257" i="1"/>
  <c r="AJ264" i="1"/>
  <c r="AK257" i="1"/>
  <c r="AK264" i="1"/>
  <c r="AL257" i="1"/>
  <c r="AL264" i="1"/>
  <c r="AM257" i="1"/>
  <c r="AM264" i="1"/>
  <c r="AN257" i="1"/>
  <c r="AN264" i="1"/>
  <c r="AO257" i="1"/>
  <c r="AO264" i="1"/>
  <c r="A264" i="1"/>
  <c r="Q265" i="1"/>
  <c r="Q266" i="1"/>
  <c r="Q259" i="1"/>
  <c r="Q260" i="1"/>
  <c r="AA265" i="1"/>
  <c r="AA266" i="1"/>
  <c r="AA259" i="1"/>
  <c r="AA260" i="1"/>
  <c r="AK265" i="1"/>
  <c r="AK266" i="1"/>
  <c r="AK259" i="1"/>
  <c r="AK260" i="1"/>
  <c r="AU265" i="1"/>
  <c r="AU266" i="1"/>
  <c r="AU259" i="1"/>
  <c r="AU260" i="1"/>
  <c r="AU257" i="1"/>
  <c r="AU264" i="1"/>
  <c r="AD259" i="1"/>
  <c r="AX245" i="1"/>
  <c r="AX252" i="1"/>
  <c r="L247" i="1"/>
  <c r="AO247" i="1"/>
  <c r="AP248" i="1"/>
  <c r="J252" i="1"/>
  <c r="J253" i="1"/>
  <c r="J254" i="1"/>
  <c r="AP253" i="1"/>
  <c r="AP254" i="1"/>
  <c r="H260" i="1"/>
  <c r="H259" i="1"/>
  <c r="H265" i="1"/>
  <c r="H266" i="1"/>
  <c r="R260" i="1"/>
  <c r="AB260" i="1"/>
  <c r="AB265" i="1"/>
  <c r="AB266" i="1"/>
  <c r="AL260" i="1"/>
  <c r="AL265" i="1"/>
  <c r="AL266" i="1"/>
  <c r="AV259" i="1"/>
  <c r="AV260" i="1"/>
  <c r="AV257" i="1"/>
  <c r="AV264" i="1"/>
  <c r="AV265" i="1"/>
  <c r="AV266" i="1"/>
  <c r="M245" i="1"/>
  <c r="M252" i="1"/>
  <c r="AM245" i="1"/>
  <c r="AM252" i="1"/>
  <c r="AY245" i="1"/>
  <c r="AY252" i="1"/>
  <c r="M247" i="1"/>
  <c r="AP247" i="1"/>
  <c r="AQ248" i="1"/>
  <c r="K253" i="1"/>
  <c r="K254" i="1"/>
  <c r="AC253" i="1"/>
  <c r="AC254" i="1"/>
  <c r="AQ253" i="1"/>
  <c r="AQ254" i="1"/>
  <c r="I260" i="1"/>
  <c r="I259" i="1"/>
  <c r="I265" i="1"/>
  <c r="I266" i="1"/>
  <c r="S260" i="1"/>
  <c r="S265" i="1"/>
  <c r="S266" i="1"/>
  <c r="AC260" i="1"/>
  <c r="AC265" i="1"/>
  <c r="AC266" i="1"/>
  <c r="AM260" i="1"/>
  <c r="AM265" i="1"/>
  <c r="AM266" i="1"/>
  <c r="AW260" i="1"/>
  <c r="AW257" i="1"/>
  <c r="AW264" i="1"/>
  <c r="AW265" i="1"/>
  <c r="AW266" i="1"/>
  <c r="R259" i="1"/>
  <c r="AN245" i="1"/>
  <c r="AN252" i="1"/>
  <c r="AZ245" i="1"/>
  <c r="AZ252" i="1"/>
  <c r="AQ247" i="1"/>
  <c r="L248" i="1"/>
  <c r="L253" i="1"/>
  <c r="L254" i="1"/>
  <c r="AD253" i="1"/>
  <c r="AD254" i="1"/>
  <c r="J265" i="1"/>
  <c r="J266" i="1"/>
  <c r="T260" i="1"/>
  <c r="T259" i="1"/>
  <c r="T265" i="1"/>
  <c r="T266" i="1"/>
  <c r="AD260" i="1"/>
  <c r="AD265" i="1"/>
  <c r="AD266" i="1"/>
  <c r="AN260" i="1"/>
  <c r="AN265" i="1"/>
  <c r="AN266" i="1"/>
  <c r="AN259" i="1"/>
  <c r="AX260" i="1"/>
  <c r="AX265" i="1"/>
  <c r="AX266" i="1"/>
  <c r="S259" i="1"/>
  <c r="AL259" i="1"/>
  <c r="AC245" i="1"/>
  <c r="AC252" i="1"/>
  <c r="AO245" i="1"/>
  <c r="AO252" i="1"/>
  <c r="BA245" i="1"/>
  <c r="BA252" i="1"/>
  <c r="AC247" i="1"/>
  <c r="M248" i="1"/>
  <c r="AD248" i="1"/>
  <c r="M253" i="1"/>
  <c r="M254" i="1"/>
  <c r="AE253" i="1"/>
  <c r="AE254" i="1"/>
  <c r="AW253" i="1"/>
  <c r="AW254" i="1"/>
  <c r="K265" i="1"/>
  <c r="K266" i="1"/>
  <c r="U260" i="1"/>
  <c r="U259" i="1"/>
  <c r="U265" i="1"/>
  <c r="U266" i="1"/>
  <c r="AE259" i="1"/>
  <c r="AE260" i="1"/>
  <c r="AO265" i="1"/>
  <c r="AO266" i="1"/>
  <c r="AY260" i="1"/>
  <c r="AY265" i="1"/>
  <c r="AY266" i="1"/>
  <c r="AY259" i="1"/>
  <c r="AY257" i="1"/>
  <c r="AY264" i="1"/>
  <c r="AM259" i="1"/>
  <c r="R265" i="1"/>
  <c r="R266" i="1"/>
  <c r="AD245" i="1"/>
  <c r="AD252" i="1"/>
  <c r="AE247" i="1"/>
  <c r="AF248" i="1"/>
  <c r="AF253" i="1"/>
  <c r="AF254" i="1"/>
  <c r="AX253" i="1"/>
  <c r="AX254" i="1"/>
  <c r="AO259" i="1"/>
  <c r="S245" i="1"/>
  <c r="S252" i="1"/>
  <c r="AE245" i="1"/>
  <c r="AE252" i="1"/>
  <c r="AQ245" i="1"/>
  <c r="AQ252" i="1"/>
  <c r="S247" i="1"/>
  <c r="AF247" i="1"/>
  <c r="AW247" i="1"/>
  <c r="AG248" i="1"/>
  <c r="AX248" i="1"/>
  <c r="S253" i="1"/>
  <c r="S254" i="1"/>
  <c r="AG253" i="1"/>
  <c r="AG254" i="1"/>
  <c r="AY253" i="1"/>
  <c r="AY254" i="1"/>
  <c r="O253" i="1"/>
  <c r="O254" i="1"/>
  <c r="Y253" i="1"/>
  <c r="Y254" i="1"/>
  <c r="AI253" i="1"/>
  <c r="AI254" i="1"/>
  <c r="AS253" i="1"/>
  <c r="AS254" i="1"/>
  <c r="BC253" i="1"/>
  <c r="BC254" i="1"/>
  <c r="T245" i="1"/>
  <c r="T252" i="1"/>
  <c r="T247" i="1"/>
  <c r="AG247" i="1"/>
  <c r="AY247" i="1"/>
  <c r="AZ248" i="1"/>
  <c r="T253" i="1"/>
  <c r="T254" i="1"/>
  <c r="AZ253" i="1"/>
  <c r="AZ254" i="1"/>
  <c r="AW259" i="1"/>
  <c r="P253" i="1"/>
  <c r="P254" i="1"/>
  <c r="P247" i="1"/>
  <c r="P245" i="1"/>
  <c r="P252" i="1"/>
  <c r="Z253" i="1"/>
  <c r="Z254" i="1"/>
  <c r="Z247" i="1"/>
  <c r="Z245" i="1"/>
  <c r="Z252" i="1"/>
  <c r="AJ253" i="1"/>
  <c r="AJ254" i="1"/>
  <c r="AJ247" i="1"/>
  <c r="AJ245" i="1"/>
  <c r="AJ252" i="1"/>
  <c r="AT253" i="1"/>
  <c r="AT254" i="1"/>
  <c r="AT247" i="1"/>
  <c r="AT245" i="1"/>
  <c r="AT252" i="1"/>
  <c r="U245" i="1"/>
  <c r="U252" i="1"/>
  <c r="AG245" i="1"/>
  <c r="AG252" i="1"/>
  <c r="AS245" i="1"/>
  <c r="AS252" i="1"/>
  <c r="U247" i="1"/>
  <c r="AI248" i="1"/>
  <c r="BA248" i="1"/>
  <c r="U253" i="1"/>
  <c r="U254" i="1"/>
  <c r="AM253" i="1"/>
  <c r="AM254" i="1"/>
  <c r="BA253" i="1"/>
  <c r="BA254" i="1"/>
  <c r="O265" i="1"/>
  <c r="O266" i="1"/>
  <c r="O260" i="1"/>
  <c r="Y265" i="1"/>
  <c r="Y266" i="1"/>
  <c r="AI265" i="1"/>
  <c r="AI266" i="1"/>
  <c r="AI260" i="1"/>
  <c r="AI259" i="1"/>
  <c r="AS265" i="1"/>
  <c r="AS266" i="1"/>
  <c r="BC265" i="1"/>
  <c r="BC266" i="1"/>
  <c r="BC259" i="1"/>
  <c r="AB259" i="1"/>
  <c r="AX259" i="1"/>
  <c r="BC260" i="1"/>
  <c r="AE265" i="1"/>
  <c r="AE266" i="1"/>
  <c r="O271" i="1"/>
  <c r="O272" i="1"/>
  <c r="O277" i="1"/>
  <c r="O278" i="1"/>
  <c r="O269" i="1"/>
  <c r="O276" i="1"/>
  <c r="Y269" i="1"/>
  <c r="Y276" i="1"/>
  <c r="Y271" i="1"/>
  <c r="AI277" i="1"/>
  <c r="AI278" i="1"/>
  <c r="AI272" i="1"/>
  <c r="AI271" i="1"/>
  <c r="AI269" i="1"/>
  <c r="AI276" i="1"/>
  <c r="AS269" i="1"/>
  <c r="AS276" i="1"/>
  <c r="AS277" i="1"/>
  <c r="AS278" i="1"/>
  <c r="AS272" i="1"/>
  <c r="AS271" i="1"/>
  <c r="BC269" i="1"/>
  <c r="BC276" i="1"/>
  <c r="BC277" i="1"/>
  <c r="BC278" i="1"/>
  <c r="BC272" i="1"/>
  <c r="BC271" i="1"/>
  <c r="Q248" i="1"/>
  <c r="AA248" i="1"/>
  <c r="AK247" i="1"/>
  <c r="AK248" i="1"/>
  <c r="AU247" i="1"/>
  <c r="AU248" i="1"/>
  <c r="V245" i="1"/>
  <c r="V252" i="1"/>
  <c r="AU245" i="1"/>
  <c r="AU252" i="1"/>
  <c r="V247" i="1"/>
  <c r="AI247" i="1"/>
  <c r="BA247" i="1"/>
  <c r="V248" i="1"/>
  <c r="AJ248" i="1"/>
  <c r="G253" i="1"/>
  <c r="AN253" i="1"/>
  <c r="AN254" i="1"/>
  <c r="AC259" i="1"/>
  <c r="P265" i="1"/>
  <c r="P266" i="1"/>
  <c r="Z265" i="1"/>
  <c r="Z266" i="1"/>
  <c r="AJ265" i="1"/>
  <c r="AJ266" i="1"/>
  <c r="AT265" i="1"/>
  <c r="AT266" i="1"/>
  <c r="AT257" i="1"/>
  <c r="AT264" i="1"/>
  <c r="AT259" i="1"/>
  <c r="X260" i="1"/>
  <c r="AF265" i="1"/>
  <c r="AF266" i="1"/>
  <c r="AE281" i="1"/>
  <c r="AE288" i="1"/>
  <c r="AF283" i="1"/>
  <c r="AI284" i="1"/>
  <c r="AZ284" i="1"/>
  <c r="AZ289" i="1"/>
  <c r="AZ290" i="1"/>
  <c r="K276" i="1"/>
  <c r="L276" i="1"/>
  <c r="N269" i="1"/>
  <c r="N276" i="1"/>
  <c r="Q269" i="1"/>
  <c r="Q276" i="1"/>
  <c r="S269" i="1"/>
  <c r="S276" i="1"/>
  <c r="U269" i="1"/>
  <c r="U276" i="1"/>
  <c r="V269" i="1"/>
  <c r="V276" i="1"/>
  <c r="X269" i="1"/>
  <c r="X276" i="1"/>
  <c r="AA269" i="1"/>
  <c r="AA276" i="1"/>
  <c r="AC269" i="1"/>
  <c r="AC276" i="1"/>
  <c r="AE269" i="1"/>
  <c r="AE276" i="1"/>
  <c r="AK269" i="1"/>
  <c r="AK276" i="1"/>
  <c r="AM269" i="1"/>
  <c r="AM276" i="1"/>
  <c r="AN269" i="1"/>
  <c r="AN276" i="1"/>
  <c r="A276" i="1"/>
  <c r="AA271" i="1"/>
  <c r="AA272" i="1"/>
  <c r="AK277" i="1"/>
  <c r="AK278" i="1"/>
  <c r="AK271" i="1"/>
  <c r="AU269" i="1"/>
  <c r="AU276" i="1"/>
  <c r="AU277" i="1"/>
  <c r="AU278" i="1"/>
  <c r="K284" i="1"/>
  <c r="K281" i="1"/>
  <c r="K288" i="1"/>
  <c r="K283" i="1"/>
  <c r="K289" i="1"/>
  <c r="K290" i="1"/>
  <c r="U284" i="1"/>
  <c r="AE284" i="1"/>
  <c r="AE289" i="1"/>
  <c r="AE290" i="1"/>
  <c r="AO284" i="1"/>
  <c r="AO283" i="1"/>
  <c r="AO289" i="1"/>
  <c r="AO290" i="1"/>
  <c r="AY284" i="1"/>
  <c r="AY281" i="1"/>
  <c r="AY288" i="1"/>
  <c r="AY283" i="1"/>
  <c r="AY289" i="1"/>
  <c r="AY290" i="1"/>
  <c r="AF281" i="1"/>
  <c r="AF288" i="1"/>
  <c r="AE271" i="1"/>
  <c r="L281" i="1"/>
  <c r="L288" i="1"/>
  <c r="L283" i="1"/>
  <c r="L289" i="1"/>
  <c r="L290" i="1"/>
  <c r="V289" i="1"/>
  <c r="V290" i="1"/>
  <c r="AP284" i="1"/>
  <c r="AP289" i="1"/>
  <c r="AP290" i="1"/>
  <c r="AZ281" i="1"/>
  <c r="AZ288" i="1"/>
  <c r="V284" i="1"/>
  <c r="A263" i="1"/>
  <c r="AU271" i="1"/>
  <c r="Q272" i="1"/>
  <c r="AE277" i="1"/>
  <c r="AE278" i="1"/>
  <c r="M281" i="1"/>
  <c r="M288" i="1"/>
  <c r="M283" i="1"/>
  <c r="M289" i="1"/>
  <c r="M290" i="1"/>
  <c r="W281" i="1"/>
  <c r="W288" i="1"/>
  <c r="AG289" i="1"/>
  <c r="AG290" i="1"/>
  <c r="AQ284" i="1"/>
  <c r="AQ289" i="1"/>
  <c r="AQ290" i="1"/>
  <c r="BA283" i="1"/>
  <c r="BA284" i="1"/>
  <c r="BA289" i="1"/>
  <c r="BA290" i="1"/>
  <c r="U281" i="1"/>
  <c r="U288" i="1"/>
  <c r="BA281" i="1"/>
  <c r="BA288" i="1"/>
  <c r="U283" i="1"/>
  <c r="W284" i="1"/>
  <c r="AF289" i="1"/>
  <c r="AF290" i="1"/>
  <c r="Q271" i="1"/>
  <c r="AU272" i="1"/>
  <c r="V281" i="1"/>
  <c r="V288" i="1"/>
  <c r="V283" i="1"/>
  <c r="K277" i="1"/>
  <c r="K278" i="1"/>
  <c r="U272" i="1"/>
  <c r="AO272" i="1"/>
  <c r="AO271" i="1"/>
  <c r="AY272" i="1"/>
  <c r="AY269" i="1"/>
  <c r="AY276" i="1"/>
  <c r="AY271" i="1"/>
  <c r="Q277" i="1"/>
  <c r="Q278" i="1"/>
  <c r="O281" i="1"/>
  <c r="O288" i="1"/>
  <c r="O289" i="1"/>
  <c r="O290" i="1"/>
  <c r="O283" i="1"/>
  <c r="O284" i="1"/>
  <c r="Y281" i="1"/>
  <c r="Y288" i="1"/>
  <c r="Y283" i="1"/>
  <c r="Y289" i="1"/>
  <c r="Y290" i="1"/>
  <c r="AI281" i="1"/>
  <c r="AI288" i="1"/>
  <c r="AI289" i="1"/>
  <c r="AI290" i="1"/>
  <c r="AS281" i="1"/>
  <c r="AS288" i="1"/>
  <c r="BC281" i="1"/>
  <c r="BC288" i="1"/>
  <c r="BC284" i="1"/>
  <c r="BC289" i="1"/>
  <c r="BC290" i="1"/>
  <c r="W283" i="1"/>
  <c r="AP283" i="1"/>
  <c r="Y284" i="1"/>
  <c r="AS284" i="1"/>
  <c r="AP259" i="1"/>
  <c r="BB259" i="1"/>
  <c r="AG260" i="1"/>
  <c r="AT260" i="1"/>
  <c r="BB265" i="1"/>
  <c r="BB266" i="1"/>
  <c r="L277" i="1"/>
  <c r="L278" i="1"/>
  <c r="V277" i="1"/>
  <c r="V278" i="1"/>
  <c r="AZ269" i="1"/>
  <c r="AZ276" i="1"/>
  <c r="AZ271" i="1"/>
  <c r="AZ272" i="1"/>
  <c r="U271" i="1"/>
  <c r="V272" i="1"/>
  <c r="BB277" i="1"/>
  <c r="BB278" i="1"/>
  <c r="AO281" i="1"/>
  <c r="AO288" i="1"/>
  <c r="AQ283" i="1"/>
  <c r="L284" i="1"/>
  <c r="A287" i="1"/>
  <c r="AF259" i="1"/>
  <c r="AQ259" i="1"/>
  <c r="AH260" i="1"/>
  <c r="W277" i="1"/>
  <c r="W278" i="1"/>
  <c r="BA271" i="1"/>
  <c r="BA272" i="1"/>
  <c r="BB269" i="1"/>
  <c r="BB276" i="1"/>
  <c r="V271" i="1"/>
  <c r="W272" i="1"/>
  <c r="G288" i="1"/>
  <c r="G289" i="1"/>
  <c r="G290" i="1"/>
  <c r="Q281" i="1"/>
  <c r="Q288" i="1"/>
  <c r="Q289" i="1"/>
  <c r="Q290" i="1"/>
  <c r="Q283" i="1"/>
  <c r="Q284" i="1"/>
  <c r="AA281" i="1"/>
  <c r="AA288" i="1"/>
  <c r="AA289" i="1"/>
  <c r="AA290" i="1"/>
  <c r="AA283" i="1"/>
  <c r="AA284" i="1"/>
  <c r="AK281" i="1"/>
  <c r="AK288" i="1"/>
  <c r="AK289" i="1"/>
  <c r="AK290" i="1"/>
  <c r="AK283" i="1"/>
  <c r="AU281" i="1"/>
  <c r="AU288" i="1"/>
  <c r="AU289" i="1"/>
  <c r="AU290" i="1"/>
  <c r="AU283" i="1"/>
  <c r="AP281" i="1"/>
  <c r="AP288" i="1"/>
  <c r="M284" i="1"/>
  <c r="AU284" i="1"/>
  <c r="AS289" i="1"/>
  <c r="AS290" i="1"/>
  <c r="V259" i="1"/>
  <c r="AG259" i="1"/>
  <c r="AR259" i="1"/>
  <c r="N265" i="1"/>
  <c r="N266" i="1"/>
  <c r="N271" i="1"/>
  <c r="N272" i="1"/>
  <c r="X277" i="1"/>
  <c r="X278" i="1"/>
  <c r="AH277" i="1"/>
  <c r="AH278" i="1"/>
  <c r="X272" i="1"/>
  <c r="AK272" i="1"/>
  <c r="U277" i="1"/>
  <c r="U278" i="1"/>
  <c r="AO277" i="1"/>
  <c r="AO278" i="1"/>
  <c r="AQ281" i="1"/>
  <c r="AQ288" i="1"/>
  <c r="AS283" i="1"/>
  <c r="AG284" i="1"/>
  <c r="AN289" i="1"/>
  <c r="AN290" i="1"/>
  <c r="AX269" i="1"/>
  <c r="AX276" i="1"/>
  <c r="J277" i="1"/>
  <c r="J278" i="1"/>
  <c r="AL283" i="1"/>
  <c r="AN284" i="1"/>
  <c r="I272" i="1"/>
  <c r="S272" i="1"/>
  <c r="AC272" i="1"/>
  <c r="AM272" i="1"/>
  <c r="AW269" i="1"/>
  <c r="AW276" i="1"/>
  <c r="AW272" i="1"/>
  <c r="AM271" i="1"/>
  <c r="AN272" i="1"/>
  <c r="AW277" i="1"/>
  <c r="AW278" i="1"/>
  <c r="I284" i="1"/>
  <c r="S283" i="1"/>
  <c r="S284" i="1"/>
  <c r="AC283" i="1"/>
  <c r="AC284" i="1"/>
  <c r="AM283" i="1"/>
  <c r="AM284" i="1"/>
  <c r="AW283" i="1"/>
  <c r="AW284" i="1"/>
  <c r="AL281" i="1"/>
  <c r="AL288" i="1"/>
  <c r="AX281" i="1"/>
  <c r="AX288" i="1"/>
  <c r="AB284" i="1"/>
  <c r="AD289" i="1"/>
  <c r="AD290" i="1"/>
  <c r="AX277" i="1"/>
  <c r="AX278" i="1"/>
  <c r="AM281" i="1"/>
  <c r="AM288" i="1"/>
  <c r="AB283" i="1"/>
  <c r="R271" i="1"/>
  <c r="AB271" i="1"/>
  <c r="AL271" i="1"/>
  <c r="AV271" i="1"/>
  <c r="AB233" i="1"/>
  <c r="AB240" i="1"/>
  <c r="P235" i="1"/>
  <c r="AR235" i="1"/>
  <c r="AP241" i="1"/>
  <c r="AP242" i="1"/>
  <c r="G233" i="1"/>
  <c r="G240" i="1"/>
  <c r="Q235" i="1"/>
  <c r="AS235" i="1"/>
  <c r="X236" i="1"/>
  <c r="AS236" i="1"/>
  <c r="AT235" i="1"/>
  <c r="AT236" i="1"/>
  <c r="AL233" i="1"/>
  <c r="AL240" i="1"/>
  <c r="AU235" i="1"/>
  <c r="Z236" i="1"/>
  <c r="AU236" i="1"/>
  <c r="AA235" i="1"/>
  <c r="AV235" i="1"/>
  <c r="AA236" i="1"/>
  <c r="AV236" i="1"/>
  <c r="Q233" i="1"/>
  <c r="Q240" i="1"/>
  <c r="AU233" i="1"/>
  <c r="AU240" i="1"/>
  <c r="AB235" i="1"/>
  <c r="AB236" i="1"/>
  <c r="R233" i="1"/>
  <c r="R240" i="1"/>
  <c r="AV233" i="1"/>
  <c r="AV240" i="1"/>
  <c r="AI235" i="1"/>
  <c r="AI236" i="1"/>
  <c r="AJ235" i="1"/>
  <c r="O236" i="1"/>
  <c r="AK236" i="1"/>
  <c r="O241" i="1"/>
  <c r="O242" i="1"/>
  <c r="AK235" i="1"/>
  <c r="Q236" i="1"/>
  <c r="AL236" i="1"/>
  <c r="Y241" i="1"/>
  <c r="Y242" i="1"/>
  <c r="AA233" i="1"/>
  <c r="AA240" i="1"/>
  <c r="O235" i="1"/>
  <c r="AL235" i="1"/>
  <c r="R236" i="1"/>
  <c r="AI241" i="1"/>
  <c r="AI242" i="1"/>
  <c r="AK221" i="1"/>
  <c r="AK228" i="1"/>
  <c r="P221" i="1"/>
  <c r="P228" i="1"/>
  <c r="AO221" i="1"/>
  <c r="AO228" i="1"/>
  <c r="U223" i="1"/>
  <c r="AQ223" i="1"/>
  <c r="AJ224" i="1"/>
  <c r="AP229" i="1"/>
  <c r="AP230" i="1"/>
  <c r="AQ221" i="1"/>
  <c r="AQ228" i="1"/>
  <c r="V223" i="1"/>
  <c r="AR223" i="1"/>
  <c r="O224" i="1"/>
  <c r="V229" i="1"/>
  <c r="V230" i="1"/>
  <c r="AQ229" i="1"/>
  <c r="AQ230" i="1"/>
  <c r="X221" i="1"/>
  <c r="X228" i="1"/>
  <c r="AY221" i="1"/>
  <c r="AY228" i="1"/>
  <c r="AY223" i="1"/>
  <c r="U224" i="1"/>
  <c r="X229" i="1"/>
  <c r="X230" i="1"/>
  <c r="BA229" i="1"/>
  <c r="BA230" i="1"/>
  <c r="AZ221" i="1"/>
  <c r="AZ228" i="1"/>
  <c r="AE223" i="1"/>
  <c r="AZ223" i="1"/>
  <c r="V224" i="1"/>
  <c r="BA224" i="1"/>
  <c r="BB229" i="1"/>
  <c r="BB230" i="1"/>
  <c r="AF223" i="1"/>
  <c r="AF229" i="1"/>
  <c r="AF230" i="1"/>
  <c r="AI221" i="1"/>
  <c r="AI228" i="1"/>
  <c r="G223" i="1"/>
  <c r="AE224" i="1"/>
  <c r="AJ221" i="1"/>
  <c r="AJ228" i="1"/>
  <c r="AF224" i="1"/>
  <c r="AH229" i="1"/>
  <c r="AH230" i="1"/>
  <c r="AX209" i="1"/>
  <c r="AX216" i="1"/>
  <c r="U211" i="1"/>
  <c r="AU211" i="1"/>
  <c r="U212" i="1"/>
  <c r="AZ212" i="1"/>
  <c r="L217" i="1"/>
  <c r="L218" i="1"/>
  <c r="AY209" i="1"/>
  <c r="AY216" i="1"/>
  <c r="AA211" i="1"/>
  <c r="AW211" i="1"/>
  <c r="V212" i="1"/>
  <c r="V217" i="1"/>
  <c r="V218" i="1"/>
  <c r="AL209" i="1"/>
  <c r="AL216" i="1"/>
  <c r="AD211" i="1"/>
  <c r="AY211" i="1"/>
  <c r="AE212" i="1"/>
  <c r="AD217" i="1"/>
  <c r="AD218" i="1"/>
  <c r="Q209" i="1"/>
  <c r="Q216" i="1"/>
  <c r="AN209" i="1"/>
  <c r="AN216" i="1"/>
  <c r="AK211" i="1"/>
  <c r="H212" i="1"/>
  <c r="I212" i="1"/>
  <c r="AK212" i="1"/>
  <c r="AN217" i="1"/>
  <c r="AN218" i="1"/>
  <c r="R209" i="1"/>
  <c r="R216" i="1"/>
  <c r="AO209" i="1"/>
  <c r="AO216" i="1"/>
  <c r="Q211" i="1"/>
  <c r="K212" i="1"/>
  <c r="AM212" i="1"/>
  <c r="AO217" i="1"/>
  <c r="AO218" i="1"/>
  <c r="AA209" i="1"/>
  <c r="AA216" i="1"/>
  <c r="AU209" i="1"/>
  <c r="AU216" i="1"/>
  <c r="AM211" i="1"/>
  <c r="L212" i="1"/>
  <c r="AP217" i="1"/>
  <c r="AP218" i="1"/>
  <c r="AC209" i="1"/>
  <c r="AC216" i="1"/>
  <c r="S211" i="1"/>
  <c r="AN211" i="1"/>
  <c r="Q212" i="1"/>
  <c r="J216" i="1"/>
  <c r="J217" i="1"/>
  <c r="J218" i="1"/>
  <c r="AW217" i="1"/>
  <c r="AW218" i="1"/>
  <c r="Z197" i="1"/>
  <c r="Z204" i="1"/>
  <c r="AY197" i="1"/>
  <c r="AY204" i="1"/>
  <c r="S199" i="1"/>
  <c r="AQ199" i="1"/>
  <c r="J200" i="1"/>
  <c r="K200" i="1"/>
  <c r="L200" i="1"/>
  <c r="M200" i="1"/>
  <c r="AQ200" i="1"/>
  <c r="M197" i="1"/>
  <c r="M204" i="1"/>
  <c r="M205" i="1"/>
  <c r="M206" i="1"/>
  <c r="AQ205" i="1"/>
  <c r="AQ206" i="1"/>
  <c r="AG197" i="1"/>
  <c r="AG204" i="1"/>
  <c r="AZ197" i="1"/>
  <c r="AZ204" i="1"/>
  <c r="T199" i="1"/>
  <c r="AS199" i="1"/>
  <c r="AS200" i="1"/>
  <c r="W205" i="1"/>
  <c r="W206" i="1"/>
  <c r="AS205" i="1"/>
  <c r="AS206" i="1"/>
  <c r="AI197" i="1"/>
  <c r="AI204" i="1"/>
  <c r="BA197" i="1"/>
  <c r="BA204" i="1"/>
  <c r="U199" i="1"/>
  <c r="AW199" i="1"/>
  <c r="T200" i="1"/>
  <c r="AT200" i="1"/>
  <c r="X205" i="1"/>
  <c r="X206" i="1"/>
  <c r="AT205" i="1"/>
  <c r="AT206" i="1"/>
  <c r="AJ197" i="1"/>
  <c r="AJ204" i="1"/>
  <c r="BC197" i="1"/>
  <c r="BC204" i="1"/>
  <c r="V199" i="1"/>
  <c r="AX199" i="1"/>
  <c r="U200" i="1"/>
  <c r="AV200" i="1"/>
  <c r="Z205" i="1"/>
  <c r="Z206" i="1"/>
  <c r="BA205" i="1"/>
  <c r="BA206" i="1"/>
  <c r="J204" i="1"/>
  <c r="AL197" i="1"/>
  <c r="AL204" i="1"/>
  <c r="G199" i="1"/>
  <c r="H199" i="1"/>
  <c r="W199" i="1"/>
  <c r="BA199" i="1"/>
  <c r="V200" i="1"/>
  <c r="AX200" i="1"/>
  <c r="AC205" i="1"/>
  <c r="AC206" i="1"/>
  <c r="BC205" i="1"/>
  <c r="BC206" i="1"/>
  <c r="AN197" i="1"/>
  <c r="AN204" i="1"/>
  <c r="I199" i="1"/>
  <c r="AD199" i="1"/>
  <c r="BC199" i="1"/>
  <c r="W200" i="1"/>
  <c r="AZ200" i="1"/>
  <c r="AD205" i="1"/>
  <c r="AD206" i="1"/>
  <c r="AE199" i="1"/>
  <c r="H200" i="1"/>
  <c r="AF200" i="1"/>
  <c r="BA200" i="1"/>
  <c r="AF205" i="1"/>
  <c r="AF206" i="1"/>
  <c r="O197" i="1"/>
  <c r="O204" i="1"/>
  <c r="AT197" i="1"/>
  <c r="AT204" i="1"/>
  <c r="AF199" i="1"/>
  <c r="I200" i="1"/>
  <c r="AG200" i="1"/>
  <c r="BC200" i="1"/>
  <c r="I205" i="1"/>
  <c r="I206" i="1"/>
  <c r="AG205" i="1"/>
  <c r="AG206" i="1"/>
  <c r="V197" i="1"/>
  <c r="V204" i="1"/>
  <c r="AV197" i="1"/>
  <c r="AV204" i="1"/>
  <c r="AI200" i="1"/>
  <c r="J205" i="1"/>
  <c r="J206" i="1"/>
  <c r="AI205" i="1"/>
  <c r="AI206" i="1"/>
  <c r="R199" i="1"/>
  <c r="L205" i="1"/>
  <c r="L206" i="1"/>
  <c r="AP205" i="1"/>
  <c r="AP206" i="1"/>
  <c r="A227" i="1"/>
  <c r="H204" i="1"/>
  <c r="U197" i="1"/>
  <c r="U204" i="1"/>
  <c r="AF197" i="1"/>
  <c r="AF204" i="1"/>
  <c r="AR197" i="1"/>
  <c r="AR204" i="1"/>
  <c r="Q199" i="1"/>
  <c r="AP199" i="1"/>
  <c r="BB199" i="1"/>
  <c r="A203" i="1"/>
  <c r="H205" i="1"/>
  <c r="H206" i="1"/>
  <c r="G224" i="1"/>
  <c r="Q224" i="1"/>
  <c r="Q229" i="1"/>
  <c r="Q230" i="1"/>
  <c r="AA229" i="1"/>
  <c r="AA230" i="1"/>
  <c r="AA224" i="1"/>
  <c r="AA223" i="1"/>
  <c r="AA221" i="1"/>
  <c r="AA228" i="1"/>
  <c r="AK223" i="1"/>
  <c r="AK229" i="1"/>
  <c r="AK230" i="1"/>
  <c r="AU223" i="1"/>
  <c r="AU229" i="1"/>
  <c r="AU230" i="1"/>
  <c r="AU224" i="1"/>
  <c r="AU221" i="1"/>
  <c r="AU228" i="1"/>
  <c r="M211" i="1"/>
  <c r="AG217" i="1"/>
  <c r="AG218" i="1"/>
  <c r="AG209" i="1"/>
  <c r="AG216" i="1"/>
  <c r="AQ209" i="1"/>
  <c r="AQ216" i="1"/>
  <c r="AQ212" i="1"/>
  <c r="BA209" i="1"/>
  <c r="BA216" i="1"/>
  <c r="BA217" i="1"/>
  <c r="BA218" i="1"/>
  <c r="H224" i="1"/>
  <c r="H223" i="1"/>
  <c r="H221" i="1"/>
  <c r="H228" i="1"/>
  <c r="R221" i="1"/>
  <c r="R228" i="1"/>
  <c r="R224" i="1"/>
  <c r="AB221" i="1"/>
  <c r="AB228" i="1"/>
  <c r="AB224" i="1"/>
  <c r="AB229" i="1"/>
  <c r="AB230" i="1"/>
  <c r="AB223" i="1"/>
  <c r="AL221" i="1"/>
  <c r="AL228" i="1"/>
  <c r="AL229" i="1"/>
  <c r="AL230" i="1"/>
  <c r="AL224" i="1"/>
  <c r="AL223" i="1"/>
  <c r="AV221" i="1"/>
  <c r="AV228" i="1"/>
  <c r="AV223" i="1"/>
  <c r="AV229" i="1"/>
  <c r="AV230" i="1"/>
  <c r="AV224" i="1"/>
  <c r="R229" i="1"/>
  <c r="R230" i="1"/>
  <c r="I236" i="1"/>
  <c r="H233" i="1"/>
  <c r="I240" i="1"/>
  <c r="H235" i="1"/>
  <c r="I235" i="1"/>
  <c r="I241" i="1"/>
  <c r="I242" i="1"/>
  <c r="S236" i="1"/>
  <c r="S241" i="1"/>
  <c r="S242" i="1"/>
  <c r="S233" i="1"/>
  <c r="S240" i="1"/>
  <c r="AC236" i="1"/>
  <c r="AC241" i="1"/>
  <c r="AC242" i="1"/>
  <c r="AC235" i="1"/>
  <c r="AM236" i="1"/>
  <c r="AM241" i="1"/>
  <c r="AM242" i="1"/>
  <c r="AM235" i="1"/>
  <c r="AM233" i="1"/>
  <c r="AM240" i="1"/>
  <c r="AW236" i="1"/>
  <c r="AW241" i="1"/>
  <c r="AW242" i="1"/>
  <c r="AW233" i="1"/>
  <c r="AW240" i="1"/>
  <c r="AW235" i="1"/>
  <c r="N200" i="1"/>
  <c r="N199" i="1"/>
  <c r="N205" i="1"/>
  <c r="N206" i="1"/>
  <c r="AH200" i="1"/>
  <c r="AH197" i="1"/>
  <c r="AH204" i="1"/>
  <c r="AH199" i="1"/>
  <c r="AU197" i="1"/>
  <c r="AU204" i="1"/>
  <c r="AR199" i="1"/>
  <c r="AU200" i="1"/>
  <c r="N209" i="1"/>
  <c r="N216" i="1"/>
  <c r="N211" i="1"/>
  <c r="N217" i="1"/>
  <c r="N218" i="1"/>
  <c r="X209" i="1"/>
  <c r="X216" i="1"/>
  <c r="X211" i="1"/>
  <c r="AH209" i="1"/>
  <c r="AH216" i="1"/>
  <c r="AH217" i="1"/>
  <c r="AH218" i="1"/>
  <c r="AH211" i="1"/>
  <c r="AR209" i="1"/>
  <c r="AR216" i="1"/>
  <c r="BB209" i="1"/>
  <c r="BB216" i="1"/>
  <c r="BB212" i="1"/>
  <c r="AG211" i="1"/>
  <c r="M212" i="1"/>
  <c r="I221" i="1"/>
  <c r="I228" i="1"/>
  <c r="I223" i="1"/>
  <c r="I229" i="1"/>
  <c r="I230" i="1"/>
  <c r="I224" i="1"/>
  <c r="S224" i="1"/>
  <c r="AC224" i="1"/>
  <c r="AC221" i="1"/>
  <c r="AC228" i="1"/>
  <c r="AC229" i="1"/>
  <c r="AC230" i="1"/>
  <c r="AC223" i="1"/>
  <c r="AM224" i="1"/>
  <c r="AM229" i="1"/>
  <c r="AM230" i="1"/>
  <c r="AW229" i="1"/>
  <c r="AW230" i="1"/>
  <c r="AW224" i="1"/>
  <c r="AW223" i="1"/>
  <c r="AW221" i="1"/>
  <c r="AW228" i="1"/>
  <c r="S229" i="1"/>
  <c r="S230" i="1"/>
  <c r="J236" i="1"/>
  <c r="T236" i="1"/>
  <c r="T235" i="1"/>
  <c r="T233" i="1"/>
  <c r="T240" i="1"/>
  <c r="T241" i="1"/>
  <c r="T242" i="1"/>
  <c r="AD236" i="1"/>
  <c r="AD235" i="1"/>
  <c r="AD241" i="1"/>
  <c r="AD242" i="1"/>
  <c r="AN236" i="1"/>
  <c r="AN235" i="1"/>
  <c r="AN241" i="1"/>
  <c r="AN242" i="1"/>
  <c r="AN233" i="1"/>
  <c r="AN240" i="1"/>
  <c r="AX236" i="1"/>
  <c r="AX235" i="1"/>
  <c r="AX233" i="1"/>
  <c r="AX240" i="1"/>
  <c r="J241" i="1"/>
  <c r="J242" i="1"/>
  <c r="AX241" i="1"/>
  <c r="AX242" i="1"/>
  <c r="Y199" i="1"/>
  <c r="Y205" i="1"/>
  <c r="Y206" i="1"/>
  <c r="X197" i="1"/>
  <c r="X204" i="1"/>
  <c r="AR205" i="1"/>
  <c r="AR206" i="1"/>
  <c r="O217" i="1"/>
  <c r="O218" i="1"/>
  <c r="O212" i="1"/>
  <c r="O211" i="1"/>
  <c r="Y217" i="1"/>
  <c r="Y218" i="1"/>
  <c r="Y211" i="1"/>
  <c r="AI217" i="1"/>
  <c r="AI218" i="1"/>
  <c r="AI211" i="1"/>
  <c r="AS217" i="1"/>
  <c r="AS218" i="1"/>
  <c r="AS211" i="1"/>
  <c r="AS209" i="1"/>
  <c r="AS216" i="1"/>
  <c r="BC217" i="1"/>
  <c r="BC218" i="1"/>
  <c r="BC209" i="1"/>
  <c r="BC216" i="1"/>
  <c r="BC212" i="1"/>
  <c r="N212" i="1"/>
  <c r="K236" i="1"/>
  <c r="U236" i="1"/>
  <c r="U241" i="1"/>
  <c r="U242" i="1"/>
  <c r="U233" i="1"/>
  <c r="U240" i="1"/>
  <c r="AE236" i="1"/>
  <c r="AE233" i="1"/>
  <c r="AE240" i="1"/>
  <c r="AE235" i="1"/>
  <c r="AE241" i="1"/>
  <c r="AE242" i="1"/>
  <c r="AO236" i="1"/>
  <c r="AO241" i="1"/>
  <c r="AO242" i="1"/>
  <c r="AO235" i="1"/>
  <c r="AO233" i="1"/>
  <c r="AO240" i="1"/>
  <c r="AY236" i="1"/>
  <c r="AY235" i="1"/>
  <c r="AY241" i="1"/>
  <c r="AY242" i="1"/>
  <c r="K241" i="1"/>
  <c r="K242" i="1"/>
  <c r="P199" i="1"/>
  <c r="P205" i="1"/>
  <c r="P206" i="1"/>
  <c r="P200" i="1"/>
  <c r="AJ199" i="1"/>
  <c r="AJ205" i="1"/>
  <c r="AJ206" i="1"/>
  <c r="N197" i="1"/>
  <c r="N204" i="1"/>
  <c r="Y197" i="1"/>
  <c r="Y204" i="1"/>
  <c r="AK197" i="1"/>
  <c r="AK204" i="1"/>
  <c r="AU199" i="1"/>
  <c r="AJ200" i="1"/>
  <c r="P217" i="1"/>
  <c r="P218" i="1"/>
  <c r="P212" i="1"/>
  <c r="Z217" i="1"/>
  <c r="Z218" i="1"/>
  <c r="Z212" i="1"/>
  <c r="Z211" i="1"/>
  <c r="AJ217" i="1"/>
  <c r="AJ218" i="1"/>
  <c r="AJ211" i="1"/>
  <c r="AT217" i="1"/>
  <c r="AT218" i="1"/>
  <c r="AT211" i="1"/>
  <c r="BA211" i="1"/>
  <c r="AG212" i="1"/>
  <c r="Q205" i="1"/>
  <c r="Q206" i="1"/>
  <c r="AA205" i="1"/>
  <c r="AA206" i="1"/>
  <c r="AA200" i="1"/>
  <c r="AK200" i="1"/>
  <c r="O205" i="1"/>
  <c r="O206" i="1"/>
  <c r="W209" i="1"/>
  <c r="W216" i="1"/>
  <c r="BB211" i="1"/>
  <c r="AH212" i="1"/>
  <c r="BA212" i="1"/>
  <c r="M217" i="1"/>
  <c r="M218" i="1"/>
  <c r="AQ217" i="1"/>
  <c r="AQ218" i="1"/>
  <c r="AM221" i="1"/>
  <c r="AM228" i="1"/>
  <c r="S235" i="1"/>
  <c r="AB205" i="1"/>
  <c r="AB206" i="1"/>
  <c r="AL205" i="1"/>
  <c r="AL206" i="1"/>
  <c r="AL200" i="1"/>
  <c r="P197" i="1"/>
  <c r="P204" i="1"/>
  <c r="AA197" i="1"/>
  <c r="AA204" i="1"/>
  <c r="AL199" i="1"/>
  <c r="Y200" i="1"/>
  <c r="R205" i="1"/>
  <c r="R206" i="1"/>
  <c r="AV205" i="1"/>
  <c r="AV206" i="1"/>
  <c r="H216" i="1"/>
  <c r="H217" i="1"/>
  <c r="H218" i="1"/>
  <c r="R217" i="1"/>
  <c r="R218" i="1"/>
  <c r="R212" i="1"/>
  <c r="AB217" i="1"/>
  <c r="AB218" i="1"/>
  <c r="AB212" i="1"/>
  <c r="AL212" i="1"/>
  <c r="AL217" i="1"/>
  <c r="AL218" i="1"/>
  <c r="AV212" i="1"/>
  <c r="AV217" i="1"/>
  <c r="AV218" i="1"/>
  <c r="AV211" i="1"/>
  <c r="Y209" i="1"/>
  <c r="Y216" i="1"/>
  <c r="BC211" i="1"/>
  <c r="AI212" i="1"/>
  <c r="AR217" i="1"/>
  <c r="AR218" i="1"/>
  <c r="U235" i="1"/>
  <c r="S197" i="1"/>
  <c r="S204" i="1"/>
  <c r="AC197" i="1"/>
  <c r="AC204" i="1"/>
  <c r="AC200" i="1"/>
  <c r="AM197" i="1"/>
  <c r="AM204" i="1"/>
  <c r="AM205" i="1"/>
  <c r="AM206" i="1"/>
  <c r="AW197" i="1"/>
  <c r="AW204" i="1"/>
  <c r="AW205" i="1"/>
  <c r="AW206" i="1"/>
  <c r="AW200" i="1"/>
  <c r="Q197" i="1"/>
  <c r="Q204" i="1"/>
  <c r="AB197" i="1"/>
  <c r="AB204" i="1"/>
  <c r="AO197" i="1"/>
  <c r="AO204" i="1"/>
  <c r="X199" i="1"/>
  <c r="AM199" i="1"/>
  <c r="Z200" i="1"/>
  <c r="AO200" i="1"/>
  <c r="S205" i="1"/>
  <c r="S206" i="1"/>
  <c r="AH205" i="1"/>
  <c r="AH206" i="1"/>
  <c r="AZ205" i="1"/>
  <c r="AZ206" i="1"/>
  <c r="Z209" i="1"/>
  <c r="Z216" i="1"/>
  <c r="AJ212" i="1"/>
  <c r="W217" i="1"/>
  <c r="W218" i="1"/>
  <c r="S221" i="1"/>
  <c r="S228" i="1"/>
  <c r="Q223" i="1"/>
  <c r="G229" i="1"/>
  <c r="G230" i="1"/>
  <c r="AY233" i="1"/>
  <c r="AY240" i="1"/>
  <c r="AN200" i="1"/>
  <c r="AX205" i="1"/>
  <c r="AX206" i="1"/>
  <c r="R197" i="1"/>
  <c r="R204" i="1"/>
  <c r="AD197" i="1"/>
  <c r="AD204" i="1"/>
  <c r="AP197" i="1"/>
  <c r="AP204" i="1"/>
  <c r="BB197" i="1"/>
  <c r="BB204" i="1"/>
  <c r="AA199" i="1"/>
  <c r="AN199" i="1"/>
  <c r="AB200" i="1"/>
  <c r="AP200" i="1"/>
  <c r="T205" i="1"/>
  <c r="T206" i="1"/>
  <c r="AB211" i="1"/>
  <c r="AQ211" i="1"/>
  <c r="W212" i="1"/>
  <c r="X217" i="1"/>
  <c r="X218" i="1"/>
  <c r="O229" i="1"/>
  <c r="O230" i="1"/>
  <c r="O223" i="1"/>
  <c r="O221" i="1"/>
  <c r="O228" i="1"/>
  <c r="Y223" i="1"/>
  <c r="Y229" i="1"/>
  <c r="Y230" i="1"/>
  <c r="Y224" i="1"/>
  <c r="AS223" i="1"/>
  <c r="AS221" i="1"/>
  <c r="AS228" i="1"/>
  <c r="AS229" i="1"/>
  <c r="AS230" i="1"/>
  <c r="AS224" i="1"/>
  <c r="R223" i="1"/>
  <c r="AM223" i="1"/>
  <c r="BC224" i="1"/>
  <c r="H229" i="1"/>
  <c r="H230" i="1"/>
  <c r="BC229" i="1"/>
  <c r="BC230" i="1"/>
  <c r="AE205" i="1"/>
  <c r="AE206" i="1"/>
  <c r="AY205" i="1"/>
  <c r="AY206" i="1"/>
  <c r="AY200" i="1"/>
  <c r="G204" i="1"/>
  <c r="T197" i="1"/>
  <c r="T204" i="1"/>
  <c r="AE197" i="1"/>
  <c r="AE204" i="1"/>
  <c r="O199" i="1"/>
  <c r="AB199" i="1"/>
  <c r="AO199" i="1"/>
  <c r="AD200" i="1"/>
  <c r="G205" i="1"/>
  <c r="G206" i="1"/>
  <c r="AK205" i="1"/>
  <c r="AK206" i="1"/>
  <c r="BB205" i="1"/>
  <c r="BB206" i="1"/>
  <c r="AB209" i="1"/>
  <c r="AB216" i="1"/>
  <c r="AT209" i="1"/>
  <c r="AT216" i="1"/>
  <c r="AR211" i="1"/>
  <c r="X212" i="1"/>
  <c r="BB217" i="1"/>
  <c r="BB218" i="1"/>
  <c r="P223" i="1"/>
  <c r="P229" i="1"/>
  <c r="P230" i="1"/>
  <c r="P224" i="1"/>
  <c r="Z223" i="1"/>
  <c r="Z229" i="1"/>
  <c r="Z230" i="1"/>
  <c r="Z224" i="1"/>
  <c r="Z221" i="1"/>
  <c r="Z228" i="1"/>
  <c r="AJ223" i="1"/>
  <c r="AJ229" i="1"/>
  <c r="AJ230" i="1"/>
  <c r="AT223" i="1"/>
  <c r="AT229" i="1"/>
  <c r="AT230" i="1"/>
  <c r="AT224" i="1"/>
  <c r="AT221" i="1"/>
  <c r="AT228" i="1"/>
  <c r="S223" i="1"/>
  <c r="BC223" i="1"/>
  <c r="V209" i="1"/>
  <c r="V216" i="1"/>
  <c r="AC212" i="1"/>
  <c r="U217" i="1"/>
  <c r="U218" i="1"/>
  <c r="AH235" i="1"/>
  <c r="L240" i="1"/>
  <c r="L236" i="1"/>
  <c r="L241" i="1"/>
  <c r="L242" i="1"/>
  <c r="V235" i="1"/>
  <c r="V233" i="1"/>
  <c r="V240" i="1"/>
  <c r="V236" i="1"/>
  <c r="V241" i="1"/>
  <c r="V242" i="1"/>
  <c r="AF235" i="1"/>
  <c r="AF233" i="1"/>
  <c r="AF240" i="1"/>
  <c r="AF236" i="1"/>
  <c r="AP235" i="1"/>
  <c r="AP233" i="1"/>
  <c r="AP240" i="1"/>
  <c r="AP236" i="1"/>
  <c r="AZ235" i="1"/>
  <c r="AZ233" i="1"/>
  <c r="AZ240" i="1"/>
  <c r="AZ236" i="1"/>
  <c r="AZ241" i="1"/>
  <c r="AZ242" i="1"/>
  <c r="S209" i="1"/>
  <c r="S216" i="1"/>
  <c r="AD209" i="1"/>
  <c r="AD216" i="1"/>
  <c r="AZ209" i="1"/>
  <c r="AZ216" i="1"/>
  <c r="AF217" i="1"/>
  <c r="AF218" i="1"/>
  <c r="AX217" i="1"/>
  <c r="AX218" i="1"/>
  <c r="J228" i="1"/>
  <c r="T221" i="1"/>
  <c r="T228" i="1"/>
  <c r="AD224" i="1"/>
  <c r="AN224" i="1"/>
  <c r="AX229" i="1"/>
  <c r="AX230" i="1"/>
  <c r="AX224" i="1"/>
  <c r="W235" i="1"/>
  <c r="W241" i="1"/>
  <c r="W242" i="1"/>
  <c r="AG235" i="1"/>
  <c r="AG233" i="1"/>
  <c r="AG240" i="1"/>
  <c r="AG236" i="1"/>
  <c r="AQ235" i="1"/>
  <c r="BA235" i="1"/>
  <c r="BA236" i="1"/>
  <c r="BA241" i="1"/>
  <c r="BA242" i="1"/>
  <c r="M236" i="1"/>
  <c r="T209" i="1"/>
  <c r="T216" i="1"/>
  <c r="AP209" i="1"/>
  <c r="AP216" i="1"/>
  <c r="J229" i="1"/>
  <c r="J230" i="1"/>
  <c r="N233" i="1"/>
  <c r="N240" i="1"/>
  <c r="N235" i="1"/>
  <c r="X233" i="1"/>
  <c r="X240" i="1"/>
  <c r="X235" i="1"/>
  <c r="AH233" i="1"/>
  <c r="AH240" i="1"/>
  <c r="AH236" i="1"/>
  <c r="AH241" i="1"/>
  <c r="AH242" i="1"/>
  <c r="AR233" i="1"/>
  <c r="AR240" i="1"/>
  <c r="AR241" i="1"/>
  <c r="AR242" i="1"/>
  <c r="BB233" i="1"/>
  <c r="BB240" i="1"/>
  <c r="BB241" i="1"/>
  <c r="BB242" i="1"/>
  <c r="BB235" i="1"/>
  <c r="BB236" i="1"/>
  <c r="N236" i="1"/>
  <c r="AF209" i="1"/>
  <c r="AF216" i="1"/>
  <c r="AP212" i="1"/>
  <c r="T217" i="1"/>
  <c r="T218" i="1"/>
  <c r="AZ217" i="1"/>
  <c r="AZ218" i="1"/>
  <c r="AQ233" i="1"/>
  <c r="AQ240" i="1"/>
  <c r="AF241" i="1"/>
  <c r="AF242" i="1"/>
  <c r="AH221" i="1"/>
  <c r="AH228" i="1"/>
  <c r="AO224" i="1"/>
  <c r="AZ224" i="1"/>
  <c r="AZ229" i="1"/>
  <c r="AZ230" i="1"/>
  <c r="H240" i="1"/>
  <c r="H241" i="1"/>
  <c r="H242" i="1"/>
  <c r="AE221" i="1"/>
  <c r="AE228" i="1"/>
  <c r="AP221" i="1"/>
  <c r="AP228" i="1"/>
  <c r="AH223" i="1"/>
  <c r="N229" i="1"/>
  <c r="N230" i="1"/>
  <c r="U221" i="1"/>
  <c r="U228" i="1"/>
  <c r="BB221" i="1"/>
  <c r="BB228" i="1"/>
  <c r="X223" i="1"/>
  <c r="P241" i="1"/>
  <c r="P242" i="1"/>
  <c r="Z241" i="1"/>
  <c r="Z242" i="1"/>
  <c r="AJ241" i="1"/>
  <c r="AJ242" i="1"/>
  <c r="AT241" i="1"/>
  <c r="AT242" i="1"/>
  <c r="P236" i="1"/>
  <c r="AR221" i="1"/>
  <c r="AR228" i="1"/>
  <c r="N223" i="1"/>
  <c r="AY224" i="1"/>
  <c r="AJ233" i="1"/>
  <c r="AJ240" i="1"/>
  <c r="Z235" i="1"/>
  <c r="O233" i="1"/>
  <c r="O240" i="1"/>
  <c r="Y233" i="1"/>
  <c r="Y240" i="1"/>
  <c r="AI233" i="1"/>
  <c r="AI240" i="1"/>
  <c r="AS233" i="1"/>
  <c r="AS240" i="1"/>
  <c r="BC233" i="1"/>
  <c r="BC240" i="1"/>
  <c r="G241" i="1"/>
  <c r="G242" i="1"/>
  <c r="Q241" i="1"/>
  <c r="Q242" i="1"/>
  <c r="AA241" i="1"/>
  <c r="AA242" i="1"/>
  <c r="AK241" i="1"/>
  <c r="AK242" i="1"/>
  <c r="AU241" i="1"/>
  <c r="AU242" i="1"/>
  <c r="BC139" i="1"/>
  <c r="BC145" i="1"/>
  <c r="BC146" i="1"/>
  <c r="BB169" i="1"/>
  <c r="BB170" i="1"/>
  <c r="BB161" i="1"/>
  <c r="BB168" i="1"/>
  <c r="BB164" i="1"/>
  <c r="AY193" i="1"/>
  <c r="AY194" i="1"/>
  <c r="AY187" i="1"/>
  <c r="AY188" i="1"/>
  <c r="BC19" i="1"/>
  <c r="BC25" i="1"/>
  <c r="BC26" i="1"/>
  <c r="AW61" i="1"/>
  <c r="AW62" i="1"/>
  <c r="AW56" i="1"/>
  <c r="AW53" i="1"/>
  <c r="AW60" i="1"/>
  <c r="AW55" i="1"/>
  <c r="AZ116" i="1"/>
  <c r="AZ113" i="1"/>
  <c r="AZ120" i="1"/>
  <c r="BC163" i="1"/>
  <c r="BC164" i="1"/>
  <c r="BC169" i="1"/>
  <c r="BC170" i="1"/>
  <c r="A191" i="1"/>
  <c r="AL185" i="1"/>
  <c r="AL192" i="1"/>
  <c r="AL187" i="1"/>
  <c r="AL188" i="1"/>
  <c r="AL193" i="1"/>
  <c r="AL194" i="1"/>
  <c r="AB185" i="1"/>
  <c r="AB192" i="1"/>
  <c r="AB193" i="1"/>
  <c r="AB194" i="1"/>
  <c r="AB188" i="1"/>
  <c r="AB187" i="1"/>
  <c r="R185" i="1"/>
  <c r="R192" i="1"/>
  <c r="R193" i="1"/>
  <c r="R194" i="1"/>
  <c r="R187" i="1"/>
  <c r="AQ68" i="1"/>
  <c r="AQ65" i="1"/>
  <c r="AQ72" i="1"/>
  <c r="AQ73" i="1"/>
  <c r="AQ74" i="1"/>
  <c r="AQ67" i="1"/>
  <c r="AG68" i="1"/>
  <c r="AG73" i="1"/>
  <c r="AG74" i="1"/>
  <c r="AG65" i="1"/>
  <c r="AG72" i="1"/>
  <c r="AG67" i="1"/>
  <c r="W68" i="1"/>
  <c r="W67" i="1"/>
  <c r="W73" i="1"/>
  <c r="W74" i="1"/>
  <c r="W65" i="1"/>
  <c r="W72" i="1"/>
  <c r="M68" i="1"/>
  <c r="M65" i="1"/>
  <c r="M72" i="1"/>
  <c r="M67" i="1"/>
  <c r="M73" i="1"/>
  <c r="M74" i="1"/>
  <c r="AX49" i="1"/>
  <c r="AX50" i="1"/>
  <c r="AX44" i="1"/>
  <c r="AW73" i="1"/>
  <c r="AW74" i="1"/>
  <c r="AW68" i="1"/>
  <c r="AW65" i="1"/>
  <c r="AW72" i="1"/>
  <c r="AW109" i="1"/>
  <c r="AW110" i="1"/>
  <c r="AW104" i="1"/>
  <c r="B9" i="3"/>
  <c r="D9" i="3"/>
  <c r="AU185" i="1"/>
  <c r="AU192" i="1"/>
  <c r="AU188" i="1"/>
  <c r="AU187" i="1"/>
  <c r="AU193" i="1"/>
  <c r="AU194" i="1"/>
  <c r="AK185" i="1"/>
  <c r="AK192" i="1"/>
  <c r="AK187" i="1"/>
  <c r="AK188" i="1"/>
  <c r="AK193" i="1"/>
  <c r="AK194" i="1"/>
  <c r="AA185" i="1"/>
  <c r="AA192" i="1"/>
  <c r="AA188" i="1"/>
  <c r="AA187" i="1"/>
  <c r="AA193" i="1"/>
  <c r="AA194" i="1"/>
  <c r="Q185" i="1"/>
  <c r="Q192" i="1"/>
  <c r="Q193" i="1"/>
  <c r="Q194" i="1"/>
  <c r="Q188" i="1"/>
  <c r="Q187" i="1"/>
  <c r="AX133" i="1"/>
  <c r="AX134" i="1"/>
  <c r="AX125" i="1"/>
  <c r="AX132" i="1"/>
  <c r="BC127" i="1"/>
  <c r="BC140" i="1"/>
  <c r="AY185" i="1"/>
  <c r="AY192" i="1"/>
  <c r="AP127" i="1"/>
  <c r="AP125" i="1"/>
  <c r="AP132" i="1"/>
  <c r="AP133" i="1"/>
  <c r="AP134" i="1"/>
  <c r="AP128" i="1"/>
  <c r="A167" i="1"/>
  <c r="AT140" i="1"/>
  <c r="AT137" i="1"/>
  <c r="AT144" i="1"/>
  <c r="AT145" i="1"/>
  <c r="AT146" i="1"/>
  <c r="AT139" i="1"/>
  <c r="AJ140" i="1"/>
  <c r="AJ145" i="1"/>
  <c r="AJ146" i="1"/>
  <c r="AJ137" i="1"/>
  <c r="AJ144" i="1"/>
  <c r="AJ139" i="1"/>
  <c r="Z139" i="1"/>
  <c r="Z137" i="1"/>
  <c r="Z144" i="1"/>
  <c r="Z140" i="1"/>
  <c r="Z145" i="1"/>
  <c r="Z146" i="1"/>
  <c r="P139" i="1"/>
  <c r="P137" i="1"/>
  <c r="P144" i="1"/>
  <c r="P140" i="1"/>
  <c r="P145" i="1"/>
  <c r="P146" i="1"/>
  <c r="BB19" i="1"/>
  <c r="BB17" i="1"/>
  <c r="BB24" i="1"/>
  <c r="AW92" i="1"/>
  <c r="AW91" i="1"/>
  <c r="AW89" i="1"/>
  <c r="AW96" i="1"/>
  <c r="AY17" i="1"/>
  <c r="AY24" i="1"/>
  <c r="AY19" i="1"/>
  <c r="AX128" i="1"/>
  <c r="BA109" i="1"/>
  <c r="BA110" i="1"/>
  <c r="BA101" i="1"/>
  <c r="BA108" i="1"/>
  <c r="BC121" i="1"/>
  <c r="BC122" i="1"/>
  <c r="BC115" i="1"/>
  <c r="BC113" i="1"/>
  <c r="BC120" i="1"/>
  <c r="BC116" i="1"/>
  <c r="BC125" i="1"/>
  <c r="BC132" i="1"/>
  <c r="AS140" i="1"/>
  <c r="AS139" i="1"/>
  <c r="AS137" i="1"/>
  <c r="AS144" i="1"/>
  <c r="AS145" i="1"/>
  <c r="AS146" i="1"/>
  <c r="AI140" i="1"/>
  <c r="AI137" i="1"/>
  <c r="AI144" i="1"/>
  <c r="AI145" i="1"/>
  <c r="AI146" i="1"/>
  <c r="Y140" i="1"/>
  <c r="Y139" i="1"/>
  <c r="Y145" i="1"/>
  <c r="Y146" i="1"/>
  <c r="C15" i="3"/>
  <c r="Y137" i="1"/>
  <c r="Y144" i="1"/>
  <c r="O140" i="1"/>
  <c r="O139" i="1"/>
  <c r="O137" i="1"/>
  <c r="O144" i="1"/>
  <c r="O145" i="1"/>
  <c r="O146" i="1"/>
  <c r="B15" i="3"/>
  <c r="AW29" i="1"/>
  <c r="AW36" i="1"/>
  <c r="AW31" i="1"/>
  <c r="AW37" i="1"/>
  <c r="AW38" i="1"/>
  <c r="BB20" i="1"/>
  <c r="AY41" i="1"/>
  <c r="AY48" i="1"/>
  <c r="AX169" i="1"/>
  <c r="AX170" i="1"/>
  <c r="AX163" i="1"/>
  <c r="AX164" i="1"/>
  <c r="AX161" i="1"/>
  <c r="AX168" i="1"/>
  <c r="BC17" i="1"/>
  <c r="BC24" i="1"/>
  <c r="AY43" i="1"/>
  <c r="AZ41" i="1"/>
  <c r="AZ48" i="1"/>
  <c r="AZ49" i="1"/>
  <c r="AZ50" i="1"/>
  <c r="AZ43" i="1"/>
  <c r="AZ31" i="1"/>
  <c r="AZ32" i="1"/>
  <c r="AZ97" i="1"/>
  <c r="AZ98" i="1"/>
  <c r="AZ89" i="1"/>
  <c r="AZ96" i="1"/>
  <c r="AZ92" i="1"/>
  <c r="BA25" i="1"/>
  <c r="BA26" i="1"/>
  <c r="BA20" i="1"/>
  <c r="BA53" i="1"/>
  <c r="BA60" i="1"/>
  <c r="BA55" i="1"/>
  <c r="BA61" i="1"/>
  <c r="BA62" i="1"/>
  <c r="BA56" i="1"/>
  <c r="AW85" i="1"/>
  <c r="AW86" i="1"/>
  <c r="AW80" i="1"/>
  <c r="AW79" i="1"/>
  <c r="BA91" i="1"/>
  <c r="BA89" i="1"/>
  <c r="BA96" i="1"/>
  <c r="BA92" i="1"/>
  <c r="BC137" i="1"/>
  <c r="BC144" i="1"/>
  <c r="AI139" i="1"/>
  <c r="AW20" i="1"/>
  <c r="AW17" i="1"/>
  <c r="AW24" i="1"/>
  <c r="BA73" i="1"/>
  <c r="BA74" i="1"/>
  <c r="BA67" i="1"/>
  <c r="BC20" i="1"/>
  <c r="AY61" i="1"/>
  <c r="AY62" i="1"/>
  <c r="AY53" i="1"/>
  <c r="AY60" i="1"/>
  <c r="BA68" i="1"/>
  <c r="AW115" i="1"/>
  <c r="AW121" i="1"/>
  <c r="AW122" i="1"/>
  <c r="AW113" i="1"/>
  <c r="AW120" i="1"/>
  <c r="BC41" i="1"/>
  <c r="BC48" i="1"/>
  <c r="BA19" i="1"/>
  <c r="AW25" i="1"/>
  <c r="AW26" i="1"/>
  <c r="BB25" i="1"/>
  <c r="BB26" i="1"/>
  <c r="AV29" i="1"/>
  <c r="AV36" i="1"/>
  <c r="AV32" i="1"/>
  <c r="AY44" i="1"/>
  <c r="AY56" i="1"/>
  <c r="BB85" i="1"/>
  <c r="BB86" i="1"/>
  <c r="BB77" i="1"/>
  <c r="BB84" i="1"/>
  <c r="BB80" i="1"/>
  <c r="AW97" i="1"/>
  <c r="AW98" i="1"/>
  <c r="BB104" i="1"/>
  <c r="BB103" i="1"/>
  <c r="AV137" i="1"/>
  <c r="AV144" i="1"/>
  <c r="AV139" i="1"/>
  <c r="AV145" i="1"/>
  <c r="AV146" i="1"/>
  <c r="AV140" i="1"/>
  <c r="BA157" i="1"/>
  <c r="BA158" i="1"/>
  <c r="BA149" i="1"/>
  <c r="BA156" i="1"/>
  <c r="BA152" i="1"/>
  <c r="BB163" i="1"/>
  <c r="BB181" i="1"/>
  <c r="BB182" i="1"/>
  <c r="BB176" i="1"/>
  <c r="BB173" i="1"/>
  <c r="BB180" i="1"/>
  <c r="BB175" i="1"/>
  <c r="AV161" i="1"/>
  <c r="AV168" i="1"/>
  <c r="AV163" i="1"/>
  <c r="AN151" i="1"/>
  <c r="AN157" i="1"/>
  <c r="AN158" i="1"/>
  <c r="AN152" i="1"/>
  <c r="AD151" i="1"/>
  <c r="AD149" i="1"/>
  <c r="AD156" i="1"/>
  <c r="AD152" i="1"/>
  <c r="C16" i="3"/>
  <c r="T151" i="1"/>
  <c r="T149" i="1"/>
  <c r="T156" i="1"/>
  <c r="AO133" i="1"/>
  <c r="AO134" i="1"/>
  <c r="AO125" i="1"/>
  <c r="AO132" i="1"/>
  <c r="AO127" i="1"/>
  <c r="AE125" i="1"/>
  <c r="AE132" i="1"/>
  <c r="AE133" i="1"/>
  <c r="AE134" i="1"/>
  <c r="AE127" i="1"/>
  <c r="U125" i="1"/>
  <c r="U132" i="1"/>
  <c r="U133" i="1"/>
  <c r="U134" i="1"/>
  <c r="U128" i="1"/>
  <c r="U127" i="1"/>
  <c r="K132" i="1"/>
  <c r="K133" i="1"/>
  <c r="K134" i="1"/>
  <c r="AP115" i="1"/>
  <c r="AP113" i="1"/>
  <c r="AP120" i="1"/>
  <c r="AP121" i="1"/>
  <c r="AP122" i="1"/>
  <c r="AP116" i="1"/>
  <c r="AF115" i="1"/>
  <c r="AF113" i="1"/>
  <c r="AF120" i="1"/>
  <c r="AF121" i="1"/>
  <c r="AF122" i="1"/>
  <c r="AF116" i="1"/>
  <c r="V115" i="1"/>
  <c r="V113" i="1"/>
  <c r="V120" i="1"/>
  <c r="V121" i="1"/>
  <c r="V122" i="1"/>
  <c r="V116" i="1"/>
  <c r="L120" i="1"/>
  <c r="L121" i="1"/>
  <c r="L122" i="1"/>
  <c r="AX68" i="1"/>
  <c r="AY121" i="1"/>
  <c r="AY122" i="1"/>
  <c r="AY116" i="1"/>
  <c r="AY113" i="1"/>
  <c r="AY120" i="1"/>
  <c r="AV149" i="1"/>
  <c r="AV156" i="1"/>
  <c r="AV151" i="1"/>
  <c r="AV157" i="1"/>
  <c r="AV158" i="1"/>
  <c r="BC173" i="1"/>
  <c r="BC180" i="1"/>
  <c r="BC176" i="1"/>
  <c r="T152" i="1"/>
  <c r="AN149" i="1"/>
  <c r="AN156" i="1"/>
  <c r="AE128" i="1"/>
  <c r="AN127" i="1"/>
  <c r="AN125" i="1"/>
  <c r="AN132" i="1"/>
  <c r="AN128" i="1"/>
  <c r="AN133" i="1"/>
  <c r="AN134" i="1"/>
  <c r="AD133" i="1"/>
  <c r="AD134" i="1"/>
  <c r="AD127" i="1"/>
  <c r="AD125" i="1"/>
  <c r="AD132" i="1"/>
  <c r="AD128" i="1"/>
  <c r="T125" i="1"/>
  <c r="T132" i="1"/>
  <c r="T133" i="1"/>
  <c r="T134" i="1"/>
  <c r="T127" i="1"/>
  <c r="T128" i="1"/>
  <c r="AO115" i="1"/>
  <c r="AO121" i="1"/>
  <c r="AO122" i="1"/>
  <c r="AO113" i="1"/>
  <c r="AO120" i="1"/>
  <c r="AO116" i="1"/>
  <c r="AE113" i="1"/>
  <c r="AE120" i="1"/>
  <c r="AE121" i="1"/>
  <c r="AE122" i="1"/>
  <c r="AE116" i="1"/>
  <c r="AE115" i="1"/>
  <c r="U113" i="1"/>
  <c r="U120" i="1"/>
  <c r="U121" i="1"/>
  <c r="U122" i="1"/>
  <c r="U115" i="1"/>
  <c r="K120" i="1"/>
  <c r="K121" i="1"/>
  <c r="K122" i="1"/>
  <c r="AS101" i="1"/>
  <c r="AS108" i="1"/>
  <c r="AS109" i="1"/>
  <c r="AS110" i="1"/>
  <c r="AI109" i="1"/>
  <c r="AI110" i="1"/>
  <c r="AI104" i="1"/>
  <c r="AI101" i="1"/>
  <c r="AI108" i="1"/>
  <c r="AI103" i="1"/>
  <c r="B12" i="3"/>
  <c r="AN175" i="1"/>
  <c r="AN173" i="1"/>
  <c r="AN180" i="1"/>
  <c r="AN176" i="1"/>
  <c r="AN181" i="1"/>
  <c r="AN182" i="1"/>
  <c r="AD175" i="1"/>
  <c r="AD173" i="1"/>
  <c r="AD180" i="1"/>
  <c r="AD181" i="1"/>
  <c r="AD182" i="1"/>
  <c r="T175" i="1"/>
  <c r="T181" i="1"/>
  <c r="T182" i="1"/>
  <c r="T176" i="1"/>
  <c r="AD157" i="1"/>
  <c r="AD158" i="1"/>
  <c r="AL127" i="1"/>
  <c r="AL125" i="1"/>
  <c r="AL132" i="1"/>
  <c r="AL128" i="1"/>
  <c r="AB127" i="1"/>
  <c r="AB125" i="1"/>
  <c r="AB132" i="1"/>
  <c r="AB133" i="1"/>
  <c r="AB134" i="1"/>
  <c r="AB128" i="1"/>
  <c r="C14" i="3"/>
  <c r="R127" i="1"/>
  <c r="R133" i="1"/>
  <c r="R134" i="1"/>
  <c r="BC188" i="1"/>
  <c r="AL173" i="1"/>
  <c r="AL180" i="1"/>
  <c r="AL175" i="1"/>
  <c r="AL181" i="1"/>
  <c r="AL182" i="1"/>
  <c r="AL176" i="1"/>
  <c r="AV44" i="1"/>
  <c r="AX56" i="1"/>
  <c r="AX80" i="1"/>
  <c r="AX77" i="1"/>
  <c r="AX84" i="1"/>
  <c r="AX109" i="1"/>
  <c r="AX110" i="1"/>
  <c r="BB145" i="1"/>
  <c r="BB146" i="1"/>
  <c r="AX151" i="1"/>
  <c r="AX152" i="1"/>
  <c r="BB185" i="1"/>
  <c r="BB192" i="1"/>
  <c r="BB188" i="1"/>
  <c r="BB193" i="1"/>
  <c r="BB194" i="1"/>
  <c r="AN163" i="1"/>
  <c r="AN164" i="1"/>
  <c r="AN161" i="1"/>
  <c r="AN168" i="1"/>
  <c r="AD163" i="1"/>
  <c r="AD161" i="1"/>
  <c r="AD168" i="1"/>
  <c r="AD169" i="1"/>
  <c r="AD170" i="1"/>
  <c r="T163" i="1"/>
  <c r="T169" i="1"/>
  <c r="T170" i="1"/>
  <c r="AS104" i="1"/>
  <c r="AU77" i="1"/>
  <c r="AU84" i="1"/>
  <c r="AU79" i="1"/>
  <c r="AU80" i="1"/>
  <c r="AU85" i="1"/>
  <c r="AU86" i="1"/>
  <c r="AK80" i="1"/>
  <c r="AK77" i="1"/>
  <c r="AK84" i="1"/>
  <c r="AK79" i="1"/>
  <c r="AK85" i="1"/>
  <c r="AK86" i="1"/>
  <c r="AA85" i="1"/>
  <c r="AA86" i="1"/>
  <c r="AA80" i="1"/>
  <c r="AA79" i="1"/>
  <c r="AA77" i="1"/>
  <c r="AA84" i="1"/>
  <c r="C10" i="3"/>
  <c r="Q77" i="1"/>
  <c r="Q84" i="1"/>
  <c r="Q80" i="1"/>
  <c r="Q85" i="1"/>
  <c r="Q86" i="1"/>
  <c r="Q79" i="1"/>
  <c r="AB173" i="1"/>
  <c r="AB180" i="1"/>
  <c r="AB176" i="1"/>
  <c r="AX139" i="1"/>
  <c r="AX140" i="1"/>
  <c r="AZ164" i="1"/>
  <c r="AZ161" i="1"/>
  <c r="AZ168" i="1"/>
  <c r="AZ169" i="1"/>
  <c r="AZ170" i="1"/>
  <c r="AB181" i="1"/>
  <c r="AB182" i="1"/>
  <c r="AM161" i="1"/>
  <c r="AM168" i="1"/>
  <c r="AM163" i="1"/>
  <c r="AM169" i="1"/>
  <c r="AM170" i="1"/>
  <c r="AM164" i="1"/>
  <c r="AC161" i="1"/>
  <c r="AC168" i="1"/>
  <c r="AC164" i="1"/>
  <c r="AC169" i="1"/>
  <c r="AC170" i="1"/>
  <c r="C17" i="3"/>
  <c r="D17" i="3"/>
  <c r="E17" i="3"/>
  <c r="J17" i="3"/>
  <c r="S161" i="1"/>
  <c r="S168" i="1"/>
  <c r="S169" i="1"/>
  <c r="S170" i="1"/>
  <c r="AL139" i="1"/>
  <c r="AL145" i="1"/>
  <c r="AL146" i="1"/>
  <c r="AL137" i="1"/>
  <c r="AL144" i="1"/>
  <c r="AL140" i="1"/>
  <c r="AB139" i="1"/>
  <c r="AB140" i="1"/>
  <c r="AB145" i="1"/>
  <c r="AB146" i="1"/>
  <c r="R137" i="1"/>
  <c r="R144" i="1"/>
  <c r="R140" i="1"/>
  <c r="R145" i="1"/>
  <c r="R146" i="1"/>
  <c r="BA145" i="1"/>
  <c r="BA146" i="1"/>
  <c r="BA137" i="1"/>
  <c r="BA144" i="1"/>
  <c r="AV164" i="1"/>
  <c r="R173" i="1"/>
  <c r="R180" i="1"/>
  <c r="R175" i="1"/>
  <c r="B18" i="3"/>
  <c r="D18" i="3"/>
  <c r="E18" i="3"/>
  <c r="J18" i="3"/>
  <c r="BB29" i="1"/>
  <c r="BB36" i="1"/>
  <c r="AX79" i="1"/>
  <c r="AY101" i="1"/>
  <c r="AY108" i="1"/>
  <c r="AY109" i="1"/>
  <c r="AY110" i="1"/>
  <c r="AY115" i="1"/>
  <c r="AW125" i="1"/>
  <c r="AW132" i="1"/>
  <c r="BB149" i="1"/>
  <c r="BB156" i="1"/>
  <c r="BC175" i="1"/>
  <c r="AW173" i="1"/>
  <c r="AW180" i="1"/>
  <c r="AW181" i="1"/>
  <c r="AW182" i="1"/>
  <c r="BC187" i="1"/>
  <c r="AZ187" i="1"/>
  <c r="AZ185" i="1"/>
  <c r="AZ192" i="1"/>
  <c r="AM185" i="1"/>
  <c r="AM192" i="1"/>
  <c r="AM188" i="1"/>
  <c r="AM193" i="1"/>
  <c r="AM194" i="1"/>
  <c r="AM187" i="1"/>
  <c r="AC185" i="1"/>
  <c r="AC192" i="1"/>
  <c r="AC193" i="1"/>
  <c r="AC194" i="1"/>
  <c r="AC188" i="1"/>
  <c r="S185" i="1"/>
  <c r="S192" i="1"/>
  <c r="S193" i="1"/>
  <c r="S194" i="1"/>
  <c r="AD176" i="1"/>
  <c r="AN169" i="1"/>
  <c r="AN170" i="1"/>
  <c r="AU145" i="1"/>
  <c r="AU146" i="1"/>
  <c r="AU140" i="1"/>
  <c r="AU137" i="1"/>
  <c r="AU144" i="1"/>
  <c r="AK145" i="1"/>
  <c r="AK146" i="1"/>
  <c r="AK139" i="1"/>
  <c r="AK137" i="1"/>
  <c r="AK144" i="1"/>
  <c r="AK140" i="1"/>
  <c r="AA145" i="1"/>
  <c r="AA146" i="1"/>
  <c r="AA139" i="1"/>
  <c r="AA140" i="1"/>
  <c r="Q145" i="1"/>
  <c r="Q146" i="1"/>
  <c r="Q139" i="1"/>
  <c r="Q137" i="1"/>
  <c r="Q144" i="1"/>
  <c r="Q140" i="1"/>
  <c r="R128" i="1"/>
  <c r="AV1" i="1"/>
  <c r="AW1" i="1"/>
  <c r="AX1" i="1"/>
  <c r="AY1" i="1"/>
  <c r="AZ1" i="1"/>
  <c r="BA1" i="1"/>
  <c r="BB1" i="1"/>
  <c r="BC1" i="1"/>
  <c r="AM173" i="1"/>
  <c r="AM180" i="1"/>
  <c r="AM176" i="1"/>
  <c r="S173" i="1"/>
  <c r="S180" i="1"/>
  <c r="S181" i="1"/>
  <c r="S182" i="1"/>
  <c r="AM125" i="1"/>
  <c r="AM132" i="1"/>
  <c r="AM127" i="1"/>
  <c r="AM128" i="1"/>
  <c r="AC125" i="1"/>
  <c r="AC132" i="1"/>
  <c r="AC127" i="1"/>
  <c r="AC133" i="1"/>
  <c r="AC134" i="1"/>
  <c r="S125" i="1"/>
  <c r="S132" i="1"/>
  <c r="S127" i="1"/>
  <c r="S133" i="1"/>
  <c r="S134" i="1"/>
  <c r="AV115" i="1"/>
  <c r="AR164" i="1"/>
  <c r="AH164" i="1"/>
  <c r="AH169" i="1"/>
  <c r="AH170" i="1"/>
  <c r="X164" i="1"/>
  <c r="X161" i="1"/>
  <c r="X168" i="1"/>
  <c r="N164" i="1"/>
  <c r="N161" i="1"/>
  <c r="N168" i="1"/>
  <c r="N163" i="1"/>
  <c r="AN115" i="1"/>
  <c r="AN113" i="1"/>
  <c r="AN120" i="1"/>
  <c r="AN116" i="1"/>
  <c r="AN121" i="1"/>
  <c r="AN122" i="1"/>
  <c r="AD115" i="1"/>
  <c r="AD121" i="1"/>
  <c r="AD122" i="1"/>
  <c r="AD113" i="1"/>
  <c r="AD120" i="1"/>
  <c r="T113" i="1"/>
  <c r="T120" i="1"/>
  <c r="T121" i="1"/>
  <c r="T122" i="1"/>
  <c r="T115" i="1"/>
  <c r="AL92" i="1"/>
  <c r="AL91" i="1"/>
  <c r="AL89" i="1"/>
  <c r="AL96" i="1"/>
  <c r="AL97" i="1"/>
  <c r="AL98" i="1"/>
  <c r="AB91" i="1"/>
  <c r="AB89" i="1"/>
  <c r="AB96" i="1"/>
  <c r="R91" i="1"/>
  <c r="R92" i="1"/>
  <c r="R97" i="1"/>
  <c r="R98" i="1"/>
  <c r="R89" i="1"/>
  <c r="R96" i="1"/>
  <c r="AS157" i="1"/>
  <c r="AS158" i="1"/>
  <c r="AS152" i="1"/>
  <c r="AI157" i="1"/>
  <c r="AI158" i="1"/>
  <c r="AI152" i="1"/>
  <c r="Y157" i="1"/>
  <c r="Y158" i="1"/>
  <c r="Y152" i="1"/>
  <c r="Y149" i="1"/>
  <c r="Y156" i="1"/>
  <c r="O157" i="1"/>
  <c r="O158" i="1"/>
  <c r="O152" i="1"/>
  <c r="O149" i="1"/>
  <c r="O156" i="1"/>
  <c r="O151" i="1"/>
  <c r="AC128" i="1"/>
  <c r="AM113" i="1"/>
  <c r="AM120" i="1"/>
  <c r="AM115" i="1"/>
  <c r="AM116" i="1"/>
  <c r="AC113" i="1"/>
  <c r="AC120" i="1"/>
  <c r="AC115" i="1"/>
  <c r="AC121" i="1"/>
  <c r="AC122" i="1"/>
  <c r="AC116" i="1"/>
  <c r="S113" i="1"/>
  <c r="S120" i="1"/>
  <c r="S115" i="1"/>
  <c r="AU92" i="1"/>
  <c r="AU91" i="1"/>
  <c r="AU97" i="1"/>
  <c r="AU98" i="1"/>
  <c r="AU89" i="1"/>
  <c r="AU96" i="1"/>
  <c r="AK92" i="1"/>
  <c r="AK89" i="1"/>
  <c r="AK96" i="1"/>
  <c r="AK97" i="1"/>
  <c r="AK98" i="1"/>
  <c r="AK91" i="1"/>
  <c r="AA92" i="1"/>
  <c r="AA91" i="1"/>
  <c r="AA89" i="1"/>
  <c r="AA96" i="1"/>
  <c r="Q91" i="1"/>
  <c r="Q92" i="1"/>
  <c r="Q97" i="1"/>
  <c r="Q98" i="1"/>
  <c r="AN187" i="1"/>
  <c r="AN185" i="1"/>
  <c r="AN192" i="1"/>
  <c r="AN188" i="1"/>
  <c r="AN193" i="1"/>
  <c r="AN194" i="1"/>
  <c r="AD187" i="1"/>
  <c r="AD193" i="1"/>
  <c r="AD194" i="1"/>
  <c r="S176" i="1"/>
  <c r="AC175" i="1"/>
  <c r="AR152" i="1"/>
  <c r="AR149" i="1"/>
  <c r="AR156" i="1"/>
  <c r="AH152" i="1"/>
  <c r="AH157" i="1"/>
  <c r="AH158" i="1"/>
  <c r="X152" i="1"/>
  <c r="X157" i="1"/>
  <c r="X158" i="1"/>
  <c r="N152" i="1"/>
  <c r="N149" i="1"/>
  <c r="N156" i="1"/>
  <c r="AM137" i="1"/>
  <c r="AM144" i="1"/>
  <c r="AM139" i="1"/>
  <c r="AM145" i="1"/>
  <c r="AM146" i="1"/>
  <c r="AM140" i="1"/>
  <c r="AC137" i="1"/>
  <c r="AC144" i="1"/>
  <c r="AC140" i="1"/>
  <c r="AC139" i="1"/>
  <c r="S137" i="1"/>
  <c r="S144" i="1"/>
  <c r="S145" i="1"/>
  <c r="S146" i="1"/>
  <c r="S140" i="1"/>
  <c r="AM133" i="1"/>
  <c r="AM134" i="1"/>
  <c r="AL116" i="1"/>
  <c r="AL115" i="1"/>
  <c r="AL113" i="1"/>
  <c r="AL120" i="1"/>
  <c r="AB115" i="1"/>
  <c r="AB121" i="1"/>
  <c r="AB122" i="1"/>
  <c r="AB113" i="1"/>
  <c r="AB120" i="1"/>
  <c r="AB116" i="1"/>
  <c r="R115" i="1"/>
  <c r="AS169" i="1"/>
  <c r="AS170" i="1"/>
  <c r="AS164" i="1"/>
  <c r="AI169" i="1"/>
  <c r="AI170" i="1"/>
  <c r="AI164" i="1"/>
  <c r="Y169" i="1"/>
  <c r="Y170" i="1"/>
  <c r="Y164" i="1"/>
  <c r="O169" i="1"/>
  <c r="O170" i="1"/>
  <c r="O164" i="1"/>
  <c r="AT157" i="1"/>
  <c r="AT158" i="1"/>
  <c r="AJ157" i="1"/>
  <c r="AJ158" i="1"/>
  <c r="Z157" i="1"/>
  <c r="Z158" i="1"/>
  <c r="P157" i="1"/>
  <c r="P158" i="1"/>
  <c r="AD137" i="1"/>
  <c r="AD144" i="1"/>
  <c r="AD145" i="1"/>
  <c r="AD146" i="1"/>
  <c r="T137" i="1"/>
  <c r="T144" i="1"/>
  <c r="T145" i="1"/>
  <c r="T146" i="1"/>
  <c r="AK103" i="1"/>
  <c r="AK101" i="1"/>
  <c r="AK108" i="1"/>
  <c r="AA104" i="1"/>
  <c r="AA103" i="1"/>
  <c r="Q103" i="1"/>
  <c r="Q101" i="1"/>
  <c r="Q108" i="1"/>
  <c r="AR73" i="1"/>
  <c r="AR74" i="1"/>
  <c r="AR68" i="1"/>
  <c r="AR65" i="1"/>
  <c r="AR72" i="1"/>
  <c r="AH73" i="1"/>
  <c r="AH74" i="1"/>
  <c r="AH68" i="1"/>
  <c r="AH67" i="1"/>
  <c r="AH65" i="1"/>
  <c r="AH72" i="1"/>
  <c r="X73" i="1"/>
  <c r="X74" i="1"/>
  <c r="X68" i="1"/>
  <c r="X67" i="1"/>
  <c r="N73" i="1"/>
  <c r="N74" i="1"/>
  <c r="N68" i="1"/>
  <c r="N65" i="1"/>
  <c r="N72" i="1"/>
  <c r="AU133" i="1"/>
  <c r="AU134" i="1"/>
  <c r="AU128" i="1"/>
  <c r="AK133" i="1"/>
  <c r="AK134" i="1"/>
  <c r="AK128" i="1"/>
  <c r="AA133" i="1"/>
  <c r="AA134" i="1"/>
  <c r="AA127" i="1"/>
  <c r="Q133" i="1"/>
  <c r="Q134" i="1"/>
  <c r="Q127" i="1"/>
  <c r="AU121" i="1"/>
  <c r="AU122" i="1"/>
  <c r="AU116" i="1"/>
  <c r="AK121" i="1"/>
  <c r="AK122" i="1"/>
  <c r="AK116" i="1"/>
  <c r="AA121" i="1"/>
  <c r="AA122" i="1"/>
  <c r="AA116" i="1"/>
  <c r="AA115" i="1"/>
  <c r="Q121" i="1"/>
  <c r="Q122" i="1"/>
  <c r="Q115" i="1"/>
  <c r="AU173" i="1"/>
  <c r="AU180" i="1"/>
  <c r="AU181" i="1"/>
  <c r="AU182" i="1"/>
  <c r="AK173" i="1"/>
  <c r="AK180" i="1"/>
  <c r="AK181" i="1"/>
  <c r="AK182" i="1"/>
  <c r="AA173" i="1"/>
  <c r="AA180" i="1"/>
  <c r="AA181" i="1"/>
  <c r="AA182" i="1"/>
  <c r="Q173" i="1"/>
  <c r="Q180" i="1"/>
  <c r="Q181" i="1"/>
  <c r="Q182" i="1"/>
  <c r="P164" i="1"/>
  <c r="AL161" i="1"/>
  <c r="AL168" i="1"/>
  <c r="AB161" i="1"/>
  <c r="AB168" i="1"/>
  <c r="R161" i="1"/>
  <c r="R168" i="1"/>
  <c r="AT152" i="1"/>
  <c r="AD140" i="1"/>
  <c r="AA125" i="1"/>
  <c r="AA132" i="1"/>
  <c r="AU109" i="1"/>
  <c r="AU110" i="1"/>
  <c r="P188" i="1"/>
  <c r="AS193" i="1"/>
  <c r="AS194" i="1"/>
  <c r="AS188" i="1"/>
  <c r="AI193" i="1"/>
  <c r="AI194" i="1"/>
  <c r="AI188" i="1"/>
  <c r="Y193" i="1"/>
  <c r="Y194" i="1"/>
  <c r="Y188" i="1"/>
  <c r="O193" i="1"/>
  <c r="O194" i="1"/>
  <c r="O188" i="1"/>
  <c r="AH181" i="1"/>
  <c r="AH182" i="1"/>
  <c r="AA176" i="1"/>
  <c r="AK175" i="1"/>
  <c r="AT181" i="1"/>
  <c r="AT182" i="1"/>
  <c r="AJ181" i="1"/>
  <c r="AJ182" i="1"/>
  <c r="Z181" i="1"/>
  <c r="Z182" i="1"/>
  <c r="P181" i="1"/>
  <c r="P182" i="1"/>
  <c r="AL169" i="1"/>
  <c r="AL170" i="1"/>
  <c r="AB164" i="1"/>
  <c r="AL163" i="1"/>
  <c r="AU161" i="1"/>
  <c r="AU168" i="1"/>
  <c r="AU169" i="1"/>
  <c r="AU170" i="1"/>
  <c r="AK161" i="1"/>
  <c r="AK168" i="1"/>
  <c r="AK169" i="1"/>
  <c r="AK170" i="1"/>
  <c r="AA161" i="1"/>
  <c r="AA168" i="1"/>
  <c r="AA169" i="1"/>
  <c r="AA170" i="1"/>
  <c r="Q161" i="1"/>
  <c r="Q168" i="1"/>
  <c r="Q169" i="1"/>
  <c r="Q170" i="1"/>
  <c r="AM157" i="1"/>
  <c r="AM158" i="1"/>
  <c r="AC152" i="1"/>
  <c r="P152" i="1"/>
  <c r="AM151" i="1"/>
  <c r="AL149" i="1"/>
  <c r="AL156" i="1"/>
  <c r="AB149" i="1"/>
  <c r="AB156" i="1"/>
  <c r="R149" i="1"/>
  <c r="R156" i="1"/>
  <c r="P133" i="1"/>
  <c r="P134" i="1"/>
  <c r="AU127" i="1"/>
  <c r="Z125" i="1"/>
  <c r="Z132" i="1"/>
  <c r="AA113" i="1"/>
  <c r="AA120" i="1"/>
  <c r="Q109" i="1"/>
  <c r="Q110" i="1"/>
  <c r="AM53" i="1"/>
  <c r="AM60" i="1"/>
  <c r="AM56" i="1"/>
  <c r="AM55" i="1"/>
  <c r="AM61" i="1"/>
  <c r="AM62" i="1"/>
  <c r="AC53" i="1"/>
  <c r="AC60" i="1"/>
  <c r="AC55" i="1"/>
  <c r="S53" i="1"/>
  <c r="S60" i="1"/>
  <c r="S55" i="1"/>
  <c r="S61" i="1"/>
  <c r="S62" i="1"/>
  <c r="S56" i="1"/>
  <c r="N175" i="1"/>
  <c r="X173" i="1"/>
  <c r="X180" i="1"/>
  <c r="AS181" i="1"/>
  <c r="AS182" i="1"/>
  <c r="AS176" i="1"/>
  <c r="AI181" i="1"/>
  <c r="AI182" i="1"/>
  <c r="AI176" i="1"/>
  <c r="Y181" i="1"/>
  <c r="Y182" i="1"/>
  <c r="Y176" i="1"/>
  <c r="O181" i="1"/>
  <c r="O182" i="1"/>
  <c r="O176" i="1"/>
  <c r="O163" i="1"/>
  <c r="Y161" i="1"/>
  <c r="Y168" i="1"/>
  <c r="AT169" i="1"/>
  <c r="AT170" i="1"/>
  <c r="AJ169" i="1"/>
  <c r="AJ170" i="1"/>
  <c r="Z169" i="1"/>
  <c r="Z170" i="1"/>
  <c r="P169" i="1"/>
  <c r="P170" i="1"/>
  <c r="Z149" i="1"/>
  <c r="Z156" i="1"/>
  <c r="AU149" i="1"/>
  <c r="AU156" i="1"/>
  <c r="AU157" i="1"/>
  <c r="AU158" i="1"/>
  <c r="AK149" i="1"/>
  <c r="AK156" i="1"/>
  <c r="AK157" i="1"/>
  <c r="AK158" i="1"/>
  <c r="AA149" i="1"/>
  <c r="AA156" i="1"/>
  <c r="AA157" i="1"/>
  <c r="AA158" i="1"/>
  <c r="Q149" i="1"/>
  <c r="Q156" i="1"/>
  <c r="Q157" i="1"/>
  <c r="Q158" i="1"/>
  <c r="AO137" i="1"/>
  <c r="AO144" i="1"/>
  <c r="AO145" i="1"/>
  <c r="AO146" i="1"/>
  <c r="AE137" i="1"/>
  <c r="AE144" i="1"/>
  <c r="AE145" i="1"/>
  <c r="AE146" i="1"/>
  <c r="U137" i="1"/>
  <c r="U144" i="1"/>
  <c r="U145" i="1"/>
  <c r="U146" i="1"/>
  <c r="AU103" i="1"/>
  <c r="AL104" i="1"/>
  <c r="AL103" i="1"/>
  <c r="AB103" i="1"/>
  <c r="AB104" i="1"/>
  <c r="R101" i="1"/>
  <c r="R108" i="1"/>
  <c r="R109" i="1"/>
  <c r="R110" i="1"/>
  <c r="AL77" i="1"/>
  <c r="AL84" i="1"/>
  <c r="AL80" i="1"/>
  <c r="AL56" i="1"/>
  <c r="AL53" i="1"/>
  <c r="AL60" i="1"/>
  <c r="AL61" i="1"/>
  <c r="AL62" i="1"/>
  <c r="AB56" i="1"/>
  <c r="AB55" i="1"/>
  <c r="R55" i="1"/>
  <c r="R53" i="1"/>
  <c r="R60" i="1"/>
  <c r="AU44" i="1"/>
  <c r="AU49" i="1"/>
  <c r="AU50" i="1"/>
  <c r="AU43" i="1"/>
  <c r="AU41" i="1"/>
  <c r="AU48" i="1"/>
  <c r="AK44" i="1"/>
  <c r="AK49" i="1"/>
  <c r="AK50" i="1"/>
  <c r="AK41" i="1"/>
  <c r="AK48" i="1"/>
  <c r="AK43" i="1"/>
  <c r="AA44" i="1"/>
  <c r="AA41" i="1"/>
  <c r="AA48" i="1"/>
  <c r="AA49" i="1"/>
  <c r="AA50" i="1"/>
  <c r="AA43" i="1"/>
  <c r="Q44" i="1"/>
  <c r="Q49" i="1"/>
  <c r="Q50" i="1"/>
  <c r="Q41" i="1"/>
  <c r="Q48" i="1"/>
  <c r="Q43" i="1"/>
  <c r="AM37" i="1"/>
  <c r="AM38" i="1"/>
  <c r="AM29" i="1"/>
  <c r="AM36" i="1"/>
  <c r="AM31" i="1"/>
  <c r="AM32" i="1"/>
  <c r="AC37" i="1"/>
  <c r="AC38" i="1"/>
  <c r="AC31" i="1"/>
  <c r="AC32" i="1"/>
  <c r="AC29" i="1"/>
  <c r="AC36" i="1"/>
  <c r="S37" i="1"/>
  <c r="S38" i="1"/>
  <c r="S29" i="1"/>
  <c r="S36" i="1"/>
  <c r="S31" i="1"/>
  <c r="S32" i="1"/>
  <c r="V125" i="1"/>
  <c r="V132" i="1"/>
  <c r="AC104" i="1"/>
  <c r="AP104" i="1"/>
  <c r="AP103" i="1"/>
  <c r="AP101" i="1"/>
  <c r="AP108" i="1"/>
  <c r="AF104" i="1"/>
  <c r="AF101" i="1"/>
  <c r="AF108" i="1"/>
  <c r="L108" i="1"/>
  <c r="L109" i="1"/>
  <c r="L110" i="1"/>
  <c r="AM89" i="1"/>
  <c r="AM96" i="1"/>
  <c r="AP92" i="1"/>
  <c r="AP91" i="1"/>
  <c r="AP89" i="1"/>
  <c r="AP96" i="1"/>
  <c r="AP97" i="1"/>
  <c r="AP98" i="1"/>
  <c r="AF92" i="1"/>
  <c r="AF89" i="1"/>
  <c r="AF96" i="1"/>
  <c r="AF97" i="1"/>
  <c r="AF98" i="1"/>
  <c r="V92" i="1"/>
  <c r="V89" i="1"/>
  <c r="V96" i="1"/>
  <c r="V97" i="1"/>
  <c r="V98" i="1"/>
  <c r="L96" i="1"/>
  <c r="L97" i="1"/>
  <c r="L98" i="1"/>
  <c r="AL79" i="1"/>
  <c r="AE79" i="1"/>
  <c r="AE85" i="1"/>
  <c r="AE86" i="1"/>
  <c r="U79" i="1"/>
  <c r="U85" i="1"/>
  <c r="U86" i="1"/>
  <c r="U77" i="1"/>
  <c r="U84" i="1"/>
  <c r="U80" i="1"/>
  <c r="AL37" i="1"/>
  <c r="AL38" i="1"/>
  <c r="AL32" i="1"/>
  <c r="AL29" i="1"/>
  <c r="AL36" i="1"/>
  <c r="AL31" i="1"/>
  <c r="AB37" i="1"/>
  <c r="AB38" i="1"/>
  <c r="AB32" i="1"/>
  <c r="AB31" i="1"/>
  <c r="AB29" i="1"/>
  <c r="AB36" i="1"/>
  <c r="R37" i="1"/>
  <c r="R38" i="1"/>
  <c r="R32" i="1"/>
  <c r="R31" i="1"/>
  <c r="R29" i="1"/>
  <c r="R36" i="1"/>
  <c r="AF125" i="1"/>
  <c r="AF132" i="1"/>
  <c r="S101" i="1"/>
  <c r="S108" i="1"/>
  <c r="AE103" i="1"/>
  <c r="AE101" i="1"/>
  <c r="AE108" i="1"/>
  <c r="S97" i="1"/>
  <c r="S98" i="1"/>
  <c r="S92" i="1"/>
  <c r="AE91" i="1"/>
  <c r="AE89" i="1"/>
  <c r="AE96" i="1"/>
  <c r="AE97" i="1"/>
  <c r="AE98" i="1"/>
  <c r="U89" i="1"/>
  <c r="U96" i="1"/>
  <c r="U97" i="1"/>
  <c r="U98" i="1"/>
  <c r="K96" i="1"/>
  <c r="K97" i="1"/>
  <c r="K98" i="1"/>
  <c r="AL85" i="1"/>
  <c r="AL86" i="1"/>
  <c r="AE109" i="1"/>
  <c r="AE110" i="1"/>
  <c r="S109" i="1"/>
  <c r="S110" i="1"/>
  <c r="AE92" i="1"/>
  <c r="S89" i="1"/>
  <c r="S96" i="1"/>
  <c r="AB80" i="1"/>
  <c r="AE77" i="1"/>
  <c r="AE84" i="1"/>
  <c r="AM79" i="1"/>
  <c r="R56" i="1"/>
  <c r="AI92" i="1"/>
  <c r="AS73" i="1"/>
  <c r="AS74" i="1"/>
  <c r="AI73" i="1"/>
  <c r="AI74" i="1"/>
  <c r="AI65" i="1"/>
  <c r="AI72" i="1"/>
  <c r="Y73" i="1"/>
  <c r="Y74" i="1"/>
  <c r="Y65" i="1"/>
  <c r="Y72" i="1"/>
  <c r="O73" i="1"/>
  <c r="O74" i="1"/>
  <c r="O65" i="1"/>
  <c r="O72" i="1"/>
  <c r="AT43" i="1"/>
  <c r="AT49" i="1"/>
  <c r="AT50" i="1"/>
  <c r="AT44" i="1"/>
  <c r="AJ43" i="1"/>
  <c r="AJ41" i="1"/>
  <c r="AJ48" i="1"/>
  <c r="AJ49" i="1"/>
  <c r="AJ50" i="1"/>
  <c r="Z43" i="1"/>
  <c r="Z41" i="1"/>
  <c r="Z48" i="1"/>
  <c r="Z44" i="1"/>
  <c r="P41" i="1"/>
  <c r="P48" i="1"/>
  <c r="P44" i="1"/>
  <c r="P43" i="1"/>
  <c r="AU32" i="1"/>
  <c r="AU31" i="1"/>
  <c r="AK32" i="1"/>
  <c r="AK29" i="1"/>
  <c r="AK36" i="1"/>
  <c r="AK31" i="1"/>
  <c r="AK37" i="1"/>
  <c r="AK38" i="1"/>
  <c r="AA32" i="1"/>
  <c r="AA37" i="1"/>
  <c r="AA38" i="1"/>
  <c r="AA31" i="1"/>
  <c r="AA29" i="1"/>
  <c r="AA36" i="1"/>
  <c r="Q32" i="1"/>
  <c r="Q31" i="1"/>
  <c r="W109" i="1"/>
  <c r="W110" i="1"/>
  <c r="AH101" i="1"/>
  <c r="AH108" i="1"/>
  <c r="AI97" i="1"/>
  <c r="AI98" i="1"/>
  <c r="W97" i="1"/>
  <c r="W98" i="1"/>
  <c r="AS89" i="1"/>
  <c r="AS96" i="1"/>
  <c r="AH89" i="1"/>
  <c r="AH96" i="1"/>
  <c r="M80" i="1"/>
  <c r="AN56" i="1"/>
  <c r="AM25" i="1"/>
  <c r="AM26" i="1"/>
  <c r="AM17" i="1"/>
  <c r="AM24" i="1"/>
  <c r="AM19" i="1"/>
  <c r="AM20" i="1"/>
  <c r="AC25" i="1"/>
  <c r="AC26" i="1"/>
  <c r="AC19" i="1"/>
  <c r="AC20" i="1"/>
  <c r="S25" i="1"/>
  <c r="S26" i="1"/>
  <c r="S20" i="1"/>
  <c r="S17" i="1"/>
  <c r="S24" i="1"/>
  <c r="S19" i="1"/>
  <c r="AI67" i="1"/>
  <c r="AS65" i="1"/>
  <c r="AS72" i="1"/>
  <c r="AU65" i="1"/>
  <c r="AU72" i="1"/>
  <c r="AK65" i="1"/>
  <c r="AK72" i="1"/>
  <c r="AA65" i="1"/>
  <c r="AA72" i="1"/>
  <c r="Q65" i="1"/>
  <c r="Q72" i="1"/>
  <c r="AF55" i="1"/>
  <c r="AF53" i="1"/>
  <c r="AF60" i="1"/>
  <c r="AF61" i="1"/>
  <c r="AF62" i="1"/>
  <c r="V55" i="1"/>
  <c r="V53" i="1"/>
  <c r="V60" i="1"/>
  <c r="V61" i="1"/>
  <c r="V62" i="1"/>
  <c r="L60" i="1"/>
  <c r="L61" i="1"/>
  <c r="L62" i="1"/>
  <c r="Y104" i="1"/>
  <c r="Y92" i="1"/>
  <c r="AR85" i="1"/>
  <c r="AR86" i="1"/>
  <c r="AR80" i="1"/>
  <c r="AH85" i="1"/>
  <c r="AH86" i="1"/>
  <c r="AH80" i="1"/>
  <c r="X85" i="1"/>
  <c r="X86" i="1"/>
  <c r="X80" i="1"/>
  <c r="N85" i="1"/>
  <c r="N86" i="1"/>
  <c r="N80" i="1"/>
  <c r="Y68" i="1"/>
  <c r="AT65" i="1"/>
  <c r="AT72" i="1"/>
  <c r="AT73" i="1"/>
  <c r="AT74" i="1"/>
  <c r="AJ65" i="1"/>
  <c r="AJ72" i="1"/>
  <c r="AJ73" i="1"/>
  <c r="AJ74" i="1"/>
  <c r="Z65" i="1"/>
  <c r="Z72" i="1"/>
  <c r="Z73" i="1"/>
  <c r="Z74" i="1"/>
  <c r="P65" i="1"/>
  <c r="P72" i="1"/>
  <c r="P73" i="1"/>
  <c r="P74" i="1"/>
  <c r="T61" i="1"/>
  <c r="T62" i="1"/>
  <c r="T53" i="1"/>
  <c r="T60" i="1"/>
  <c r="U53" i="1"/>
  <c r="U60" i="1"/>
  <c r="U61" i="1"/>
  <c r="U62" i="1"/>
  <c r="K60" i="1"/>
  <c r="K61" i="1"/>
  <c r="K62" i="1"/>
  <c r="AN29" i="1"/>
  <c r="AN36" i="1"/>
  <c r="AN37" i="1"/>
  <c r="AN38" i="1"/>
  <c r="AD29" i="1"/>
  <c r="AD36" i="1"/>
  <c r="AD37" i="1"/>
  <c r="AD38" i="1"/>
  <c r="T29" i="1"/>
  <c r="T36" i="1"/>
  <c r="T37" i="1"/>
  <c r="T38" i="1"/>
  <c r="T32" i="1"/>
  <c r="AN17" i="1"/>
  <c r="AN24" i="1"/>
  <c r="AN25" i="1"/>
  <c r="AN26" i="1"/>
  <c r="AN19" i="1"/>
  <c r="AN20" i="1"/>
  <c r="AD17" i="1"/>
  <c r="AD24" i="1"/>
  <c r="AD25" i="1"/>
  <c r="AD26" i="1"/>
  <c r="T17" i="1"/>
  <c r="T24" i="1"/>
  <c r="T25" i="1"/>
  <c r="T26" i="1"/>
  <c r="X61" i="1"/>
  <c r="X62" i="1"/>
  <c r="AQ19" i="1"/>
  <c r="AQ17" i="1"/>
  <c r="AQ24" i="1"/>
  <c r="AQ25" i="1"/>
  <c r="AQ26" i="1"/>
  <c r="AG19" i="1"/>
  <c r="AG25" i="1"/>
  <c r="AG26" i="1"/>
  <c r="W19" i="1"/>
  <c r="W20" i="1"/>
  <c r="K20" i="1"/>
  <c r="L20" i="1"/>
  <c r="M20" i="1"/>
  <c r="AN31" i="1"/>
  <c r="AP17" i="1"/>
  <c r="AP24" i="1"/>
  <c r="AF17" i="1"/>
  <c r="AF24" i="1"/>
  <c r="AF25" i="1"/>
  <c r="AF26" i="1"/>
  <c r="AR61" i="1"/>
  <c r="AR62" i="1"/>
  <c r="AK56" i="1"/>
  <c r="AH49" i="1"/>
  <c r="AH50" i="1"/>
  <c r="W49" i="1"/>
  <c r="W50" i="1"/>
  <c r="AD32" i="1"/>
  <c r="AD20" i="1"/>
  <c r="T19" i="1"/>
  <c r="W17" i="1"/>
  <c r="W24" i="1"/>
  <c r="AO17" i="1"/>
  <c r="AO24" i="1"/>
  <c r="AE17" i="1"/>
  <c r="AE24" i="1"/>
  <c r="AE25" i="1"/>
  <c r="AE26" i="1"/>
  <c r="U17" i="1"/>
  <c r="U24" i="1"/>
  <c r="AO29" i="1"/>
  <c r="AO36" i="1"/>
  <c r="AE29" i="1"/>
  <c r="AE36" i="1"/>
  <c r="U29" i="1"/>
  <c r="U36" i="1"/>
  <c r="AL25" i="1"/>
  <c r="AL26" i="1"/>
  <c r="AL20" i="1"/>
  <c r="AB25" i="1"/>
  <c r="AB26" i="1"/>
  <c r="AB20" i="1"/>
  <c r="R25" i="1"/>
  <c r="R26" i="1"/>
  <c r="R20" i="1"/>
  <c r="R19" i="1"/>
  <c r="AB17" i="1"/>
  <c r="AB24" i="1"/>
  <c r="U44" i="1"/>
  <c r="AB19" i="1"/>
  <c r="Q19" i="1"/>
  <c r="AA17" i="1"/>
  <c r="AA24" i="1"/>
  <c r="AE44" i="1"/>
  <c r="AO37" i="1"/>
  <c r="AO38" i="1"/>
  <c r="U32" i="1"/>
  <c r="W29" i="1"/>
  <c r="W36" i="1"/>
  <c r="AL19" i="1"/>
  <c r="AA19" i="1"/>
  <c r="F47" i="1"/>
  <c r="E47" i="1"/>
  <c r="F12" i="1"/>
  <c r="F13" i="1"/>
  <c r="F14" i="1"/>
  <c r="E12" i="1"/>
  <c r="F71" i="1"/>
  <c r="E71" i="1"/>
  <c r="A71" i="1"/>
  <c r="H132" i="1"/>
  <c r="H133" i="1"/>
  <c r="H134" i="1"/>
  <c r="J84" i="1"/>
  <c r="J85" i="1"/>
  <c r="J86" i="1"/>
  <c r="D5" i="3"/>
  <c r="D23" i="1"/>
  <c r="E16" i="1"/>
  <c r="F83" i="1"/>
  <c r="E83" i="1"/>
  <c r="E68" i="1"/>
  <c r="F68" i="1"/>
  <c r="D109" i="1"/>
  <c r="E29" i="1"/>
  <c r="E31" i="1"/>
  <c r="F31" i="1"/>
  <c r="E32" i="1"/>
  <c r="F32" i="1"/>
  <c r="F34" i="1"/>
  <c r="E34" i="1"/>
  <c r="J120" i="1"/>
  <c r="J121" i="1"/>
  <c r="J122" i="1"/>
  <c r="D107" i="1"/>
  <c r="E100" i="1"/>
  <c r="F59" i="1"/>
  <c r="E79" i="1"/>
  <c r="F79" i="1"/>
  <c r="I96" i="1"/>
  <c r="I91" i="1"/>
  <c r="I97" i="1"/>
  <c r="I98" i="1"/>
  <c r="I92" i="1"/>
  <c r="E140" i="1"/>
  <c r="F140" i="1"/>
  <c r="E139" i="1"/>
  <c r="F139" i="1"/>
  <c r="F142" i="1"/>
  <c r="E142" i="1"/>
  <c r="E137" i="1"/>
  <c r="J143" i="1"/>
  <c r="D8" i="3"/>
  <c r="E8" i="3"/>
  <c r="J8" i="3"/>
  <c r="D12" i="3"/>
  <c r="D20" i="1"/>
  <c r="I31" i="1"/>
  <c r="G37" i="1"/>
  <c r="G38" i="1"/>
  <c r="D46" i="1"/>
  <c r="D67" i="1"/>
  <c r="H68" i="1"/>
  <c r="D83" i="1"/>
  <c r="D151" i="1"/>
  <c r="D154" i="1"/>
  <c r="D149" i="1"/>
  <c r="D156" i="1"/>
  <c r="D157" i="1"/>
  <c r="D158" i="1"/>
  <c r="I163" i="1"/>
  <c r="E175" i="1"/>
  <c r="F175" i="1"/>
  <c r="E39" i="1"/>
  <c r="G49" i="1"/>
  <c r="G50" i="1"/>
  <c r="D58" i="1"/>
  <c r="E67" i="1"/>
  <c r="F67" i="1"/>
  <c r="I68" i="1"/>
  <c r="D79" i="1"/>
  <c r="G140" i="1"/>
  <c r="H140" i="1"/>
  <c r="F143" i="1"/>
  <c r="E147" i="1"/>
  <c r="D152" i="1"/>
  <c r="D166" i="1"/>
  <c r="D161" i="1"/>
  <c r="D164" i="1"/>
  <c r="E164" i="1"/>
  <c r="F164" i="1"/>
  <c r="E190" i="1"/>
  <c r="I37" i="1"/>
  <c r="I38" i="1"/>
  <c r="H49" i="1"/>
  <c r="H50" i="1"/>
  <c r="E58" i="1"/>
  <c r="D70" i="1"/>
  <c r="D115" i="1"/>
  <c r="E115" i="1"/>
  <c r="F115" i="1"/>
  <c r="I140" i="1"/>
  <c r="D181" i="1"/>
  <c r="D182" i="1"/>
  <c r="D19" i="1"/>
  <c r="J36" i="1"/>
  <c r="J37" i="1"/>
  <c r="J38" i="1"/>
  <c r="G60" i="1"/>
  <c r="G61" i="1"/>
  <c r="G62" i="1"/>
  <c r="E70" i="1"/>
  <c r="D85" i="1"/>
  <c r="D86" i="1"/>
  <c r="E178" i="1"/>
  <c r="E176" i="1"/>
  <c r="F176" i="1"/>
  <c r="E15" i="1"/>
  <c r="E53" i="1"/>
  <c r="H60" i="1"/>
  <c r="H61" i="1"/>
  <c r="H62" i="1"/>
  <c r="D65" i="1"/>
  <c r="D72" i="1"/>
  <c r="D73" i="1"/>
  <c r="D74" i="1"/>
  <c r="F70" i="1"/>
  <c r="G72" i="1"/>
  <c r="G73" i="1"/>
  <c r="G74" i="1"/>
  <c r="D82" i="1"/>
  <c r="D94" i="1"/>
  <c r="F106" i="1"/>
  <c r="E106" i="1"/>
  <c r="E101" i="1"/>
  <c r="E104" i="1"/>
  <c r="F104" i="1"/>
  <c r="D113" i="1"/>
  <c r="D120" i="1"/>
  <c r="D116" i="1"/>
  <c r="I152" i="1"/>
  <c r="H164" i="1"/>
  <c r="D25" i="1"/>
  <c r="D26" i="1"/>
  <c r="E65" i="1"/>
  <c r="H73" i="1"/>
  <c r="H74" i="1"/>
  <c r="F82" i="1"/>
  <c r="E82" i="1"/>
  <c r="F118" i="1"/>
  <c r="I164" i="1"/>
  <c r="H173" i="1"/>
  <c r="H180" i="1"/>
  <c r="H181" i="1"/>
  <c r="H182" i="1"/>
  <c r="F173" i="1"/>
  <c r="F180" i="1"/>
  <c r="F181" i="1"/>
  <c r="F182" i="1"/>
  <c r="E180" i="1"/>
  <c r="E179" i="1"/>
  <c r="A179" i="1"/>
  <c r="E181" i="1"/>
  <c r="E182" i="1"/>
  <c r="E188" i="1"/>
  <c r="F188" i="1"/>
  <c r="E187" i="1"/>
  <c r="F187" i="1"/>
  <c r="E11" i="1"/>
  <c r="A11" i="1"/>
  <c r="D17" i="1"/>
  <c r="D24" i="1"/>
  <c r="E35" i="1"/>
  <c r="D47" i="1"/>
  <c r="D68" i="1"/>
  <c r="I73" i="1"/>
  <c r="I74" i="1"/>
  <c r="D77" i="1"/>
  <c r="D84" i="1"/>
  <c r="E87" i="1"/>
  <c r="D89" i="1"/>
  <c r="D96" i="1"/>
  <c r="G109" i="1"/>
  <c r="G110" i="1"/>
  <c r="G120" i="1"/>
  <c r="I169" i="1"/>
  <c r="I170" i="1"/>
  <c r="I175" i="1"/>
  <c r="I173" i="1"/>
  <c r="I180" i="1"/>
  <c r="G176" i="1"/>
  <c r="G192" i="1"/>
  <c r="G193" i="1"/>
  <c r="G194" i="1"/>
  <c r="D43" i="1"/>
  <c r="D49" i="1"/>
  <c r="D50" i="1"/>
  <c r="D59" i="1"/>
  <c r="J73" i="1"/>
  <c r="J74" i="1"/>
  <c r="J97" i="1"/>
  <c r="J98" i="1"/>
  <c r="E113" i="1"/>
  <c r="E116" i="1"/>
  <c r="F116" i="1"/>
  <c r="E123" i="1"/>
  <c r="D125" i="1"/>
  <c r="D132" i="1"/>
  <c r="E148" i="1"/>
  <c r="E163" i="1"/>
  <c r="F163" i="1"/>
  <c r="E166" i="1"/>
  <c r="H176" i="1"/>
  <c r="I181" i="1"/>
  <c r="I182" i="1"/>
  <c r="G188" i="1"/>
  <c r="H188" i="1"/>
  <c r="E185" i="1"/>
  <c r="E80" i="1"/>
  <c r="F80" i="1"/>
  <c r="G121" i="1"/>
  <c r="G122" i="1"/>
  <c r="D128" i="1"/>
  <c r="D131" i="1"/>
  <c r="A131" i="1"/>
  <c r="F166" i="1"/>
  <c r="I176" i="1"/>
  <c r="I188" i="1"/>
  <c r="N36" i="4"/>
  <c r="O36" i="4"/>
  <c r="E97" i="4"/>
  <c r="D97" i="4"/>
  <c r="T120" i="4"/>
  <c r="U113" i="4"/>
  <c r="U120" i="4"/>
  <c r="D169" i="4"/>
  <c r="E162" i="4"/>
  <c r="AV30" i="4"/>
  <c r="AV37" i="4"/>
  <c r="M36" i="4"/>
  <c r="M42" i="4"/>
  <c r="M49" i="4"/>
  <c r="AN44" i="4"/>
  <c r="AN45" i="4"/>
  <c r="AP47" i="4"/>
  <c r="AA48" i="4"/>
  <c r="AQ50" i="4"/>
  <c r="AQ51" i="4"/>
  <c r="AV56" i="4"/>
  <c r="BC57" i="4"/>
  <c r="AT66" i="4"/>
  <c r="AT73" i="4"/>
  <c r="AW68" i="4"/>
  <c r="AY74" i="4"/>
  <c r="AY75" i="4"/>
  <c r="M78" i="4"/>
  <c r="M85" i="4"/>
  <c r="AO80" i="4"/>
  <c r="F83" i="4"/>
  <c r="M90" i="4"/>
  <c r="M97" i="4"/>
  <c r="M98" i="4"/>
  <c r="M99" i="4"/>
  <c r="D92" i="4"/>
  <c r="E92" i="4"/>
  <c r="F92" i="4"/>
  <c r="AW93" i="4"/>
  <c r="T95" i="4"/>
  <c r="T96" i="4"/>
  <c r="M102" i="4"/>
  <c r="BB104" i="4"/>
  <c r="AR107" i="4"/>
  <c r="AN117" i="4"/>
  <c r="K120" i="4"/>
  <c r="K137" i="4"/>
  <c r="J144" i="4"/>
  <c r="AW138" i="4"/>
  <c r="AW145" i="4"/>
  <c r="AW143" i="4"/>
  <c r="AM150" i="4"/>
  <c r="AM157" i="4"/>
  <c r="BA152" i="4"/>
  <c r="BA155" i="4"/>
  <c r="AI160" i="4"/>
  <c r="AH167" i="4"/>
  <c r="AU164" i="4"/>
  <c r="AU165" i="4"/>
  <c r="AV80" i="4"/>
  <c r="M83" i="4"/>
  <c r="AI101" i="4"/>
  <c r="AJ101" i="4"/>
  <c r="AH108" i="4"/>
  <c r="F105" i="4"/>
  <c r="AR131" i="4"/>
  <c r="AR128" i="4"/>
  <c r="BB131" i="4"/>
  <c r="BB134" i="4"/>
  <c r="BB135" i="4"/>
  <c r="BB128" i="4"/>
  <c r="AE179" i="4"/>
  <c r="AF172" i="4"/>
  <c r="AG179" i="4"/>
  <c r="AA25" i="4"/>
  <c r="J35" i="4"/>
  <c r="AW42" i="4"/>
  <c r="AW49" i="4"/>
  <c r="AX45" i="4"/>
  <c r="AB52" i="4"/>
  <c r="AS59" i="4"/>
  <c r="T60" i="4"/>
  <c r="BC69" i="4"/>
  <c r="S73" i="4"/>
  <c r="T90" i="4"/>
  <c r="AC113" i="4"/>
  <c r="AD120" i="4"/>
  <c r="AN116" i="4"/>
  <c r="AT117" i="4"/>
  <c r="AR126" i="4"/>
  <c r="AR133" i="4"/>
  <c r="AR129" i="4"/>
  <c r="AR134" i="4"/>
  <c r="AR135" i="4"/>
  <c r="P143" i="4"/>
  <c r="P138" i="4"/>
  <c r="P145" i="4"/>
  <c r="AN155" i="4"/>
  <c r="AN150" i="4"/>
  <c r="AN157" i="4"/>
  <c r="T155" i="4"/>
  <c r="S156" i="4"/>
  <c r="N160" i="4"/>
  <c r="D179" i="4"/>
  <c r="E179" i="4"/>
  <c r="D174" i="4"/>
  <c r="D176" i="4"/>
  <c r="E176" i="4"/>
  <c r="X203" i="4"/>
  <c r="Y196" i="4"/>
  <c r="Z203" i="4"/>
  <c r="AE25" i="4"/>
  <c r="AF28" i="4"/>
  <c r="AF35" i="4"/>
  <c r="M30" i="4"/>
  <c r="M37" i="4"/>
  <c r="M35" i="4"/>
  <c r="AV35" i="4"/>
  <c r="AX42" i="4"/>
  <c r="AX49" i="4"/>
  <c r="AY45" i="4"/>
  <c r="AZ47" i="4"/>
  <c r="AW50" i="4"/>
  <c r="AW51" i="4"/>
  <c r="BC56" i="4"/>
  <c r="U60" i="4"/>
  <c r="K64" i="4"/>
  <c r="K71" i="4"/>
  <c r="BC68" i="4"/>
  <c r="J84" i="4"/>
  <c r="AZ86" i="4"/>
  <c r="AZ87" i="4"/>
  <c r="AM104" i="4"/>
  <c r="AL105" i="4"/>
  <c r="F107" i="4"/>
  <c r="AT110" i="4"/>
  <c r="AT111" i="4"/>
  <c r="N112" i="4"/>
  <c r="N119" i="4"/>
  <c r="AU117" i="4"/>
  <c r="E126" i="4"/>
  <c r="E133" i="4"/>
  <c r="D133" i="4"/>
  <c r="D134" i="4"/>
  <c r="AO140" i="4"/>
  <c r="AO141" i="4"/>
  <c r="AO138" i="4"/>
  <c r="AO145" i="4"/>
  <c r="AY140" i="4"/>
  <c r="AY141" i="4"/>
  <c r="AW146" i="4"/>
  <c r="AW147" i="4"/>
  <c r="AO158" i="4"/>
  <c r="AO159" i="4"/>
  <c r="AO153" i="4"/>
  <c r="AO152" i="4"/>
  <c r="AY155" i="4"/>
  <c r="AY152" i="4"/>
  <c r="AY150" i="4"/>
  <c r="AY157" i="4"/>
  <c r="BA150" i="4"/>
  <c r="BA157" i="4"/>
  <c r="W155" i="4"/>
  <c r="AC180" i="4"/>
  <c r="AD180" i="4"/>
  <c r="X24" i="4"/>
  <c r="AL32" i="4"/>
  <c r="AB36" i="4"/>
  <c r="AY42" i="4"/>
  <c r="AY49" i="4"/>
  <c r="AW44" i="4"/>
  <c r="AZ45" i="4"/>
  <c r="BA47" i="4"/>
  <c r="AX50" i="4"/>
  <c r="AX51" i="4"/>
  <c r="V60" i="4"/>
  <c r="AE66" i="4"/>
  <c r="AE73" i="4"/>
  <c r="AE74" i="4"/>
  <c r="AE75" i="4"/>
  <c r="BC66" i="4"/>
  <c r="BC73" i="4"/>
  <c r="AY86" i="4"/>
  <c r="AY87" i="4"/>
  <c r="AY81" i="4"/>
  <c r="Q77" i="4"/>
  <c r="AL81" i="4"/>
  <c r="M84" i="4"/>
  <c r="AP93" i="4"/>
  <c r="AP90" i="4"/>
  <c r="AP97" i="4"/>
  <c r="AZ92" i="4"/>
  <c r="AZ93" i="4"/>
  <c r="X96" i="4"/>
  <c r="Y89" i="4"/>
  <c r="Y96" i="4"/>
  <c r="AW92" i="4"/>
  <c r="AM105" i="4"/>
  <c r="AV110" i="4"/>
  <c r="AV111" i="4"/>
  <c r="AW117" i="4"/>
  <c r="AW119" i="4"/>
  <c r="AX117" i="4"/>
  <c r="R132" i="4"/>
  <c r="AM140" i="4"/>
  <c r="M143" i="4"/>
  <c r="V144" i="4"/>
  <c r="AY146" i="4"/>
  <c r="AY147" i="4"/>
  <c r="BA158" i="4"/>
  <c r="BA159" i="4"/>
  <c r="S167" i="4"/>
  <c r="T167" i="4"/>
  <c r="AO164" i="4"/>
  <c r="AO170" i="4"/>
  <c r="AO171" i="4"/>
  <c r="AP189" i="4"/>
  <c r="AP188" i="4"/>
  <c r="X204" i="4"/>
  <c r="Y197" i="4"/>
  <c r="Z204" i="4"/>
  <c r="AF17" i="4"/>
  <c r="Y24" i="4"/>
  <c r="AA30" i="4"/>
  <c r="AA37" i="4"/>
  <c r="BA42" i="4"/>
  <c r="BA49" i="4"/>
  <c r="AX44" i="4"/>
  <c r="BA45" i="4"/>
  <c r="AY50" i="4"/>
  <c r="AY51" i="4"/>
  <c r="AI52" i="4"/>
  <c r="AI59" i="4"/>
  <c r="AA60" i="4"/>
  <c r="AS62" i="4"/>
  <c r="AS63" i="4"/>
  <c r="AS71" i="4"/>
  <c r="AV78" i="4"/>
  <c r="AV85" i="4"/>
  <c r="AL83" i="4"/>
  <c r="AP98" i="4"/>
  <c r="AP99" i="4"/>
  <c r="AW107" i="4"/>
  <c r="AW102" i="4"/>
  <c r="AW109" i="4"/>
  <c r="AT105" i="4"/>
  <c r="AL107" i="4"/>
  <c r="BC107" i="4"/>
  <c r="AW110" i="4"/>
  <c r="AW111" i="4"/>
  <c r="AT116" i="4"/>
  <c r="AT119" i="4"/>
  <c r="AW122" i="4"/>
  <c r="AW123" i="4"/>
  <c r="K124" i="4"/>
  <c r="J131" i="4"/>
  <c r="AL129" i="4"/>
  <c r="AL128" i="4"/>
  <c r="AL131" i="4"/>
  <c r="BB126" i="4"/>
  <c r="BB133" i="4"/>
  <c r="BB129" i="4"/>
  <c r="AW140" i="4"/>
  <c r="U143" i="4"/>
  <c r="X144" i="4"/>
  <c r="AQ153" i="4"/>
  <c r="AQ155" i="4"/>
  <c r="AQ150" i="4"/>
  <c r="AQ157" i="4"/>
  <c r="AB156" i="4"/>
  <c r="AC149" i="4"/>
  <c r="AD156" i="4"/>
  <c r="AO167" i="4"/>
  <c r="N174" i="4"/>
  <c r="O181" i="4"/>
  <c r="N17" i="4"/>
  <c r="AE30" i="4"/>
  <c r="AE37" i="4"/>
  <c r="AV38" i="4"/>
  <c r="AV39" i="4"/>
  <c r="AM42" i="4"/>
  <c r="AM49" i="4"/>
  <c r="AY44" i="4"/>
  <c r="J47" i="4"/>
  <c r="H53" i="4"/>
  <c r="AF53" i="4"/>
  <c r="AT57" i="4"/>
  <c r="AL59" i="4"/>
  <c r="BC59" i="4"/>
  <c r="AB60" i="4"/>
  <c r="AT71" i="4"/>
  <c r="AO81" i="4"/>
  <c r="AO83" i="4"/>
  <c r="S84" i="4"/>
  <c r="AB89" i="4"/>
  <c r="AW90" i="4"/>
  <c r="AW97" i="4"/>
  <c r="AV102" i="4"/>
  <c r="AV109" i="4"/>
  <c r="AU104" i="4"/>
  <c r="F108" i="4"/>
  <c r="AU116" i="4"/>
  <c r="AX122" i="4"/>
  <c r="AX123" i="4"/>
  <c r="E131" i="4"/>
  <c r="AA143" i="4"/>
  <c r="AA138" i="4"/>
  <c r="AA145" i="4"/>
  <c r="BB140" i="4"/>
  <c r="BB138" i="4"/>
  <c r="BB145" i="4"/>
  <c r="AE156" i="4"/>
  <c r="AF149" i="4"/>
  <c r="AG149" i="4"/>
  <c r="E157" i="4"/>
  <c r="D167" i="4"/>
  <c r="D165" i="4"/>
  <c r="E165" i="4"/>
  <c r="F165" i="4"/>
  <c r="E167" i="4"/>
  <c r="D164" i="4"/>
  <c r="E164" i="4"/>
  <c r="F164" i="4"/>
  <c r="AQ167" i="4"/>
  <c r="N179" i="4"/>
  <c r="AH203" i="4"/>
  <c r="AI196" i="4"/>
  <c r="D24" i="4"/>
  <c r="AL30" i="4"/>
  <c r="AL37" i="4"/>
  <c r="AT32" i="4"/>
  <c r="AL35" i="4"/>
  <c r="AX38" i="4"/>
  <c r="AX39" i="4"/>
  <c r="K40" i="4"/>
  <c r="AF40" i="4"/>
  <c r="AF42" i="4"/>
  <c r="AN42" i="4"/>
  <c r="AN49" i="4"/>
  <c r="D44" i="4"/>
  <c r="E44" i="4"/>
  <c r="F44" i="4"/>
  <c r="F50" i="4"/>
  <c r="F51" i="4"/>
  <c r="M47" i="4"/>
  <c r="K48" i="4"/>
  <c r="AM50" i="4"/>
  <c r="AM51" i="4"/>
  <c r="BC50" i="4"/>
  <c r="BC51" i="4"/>
  <c r="Y54" i="4"/>
  <c r="Y61" i="4"/>
  <c r="AN56" i="4"/>
  <c r="AU57" i="4"/>
  <c r="E60" i="4"/>
  <c r="AX62" i="4"/>
  <c r="AX63" i="4"/>
  <c r="AR68" i="4"/>
  <c r="AS69" i="4"/>
  <c r="AW71" i="4"/>
  <c r="V77" i="4"/>
  <c r="V84" i="4"/>
  <c r="AY78" i="4"/>
  <c r="AY85" i="4"/>
  <c r="AY90" i="4"/>
  <c r="AY97" i="4"/>
  <c r="D93" i="4"/>
  <c r="E93" i="4"/>
  <c r="F93" i="4"/>
  <c r="AZ95" i="4"/>
  <c r="AW98" i="4"/>
  <c r="AW99" i="4"/>
  <c r="AV104" i="4"/>
  <c r="S108" i="4"/>
  <c r="BB110" i="4"/>
  <c r="BB111" i="4"/>
  <c r="AT114" i="4"/>
  <c r="AT121" i="4"/>
  <c r="AW116" i="4"/>
  <c r="AY122" i="4"/>
  <c r="AY123" i="4"/>
  <c r="AV128" i="4"/>
  <c r="BC140" i="4"/>
  <c r="BC143" i="4"/>
  <c r="U138" i="4"/>
  <c r="U145" i="4"/>
  <c r="AO143" i="4"/>
  <c r="AS150" i="4"/>
  <c r="AS157" i="4"/>
  <c r="AS153" i="4"/>
  <c r="AS152" i="4"/>
  <c r="BC150" i="4"/>
  <c r="BC157" i="4"/>
  <c r="BC158" i="4"/>
  <c r="BC159" i="4"/>
  <c r="AQ152" i="4"/>
  <c r="AO155" i="4"/>
  <c r="AE174" i="4"/>
  <c r="AE181" i="4"/>
  <c r="A6" i="4"/>
  <c r="AH24" i="4"/>
  <c r="F25" i="4"/>
  <c r="F26" i="4"/>
  <c r="F27" i="4"/>
  <c r="AV32" i="4"/>
  <c r="D36" i="4"/>
  <c r="AY38" i="4"/>
  <c r="AY39" i="4"/>
  <c r="AO42" i="4"/>
  <c r="AO49" i="4"/>
  <c r="BA44" i="4"/>
  <c r="AN50" i="4"/>
  <c r="AN51" i="4"/>
  <c r="AS56" i="4"/>
  <c r="AV57" i="4"/>
  <c r="AN59" i="4"/>
  <c r="F60" i="4"/>
  <c r="AR66" i="4"/>
  <c r="AR73" i="4"/>
  <c r="AS68" i="4"/>
  <c r="AT69" i="4"/>
  <c r="AR74" i="4"/>
  <c r="AR75" i="4"/>
  <c r="BA78" i="4"/>
  <c r="BA85" i="4"/>
  <c r="AY83" i="4"/>
  <c r="AT93" i="4"/>
  <c r="AT92" i="4"/>
  <c r="AZ90" i="4"/>
  <c r="AZ97" i="4"/>
  <c r="BC95" i="4"/>
  <c r="AZ98" i="4"/>
  <c r="AZ99" i="4"/>
  <c r="AZ102" i="4"/>
  <c r="AZ109" i="4"/>
  <c r="AW104" i="4"/>
  <c r="AW105" i="4"/>
  <c r="AP107" i="4"/>
  <c r="AQ114" i="4"/>
  <c r="AQ121" i="4"/>
  <c r="AQ122" i="4"/>
  <c r="AQ123" i="4"/>
  <c r="AU114" i="4"/>
  <c r="AU121" i="4"/>
  <c r="BA122" i="4"/>
  <c r="BA123" i="4"/>
  <c r="AY131" i="4"/>
  <c r="AY134" i="4"/>
  <c r="AY135" i="4"/>
  <c r="AY129" i="4"/>
  <c r="J126" i="4"/>
  <c r="J133" i="4"/>
  <c r="AX128" i="4"/>
  <c r="V131" i="4"/>
  <c r="AF136" i="4"/>
  <c r="AF143" i="4"/>
  <c r="F150" i="4"/>
  <c r="F157" i="4"/>
  <c r="F155" i="4"/>
  <c r="G148" i="4"/>
  <c r="G155" i="4"/>
  <c r="U150" i="4"/>
  <c r="AY153" i="4"/>
  <c r="AS155" i="4"/>
  <c r="AQ182" i="4"/>
  <c r="AQ183" i="4"/>
  <c r="AQ179" i="4"/>
  <c r="AQ174" i="4"/>
  <c r="AQ181" i="4"/>
  <c r="AQ176" i="4"/>
  <c r="BA182" i="4"/>
  <c r="BA183" i="4"/>
  <c r="BA176" i="4"/>
  <c r="BA174" i="4"/>
  <c r="BA181" i="4"/>
  <c r="Q173" i="4"/>
  <c r="R180" i="4"/>
  <c r="D177" i="4"/>
  <c r="E177" i="4"/>
  <c r="F177" i="4"/>
  <c r="J191" i="4"/>
  <c r="J186" i="4"/>
  <c r="J193" i="4"/>
  <c r="G25" i="4"/>
  <c r="G26" i="4"/>
  <c r="G27" i="4"/>
  <c r="AO30" i="4"/>
  <c r="AO37" i="4"/>
  <c r="AY32" i="4"/>
  <c r="L36" i="4"/>
  <c r="BA38" i="4"/>
  <c r="BA39" i="4"/>
  <c r="AI40" i="4"/>
  <c r="AJ40" i="4"/>
  <c r="AM44" i="4"/>
  <c r="AM45" i="4"/>
  <c r="U48" i="4"/>
  <c r="AO50" i="4"/>
  <c r="AO51" i="4"/>
  <c r="N53" i="4"/>
  <c r="N60" i="4"/>
  <c r="AL54" i="4"/>
  <c r="AL61" i="4"/>
  <c r="AU56" i="4"/>
  <c r="AW57" i="4"/>
  <c r="AP59" i="4"/>
  <c r="AC65" i="4"/>
  <c r="AD72" i="4"/>
  <c r="AB72" i="4"/>
  <c r="AS66" i="4"/>
  <c r="AS73" i="4"/>
  <c r="AT68" i="4"/>
  <c r="AW69" i="4"/>
  <c r="BC71" i="4"/>
  <c r="G76" i="4"/>
  <c r="AT78" i="4"/>
  <c r="AT85" i="4"/>
  <c r="AT80" i="4"/>
  <c r="F90" i="4"/>
  <c r="F97" i="4"/>
  <c r="BC90" i="4"/>
  <c r="BC97" i="4"/>
  <c r="E96" i="4"/>
  <c r="BB102" i="4"/>
  <c r="BB109" i="4"/>
  <c r="BA104" i="4"/>
  <c r="AZ105" i="4"/>
  <c r="AW114" i="4"/>
  <c r="AW121" i="4"/>
  <c r="BA116" i="4"/>
  <c r="J120" i="4"/>
  <c r="U126" i="4"/>
  <c r="U133" i="4"/>
  <c r="U131" i="4"/>
  <c r="AP134" i="4"/>
  <c r="AP135" i="4"/>
  <c r="AP128" i="4"/>
  <c r="AP129" i="4"/>
  <c r="AP126" i="4"/>
  <c r="AP133" i="4"/>
  <c r="AB125" i="4"/>
  <c r="AA132" i="4"/>
  <c r="V126" i="4"/>
  <c r="AY128" i="4"/>
  <c r="AO131" i="4"/>
  <c r="F144" i="4"/>
  <c r="G137" i="4"/>
  <c r="H137" i="4"/>
  <c r="AU138" i="4"/>
  <c r="AU145" i="4"/>
  <c r="AE150" i="4"/>
  <c r="AE157" i="4"/>
  <c r="BC153" i="4"/>
  <c r="AT170" i="4"/>
  <c r="AT171" i="4"/>
  <c r="AT162" i="4"/>
  <c r="AT169" i="4"/>
  <c r="AT167" i="4"/>
  <c r="AT164" i="4"/>
  <c r="E168" i="4"/>
  <c r="D168" i="4"/>
  <c r="BB177" i="4"/>
  <c r="BB176" i="4"/>
  <c r="K184" i="4"/>
  <c r="A11" i="4"/>
  <c r="A13" i="4"/>
  <c r="AN143" i="4"/>
  <c r="BC162" i="4"/>
  <c r="BC169" i="4"/>
  <c r="BC170" i="4"/>
  <c r="BC171" i="4"/>
  <c r="G180" i="4"/>
  <c r="AR194" i="4"/>
  <c r="AR195" i="4"/>
  <c r="AL198" i="4"/>
  <c r="AL205" i="4"/>
  <c r="AL182" i="4"/>
  <c r="AL183" i="4"/>
  <c r="AP203" i="4"/>
  <c r="BA126" i="4"/>
  <c r="BA133" i="4"/>
  <c r="AX143" i="4"/>
  <c r="P167" i="4"/>
  <c r="AP176" i="4"/>
  <c r="AU177" i="4"/>
  <c r="AA180" i="4"/>
  <c r="Q197" i="4"/>
  <c r="R204" i="4"/>
  <c r="AZ203" i="4"/>
  <c r="S204" i="4"/>
  <c r="P132" i="4"/>
  <c r="BA143" i="4"/>
  <c r="AX146" i="4"/>
  <c r="AX147" i="4"/>
  <c r="U167" i="4"/>
  <c r="AX167" i="4"/>
  <c r="AZ177" i="4"/>
  <c r="AV189" i="4"/>
  <c r="BB191" i="4"/>
  <c r="AN78" i="4"/>
  <c r="AN85" i="4"/>
  <c r="BC114" i="4"/>
  <c r="BC121" i="4"/>
  <c r="AN138" i="4"/>
  <c r="AN145" i="4"/>
  <c r="AX141" i="4"/>
  <c r="AZ146" i="4"/>
  <c r="AZ147" i="4"/>
  <c r="AT155" i="4"/>
  <c r="AX162" i="4"/>
  <c r="AX169" i="4"/>
  <c r="AZ174" i="4"/>
  <c r="AZ181" i="4"/>
  <c r="BB189" i="4"/>
  <c r="L25" i="4"/>
  <c r="K25" i="4"/>
  <c r="D85" i="4"/>
  <c r="E85" i="4"/>
  <c r="AB25" i="4"/>
  <c r="AC18" i="4"/>
  <c r="V48" i="4"/>
  <c r="W48" i="4"/>
  <c r="I26" i="4"/>
  <c r="I27" i="4"/>
  <c r="J20" i="4"/>
  <c r="K20" i="4"/>
  <c r="L20" i="4"/>
  <c r="M20" i="4"/>
  <c r="N20" i="4"/>
  <c r="O20" i="4"/>
  <c r="P20" i="4"/>
  <c r="AI24" i="4"/>
  <c r="AJ17" i="4"/>
  <c r="AH35" i="4"/>
  <c r="AS38" i="4"/>
  <c r="AS39" i="4"/>
  <c r="AS32" i="4"/>
  <c r="AS33" i="4"/>
  <c r="AS35" i="4"/>
  <c r="BC38" i="4"/>
  <c r="BC39" i="4"/>
  <c r="BC32" i="4"/>
  <c r="BC30" i="4"/>
  <c r="BC37" i="4"/>
  <c r="Y29" i="4"/>
  <c r="AS30" i="4"/>
  <c r="AS37" i="4"/>
  <c r="AE48" i="4"/>
  <c r="AF41" i="4"/>
  <c r="D48" i="4"/>
  <c r="N52" i="4"/>
  <c r="AR54" i="4"/>
  <c r="AR61" i="4"/>
  <c r="AR62" i="4"/>
  <c r="AR63" i="4"/>
  <c r="AR57" i="4"/>
  <c r="AR56" i="4"/>
  <c r="BB54" i="4"/>
  <c r="BB61" i="4"/>
  <c r="BB56" i="4"/>
  <c r="BB62" i="4"/>
  <c r="BB63" i="4"/>
  <c r="BB59" i="4"/>
  <c r="BB57" i="4"/>
  <c r="Z61" i="4"/>
  <c r="AB71" i="4"/>
  <c r="AC64" i="4"/>
  <c r="AA84" i="4"/>
  <c r="AB77" i="4"/>
  <c r="G95" i="4"/>
  <c r="G93" i="4"/>
  <c r="G92" i="4"/>
  <c r="G90" i="4"/>
  <c r="G97" i="4"/>
  <c r="H88" i="4"/>
  <c r="E145" i="4"/>
  <c r="E146" i="4"/>
  <c r="D145" i="4"/>
  <c r="AB35" i="4"/>
  <c r="AB30" i="4"/>
  <c r="AB37" i="4"/>
  <c r="AC28" i="4"/>
  <c r="S36" i="4"/>
  <c r="T36" i="4"/>
  <c r="AI42" i="4"/>
  <c r="AI49" i="4"/>
  <c r="AI47" i="4"/>
  <c r="AG25" i="4"/>
  <c r="AF25" i="4"/>
  <c r="AU50" i="4"/>
  <c r="AU51" i="4"/>
  <c r="AU44" i="4"/>
  <c r="AU47" i="4"/>
  <c r="AZ56" i="4"/>
  <c r="AZ59" i="4"/>
  <c r="AZ57" i="4"/>
  <c r="AZ62" i="4"/>
  <c r="AZ63" i="4"/>
  <c r="D188" i="4"/>
  <c r="E188" i="4"/>
  <c r="F188" i="4"/>
  <c r="E191" i="4"/>
  <c r="D191" i="4"/>
  <c r="D189" i="4"/>
  <c r="E189" i="4"/>
  <c r="F189" i="4"/>
  <c r="D186" i="4"/>
  <c r="O25" i="4"/>
  <c r="O26" i="4"/>
  <c r="O27" i="4"/>
  <c r="N25" i="4"/>
  <c r="N26" i="4"/>
  <c r="N27" i="4"/>
  <c r="AH25" i="4"/>
  <c r="AI18" i="4"/>
  <c r="J25" i="4"/>
  <c r="AF30" i="4"/>
  <c r="AR35" i="4"/>
  <c r="AR32" i="4"/>
  <c r="AR33" i="4"/>
  <c r="AR38" i="4"/>
  <c r="AR39" i="4"/>
  <c r="BB35" i="4"/>
  <c r="BB30" i="4"/>
  <c r="BB37" i="4"/>
  <c r="BB32" i="4"/>
  <c r="AR30" i="4"/>
  <c r="AR37" i="4"/>
  <c r="S42" i="4"/>
  <c r="T47" i="4"/>
  <c r="S47" i="4"/>
  <c r="AC41" i="4"/>
  <c r="AU45" i="4"/>
  <c r="M59" i="4"/>
  <c r="M54" i="4"/>
  <c r="M61" i="4"/>
  <c r="AC52" i="4"/>
  <c r="AQ56" i="4"/>
  <c r="AQ62" i="4"/>
  <c r="AQ63" i="4"/>
  <c r="AQ57" i="4"/>
  <c r="AQ54" i="4"/>
  <c r="AQ61" i="4"/>
  <c r="BA56" i="4"/>
  <c r="BA59" i="4"/>
  <c r="BA62" i="4"/>
  <c r="BA63" i="4"/>
  <c r="BA57" i="4"/>
  <c r="BA54" i="4"/>
  <c r="BA61" i="4"/>
  <c r="Q53" i="4"/>
  <c r="H64" i="4"/>
  <c r="AB66" i="4"/>
  <c r="AB73" i="4"/>
  <c r="AB96" i="4"/>
  <c r="AC89" i="4"/>
  <c r="AA119" i="4"/>
  <c r="AB112" i="4"/>
  <c r="F152" i="4"/>
  <c r="E158" i="4"/>
  <c r="E159" i="4"/>
  <c r="F191" i="4"/>
  <c r="G184" i="4"/>
  <c r="F186" i="4"/>
  <c r="F193" i="4"/>
  <c r="AA194" i="4"/>
  <c r="AA195" i="4"/>
  <c r="AA191" i="4"/>
  <c r="AA186" i="4"/>
  <c r="AA193" i="4"/>
  <c r="AB184" i="4"/>
  <c r="G17" i="4"/>
  <c r="P35" i="4"/>
  <c r="P30" i="4"/>
  <c r="AI28" i="4"/>
  <c r="AT38" i="4"/>
  <c r="AT39" i="4"/>
  <c r="AT35" i="4"/>
  <c r="AT30" i="4"/>
  <c r="AT37" i="4"/>
  <c r="R35" i="4"/>
  <c r="D45" i="4"/>
  <c r="E45" i="4"/>
  <c r="E47" i="4"/>
  <c r="D47" i="4"/>
  <c r="W47" i="4"/>
  <c r="V47" i="4"/>
  <c r="V42" i="4"/>
  <c r="N41" i="4"/>
  <c r="AU42" i="4"/>
  <c r="AU49" i="4"/>
  <c r="P59" i="4"/>
  <c r="P54" i="4"/>
  <c r="P61" i="4"/>
  <c r="AF52" i="4"/>
  <c r="AB54" i="4"/>
  <c r="AB61" i="4"/>
  <c r="AZ54" i="4"/>
  <c r="AZ61" i="4"/>
  <c r="AF66" i="4"/>
  <c r="L71" i="4"/>
  <c r="Z72" i="4"/>
  <c r="AF77" i="4"/>
  <c r="AE84" i="4"/>
  <c r="D81" i="4"/>
  <c r="E81" i="4"/>
  <c r="F81" i="4"/>
  <c r="O84" i="4"/>
  <c r="AL141" i="4"/>
  <c r="AL143" i="4"/>
  <c r="AL138" i="4"/>
  <c r="AL145" i="4"/>
  <c r="AL146" i="4"/>
  <c r="AL147" i="4"/>
  <c r="AL140" i="4"/>
  <c r="AV141" i="4"/>
  <c r="AV140" i="4"/>
  <c r="AV143" i="4"/>
  <c r="AV138" i="4"/>
  <c r="AV145" i="4"/>
  <c r="AV146" i="4"/>
  <c r="AV147" i="4"/>
  <c r="G144" i="4"/>
  <c r="AF144" i="4"/>
  <c r="AG137" i="4"/>
  <c r="AF72" i="4"/>
  <c r="AG72" i="4"/>
  <c r="AM83" i="4"/>
  <c r="AM81" i="4"/>
  <c r="AM80" i="4"/>
  <c r="AM86" i="4"/>
  <c r="AM87" i="4"/>
  <c r="AM78" i="4"/>
  <c r="AM85" i="4"/>
  <c r="AW83" i="4"/>
  <c r="AW81" i="4"/>
  <c r="AW80" i="4"/>
  <c r="AW78" i="4"/>
  <c r="AW85" i="4"/>
  <c r="AL98" i="4"/>
  <c r="AL99" i="4"/>
  <c r="AL95" i="4"/>
  <c r="AL92" i="4"/>
  <c r="AL93" i="4"/>
  <c r="AL90" i="4"/>
  <c r="AL97" i="4"/>
  <c r="AV98" i="4"/>
  <c r="AV99" i="4"/>
  <c r="AV95" i="4"/>
  <c r="AV93" i="4"/>
  <c r="AV92" i="4"/>
  <c r="G96" i="4"/>
  <c r="H89" i="4"/>
  <c r="AV90" i="4"/>
  <c r="AV97" i="4"/>
  <c r="V18" i="4"/>
  <c r="U25" i="4"/>
  <c r="T24" i="4"/>
  <c r="S30" i="4"/>
  <c r="T35" i="4"/>
  <c r="S35" i="4"/>
  <c r="AF29" i="4"/>
  <c r="AH30" i="4"/>
  <c r="AH37" i="4"/>
  <c r="AW30" i="4"/>
  <c r="AW37" i="4"/>
  <c r="BC33" i="4"/>
  <c r="G40" i="4"/>
  <c r="AB40" i="4"/>
  <c r="AA47" i="4"/>
  <c r="AA42" i="4"/>
  <c r="AA49" i="4"/>
  <c r="AJ41" i="4"/>
  <c r="AD60" i="4"/>
  <c r="AC60" i="4"/>
  <c r="AE54" i="4"/>
  <c r="AE61" i="4"/>
  <c r="AE59" i="4"/>
  <c r="AI65" i="4"/>
  <c r="AH72" i="4"/>
  <c r="AI77" i="4"/>
  <c r="V28" i="4"/>
  <c r="AM35" i="4"/>
  <c r="AM38" i="4"/>
  <c r="AM39" i="4"/>
  <c r="AM30" i="4"/>
  <c r="AM37" i="4"/>
  <c r="AW33" i="4"/>
  <c r="AW35" i="4"/>
  <c r="AW32" i="4"/>
  <c r="AH36" i="4"/>
  <c r="AI29" i="4"/>
  <c r="R24" i="4"/>
  <c r="Q24" i="4"/>
  <c r="H28" i="4"/>
  <c r="G35" i="4"/>
  <c r="G32" i="4"/>
  <c r="O47" i="4"/>
  <c r="N47" i="4"/>
  <c r="N42" i="4"/>
  <c r="AY57" i="4"/>
  <c r="AY62" i="4"/>
  <c r="AY63" i="4"/>
  <c r="AY59" i="4"/>
  <c r="AY56" i="4"/>
  <c r="X71" i="4"/>
  <c r="AP66" i="4"/>
  <c r="AP73" i="4"/>
  <c r="AP68" i="4"/>
  <c r="AP69" i="4"/>
  <c r="AZ71" i="4"/>
  <c r="AZ74" i="4"/>
  <c r="AZ75" i="4"/>
  <c r="AZ66" i="4"/>
  <c r="AZ73" i="4"/>
  <c r="AP116" i="4"/>
  <c r="AP114" i="4"/>
  <c r="AP121" i="4"/>
  <c r="AP117" i="4"/>
  <c r="AP119" i="4"/>
  <c r="AP122" i="4"/>
  <c r="AP123" i="4"/>
  <c r="AZ116" i="4"/>
  <c r="AZ119" i="4"/>
  <c r="AZ117" i="4"/>
  <c r="AZ122" i="4"/>
  <c r="AZ123" i="4"/>
  <c r="AZ114" i="4"/>
  <c r="AZ121" i="4"/>
  <c r="K28" i="4"/>
  <c r="U36" i="4"/>
  <c r="V29" i="4"/>
  <c r="P47" i="4"/>
  <c r="Q40" i="4"/>
  <c r="G48" i="4"/>
  <c r="H41" i="4"/>
  <c r="AP56" i="4"/>
  <c r="AP54" i="4"/>
  <c r="AP61" i="4"/>
  <c r="AP57" i="4"/>
  <c r="G71" i="4"/>
  <c r="AA24" i="4"/>
  <c r="AB17" i="4"/>
  <c r="A23" i="4"/>
  <c r="A22" i="4"/>
  <c r="M25" i="4"/>
  <c r="M26" i="4"/>
  <c r="M27" i="4"/>
  <c r="AU38" i="4"/>
  <c r="AU39" i="4"/>
  <c r="AU33" i="4"/>
  <c r="AU30" i="4"/>
  <c r="AU37" i="4"/>
  <c r="AG49" i="4"/>
  <c r="AF49" i="4"/>
  <c r="F48" i="4"/>
  <c r="E25" i="4"/>
  <c r="E26" i="4"/>
  <c r="E27" i="4"/>
  <c r="D25" i="4"/>
  <c r="V24" i="4"/>
  <c r="AF45" i="4"/>
  <c r="AG45" i="4"/>
  <c r="AH45" i="4"/>
  <c r="AI45" i="4"/>
  <c r="AG47" i="4"/>
  <c r="AF47" i="4"/>
  <c r="AR44" i="4"/>
  <c r="AR45" i="4"/>
  <c r="AR50" i="4"/>
  <c r="AR51" i="4"/>
  <c r="BB44" i="4"/>
  <c r="BB45" i="4"/>
  <c r="BB47" i="4"/>
  <c r="BB42" i="4"/>
  <c r="BB49" i="4"/>
  <c r="AR47" i="4"/>
  <c r="AG60" i="4"/>
  <c r="AF60" i="4"/>
  <c r="AN71" i="4"/>
  <c r="AN66" i="4"/>
  <c r="AN73" i="4"/>
  <c r="AN68" i="4"/>
  <c r="AN69" i="4"/>
  <c r="AX69" i="4"/>
  <c r="AX68" i="4"/>
  <c r="AX66" i="4"/>
  <c r="AX73" i="4"/>
  <c r="AX74" i="4"/>
  <c r="AX75" i="4"/>
  <c r="AX71" i="4"/>
  <c r="O72" i="4"/>
  <c r="N72" i="4"/>
  <c r="AZ68" i="4"/>
  <c r="AP74" i="4"/>
  <c r="AP75" i="4"/>
  <c r="AP81" i="4"/>
  <c r="AP86" i="4"/>
  <c r="AP87" i="4"/>
  <c r="AP78" i="4"/>
  <c r="AP85" i="4"/>
  <c r="AP83" i="4"/>
  <c r="AP80" i="4"/>
  <c r="AZ80" i="4"/>
  <c r="AZ78" i="4"/>
  <c r="AZ85" i="4"/>
  <c r="AZ81" i="4"/>
  <c r="AT44" i="4"/>
  <c r="AT50" i="4"/>
  <c r="AT51" i="4"/>
  <c r="AT42" i="4"/>
  <c r="AT49" i="4"/>
  <c r="AT47" i="4"/>
  <c r="AO57" i="4"/>
  <c r="AO59" i="4"/>
  <c r="AO56" i="4"/>
  <c r="AO54" i="4"/>
  <c r="AO61" i="4"/>
  <c r="E83" i="4"/>
  <c r="D83" i="4"/>
  <c r="D80" i="4"/>
  <c r="E80" i="4"/>
  <c r="F80" i="4"/>
  <c r="V191" i="4"/>
  <c r="W191" i="4"/>
  <c r="AB59" i="4"/>
  <c r="Y64" i="4"/>
  <c r="AB78" i="4"/>
  <c r="AB85" i="4"/>
  <c r="AB83" i="4"/>
  <c r="AC76" i="4"/>
  <c r="D117" i="4"/>
  <c r="E117" i="4"/>
  <c r="E119" i="4"/>
  <c r="D116" i="4"/>
  <c r="D119" i="4"/>
  <c r="D114" i="4"/>
  <c r="Q35" i="4"/>
  <c r="G29" i="4"/>
  <c r="F36" i="4"/>
  <c r="BB33" i="4"/>
  <c r="F47" i="4"/>
  <c r="F45" i="4"/>
  <c r="E49" i="4"/>
  <c r="E50" i="4"/>
  <c r="E51" i="4"/>
  <c r="D49" i="4"/>
  <c r="Q59" i="4"/>
  <c r="Q54" i="4"/>
  <c r="R59" i="4"/>
  <c r="S25" i="4"/>
  <c r="F35" i="4"/>
  <c r="F30" i="4"/>
  <c r="F37" i="4"/>
  <c r="F38" i="4"/>
  <c r="F39" i="4"/>
  <c r="Z35" i="4"/>
  <c r="AM32" i="4"/>
  <c r="J36" i="4"/>
  <c r="Y41" i="4"/>
  <c r="X48" i="4"/>
  <c r="P42" i="4"/>
  <c r="P49" i="4"/>
  <c r="AH60" i="4"/>
  <c r="AI53" i="4"/>
  <c r="Q65" i="4"/>
  <c r="P72" i="4"/>
  <c r="V83" i="4"/>
  <c r="W83" i="4"/>
  <c r="T107" i="4"/>
  <c r="S102" i="4"/>
  <c r="S107" i="4"/>
  <c r="AN107" i="4"/>
  <c r="AN104" i="4"/>
  <c r="AN110" i="4"/>
  <c r="AN111" i="4"/>
  <c r="AN102" i="4"/>
  <c r="AN109" i="4"/>
  <c r="AX107" i="4"/>
  <c r="AX104" i="4"/>
  <c r="AX110" i="4"/>
  <c r="AX111" i="4"/>
  <c r="AX105" i="4"/>
  <c r="AX102" i="4"/>
  <c r="AX109" i="4"/>
  <c r="N101" i="4"/>
  <c r="M108" i="4"/>
  <c r="M109" i="4"/>
  <c r="N102" i="4"/>
  <c r="AN105" i="4"/>
  <c r="V133" i="4"/>
  <c r="W133" i="4"/>
  <c r="D35" i="4"/>
  <c r="D30" i="4"/>
  <c r="D33" i="4"/>
  <c r="E33" i="4"/>
  <c r="F33" i="4"/>
  <c r="G33" i="4"/>
  <c r="E35" i="4"/>
  <c r="AD36" i="4"/>
  <c r="AC36" i="4"/>
  <c r="AA36" i="4"/>
  <c r="U47" i="4"/>
  <c r="AL42" i="4"/>
  <c r="AL49" i="4"/>
  <c r="AL45" i="4"/>
  <c r="AL47" i="4"/>
  <c r="AV42" i="4"/>
  <c r="AV49" i="4"/>
  <c r="AV45" i="4"/>
  <c r="M71" i="4"/>
  <c r="AQ81" i="4"/>
  <c r="AQ80" i="4"/>
  <c r="AQ86" i="4"/>
  <c r="AQ87" i="4"/>
  <c r="AQ83" i="4"/>
  <c r="AQ78" i="4"/>
  <c r="AQ85" i="4"/>
  <c r="BA81" i="4"/>
  <c r="BA80" i="4"/>
  <c r="AM90" i="4"/>
  <c r="AM97" i="4"/>
  <c r="AM98" i="4"/>
  <c r="AM99" i="4"/>
  <c r="AM95" i="4"/>
  <c r="AM92" i="4"/>
  <c r="AM93" i="4"/>
  <c r="AY98" i="4"/>
  <c r="AY99" i="4"/>
  <c r="U102" i="4"/>
  <c r="U109" i="4"/>
  <c r="U110" i="4"/>
  <c r="U111" i="4"/>
  <c r="U105" i="4"/>
  <c r="V100" i="4"/>
  <c r="U107" i="4"/>
  <c r="AO110" i="4"/>
  <c r="AO111" i="4"/>
  <c r="AO102" i="4"/>
  <c r="AO109" i="4"/>
  <c r="AO105" i="4"/>
  <c r="AO104" i="4"/>
  <c r="AY104" i="4"/>
  <c r="AY107" i="4"/>
  <c r="AY105" i="4"/>
  <c r="AY110" i="4"/>
  <c r="AY111" i="4"/>
  <c r="Q101" i="4"/>
  <c r="P108" i="4"/>
  <c r="AI54" i="4"/>
  <c r="AI61" i="4"/>
  <c r="AT59" i="4"/>
  <c r="AT56" i="4"/>
  <c r="U54" i="4"/>
  <c r="U61" i="4"/>
  <c r="N71" i="4"/>
  <c r="AG71" i="4"/>
  <c r="AF71" i="4"/>
  <c r="AF69" i="4"/>
  <c r="AG69" i="4"/>
  <c r="AH69" i="4"/>
  <c r="AF68" i="4"/>
  <c r="AG68" i="4"/>
  <c r="AH68" i="4"/>
  <c r="AH74" i="4"/>
  <c r="AH75" i="4"/>
  <c r="J83" i="4"/>
  <c r="K76" i="4"/>
  <c r="J78" i="4"/>
  <c r="J85" i="4"/>
  <c r="AE83" i="4"/>
  <c r="AR81" i="4"/>
  <c r="AR80" i="4"/>
  <c r="AR86" i="4"/>
  <c r="AR87" i="4"/>
  <c r="AR83" i="4"/>
  <c r="BB81" i="4"/>
  <c r="BB80" i="4"/>
  <c r="AN92" i="4"/>
  <c r="AN93" i="4"/>
  <c r="AN98" i="4"/>
  <c r="AN99" i="4"/>
  <c r="AN95" i="4"/>
  <c r="AN90" i="4"/>
  <c r="AN97" i="4"/>
  <c r="AX95" i="4"/>
  <c r="AX90" i="4"/>
  <c r="AX97" i="4"/>
  <c r="D54" i="4"/>
  <c r="D56" i="4"/>
  <c r="E56" i="4"/>
  <c r="F56" i="4"/>
  <c r="V52" i="4"/>
  <c r="AJ52" i="4"/>
  <c r="Y53" i="4"/>
  <c r="D57" i="4"/>
  <c r="E57" i="4"/>
  <c r="F57" i="4"/>
  <c r="V65" i="4"/>
  <c r="AF76" i="4"/>
  <c r="AS78" i="4"/>
  <c r="AS85" i="4"/>
  <c r="AS83" i="4"/>
  <c r="AS86" i="4"/>
  <c r="AS87" i="4"/>
  <c r="AS81" i="4"/>
  <c r="BC78" i="4"/>
  <c r="BC85" i="4"/>
  <c r="BC83" i="4"/>
  <c r="BC80" i="4"/>
  <c r="BC86" i="4"/>
  <c r="BC87" i="4"/>
  <c r="BC81" i="4"/>
  <c r="X95" i="4"/>
  <c r="AO93" i="4"/>
  <c r="AO92" i="4"/>
  <c r="AO98" i="4"/>
  <c r="AO99" i="4"/>
  <c r="AO95" i="4"/>
  <c r="AO90" i="4"/>
  <c r="AO97" i="4"/>
  <c r="AY93" i="4"/>
  <c r="AY92" i="4"/>
  <c r="AI90" i="4"/>
  <c r="AI97" i="4"/>
  <c r="Z107" i="4"/>
  <c r="Q124" i="4"/>
  <c r="P131" i="4"/>
  <c r="F59" i="4"/>
  <c r="D59" i="4"/>
  <c r="AU69" i="4"/>
  <c r="AU68" i="4"/>
  <c r="AU66" i="4"/>
  <c r="AU73" i="4"/>
  <c r="AU71" i="4"/>
  <c r="O83" i="4"/>
  <c r="N83" i="4"/>
  <c r="N78" i="4"/>
  <c r="BB78" i="4"/>
  <c r="BB85" i="4"/>
  <c r="Y88" i="4"/>
  <c r="N120" i="4"/>
  <c r="O120" i="4"/>
  <c r="AH120" i="4"/>
  <c r="AI113" i="4"/>
  <c r="S126" i="4"/>
  <c r="T131" i="4"/>
  <c r="S131" i="4"/>
  <c r="K24" i="4"/>
  <c r="H25" i="4"/>
  <c r="H26" i="4"/>
  <c r="H27" i="4"/>
  <c r="AZ50" i="4"/>
  <c r="AZ51" i="4"/>
  <c r="AZ42" i="4"/>
  <c r="AZ49" i="4"/>
  <c r="AV44" i="4"/>
  <c r="AP45" i="4"/>
  <c r="G52" i="4"/>
  <c r="L60" i="4"/>
  <c r="K60" i="4"/>
  <c r="AT54" i="4"/>
  <c r="AT61" i="4"/>
  <c r="E59" i="4"/>
  <c r="U59" i="4"/>
  <c r="D71" i="4"/>
  <c r="D66" i="4"/>
  <c r="D69" i="4"/>
  <c r="E69" i="4"/>
  <c r="F69" i="4"/>
  <c r="G69" i="4"/>
  <c r="D68" i="4"/>
  <c r="E68" i="4"/>
  <c r="F68" i="4"/>
  <c r="G68" i="4"/>
  <c r="U71" i="4"/>
  <c r="U66" i="4"/>
  <c r="U73" i="4"/>
  <c r="AL69" i="4"/>
  <c r="AL68" i="4"/>
  <c r="AL66" i="4"/>
  <c r="AL73" i="4"/>
  <c r="AL74" i="4"/>
  <c r="AL75" i="4"/>
  <c r="AV69" i="4"/>
  <c r="AV68" i="4"/>
  <c r="AV66" i="4"/>
  <c r="AV73" i="4"/>
  <c r="AV74" i="4"/>
  <c r="AV75" i="4"/>
  <c r="G65" i="4"/>
  <c r="P86" i="4"/>
  <c r="P87" i="4"/>
  <c r="P78" i="4"/>
  <c r="P85" i="4"/>
  <c r="P83" i="4"/>
  <c r="Q76" i="4"/>
  <c r="AU81" i="4"/>
  <c r="AU86" i="4"/>
  <c r="AU87" i="4"/>
  <c r="AU83" i="4"/>
  <c r="AU80" i="4"/>
  <c r="AS80" i="4"/>
  <c r="AX92" i="4"/>
  <c r="Q113" i="4"/>
  <c r="P120" i="4"/>
  <c r="V168" i="4"/>
  <c r="W161" i="4"/>
  <c r="N35" i="4"/>
  <c r="N30" i="4"/>
  <c r="AP32" i="4"/>
  <c r="AZ38" i="4"/>
  <c r="AZ39" i="4"/>
  <c r="K47" i="4"/>
  <c r="K42" i="4"/>
  <c r="L47" i="4"/>
  <c r="AQ44" i="4"/>
  <c r="AQ45" i="4"/>
  <c r="Q41" i="4"/>
  <c r="AP42" i="4"/>
  <c r="AP49" i="4"/>
  <c r="F66" i="4"/>
  <c r="F73" i="4"/>
  <c r="V64" i="4"/>
  <c r="AM69" i="4"/>
  <c r="AM68" i="4"/>
  <c r="AM66" i="4"/>
  <c r="AM73" i="4"/>
  <c r="AM74" i="4"/>
  <c r="AM75" i="4"/>
  <c r="T83" i="4"/>
  <c r="S83" i="4"/>
  <c r="AL78" i="4"/>
  <c r="AL85" i="4"/>
  <c r="AL80" i="4"/>
  <c r="AV86" i="4"/>
  <c r="AV87" i="4"/>
  <c r="AV83" i="4"/>
  <c r="G77" i="4"/>
  <c r="W77" i="4"/>
  <c r="S138" i="4"/>
  <c r="T143" i="4"/>
  <c r="S143" i="4"/>
  <c r="AS47" i="4"/>
  <c r="AH59" i="4"/>
  <c r="AH78" i="4"/>
  <c r="AH85" i="4"/>
  <c r="AI76" i="4"/>
  <c r="AA107" i="4"/>
  <c r="J114" i="4"/>
  <c r="J121" i="4"/>
  <c r="P144" i="4"/>
  <c r="Q137" i="4"/>
  <c r="AC88" i="4"/>
  <c r="AQ98" i="4"/>
  <c r="AQ99" i="4"/>
  <c r="AQ92" i="4"/>
  <c r="AQ90" i="4"/>
  <c r="AQ97" i="4"/>
  <c r="AQ95" i="4"/>
  <c r="BA93" i="4"/>
  <c r="BA98" i="4"/>
  <c r="BA99" i="4"/>
  <c r="AG96" i="4"/>
  <c r="AF96" i="4"/>
  <c r="BA95" i="4"/>
  <c r="P96" i="4"/>
  <c r="AC100" i="4"/>
  <c r="AB107" i="4"/>
  <c r="L119" i="4"/>
  <c r="K119" i="4"/>
  <c r="K114" i="4"/>
  <c r="AR116" i="4"/>
  <c r="AR122" i="4"/>
  <c r="AR123" i="4"/>
  <c r="AR114" i="4"/>
  <c r="AR121" i="4"/>
  <c r="AR119" i="4"/>
  <c r="BB116" i="4"/>
  <c r="BB122" i="4"/>
  <c r="BB123" i="4"/>
  <c r="BB114" i="4"/>
  <c r="BB121" i="4"/>
  <c r="BB117" i="4"/>
  <c r="BB119" i="4"/>
  <c r="E134" i="4"/>
  <c r="E135" i="4"/>
  <c r="X132" i="4"/>
  <c r="Y125" i="4"/>
  <c r="K88" i="4"/>
  <c r="AE90" i="4"/>
  <c r="AE97" i="4"/>
  <c r="AE95" i="4"/>
  <c r="AR98" i="4"/>
  <c r="AR99" i="4"/>
  <c r="AR90" i="4"/>
  <c r="AR97" i="4"/>
  <c r="BB98" i="4"/>
  <c r="BB99" i="4"/>
  <c r="BB93" i="4"/>
  <c r="BB92" i="4"/>
  <c r="BB90" i="4"/>
  <c r="BB97" i="4"/>
  <c r="AQ93" i="4"/>
  <c r="BB95" i="4"/>
  <c r="R96" i="4"/>
  <c r="J107" i="4"/>
  <c r="K100" i="4"/>
  <c r="AR117" i="4"/>
  <c r="X143" i="4"/>
  <c r="X138" i="4"/>
  <c r="X145" i="4"/>
  <c r="Y136" i="4"/>
  <c r="AF150" i="4"/>
  <c r="AG155" i="4"/>
  <c r="AF155" i="4"/>
  <c r="N88" i="4"/>
  <c r="AF88" i="4"/>
  <c r="AR92" i="4"/>
  <c r="AR93" i="4"/>
  <c r="AH102" i="4"/>
  <c r="AH109" i="4"/>
  <c r="AH107" i="4"/>
  <c r="AS104" i="4"/>
  <c r="AS110" i="4"/>
  <c r="AS111" i="4"/>
  <c r="AS105" i="4"/>
  <c r="AS107" i="4"/>
  <c r="AS102" i="4"/>
  <c r="AS109" i="4"/>
  <c r="BC110" i="4"/>
  <c r="BC111" i="4"/>
  <c r="BC104" i="4"/>
  <c r="BC105" i="4"/>
  <c r="Z108" i="4"/>
  <c r="Y108" i="4"/>
  <c r="O119" i="4"/>
  <c r="AF119" i="4"/>
  <c r="AH131" i="4"/>
  <c r="AS134" i="4"/>
  <c r="AS135" i="4"/>
  <c r="AS126" i="4"/>
  <c r="AS133" i="4"/>
  <c r="AS131" i="4"/>
  <c r="AS128" i="4"/>
  <c r="BC134" i="4"/>
  <c r="BC135" i="4"/>
  <c r="BC128" i="4"/>
  <c r="BC129" i="4"/>
  <c r="BC126" i="4"/>
  <c r="BC133" i="4"/>
  <c r="BC131" i="4"/>
  <c r="R155" i="4"/>
  <c r="Q155" i="4"/>
  <c r="Q150" i="4"/>
  <c r="AA35" i="4"/>
  <c r="AW47" i="4"/>
  <c r="AW15" i="4"/>
  <c r="S48" i="4"/>
  <c r="BC62" i="4"/>
  <c r="BC63" i="4"/>
  <c r="AH71" i="4"/>
  <c r="AC72" i="4"/>
  <c r="G78" i="4"/>
  <c r="G85" i="4"/>
  <c r="G81" i="4"/>
  <c r="AH83" i="4"/>
  <c r="AI100" i="4"/>
  <c r="AT102" i="4"/>
  <c r="AT109" i="4"/>
  <c r="AT107" i="4"/>
  <c r="D108" i="4"/>
  <c r="E108" i="4"/>
  <c r="AA108" i="4"/>
  <c r="AB101" i="4"/>
  <c r="O107" i="4"/>
  <c r="AZ107" i="4"/>
  <c r="AZ110" i="4"/>
  <c r="AZ111" i="4"/>
  <c r="AI112" i="4"/>
  <c r="AH114" i="4"/>
  <c r="AH121" i="4"/>
  <c r="AH119" i="4"/>
  <c r="X120" i="4"/>
  <c r="Y113" i="4"/>
  <c r="M131" i="4"/>
  <c r="AI124" i="4"/>
  <c r="AT128" i="4"/>
  <c r="AT126" i="4"/>
  <c r="AT133" i="4"/>
  <c r="AT134" i="4"/>
  <c r="AT135" i="4"/>
  <c r="AT129" i="4"/>
  <c r="G143" i="4"/>
  <c r="H136" i="4"/>
  <c r="AX35" i="4"/>
  <c r="Y40" i="4"/>
  <c r="BC44" i="4"/>
  <c r="K52" i="4"/>
  <c r="AA59" i="4"/>
  <c r="AS57" i="4"/>
  <c r="AI64" i="4"/>
  <c r="AY66" i="4"/>
  <c r="AY73" i="4"/>
  <c r="AY68" i="4"/>
  <c r="H76" i="4"/>
  <c r="Y76" i="4"/>
  <c r="G83" i="4"/>
  <c r="K84" i="4"/>
  <c r="Q88" i="4"/>
  <c r="V89" i="4"/>
  <c r="AA90" i="4"/>
  <c r="Q100" i="4"/>
  <c r="P107" i="4"/>
  <c r="AU110" i="4"/>
  <c r="AU111" i="4"/>
  <c r="AU102" i="4"/>
  <c r="AU109" i="4"/>
  <c r="G108" i="4"/>
  <c r="H101" i="4"/>
  <c r="Q119" i="4"/>
  <c r="R119" i="4"/>
  <c r="AL122" i="4"/>
  <c r="AL123" i="4"/>
  <c r="AL117" i="4"/>
  <c r="AL119" i="4"/>
  <c r="AL116" i="4"/>
  <c r="AV122" i="4"/>
  <c r="AV123" i="4"/>
  <c r="AV117" i="4"/>
  <c r="AV116" i="4"/>
  <c r="AV114" i="4"/>
  <c r="AV121" i="4"/>
  <c r="N124" i="4"/>
  <c r="AU128" i="4"/>
  <c r="AU129" i="4"/>
  <c r="AU126" i="4"/>
  <c r="AU133" i="4"/>
  <c r="E125" i="4"/>
  <c r="AT86" i="4"/>
  <c r="AT87" i="4"/>
  <c r="AS116" i="4"/>
  <c r="AS119" i="4"/>
  <c r="AS117" i="4"/>
  <c r="AS122" i="4"/>
  <c r="AS123" i="4"/>
  <c r="AM126" i="4"/>
  <c r="AM133" i="4"/>
  <c r="AM131" i="4"/>
  <c r="AW126" i="4"/>
  <c r="AW133" i="4"/>
  <c r="AW128" i="4"/>
  <c r="AM128" i="4"/>
  <c r="T157" i="4"/>
  <c r="S157" i="4"/>
  <c r="AN126" i="4"/>
  <c r="AN133" i="4"/>
  <c r="AN131" i="4"/>
  <c r="AN128" i="4"/>
  <c r="AX126" i="4"/>
  <c r="AX133" i="4"/>
  <c r="AX129" i="4"/>
  <c r="AX131" i="4"/>
  <c r="K136" i="4"/>
  <c r="D131" i="4"/>
  <c r="D129" i="4"/>
  <c r="E129" i="4"/>
  <c r="F129" i="4"/>
  <c r="D128" i="4"/>
  <c r="E128" i="4"/>
  <c r="F128" i="4"/>
  <c r="X131" i="4"/>
  <c r="AR140" i="4"/>
  <c r="AR146" i="4"/>
  <c r="AR147" i="4"/>
  <c r="AR141" i="4"/>
  <c r="AR138" i="4"/>
  <c r="AR145" i="4"/>
  <c r="BB146" i="4"/>
  <c r="BB147" i="4"/>
  <c r="BB141" i="4"/>
  <c r="V149" i="4"/>
  <c r="F131" i="4"/>
  <c r="Y124" i="4"/>
  <c r="AR143" i="4"/>
  <c r="Y149" i="4"/>
  <c r="X156" i="4"/>
  <c r="AI167" i="4"/>
  <c r="AI165" i="4"/>
  <c r="AI164" i="4"/>
  <c r="AJ160" i="4"/>
  <c r="AU62" i="4"/>
  <c r="AU63" i="4"/>
  <c r="U78" i="4"/>
  <c r="U85" i="4"/>
  <c r="AN86" i="4"/>
  <c r="AN87" i="4"/>
  <c r="AX86" i="4"/>
  <c r="AX87" i="4"/>
  <c r="AP92" i="4"/>
  <c r="AI95" i="4"/>
  <c r="AT98" i="4"/>
  <c r="AT99" i="4"/>
  <c r="AQ110" i="4"/>
  <c r="AQ111" i="4"/>
  <c r="AQ105" i="4"/>
  <c r="D102" i="4"/>
  <c r="AQ104" i="4"/>
  <c r="S119" i="4"/>
  <c r="AM119" i="4"/>
  <c r="AM114" i="4"/>
  <c r="AM121" i="4"/>
  <c r="AM117" i="4"/>
  <c r="AM122" i="4"/>
  <c r="AM123" i="4"/>
  <c r="G124" i="4"/>
  <c r="T132" i="4"/>
  <c r="S132" i="4"/>
  <c r="AM129" i="4"/>
  <c r="AM134" i="4"/>
  <c r="AM135" i="4"/>
  <c r="AH143" i="4"/>
  <c r="AT143" i="4"/>
  <c r="AT138" i="4"/>
  <c r="AT145" i="4"/>
  <c r="AT141" i="4"/>
  <c r="E144" i="4"/>
  <c r="D144" i="4"/>
  <c r="Z144" i="4"/>
  <c r="Y144" i="4"/>
  <c r="L155" i="4"/>
  <c r="AB155" i="4"/>
  <c r="AB153" i="4"/>
  <c r="AC148" i="4"/>
  <c r="AR152" i="4"/>
  <c r="AR158" i="4"/>
  <c r="AR159" i="4"/>
  <c r="AR155" i="4"/>
  <c r="AR150" i="4"/>
  <c r="AR157" i="4"/>
  <c r="BB152" i="4"/>
  <c r="BB150" i="4"/>
  <c r="BB157" i="4"/>
  <c r="BB155" i="4"/>
  <c r="BB153" i="4"/>
  <c r="BB158" i="4"/>
  <c r="BB159" i="4"/>
  <c r="Q64" i="4"/>
  <c r="V88" i="4"/>
  <c r="AJ88" i="4"/>
  <c r="AU95" i="4"/>
  <c r="AU90" i="4"/>
  <c r="AU97" i="4"/>
  <c r="AI89" i="4"/>
  <c r="AU98" i="4"/>
  <c r="AU99" i="4"/>
  <c r="M107" i="4"/>
  <c r="AF100" i="4"/>
  <c r="AF124" i="4"/>
  <c r="U132" i="4"/>
  <c r="V125" i="4"/>
  <c r="AN129" i="4"/>
  <c r="AN134" i="4"/>
  <c r="AN135" i="4"/>
  <c r="Q136" i="4"/>
  <c r="AI136" i="4"/>
  <c r="AA144" i="4"/>
  <c r="AB137" i="4"/>
  <c r="AT140" i="4"/>
  <c r="T144" i="4"/>
  <c r="M155" i="4"/>
  <c r="N148" i="4"/>
  <c r="K155" i="4"/>
  <c r="AV129" i="4"/>
  <c r="AV134" i="4"/>
  <c r="AV135" i="4"/>
  <c r="AL134" i="4"/>
  <c r="AL135" i="4"/>
  <c r="AF138" i="4"/>
  <c r="AS143" i="4"/>
  <c r="AS146" i="4"/>
  <c r="AS147" i="4"/>
  <c r="AS138" i="4"/>
  <c r="AS145" i="4"/>
  <c r="AG143" i="4"/>
  <c r="AU153" i="4"/>
  <c r="AU150" i="4"/>
  <c r="AU157" i="4"/>
  <c r="AU155" i="4"/>
  <c r="AU158" i="4"/>
  <c r="AU159" i="4"/>
  <c r="AU152" i="4"/>
  <c r="F156" i="4"/>
  <c r="G149" i="4"/>
  <c r="AC156" i="4"/>
  <c r="AU167" i="4"/>
  <c r="AU170" i="4"/>
  <c r="AU171" i="4"/>
  <c r="AU162" i="4"/>
  <c r="AU169" i="4"/>
  <c r="K149" i="4"/>
  <c r="J156" i="4"/>
  <c r="O167" i="4"/>
  <c r="N167" i="4"/>
  <c r="AL167" i="4"/>
  <c r="AL170" i="4"/>
  <c r="AL171" i="4"/>
  <c r="AL164" i="4"/>
  <c r="AL162" i="4"/>
  <c r="AL169" i="4"/>
  <c r="AV167" i="4"/>
  <c r="AV170" i="4"/>
  <c r="AV171" i="4"/>
  <c r="G168" i="4"/>
  <c r="H161" i="4"/>
  <c r="AC161" i="4"/>
  <c r="AB168" i="4"/>
  <c r="D158" i="4"/>
  <c r="R167" i="4"/>
  <c r="Q167" i="4"/>
  <c r="AV165" i="4"/>
  <c r="E181" i="4"/>
  <c r="E182" i="4"/>
  <c r="E183" i="4"/>
  <c r="D181" i="4"/>
  <c r="AN158" i="4"/>
  <c r="AN159" i="4"/>
  <c r="AN153" i="4"/>
  <c r="AX158" i="4"/>
  <c r="AX159" i="4"/>
  <c r="AX155" i="4"/>
  <c r="AX153" i="4"/>
  <c r="F158" i="4"/>
  <c r="F159" i="4"/>
  <c r="AH180" i="4"/>
  <c r="AI173" i="4"/>
  <c r="F102" i="4"/>
  <c r="F109" i="4"/>
  <c r="F110" i="4"/>
  <c r="F111" i="4"/>
  <c r="AN119" i="4"/>
  <c r="AN114" i="4"/>
  <c r="AN121" i="4"/>
  <c r="AX119" i="4"/>
  <c r="AX114" i="4"/>
  <c r="AX121" i="4"/>
  <c r="AM141" i="4"/>
  <c r="AM143" i="4"/>
  <c r="V138" i="4"/>
  <c r="BC146" i="4"/>
  <c r="BC147" i="4"/>
  <c r="Y155" i="4"/>
  <c r="G150" i="4"/>
  <c r="G157" i="4"/>
  <c r="AN152" i="4"/>
  <c r="AV164" i="4"/>
  <c r="G100" i="4"/>
  <c r="X102" i="4"/>
  <c r="X109" i="4"/>
  <c r="X107" i="4"/>
  <c r="Y112" i="4"/>
  <c r="AY117" i="4"/>
  <c r="AY119" i="4"/>
  <c r="AY114" i="4"/>
  <c r="AY121" i="4"/>
  <c r="X119" i="4"/>
  <c r="AQ131" i="4"/>
  <c r="AQ134" i="4"/>
  <c r="AQ135" i="4"/>
  <c r="AQ128" i="4"/>
  <c r="AQ129" i="4"/>
  <c r="BA131" i="4"/>
  <c r="BA134" i="4"/>
  <c r="BA135" i="4"/>
  <c r="AV126" i="4"/>
  <c r="AV133" i="4"/>
  <c r="K131" i="4"/>
  <c r="F138" i="4"/>
  <c r="F145" i="4"/>
  <c r="F140" i="4"/>
  <c r="G140" i="4"/>
  <c r="F143" i="4"/>
  <c r="W143" i="4"/>
  <c r="AS140" i="4"/>
  <c r="AM146" i="4"/>
  <c r="AM147" i="4"/>
  <c r="J150" i="4"/>
  <c r="J155" i="4"/>
  <c r="AA155" i="4"/>
  <c r="AP153" i="4"/>
  <c r="AP155" i="4"/>
  <c r="AP150" i="4"/>
  <c r="AP157" i="4"/>
  <c r="AP152" i="4"/>
  <c r="AZ153" i="4"/>
  <c r="AZ150" i="4"/>
  <c r="AZ157" i="4"/>
  <c r="AX150" i="4"/>
  <c r="AX157" i="4"/>
  <c r="W167" i="4"/>
  <c r="V167" i="4"/>
  <c r="V165" i="4"/>
  <c r="W165" i="4"/>
  <c r="X165" i="4"/>
  <c r="E169" i="4"/>
  <c r="E170" i="4"/>
  <c r="E171" i="4"/>
  <c r="F162" i="4"/>
  <c r="E143" i="4"/>
  <c r="D143" i="4"/>
  <c r="AU146" i="4"/>
  <c r="AU147" i="4"/>
  <c r="AU143" i="4"/>
  <c r="P156" i="4"/>
  <c r="Q149" i="4"/>
  <c r="AM167" i="4"/>
  <c r="AM170" i="4"/>
  <c r="AM171" i="4"/>
  <c r="AM165" i="4"/>
  <c r="AM164" i="4"/>
  <c r="AM162" i="4"/>
  <c r="AM169" i="4"/>
  <c r="AW167" i="4"/>
  <c r="AW170" i="4"/>
  <c r="AW171" i="4"/>
  <c r="AW162" i="4"/>
  <c r="AW169" i="4"/>
  <c r="AW164" i="4"/>
  <c r="D170" i="4"/>
  <c r="AR177" i="4"/>
  <c r="AR182" i="4"/>
  <c r="AR183" i="4"/>
  <c r="AR176" i="4"/>
  <c r="AR174" i="4"/>
  <c r="AR181" i="4"/>
  <c r="AR179" i="4"/>
  <c r="BB179" i="4"/>
  <c r="BB182" i="4"/>
  <c r="BB183" i="4"/>
  <c r="BB174" i="4"/>
  <c r="BB181" i="4"/>
  <c r="Q180" i="4"/>
  <c r="M181" i="4"/>
  <c r="AF179" i="4"/>
  <c r="AS177" i="4"/>
  <c r="AS182" i="4"/>
  <c r="AS183" i="4"/>
  <c r="AS176" i="4"/>
  <c r="AS174" i="4"/>
  <c r="AS181" i="4"/>
  <c r="AS179" i="4"/>
  <c r="BC177" i="4"/>
  <c r="BC182" i="4"/>
  <c r="BC183" i="4"/>
  <c r="BC179" i="4"/>
  <c r="BC176" i="4"/>
  <c r="S180" i="4"/>
  <c r="T180" i="4"/>
  <c r="G164" i="4"/>
  <c r="Y160" i="4"/>
  <c r="AY164" i="4"/>
  <c r="AY165" i="4"/>
  <c r="AY162" i="4"/>
  <c r="AY169" i="4"/>
  <c r="AY170" i="4"/>
  <c r="AY171" i="4"/>
  <c r="AH174" i="4"/>
  <c r="AH181" i="4"/>
  <c r="AH179" i="4"/>
  <c r="AT177" i="4"/>
  <c r="AT176" i="4"/>
  <c r="AT179" i="4"/>
  <c r="AT174" i="4"/>
  <c r="AT181" i="4"/>
  <c r="AT182" i="4"/>
  <c r="AT183" i="4"/>
  <c r="V173" i="4"/>
  <c r="U180" i="4"/>
  <c r="N181" i="4"/>
  <c r="H160" i="4"/>
  <c r="AP164" i="4"/>
  <c r="AP165" i="4"/>
  <c r="AP162" i="4"/>
  <c r="AP169" i="4"/>
  <c r="AP167" i="4"/>
  <c r="AZ164" i="4"/>
  <c r="AZ165" i="4"/>
  <c r="AZ162" i="4"/>
  <c r="AZ169" i="4"/>
  <c r="AZ170" i="4"/>
  <c r="AZ171" i="4"/>
  <c r="N161" i="4"/>
  <c r="M168" i="4"/>
  <c r="AO165" i="4"/>
  <c r="AY167" i="4"/>
  <c r="AI172" i="4"/>
  <c r="X180" i="4"/>
  <c r="Y173" i="4"/>
  <c r="D180" i="4"/>
  <c r="AB160" i="4"/>
  <c r="AQ165" i="4"/>
  <c r="AQ162" i="4"/>
  <c r="AQ169" i="4"/>
  <c r="BA165" i="4"/>
  <c r="BA162" i="4"/>
  <c r="BA169" i="4"/>
  <c r="BA170" i="4"/>
  <c r="BA171" i="4"/>
  <c r="BA164" i="4"/>
  <c r="AQ164" i="4"/>
  <c r="AZ167" i="4"/>
  <c r="P179" i="4"/>
  <c r="P174" i="4"/>
  <c r="P181" i="4"/>
  <c r="BC174" i="4"/>
  <c r="BC181" i="4"/>
  <c r="AA131" i="4"/>
  <c r="AP146" i="4"/>
  <c r="AP147" i="4"/>
  <c r="AP138" i="4"/>
  <c r="AP145" i="4"/>
  <c r="G158" i="4"/>
  <c r="G159" i="4"/>
  <c r="G153" i="4"/>
  <c r="AL155" i="4"/>
  <c r="AL152" i="4"/>
  <c r="AL150" i="4"/>
  <c r="AL157" i="4"/>
  <c r="AV155" i="4"/>
  <c r="AV152" i="4"/>
  <c r="G152" i="4"/>
  <c r="AL153" i="4"/>
  <c r="AV158" i="4"/>
  <c r="AV159" i="4"/>
  <c r="K167" i="4"/>
  <c r="T168" i="4"/>
  <c r="S168" i="4"/>
  <c r="AH161" i="4"/>
  <c r="AO162" i="4"/>
  <c r="AO169" i="4"/>
  <c r="G165" i="4"/>
  <c r="BA167" i="4"/>
  <c r="Q172" i="4"/>
  <c r="AF174" i="4"/>
  <c r="AN188" i="4"/>
  <c r="AN191" i="4"/>
  <c r="AN194" i="4"/>
  <c r="AN195" i="4"/>
  <c r="O192" i="4"/>
  <c r="N192" i="4"/>
  <c r="AN186" i="4"/>
  <c r="AN193" i="4"/>
  <c r="AN189" i="4"/>
  <c r="AR105" i="4"/>
  <c r="G112" i="4"/>
  <c r="V112" i="4"/>
  <c r="E113" i="4"/>
  <c r="AF113" i="4"/>
  <c r="AU122" i="4"/>
  <c r="AU123" i="4"/>
  <c r="AB124" i="4"/>
  <c r="K125" i="4"/>
  <c r="O143" i="4"/>
  <c r="N143" i="4"/>
  <c r="AQ146" i="4"/>
  <c r="AQ147" i="4"/>
  <c r="AQ138" i="4"/>
  <c r="AQ145" i="4"/>
  <c r="BA138" i="4"/>
  <c r="BA145" i="4"/>
  <c r="BA146" i="4"/>
  <c r="BA147" i="4"/>
  <c r="D141" i="4"/>
  <c r="E141" i="4"/>
  <c r="F141" i="4"/>
  <c r="G141" i="4"/>
  <c r="AP141" i="4"/>
  <c r="AZ143" i="4"/>
  <c r="H148" i="4"/>
  <c r="X155" i="4"/>
  <c r="AM155" i="4"/>
  <c r="AM158" i="4"/>
  <c r="AM159" i="4"/>
  <c r="AW155" i="4"/>
  <c r="AW158" i="4"/>
  <c r="AW159" i="4"/>
  <c r="AW152" i="4"/>
  <c r="AW150" i="4"/>
  <c r="AW157" i="4"/>
  <c r="AM153" i="4"/>
  <c r="M162" i="4"/>
  <c r="M169" i="4"/>
  <c r="X167" i="4"/>
  <c r="U191" i="4"/>
  <c r="U189" i="4"/>
  <c r="V189" i="4"/>
  <c r="W189" i="4"/>
  <c r="X189" i="4"/>
  <c r="AO191" i="4"/>
  <c r="AO188" i="4"/>
  <c r="AO186" i="4"/>
  <c r="AO193" i="4"/>
  <c r="AO194" i="4"/>
  <c r="AO195" i="4"/>
  <c r="AY191" i="4"/>
  <c r="AY194" i="4"/>
  <c r="AY195" i="4"/>
  <c r="AY189" i="4"/>
  <c r="AY186" i="4"/>
  <c r="AY193" i="4"/>
  <c r="AO189" i="4"/>
  <c r="AL176" i="4"/>
  <c r="AL177" i="4"/>
  <c r="AV176" i="4"/>
  <c r="AV174" i="4"/>
  <c r="AV181" i="4"/>
  <c r="U179" i="4"/>
  <c r="AM174" i="4"/>
  <c r="AM181" i="4"/>
  <c r="AM179" i="4"/>
  <c r="AW174" i="4"/>
  <c r="AW181" i="4"/>
  <c r="AW179" i="4"/>
  <c r="AW182" i="4"/>
  <c r="AW183" i="4"/>
  <c r="I180" i="4"/>
  <c r="H180" i="4"/>
  <c r="T181" i="4"/>
  <c r="S181" i="4"/>
  <c r="K191" i="4"/>
  <c r="L191" i="4"/>
  <c r="K186" i="4"/>
  <c r="Z192" i="4"/>
  <c r="Y192" i="4"/>
  <c r="F174" i="4"/>
  <c r="F181" i="4"/>
  <c r="V172" i="4"/>
  <c r="AN174" i="4"/>
  <c r="AN181" i="4"/>
  <c r="AN179" i="4"/>
  <c r="AN182" i="4"/>
  <c r="AN183" i="4"/>
  <c r="AN176" i="4"/>
  <c r="AX174" i="4"/>
  <c r="AX181" i="4"/>
  <c r="AX179" i="4"/>
  <c r="AX177" i="4"/>
  <c r="K173" i="4"/>
  <c r="J180" i="4"/>
  <c r="U174" i="4"/>
  <c r="U181" i="4"/>
  <c r="F176" i="4"/>
  <c r="AB192" i="4"/>
  <c r="AC185" i="4"/>
  <c r="G172" i="4"/>
  <c r="X174" i="4"/>
  <c r="X181" i="4"/>
  <c r="AI191" i="4"/>
  <c r="AT186" i="4"/>
  <c r="AT193" i="4"/>
  <c r="AT194" i="4"/>
  <c r="AT195" i="4"/>
  <c r="AT189" i="4"/>
  <c r="AT188" i="4"/>
  <c r="AT191" i="4"/>
  <c r="E192" i="4"/>
  <c r="D192" i="4"/>
  <c r="AA192" i="4"/>
  <c r="G203" i="4"/>
  <c r="H196" i="4"/>
  <c r="AC196" i="4"/>
  <c r="AB203" i="4"/>
  <c r="S155" i="4"/>
  <c r="D155" i="4"/>
  <c r="AA156" i="4"/>
  <c r="AS158" i="4"/>
  <c r="AS159" i="4"/>
  <c r="AX164" i="4"/>
  <c r="AX165" i="4"/>
  <c r="J167" i="4"/>
  <c r="Y172" i="4"/>
  <c r="AW176" i="4"/>
  <c r="AV177" i="4"/>
  <c r="AV179" i="4"/>
  <c r="AV182" i="4"/>
  <c r="AV183" i="4"/>
  <c r="AJ184" i="4"/>
  <c r="AU194" i="4"/>
  <c r="AU195" i="4"/>
  <c r="AU186" i="4"/>
  <c r="AU193" i="4"/>
  <c r="AU191" i="4"/>
  <c r="G185" i="4"/>
  <c r="F192" i="4"/>
  <c r="AF196" i="4"/>
  <c r="AE203" i="4"/>
  <c r="V197" i="4"/>
  <c r="U204" i="4"/>
  <c r="AE114" i="4"/>
  <c r="AB136" i="4"/>
  <c r="AI148" i="4"/>
  <c r="BC155" i="4"/>
  <c r="AF160" i="4"/>
  <c r="AN162" i="4"/>
  <c r="AN169" i="4"/>
  <c r="BB162" i="4"/>
  <c r="BB169" i="4"/>
  <c r="J174" i="4"/>
  <c r="J181" i="4"/>
  <c r="K172" i="4"/>
  <c r="AX176" i="4"/>
  <c r="AW177" i="4"/>
  <c r="AX182" i="4"/>
  <c r="AX183" i="4"/>
  <c r="S191" i="4"/>
  <c r="J192" i="4"/>
  <c r="K185" i="4"/>
  <c r="AU188" i="4"/>
  <c r="T179" i="4"/>
  <c r="M203" i="4"/>
  <c r="M198" i="4"/>
  <c r="M205" i="4"/>
  <c r="N196" i="4"/>
  <c r="AX188" i="4"/>
  <c r="AQ191" i="4"/>
  <c r="D182" i="4"/>
  <c r="AP194" i="4"/>
  <c r="AP195" i="4"/>
  <c r="AP191" i="4"/>
  <c r="AZ194" i="4"/>
  <c r="AZ195" i="4"/>
  <c r="AZ191" i="4"/>
  <c r="AZ188" i="4"/>
  <c r="U203" i="4"/>
  <c r="V196" i="4"/>
  <c r="O191" i="4"/>
  <c r="AE191" i="4"/>
  <c r="Q185" i="4"/>
  <c r="AP186" i="4"/>
  <c r="AP193" i="4"/>
  <c r="BA188" i="4"/>
  <c r="AX189" i="4"/>
  <c r="M191" i="4"/>
  <c r="AX194" i="4"/>
  <c r="AX195" i="4"/>
  <c r="AA174" i="4"/>
  <c r="AA181" i="4"/>
  <c r="AB172" i="4"/>
  <c r="AU174" i="4"/>
  <c r="AU181" i="4"/>
  <c r="AQ177" i="4"/>
  <c r="AA179" i="4"/>
  <c r="BA179" i="4"/>
  <c r="AF184" i="4"/>
  <c r="AR189" i="4"/>
  <c r="AR188" i="4"/>
  <c r="AQ186" i="4"/>
  <c r="AQ193" i="4"/>
  <c r="BB188" i="4"/>
  <c r="N191" i="4"/>
  <c r="AX191" i="4"/>
  <c r="Q161" i="4"/>
  <c r="Q184" i="4"/>
  <c r="AH191" i="4"/>
  <c r="AS189" i="4"/>
  <c r="AS188" i="4"/>
  <c r="AS191" i="4"/>
  <c r="AS194" i="4"/>
  <c r="AS195" i="4"/>
  <c r="AS186" i="4"/>
  <c r="AS193" i="4"/>
  <c r="BC189" i="4"/>
  <c r="BC188" i="4"/>
  <c r="BC191" i="4"/>
  <c r="T185" i="4"/>
  <c r="AR186" i="4"/>
  <c r="AR193" i="4"/>
  <c r="AZ189" i="4"/>
  <c r="P191" i="4"/>
  <c r="BA191" i="4"/>
  <c r="AQ198" i="4"/>
  <c r="AQ205" i="4"/>
  <c r="AQ203" i="4"/>
  <c r="AQ206" i="4"/>
  <c r="AQ207" i="4"/>
  <c r="AQ201" i="4"/>
  <c r="AQ200" i="4"/>
  <c r="BA198" i="4"/>
  <c r="BA205" i="4"/>
  <c r="BA203" i="4"/>
  <c r="BA206" i="4"/>
  <c r="BA207" i="4"/>
  <c r="BA201" i="4"/>
  <c r="BA200" i="4"/>
  <c r="P203" i="4"/>
  <c r="P198" i="4"/>
  <c r="P205" i="4"/>
  <c r="Q196" i="4"/>
  <c r="AI203" i="4"/>
  <c r="AT203" i="4"/>
  <c r="AT206" i="4"/>
  <c r="AT207" i="4"/>
  <c r="AT200" i="4"/>
  <c r="AT198" i="4"/>
  <c r="AT205" i="4"/>
  <c r="D204" i="4"/>
  <c r="E204" i="4"/>
  <c r="S205" i="4"/>
  <c r="T198" i="4"/>
  <c r="T205" i="4"/>
  <c r="AJ196" i="4"/>
  <c r="AU203" i="4"/>
  <c r="AU206" i="4"/>
  <c r="AU207" i="4"/>
  <c r="AU201" i="4"/>
  <c r="AU198" i="4"/>
  <c r="AU205" i="4"/>
  <c r="G197" i="4"/>
  <c r="F204" i="4"/>
  <c r="AU200" i="4"/>
  <c r="AB197" i="4"/>
  <c r="AA204" i="4"/>
  <c r="L204" i="4"/>
  <c r="K204" i="4"/>
  <c r="AP182" i="4"/>
  <c r="AP183" i="4"/>
  <c r="AZ182" i="4"/>
  <c r="AZ183" i="4"/>
  <c r="D198" i="4"/>
  <c r="E203" i="4"/>
  <c r="D203" i="4"/>
  <c r="D201" i="4"/>
  <c r="E201" i="4"/>
  <c r="F201" i="4"/>
  <c r="G201" i="4"/>
  <c r="D200" i="4"/>
  <c r="E200" i="4"/>
  <c r="F200" i="4"/>
  <c r="G200" i="4"/>
  <c r="AH204" i="4"/>
  <c r="AI197" i="4"/>
  <c r="Y184" i="4"/>
  <c r="AM189" i="4"/>
  <c r="AM188" i="4"/>
  <c r="AW189" i="4"/>
  <c r="AW188" i="4"/>
  <c r="F203" i="4"/>
  <c r="F198" i="4"/>
  <c r="F205" i="4"/>
  <c r="F206" i="4"/>
  <c r="F207" i="4"/>
  <c r="AO201" i="4"/>
  <c r="AO200" i="4"/>
  <c r="AO198" i="4"/>
  <c r="AO205" i="4"/>
  <c r="AO203" i="4"/>
  <c r="AO206" i="4"/>
  <c r="AO207" i="4"/>
  <c r="AY201" i="4"/>
  <c r="AY200" i="4"/>
  <c r="AY198" i="4"/>
  <c r="AY205" i="4"/>
  <c r="AY203" i="4"/>
  <c r="AY206" i="4"/>
  <c r="AY207" i="4"/>
  <c r="N204" i="4"/>
  <c r="O204" i="4"/>
  <c r="AR198" i="4"/>
  <c r="AR205" i="4"/>
  <c r="BB198" i="4"/>
  <c r="BB205" i="4"/>
  <c r="AP201" i="4"/>
  <c r="AZ201" i="4"/>
  <c r="AL203" i="4"/>
  <c r="AV203" i="4"/>
  <c r="Y204" i="4"/>
  <c r="AM206" i="4"/>
  <c r="AM207" i="4"/>
  <c r="AW206" i="4"/>
  <c r="AW207" i="4"/>
  <c r="AH198" i="4"/>
  <c r="AH205" i="4"/>
  <c r="AS198" i="4"/>
  <c r="AS205" i="4"/>
  <c r="BC198" i="4"/>
  <c r="BC205" i="4"/>
  <c r="AR200" i="4"/>
  <c r="BB200" i="4"/>
  <c r="S203" i="4"/>
  <c r="AM203" i="4"/>
  <c r="AW203" i="4"/>
  <c r="AN206" i="4"/>
  <c r="AN207" i="4"/>
  <c r="AX206" i="4"/>
  <c r="AX207" i="4"/>
  <c r="AS200" i="4"/>
  <c r="BC200" i="4"/>
  <c r="AR201" i="4"/>
  <c r="BB201" i="4"/>
  <c r="J203" i="4"/>
  <c r="T203" i="4"/>
  <c r="AN203" i="4"/>
  <c r="AX203" i="4"/>
  <c r="Q204" i="4"/>
  <c r="J198" i="4"/>
  <c r="X198" i="4"/>
  <c r="AS201" i="4"/>
  <c r="BC201" i="4"/>
  <c r="K203" i="4"/>
  <c r="AP206" i="4"/>
  <c r="AP207" i="4"/>
  <c r="AZ206" i="4"/>
  <c r="AZ207" i="4"/>
  <c r="AA198" i="4"/>
  <c r="AA205" i="4"/>
  <c r="AM198" i="4"/>
  <c r="AM205" i="4"/>
  <c r="AW198" i="4"/>
  <c r="AW205" i="4"/>
  <c r="AL200" i="4"/>
  <c r="AV200" i="4"/>
  <c r="AR206" i="4"/>
  <c r="AR207" i="4"/>
  <c r="BB206" i="4"/>
  <c r="BB207" i="4"/>
  <c r="AN198" i="4"/>
  <c r="AN205" i="4"/>
  <c r="AX198" i="4"/>
  <c r="AX205" i="4"/>
  <c r="AM200" i="4"/>
  <c r="AW200" i="4"/>
  <c r="AL201" i="4"/>
  <c r="AV201" i="4"/>
  <c r="AS206" i="4"/>
  <c r="AS207" i="4"/>
  <c r="BC206" i="4"/>
  <c r="BC207" i="4"/>
  <c r="AN200" i="4"/>
  <c r="AX200" i="4"/>
  <c r="Y203" i="4"/>
  <c r="AP198" i="4"/>
  <c r="AP205" i="4"/>
  <c r="AZ198" i="4"/>
  <c r="AZ205" i="4"/>
  <c r="E24" i="3"/>
  <c r="J24" i="3"/>
  <c r="D15" i="3"/>
  <c r="E20" i="3"/>
  <c r="J20" i="3"/>
  <c r="A370" i="1"/>
  <c r="A373" i="1"/>
  <c r="A374" i="1"/>
  <c r="A361" i="1"/>
  <c r="A362" i="1"/>
  <c r="A347" i="1"/>
  <c r="A346" i="1"/>
  <c r="A337" i="1"/>
  <c r="A334" i="1"/>
  <c r="A338" i="1"/>
  <c r="A313" i="1"/>
  <c r="A310" i="1"/>
  <c r="A314" i="1"/>
  <c r="G326" i="1"/>
  <c r="A325" i="1"/>
  <c r="A322" i="1"/>
  <c r="A301" i="1"/>
  <c r="A302" i="1"/>
  <c r="A295" i="1"/>
  <c r="A277" i="1"/>
  <c r="A253" i="1"/>
  <c r="G254" i="1"/>
  <c r="A262" i="1"/>
  <c r="A274" i="1"/>
  <c r="A265" i="1"/>
  <c r="A266" i="1"/>
  <c r="A288" i="1"/>
  <c r="A286" i="1"/>
  <c r="A250" i="1"/>
  <c r="A252" i="1"/>
  <c r="A289" i="1"/>
  <c r="A238" i="1"/>
  <c r="A214" i="1"/>
  <c r="A202" i="1"/>
  <c r="A215" i="1"/>
  <c r="A239" i="1"/>
  <c r="A70" i="1"/>
  <c r="D110" i="1"/>
  <c r="E13" i="1"/>
  <c r="A12" i="1"/>
  <c r="E130" i="1"/>
  <c r="E128" i="1"/>
  <c r="F128" i="1"/>
  <c r="E125" i="1"/>
  <c r="F130" i="1"/>
  <c r="E127" i="1"/>
  <c r="F127" i="1"/>
  <c r="B14" i="3"/>
  <c r="D14" i="3"/>
  <c r="F108" i="1"/>
  <c r="F109" i="1"/>
  <c r="F110" i="1"/>
  <c r="E108" i="1"/>
  <c r="E154" i="1"/>
  <c r="E149" i="1"/>
  <c r="E151" i="1"/>
  <c r="F154" i="1"/>
  <c r="E152" i="1"/>
  <c r="F152" i="1"/>
  <c r="B16" i="3"/>
  <c r="D16" i="3"/>
  <c r="B13" i="3"/>
  <c r="D13" i="3"/>
  <c r="D121" i="1"/>
  <c r="D122" i="1"/>
  <c r="A59" i="1"/>
  <c r="A47" i="1"/>
  <c r="A106" i="1"/>
  <c r="F60" i="1"/>
  <c r="F61" i="1"/>
  <c r="F62" i="1"/>
  <c r="E60" i="1"/>
  <c r="A58" i="1"/>
  <c r="E89" i="1"/>
  <c r="F94" i="1"/>
  <c r="E94" i="1"/>
  <c r="E92" i="1"/>
  <c r="F92" i="1"/>
  <c r="B11" i="3"/>
  <c r="D11" i="3"/>
  <c r="F113" i="1"/>
  <c r="F120" i="1"/>
  <c r="F121" i="1"/>
  <c r="F122" i="1"/>
  <c r="E120" i="1"/>
  <c r="E121" i="1"/>
  <c r="E122" i="1"/>
  <c r="A35" i="1"/>
  <c r="E107" i="1"/>
  <c r="A107" i="1"/>
  <c r="F107" i="1"/>
  <c r="A34" i="1"/>
  <c r="B10" i="3"/>
  <c r="D10" i="3"/>
  <c r="F22" i="1"/>
  <c r="E22" i="1"/>
  <c r="E17" i="1"/>
  <c r="E19" i="1"/>
  <c r="F19" i="1"/>
  <c r="E20" i="1"/>
  <c r="F20" i="1"/>
  <c r="B4" i="3"/>
  <c r="D4" i="3"/>
  <c r="A154" i="1"/>
  <c r="F144" i="1"/>
  <c r="F145" i="1"/>
  <c r="F146" i="1"/>
  <c r="E144" i="1"/>
  <c r="E145" i="1"/>
  <c r="E146" i="1"/>
  <c r="D133" i="1"/>
  <c r="D134" i="1"/>
  <c r="A190" i="1"/>
  <c r="E43" i="1"/>
  <c r="F43" i="1"/>
  <c r="E44" i="1"/>
  <c r="F44" i="1"/>
  <c r="E41" i="1"/>
  <c r="F46" i="1"/>
  <c r="E46" i="1"/>
  <c r="A46" i="1"/>
  <c r="B6" i="3"/>
  <c r="D6" i="3"/>
  <c r="F192" i="1"/>
  <c r="F193" i="1"/>
  <c r="F194" i="1"/>
  <c r="E192" i="1"/>
  <c r="F72" i="1"/>
  <c r="F73" i="1"/>
  <c r="F74" i="1"/>
  <c r="E72" i="1"/>
  <c r="E73" i="1"/>
  <c r="E74" i="1"/>
  <c r="A178" i="1"/>
  <c r="A142" i="1"/>
  <c r="D97" i="1"/>
  <c r="D98" i="1"/>
  <c r="D168" i="1"/>
  <c r="D169" i="1"/>
  <c r="D170" i="1"/>
  <c r="E161" i="1"/>
  <c r="E23" i="1"/>
  <c r="A23" i="1"/>
  <c r="F16" i="1"/>
  <c r="F23" i="1"/>
  <c r="F155" i="1"/>
  <c r="E155" i="1"/>
  <c r="A155" i="1"/>
  <c r="A94" i="1"/>
  <c r="E77" i="1"/>
  <c r="A166" i="1"/>
  <c r="A83" i="1"/>
  <c r="E36" i="1"/>
  <c r="F29" i="1"/>
  <c r="F36" i="1"/>
  <c r="F37" i="1"/>
  <c r="F38" i="1"/>
  <c r="A144" i="1"/>
  <c r="A180" i="1"/>
  <c r="AL15" i="4"/>
  <c r="Z96" i="4"/>
  <c r="AG35" i="4"/>
  <c r="G138" i="4"/>
  <c r="G145" i="4"/>
  <c r="G146" i="4"/>
  <c r="G147" i="4"/>
  <c r="F194" i="4"/>
  <c r="F195" i="4"/>
  <c r="Q84" i="4"/>
  <c r="R84" i="4"/>
  <c r="AC125" i="4"/>
  <c r="AB132" i="4"/>
  <c r="O24" i="4"/>
  <c r="N24" i="4"/>
  <c r="AF24" i="4"/>
  <c r="AG24" i="4"/>
  <c r="E86" i="4"/>
  <c r="E87" i="4"/>
  <c r="U90" i="4"/>
  <c r="U97" i="4"/>
  <c r="T97" i="4"/>
  <c r="F74" i="4"/>
  <c r="F75" i="4"/>
  <c r="AZ15" i="4"/>
  <c r="AH15" i="4"/>
  <c r="M15" i="4"/>
  <c r="V150" i="4"/>
  <c r="U157" i="4"/>
  <c r="K144" i="4"/>
  <c r="L137" i="4"/>
  <c r="T15" i="4"/>
  <c r="H60" i="4"/>
  <c r="I60" i="4"/>
  <c r="D98" i="4"/>
  <c r="D99" i="4"/>
  <c r="F182" i="4"/>
  <c r="F183" i="4"/>
  <c r="AF156" i="4"/>
  <c r="F126" i="4"/>
  <c r="F133" i="4"/>
  <c r="S15" i="4"/>
  <c r="AC120" i="4"/>
  <c r="O60" i="4"/>
  <c r="F98" i="4"/>
  <c r="F99" i="4"/>
  <c r="E98" i="4"/>
  <c r="E99" i="4"/>
  <c r="F134" i="4"/>
  <c r="F135" i="4"/>
  <c r="AX15" i="4"/>
  <c r="AQ15" i="4"/>
  <c r="F15" i="4"/>
  <c r="AI108" i="4"/>
  <c r="G198" i="4"/>
  <c r="G205" i="4"/>
  <c r="G206" i="4"/>
  <c r="G207" i="4"/>
  <c r="V113" i="4"/>
  <c r="K126" i="4"/>
  <c r="L131" i="4"/>
  <c r="X77" i="4"/>
  <c r="W84" i="4"/>
  <c r="R60" i="4"/>
  <c r="Q60" i="4"/>
  <c r="AC59" i="4"/>
  <c r="AD59" i="4"/>
  <c r="AC54" i="4"/>
  <c r="AY15" i="4"/>
  <c r="H185" i="4"/>
  <c r="G192" i="4"/>
  <c r="J157" i="4"/>
  <c r="K150" i="4"/>
  <c r="AD168" i="4"/>
  <c r="AC168" i="4"/>
  <c r="AB144" i="4"/>
  <c r="AC137" i="4"/>
  <c r="AV15" i="4"/>
  <c r="H33" i="4"/>
  <c r="I33" i="4"/>
  <c r="J33" i="4"/>
  <c r="I35" i="4"/>
  <c r="H35" i="4"/>
  <c r="H32" i="4"/>
  <c r="I32" i="4"/>
  <c r="J32" i="4"/>
  <c r="J38" i="4"/>
  <c r="J39" i="4"/>
  <c r="AM15" i="4"/>
  <c r="P15" i="4"/>
  <c r="AI102" i="4"/>
  <c r="AI109" i="4"/>
  <c r="AI107" i="4"/>
  <c r="AJ100" i="4"/>
  <c r="O37" i="4"/>
  <c r="N37" i="4"/>
  <c r="E15" i="4"/>
  <c r="O108" i="4"/>
  <c r="N108" i="4"/>
  <c r="AN15" i="4"/>
  <c r="AB119" i="4"/>
  <c r="AC112" i="4"/>
  <c r="AU15" i="4"/>
  <c r="L95" i="4"/>
  <c r="K95" i="4"/>
  <c r="K92" i="4"/>
  <c r="K93" i="4"/>
  <c r="L93" i="4"/>
  <c r="R48" i="4"/>
  <c r="Q48" i="4"/>
  <c r="J15" i="4"/>
  <c r="AE15" i="4"/>
  <c r="G59" i="4"/>
  <c r="H52" i="4"/>
  <c r="G57" i="4"/>
  <c r="G56" i="4"/>
  <c r="AI180" i="4"/>
  <c r="AJ173" i="4"/>
  <c r="L180" i="4"/>
  <c r="K180" i="4"/>
  <c r="J205" i="4"/>
  <c r="K198" i="4"/>
  <c r="AG120" i="4"/>
  <c r="AF120" i="4"/>
  <c r="E120" i="4"/>
  <c r="F113" i="4"/>
  <c r="AI174" i="4"/>
  <c r="AI181" i="4"/>
  <c r="AJ172" i="4"/>
  <c r="AI179" i="4"/>
  <c r="F169" i="4"/>
  <c r="G162" i="4"/>
  <c r="G169" i="4"/>
  <c r="G170" i="4"/>
  <c r="G171" i="4"/>
  <c r="Q129" i="4"/>
  <c r="R129" i="4"/>
  <c r="S129" i="4"/>
  <c r="T129" i="4"/>
  <c r="U129" i="4"/>
  <c r="V129" i="4"/>
  <c r="W129" i="4"/>
  <c r="X129" i="4"/>
  <c r="Y129" i="4"/>
  <c r="Z129" i="4"/>
  <c r="R131" i="4"/>
  <c r="Q131" i="4"/>
  <c r="X15" i="4"/>
  <c r="Q108" i="4"/>
  <c r="R108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W107" i="4"/>
  <c r="V107" i="4"/>
  <c r="V102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H110" i="4"/>
  <c r="AH111" i="4"/>
  <c r="G80" i="4"/>
  <c r="G86" i="4"/>
  <c r="G87" i="4"/>
  <c r="F86" i="4"/>
  <c r="F87" i="4"/>
  <c r="AP15" i="4"/>
  <c r="H96" i="4"/>
  <c r="I89" i="4"/>
  <c r="AF191" i="4"/>
  <c r="AG191" i="4"/>
  <c r="M206" i="4"/>
  <c r="M207" i="4"/>
  <c r="V156" i="4"/>
  <c r="W156" i="4"/>
  <c r="AI204" i="4"/>
  <c r="AJ197" i="4"/>
  <c r="W204" i="4"/>
  <c r="V204" i="4"/>
  <c r="Y165" i="4"/>
  <c r="Z165" i="4"/>
  <c r="AA165" i="4"/>
  <c r="Y167" i="4"/>
  <c r="Z167" i="4"/>
  <c r="T133" i="4"/>
  <c r="S133" i="4"/>
  <c r="AR15" i="4"/>
  <c r="K59" i="4"/>
  <c r="L59" i="4"/>
  <c r="K54" i="4"/>
  <c r="AI78" i="4"/>
  <c r="AI85" i="4"/>
  <c r="AI83" i="4"/>
  <c r="AJ76" i="4"/>
  <c r="AI81" i="4"/>
  <c r="G84" i="4"/>
  <c r="H77" i="4"/>
  <c r="E73" i="4"/>
  <c r="E74" i="4"/>
  <c r="E75" i="4"/>
  <c r="D73" i="4"/>
  <c r="L83" i="4"/>
  <c r="K83" i="4"/>
  <c r="K78" i="4"/>
  <c r="T109" i="4"/>
  <c r="T110" i="4"/>
  <c r="T111" i="4"/>
  <c r="S109" i="4"/>
  <c r="S110" i="4"/>
  <c r="S111" i="4"/>
  <c r="R72" i="4"/>
  <c r="Q72" i="4"/>
  <c r="R61" i="4"/>
  <c r="Q61" i="4"/>
  <c r="D26" i="4"/>
  <c r="O49" i="4"/>
  <c r="N49" i="4"/>
  <c r="AJ65" i="4"/>
  <c r="AI72" i="4"/>
  <c r="T37" i="4"/>
  <c r="S37" i="4"/>
  <c r="AF84" i="4"/>
  <c r="AG84" i="4"/>
  <c r="AF54" i="4"/>
  <c r="AG59" i="4"/>
  <c r="AF59" i="4"/>
  <c r="T49" i="4"/>
  <c r="S49" i="4"/>
  <c r="O59" i="4"/>
  <c r="N59" i="4"/>
  <c r="N54" i="4"/>
  <c r="Q20" i="4"/>
  <c r="P26" i="4"/>
  <c r="P27" i="4"/>
  <c r="AI198" i="4"/>
  <c r="AI205" i="4"/>
  <c r="O203" i="4"/>
  <c r="N203" i="4"/>
  <c r="N198" i="4"/>
  <c r="AF162" i="4"/>
  <c r="AG167" i="4"/>
  <c r="AF167" i="4"/>
  <c r="W119" i="4"/>
  <c r="V119" i="4"/>
  <c r="AG181" i="4"/>
  <c r="AF181" i="4"/>
  <c r="D171" i="4"/>
  <c r="H168" i="4"/>
  <c r="I161" i="4"/>
  <c r="N162" i="4"/>
  <c r="AI143" i="4"/>
  <c r="AJ136" i="4"/>
  <c r="AG131" i="4"/>
  <c r="AF131" i="4"/>
  <c r="AK95" i="4"/>
  <c r="AJ95" i="4"/>
  <c r="AJ90" i="4"/>
  <c r="E109" i="4"/>
  <c r="E110" i="4"/>
  <c r="E111" i="4"/>
  <c r="D109" i="4"/>
  <c r="Y83" i="4"/>
  <c r="Z83" i="4"/>
  <c r="Z120" i="4"/>
  <c r="Y120" i="4"/>
  <c r="Y143" i="4"/>
  <c r="Z143" i="4"/>
  <c r="Y138" i="4"/>
  <c r="Y132" i="4"/>
  <c r="Z132" i="4"/>
  <c r="AD107" i="4"/>
  <c r="AC107" i="4"/>
  <c r="R144" i="4"/>
  <c r="Q144" i="4"/>
  <c r="X161" i="4"/>
  <c r="W168" i="4"/>
  <c r="N85" i="4"/>
  <c r="O85" i="4"/>
  <c r="Y102" i="4"/>
  <c r="V72" i="4"/>
  <c r="W72" i="4"/>
  <c r="D37" i="4"/>
  <c r="E37" i="4"/>
  <c r="E38" i="4"/>
  <c r="E39" i="4"/>
  <c r="AJ53" i="4"/>
  <c r="AI60" i="4"/>
  <c r="G36" i="4"/>
  <c r="H29" i="4"/>
  <c r="D86" i="4"/>
  <c r="L35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K30" i="4"/>
  <c r="K35" i="4"/>
  <c r="AB47" i="4"/>
  <c r="AB15" i="4"/>
  <c r="AB42" i="4"/>
  <c r="AB49" i="4"/>
  <c r="AC40" i="4"/>
  <c r="AT15" i="4"/>
  <c r="E193" i="4"/>
  <c r="E194" i="4"/>
  <c r="E195" i="4"/>
  <c r="D193" i="4"/>
  <c r="AS15" i="4"/>
  <c r="R168" i="4"/>
  <c r="Q168" i="4"/>
  <c r="AG203" i="4"/>
  <c r="AF203" i="4"/>
  <c r="G119" i="4"/>
  <c r="H112" i="4"/>
  <c r="G114" i="4"/>
  <c r="G121" i="4"/>
  <c r="G117" i="4"/>
  <c r="G116" i="4"/>
  <c r="G122" i="4"/>
  <c r="G123" i="4"/>
  <c r="Q174" i="4"/>
  <c r="R179" i="4"/>
  <c r="Q179" i="4"/>
  <c r="Q156" i="4"/>
  <c r="R156" i="4"/>
  <c r="H149" i="4"/>
  <c r="G156" i="4"/>
  <c r="O155" i="4"/>
  <c r="N155" i="4"/>
  <c r="Q138" i="4"/>
  <c r="R143" i="4"/>
  <c r="Q143" i="4"/>
  <c r="W95" i="4"/>
  <c r="V95" i="4"/>
  <c r="V90" i="4"/>
  <c r="Z156" i="4"/>
  <c r="Y156" i="4"/>
  <c r="H78" i="4"/>
  <c r="I83" i="4"/>
  <c r="H83" i="4"/>
  <c r="H81" i="4"/>
  <c r="I81" i="4"/>
  <c r="J81" i="4"/>
  <c r="K81" i="4"/>
  <c r="L81" i="4"/>
  <c r="M81" i="4"/>
  <c r="N81" i="4"/>
  <c r="O81" i="4"/>
  <c r="Y42" i="4"/>
  <c r="Y47" i="4"/>
  <c r="Z47" i="4"/>
  <c r="AG95" i="4"/>
  <c r="AF95" i="4"/>
  <c r="AF90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Q78" i="4"/>
  <c r="R83" i="4"/>
  <c r="Q83" i="4"/>
  <c r="Q80" i="4"/>
  <c r="R80" i="4"/>
  <c r="S80" i="4"/>
  <c r="T80" i="4"/>
  <c r="U80" i="4"/>
  <c r="V80" i="4"/>
  <c r="W80" i="4"/>
  <c r="X80" i="4"/>
  <c r="Y80" i="4"/>
  <c r="Z80" i="4"/>
  <c r="AA80" i="4"/>
  <c r="BC15" i="4"/>
  <c r="D15" i="4"/>
  <c r="AD83" i="4"/>
  <c r="AC83" i="4"/>
  <c r="AC78" i="4"/>
  <c r="AB24" i="4"/>
  <c r="AC17" i="4"/>
  <c r="H48" i="4"/>
  <c r="I48" i="4"/>
  <c r="W35" i="4"/>
  <c r="V35" i="4"/>
  <c r="V30" i="4"/>
  <c r="H40" i="4"/>
  <c r="G47" i="4"/>
  <c r="G45" i="4"/>
  <c r="G44" i="4"/>
  <c r="G42" i="4"/>
  <c r="G49" i="4"/>
  <c r="G50" i="4"/>
  <c r="G51" i="4"/>
  <c r="G189" i="4"/>
  <c r="G188" i="4"/>
  <c r="H184" i="4"/>
  <c r="G191" i="4"/>
  <c r="G186" i="4"/>
  <c r="G193" i="4"/>
  <c r="AC77" i="4"/>
  <c r="AB84" i="4"/>
  <c r="G176" i="4"/>
  <c r="G182" i="4"/>
  <c r="G177" i="4"/>
  <c r="H172" i="4"/>
  <c r="G179" i="4"/>
  <c r="G174" i="4"/>
  <c r="G181" i="4"/>
  <c r="I155" i="4"/>
  <c r="H155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H152" i="4"/>
  <c r="I152" i="4"/>
  <c r="J152" i="4"/>
  <c r="K152" i="4"/>
  <c r="L152" i="4"/>
  <c r="M152" i="4"/>
  <c r="N152" i="4"/>
  <c r="O152" i="4"/>
  <c r="P152" i="4"/>
  <c r="H150" i="4"/>
  <c r="I167" i="4"/>
  <c r="H167" i="4"/>
  <c r="H165" i="4"/>
  <c r="I165" i="4"/>
  <c r="J165" i="4"/>
  <c r="K165" i="4"/>
  <c r="L165" i="4"/>
  <c r="M165" i="4"/>
  <c r="N165" i="4"/>
  <c r="O165" i="4"/>
  <c r="P165" i="4"/>
  <c r="Q165" i="4"/>
  <c r="R165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G128" i="4"/>
  <c r="G126" i="4"/>
  <c r="G133" i="4"/>
  <c r="H124" i="4"/>
  <c r="G129" i="4"/>
  <c r="G131" i="4"/>
  <c r="D135" i="4"/>
  <c r="Q107" i="4"/>
  <c r="R107" i="4"/>
  <c r="AB108" i="4"/>
  <c r="AC101" i="4"/>
  <c r="N95" i="4"/>
  <c r="N90" i="4"/>
  <c r="N92" i="4"/>
  <c r="O92" i="4"/>
  <c r="P92" i="4"/>
  <c r="O95" i="4"/>
  <c r="N93" i="4"/>
  <c r="O93" i="4"/>
  <c r="P93" i="4"/>
  <c r="W71" i="4"/>
  <c r="V66" i="4"/>
  <c r="V71" i="4"/>
  <c r="K49" i="4"/>
  <c r="L49" i="4"/>
  <c r="AI120" i="4"/>
  <c r="AJ113" i="4"/>
  <c r="AG144" i="4"/>
  <c r="AH137" i="4"/>
  <c r="AG73" i="4"/>
  <c r="AG74" i="4"/>
  <c r="AG75" i="4"/>
  <c r="AF73" i="4"/>
  <c r="AF74" i="4"/>
  <c r="AF75" i="4"/>
  <c r="AI30" i="4"/>
  <c r="AI37" i="4"/>
  <c r="AJ28" i="4"/>
  <c r="AI35" i="4"/>
  <c r="BA15" i="4"/>
  <c r="AG48" i="4"/>
  <c r="AF48" i="4"/>
  <c r="G66" i="4"/>
  <c r="G73" i="4"/>
  <c r="G74" i="4"/>
  <c r="G75" i="4"/>
  <c r="AB204" i="4"/>
  <c r="AC197" i="4"/>
  <c r="O168" i="4"/>
  <c r="N168" i="4"/>
  <c r="Y119" i="4"/>
  <c r="Z119" i="4"/>
  <c r="AG138" i="4"/>
  <c r="AF145" i="4"/>
  <c r="AG107" i="4"/>
  <c r="AF107" i="4"/>
  <c r="Q66" i="4"/>
  <c r="R71" i="4"/>
  <c r="Q71" i="4"/>
  <c r="Z131" i="4"/>
  <c r="Y126" i="4"/>
  <c r="Y131" i="4"/>
  <c r="E132" i="4"/>
  <c r="F125" i="4"/>
  <c r="AA15" i="4"/>
  <c r="K121" i="4"/>
  <c r="L114" i="4"/>
  <c r="AC90" i="4"/>
  <c r="AD95" i="4"/>
  <c r="AC95" i="4"/>
  <c r="T145" i="4"/>
  <c r="S145" i="4"/>
  <c r="R120" i="4"/>
  <c r="Q120" i="4"/>
  <c r="Z60" i="4"/>
  <c r="Y60" i="4"/>
  <c r="U15" i="4"/>
  <c r="AJ29" i="4"/>
  <c r="AI36" i="4"/>
  <c r="D50" i="4"/>
  <c r="P37" i="4"/>
  <c r="Q30" i="4"/>
  <c r="AC66" i="4"/>
  <c r="AC71" i="4"/>
  <c r="AD71" i="4"/>
  <c r="AK203" i="4"/>
  <c r="AJ203" i="4"/>
  <c r="D159" i="4"/>
  <c r="V132" i="4"/>
  <c r="W132" i="4"/>
  <c r="AK167" i="4"/>
  <c r="AJ167" i="4"/>
  <c r="AJ165" i="4"/>
  <c r="AK165" i="4"/>
  <c r="AJ164" i="4"/>
  <c r="AK164" i="4"/>
  <c r="AA97" i="4"/>
  <c r="AB90" i="4"/>
  <c r="AB97" i="4"/>
  <c r="AI71" i="4"/>
  <c r="AI66" i="4"/>
  <c r="AI73" i="4"/>
  <c r="AI74" i="4"/>
  <c r="AI75" i="4"/>
  <c r="AJ64" i="4"/>
  <c r="AI68" i="4"/>
  <c r="AI69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H138" i="4"/>
  <c r="H143" i="4"/>
  <c r="H140" i="4"/>
  <c r="I140" i="4"/>
  <c r="J140" i="4"/>
  <c r="K140" i="4"/>
  <c r="L140" i="4"/>
  <c r="M140" i="4"/>
  <c r="N140" i="4"/>
  <c r="O140" i="4"/>
  <c r="P140" i="4"/>
  <c r="P146" i="4"/>
  <c r="P147" i="4"/>
  <c r="I143" i="4"/>
  <c r="AK59" i="4"/>
  <c r="AJ59" i="4"/>
  <c r="AJ54" i="4"/>
  <c r="Y48" i="4"/>
  <c r="Z48" i="4"/>
  <c r="Q47" i="4"/>
  <c r="R47" i="4"/>
  <c r="Q42" i="4"/>
  <c r="W18" i="4"/>
  <c r="V25" i="4"/>
  <c r="H144" i="4"/>
  <c r="I144" i="4"/>
  <c r="AD96" i="4"/>
  <c r="AC96" i="4"/>
  <c r="AD48" i="4"/>
  <c r="AC48" i="4"/>
  <c r="AG37" i="4"/>
  <c r="AF37" i="4"/>
  <c r="AK47" i="4"/>
  <c r="AJ47" i="4"/>
  <c r="AJ45" i="4"/>
  <c r="AK45" i="4"/>
  <c r="AJ42" i="4"/>
  <c r="D146" i="4"/>
  <c r="AK24" i="4"/>
  <c r="AJ24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H200" i="4"/>
  <c r="I200" i="4"/>
  <c r="J200" i="4"/>
  <c r="K200" i="4"/>
  <c r="L200" i="4"/>
  <c r="M200" i="4"/>
  <c r="N200" i="4"/>
  <c r="O200" i="4"/>
  <c r="P200" i="4"/>
  <c r="H198" i="4"/>
  <c r="I203" i="4"/>
  <c r="H203" i="4"/>
  <c r="K132" i="4"/>
  <c r="L125" i="4"/>
  <c r="V59" i="4"/>
  <c r="W59" i="4"/>
  <c r="V54" i="4"/>
  <c r="O102" i="4"/>
  <c r="N109" i="4"/>
  <c r="E121" i="4"/>
  <c r="E122" i="4"/>
  <c r="E123" i="4"/>
  <c r="D121" i="4"/>
  <c r="AJ48" i="4"/>
  <c r="AK48" i="4"/>
  <c r="AG36" i="4"/>
  <c r="AF36" i="4"/>
  <c r="N48" i="4"/>
  <c r="O48" i="4"/>
  <c r="G24" i="4"/>
  <c r="H17" i="4"/>
  <c r="J26" i="4"/>
  <c r="J27" i="4"/>
  <c r="E147" i="4"/>
  <c r="L107" i="4"/>
  <c r="K107" i="4"/>
  <c r="AJ191" i="4"/>
  <c r="AK191" i="4"/>
  <c r="U198" i="4"/>
  <c r="U205" i="4"/>
  <c r="U206" i="4"/>
  <c r="U207" i="4"/>
  <c r="AI155" i="4"/>
  <c r="AJ148" i="4"/>
  <c r="D183" i="4"/>
  <c r="AD203" i="4"/>
  <c r="AC203" i="4"/>
  <c r="Q203" i="4"/>
  <c r="Q198" i="4"/>
  <c r="R203" i="4"/>
  <c r="U185" i="4"/>
  <c r="T192" i="4"/>
  <c r="AC136" i="4"/>
  <c r="AB138" i="4"/>
  <c r="AB145" i="4"/>
  <c r="AB143" i="4"/>
  <c r="V96" i="4"/>
  <c r="W96" i="4"/>
  <c r="G204" i="4"/>
  <c r="H197" i="4"/>
  <c r="R191" i="4"/>
  <c r="Q191" i="4"/>
  <c r="AB129" i="4"/>
  <c r="AB131" i="4"/>
  <c r="AC124" i="4"/>
  <c r="AH168" i="4"/>
  <c r="AI161" i="4"/>
  <c r="W180" i="4"/>
  <c r="V180" i="4"/>
  <c r="F146" i="4"/>
  <c r="F147" i="4"/>
  <c r="I101" i="4"/>
  <c r="H108" i="4"/>
  <c r="Q95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Q92" i="4"/>
  <c r="R92" i="4"/>
  <c r="S92" i="4"/>
  <c r="R95" i="4"/>
  <c r="AI131" i="4"/>
  <c r="AJ124" i="4"/>
  <c r="AJ112" i="4"/>
  <c r="AI114" i="4"/>
  <c r="AI121" i="4"/>
  <c r="AI119" i="4"/>
  <c r="W120" i="4"/>
  <c r="V120" i="4"/>
  <c r="H65" i="4"/>
  <c r="G72" i="4"/>
  <c r="Y95" i="4"/>
  <c r="Z95" i="4"/>
  <c r="V78" i="4"/>
  <c r="AO15" i="4"/>
  <c r="AK108" i="4"/>
  <c r="AJ108" i="4"/>
  <c r="G30" i="4"/>
  <c r="G37" i="4"/>
  <c r="G38" i="4"/>
  <c r="G39" i="4"/>
  <c r="AB191" i="4"/>
  <c r="AB186" i="4"/>
  <c r="AB193" i="4"/>
  <c r="AC184" i="4"/>
  <c r="AB189" i="4"/>
  <c r="AB188" i="4"/>
  <c r="BB15" i="4"/>
  <c r="AI25" i="4"/>
  <c r="AJ18" i="4"/>
  <c r="H93" i="4"/>
  <c r="I93" i="4"/>
  <c r="I95" i="4"/>
  <c r="H92" i="4"/>
  <c r="I92" i="4"/>
  <c r="H90" i="4"/>
  <c r="H95" i="4"/>
  <c r="Z36" i="4"/>
  <c r="Y36" i="4"/>
  <c r="AD25" i="4"/>
  <c r="AC25" i="4"/>
  <c r="K26" i="4"/>
  <c r="K27" i="4"/>
  <c r="V200" i="4"/>
  <c r="W200" i="4"/>
  <c r="X200" i="4"/>
  <c r="Y200" i="4"/>
  <c r="Z200" i="4"/>
  <c r="AA200" i="4"/>
  <c r="W203" i="4"/>
  <c r="V198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V203" i="4"/>
  <c r="AC192" i="4"/>
  <c r="AD185" i="4"/>
  <c r="K156" i="4"/>
  <c r="L149" i="4"/>
  <c r="E205" i="4"/>
  <c r="E206" i="4"/>
  <c r="E207" i="4"/>
  <c r="D205" i="4"/>
  <c r="L179" i="4"/>
  <c r="K174" i="4"/>
  <c r="K179" i="4"/>
  <c r="K193" i="4"/>
  <c r="L186" i="4"/>
  <c r="AB167" i="4"/>
  <c r="AC160" i="4"/>
  <c r="AB165" i="4"/>
  <c r="AB162" i="4"/>
  <c r="AB169" i="4"/>
  <c r="AC155" i="4"/>
  <c r="AD155" i="4"/>
  <c r="AC153" i="4"/>
  <c r="AD153" i="4"/>
  <c r="AE153" i="4"/>
  <c r="AF153" i="4"/>
  <c r="AG153" i="4"/>
  <c r="AH153" i="4"/>
  <c r="AI153" i="4"/>
  <c r="AC152" i="4"/>
  <c r="AD152" i="4"/>
  <c r="AE152" i="4"/>
  <c r="AC172" i="4"/>
  <c r="AB179" i="4"/>
  <c r="AB174" i="4"/>
  <c r="AB181" i="4"/>
  <c r="R192" i="4"/>
  <c r="Q192" i="4"/>
  <c r="AE121" i="4"/>
  <c r="AF114" i="4"/>
  <c r="AB198" i="4"/>
  <c r="AB205" i="4"/>
  <c r="X205" i="4"/>
  <c r="X206" i="4"/>
  <c r="X207" i="4"/>
  <c r="Y198" i="4"/>
  <c r="Y191" i="4"/>
  <c r="Z191" i="4"/>
  <c r="Y189" i="4"/>
  <c r="Z189" i="4"/>
  <c r="L192" i="4"/>
  <c r="K192" i="4"/>
  <c r="Y174" i="4"/>
  <c r="Y179" i="4"/>
  <c r="Z179" i="4"/>
  <c r="V179" i="4"/>
  <c r="V174" i="4"/>
  <c r="W179" i="4"/>
  <c r="Y180" i="4"/>
  <c r="Z180" i="4"/>
  <c r="G102" i="4"/>
  <c r="G109" i="4"/>
  <c r="G107" i="4"/>
  <c r="G104" i="4"/>
  <c r="H100" i="4"/>
  <c r="G105" i="4"/>
  <c r="W145" i="4"/>
  <c r="V145" i="4"/>
  <c r="AH149" i="4"/>
  <c r="AG156" i="4"/>
  <c r="AJ89" i="4"/>
  <c r="AI96" i="4"/>
  <c r="L143" i="4"/>
  <c r="K143" i="4"/>
  <c r="N131" i="4"/>
  <c r="O131" i="4"/>
  <c r="N129" i="4"/>
  <c r="O129" i="4"/>
  <c r="R157" i="4"/>
  <c r="Q157" i="4"/>
  <c r="AF157" i="4"/>
  <c r="AG150" i="4"/>
  <c r="AG83" i="4"/>
  <c r="AF83" i="4"/>
  <c r="AF78" i="4"/>
  <c r="E54" i="4"/>
  <c r="D61" i="4"/>
  <c r="Y71" i="4"/>
  <c r="Y68" i="4"/>
  <c r="Z68" i="4"/>
  <c r="AA68" i="4"/>
  <c r="Y69" i="4"/>
  <c r="Z69" i="4"/>
  <c r="AA69" i="4"/>
  <c r="AB69" i="4"/>
  <c r="AC69" i="4"/>
  <c r="AD69" i="4"/>
  <c r="Z71" i="4"/>
  <c r="V36" i="4"/>
  <c r="W36" i="4"/>
  <c r="AI84" i="4"/>
  <c r="AJ77" i="4"/>
  <c r="V49" i="4"/>
  <c r="W49" i="4"/>
  <c r="I71" i="4"/>
  <c r="H71" i="4"/>
  <c r="H68" i="4"/>
  <c r="I68" i="4"/>
  <c r="J68" i="4"/>
  <c r="K68" i="4"/>
  <c r="L68" i="4"/>
  <c r="M68" i="4"/>
  <c r="N68" i="4"/>
  <c r="O68" i="4"/>
  <c r="P68" i="4"/>
  <c r="P74" i="4"/>
  <c r="P75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H66" i="4"/>
  <c r="AC30" i="4"/>
  <c r="AC35" i="4"/>
  <c r="AD35" i="4"/>
  <c r="G98" i="4"/>
  <c r="L26" i="4"/>
  <c r="L27" i="4"/>
  <c r="J19" i="3"/>
  <c r="A326" i="1"/>
  <c r="A290" i="1"/>
  <c r="A247" i="1"/>
  <c r="A254" i="1"/>
  <c r="A278" i="1"/>
  <c r="A226" i="1"/>
  <c r="A199" i="1"/>
  <c r="A240" i="1"/>
  <c r="E9" i="3"/>
  <c r="J9" i="3"/>
  <c r="A36" i="1"/>
  <c r="E37" i="1"/>
  <c r="E38" i="1"/>
  <c r="A60" i="1"/>
  <c r="E61" i="1"/>
  <c r="E62" i="1"/>
  <c r="A130" i="1"/>
  <c r="A82" i="1"/>
  <c r="A67" i="1"/>
  <c r="F84" i="1"/>
  <c r="F85" i="1"/>
  <c r="F86" i="1"/>
  <c r="E84" i="1"/>
  <c r="A192" i="1"/>
  <c r="E4" i="3"/>
  <c r="E13" i="3"/>
  <c r="J13" i="3"/>
  <c r="E156" i="1"/>
  <c r="F149" i="1"/>
  <c r="F156" i="1"/>
  <c r="F157" i="1"/>
  <c r="F158" i="1"/>
  <c r="F125" i="1"/>
  <c r="F132" i="1"/>
  <c r="F133" i="1"/>
  <c r="F134" i="1"/>
  <c r="E132" i="1"/>
  <c r="F168" i="1"/>
  <c r="F169" i="1"/>
  <c r="F170" i="1"/>
  <c r="E168" i="1"/>
  <c r="E169" i="1"/>
  <c r="E170" i="1"/>
  <c r="A118" i="1"/>
  <c r="E14" i="1"/>
  <c r="A13" i="1"/>
  <c r="A14" i="1"/>
  <c r="B2" i="1"/>
  <c r="A168" i="1"/>
  <c r="F48" i="1"/>
  <c r="F49" i="1"/>
  <c r="F50" i="1"/>
  <c r="E48" i="1"/>
  <c r="A108" i="1"/>
  <c r="E109" i="1"/>
  <c r="F17" i="1"/>
  <c r="F24" i="1"/>
  <c r="F25" i="1"/>
  <c r="F26" i="1"/>
  <c r="E24" i="1"/>
  <c r="E96" i="1"/>
  <c r="F96" i="1"/>
  <c r="F97" i="1"/>
  <c r="F98" i="1"/>
  <c r="A22" i="1"/>
  <c r="A19" i="1"/>
  <c r="A72" i="1"/>
  <c r="E193" i="1"/>
  <c r="E194" i="1"/>
  <c r="P206" i="4"/>
  <c r="P207" i="4"/>
  <c r="Q200" i="4"/>
  <c r="R200" i="4"/>
  <c r="S200" i="4"/>
  <c r="T200" i="4"/>
  <c r="T206" i="4"/>
  <c r="T207" i="4"/>
  <c r="AD125" i="4"/>
  <c r="AC132" i="4"/>
  <c r="H162" i="4"/>
  <c r="Z15" i="4"/>
  <c r="AF15" i="4"/>
  <c r="A202" i="4"/>
  <c r="AG15" i="4"/>
  <c r="H80" i="4"/>
  <c r="I80" i="4"/>
  <c r="J80" i="4"/>
  <c r="J86" i="4"/>
  <c r="J87" i="4"/>
  <c r="N15" i="4"/>
  <c r="L126" i="4"/>
  <c r="K133" i="4"/>
  <c r="L144" i="4"/>
  <c r="M137" i="4"/>
  <c r="AJ198" i="4"/>
  <c r="AJ205" i="4"/>
  <c r="G194" i="4"/>
  <c r="G195" i="4"/>
  <c r="O15" i="4"/>
  <c r="R15" i="4"/>
  <c r="K32" i="4"/>
  <c r="L32" i="4"/>
  <c r="M32" i="4"/>
  <c r="N32" i="4"/>
  <c r="O32" i="4"/>
  <c r="P32" i="4"/>
  <c r="Q32" i="4"/>
  <c r="R32" i="4"/>
  <c r="S32" i="4"/>
  <c r="T32" i="4"/>
  <c r="U32" i="4"/>
  <c r="X110" i="4"/>
  <c r="X111" i="4"/>
  <c r="AB194" i="4"/>
  <c r="AB195" i="4"/>
  <c r="G15" i="4"/>
  <c r="Q15" i="4"/>
  <c r="G110" i="4"/>
  <c r="G111" i="4"/>
  <c r="A48" i="4"/>
  <c r="G134" i="4"/>
  <c r="G135" i="4"/>
  <c r="W150" i="4"/>
  <c r="V157" i="4"/>
  <c r="P158" i="4"/>
  <c r="P159" i="4"/>
  <c r="Q152" i="4"/>
  <c r="R152" i="4"/>
  <c r="S152" i="4"/>
  <c r="AA86" i="4"/>
  <c r="AA87" i="4"/>
  <c r="AB80" i="4"/>
  <c r="AA170" i="4"/>
  <c r="AA171" i="4"/>
  <c r="AB164" i="4"/>
  <c r="AB170" i="4"/>
  <c r="AB171" i="4"/>
  <c r="G183" i="4"/>
  <c r="D51" i="4"/>
  <c r="AC167" i="4"/>
  <c r="AD167" i="4"/>
  <c r="A167" i="4"/>
  <c r="AC165" i="4"/>
  <c r="AD165" i="4"/>
  <c r="AE165" i="4"/>
  <c r="AF165" i="4"/>
  <c r="AG165" i="4"/>
  <c r="AC162" i="4"/>
  <c r="AJ143" i="4"/>
  <c r="AK143" i="4"/>
  <c r="AJ83" i="4"/>
  <c r="AJ78" i="4"/>
  <c r="AK83" i="4"/>
  <c r="AJ81" i="4"/>
  <c r="AK81" i="4"/>
  <c r="R158" i="4"/>
  <c r="R159" i="4"/>
  <c r="D206" i="4"/>
  <c r="AC189" i="4"/>
  <c r="AD189" i="4"/>
  <c r="AE189" i="4"/>
  <c r="AF189" i="4"/>
  <c r="AG189" i="4"/>
  <c r="AH189" i="4"/>
  <c r="AI189" i="4"/>
  <c r="AJ189" i="4"/>
  <c r="AK189" i="4"/>
  <c r="AC188" i="4"/>
  <c r="AD188" i="4"/>
  <c r="AE188" i="4"/>
  <c r="AF188" i="4"/>
  <c r="AG188" i="4"/>
  <c r="AH188" i="4"/>
  <c r="AI188" i="4"/>
  <c r="AJ188" i="4"/>
  <c r="AK188" i="4"/>
  <c r="AD191" i="4"/>
  <c r="AC191" i="4"/>
  <c r="AC186" i="4"/>
  <c r="J101" i="4"/>
  <c r="I108" i="4"/>
  <c r="AC131" i="4"/>
  <c r="AC129" i="4"/>
  <c r="AD129" i="4"/>
  <c r="AE129" i="4"/>
  <c r="AF129" i="4"/>
  <c r="AG129" i="4"/>
  <c r="AH129" i="4"/>
  <c r="AI129" i="4"/>
  <c r="AJ129" i="4"/>
  <c r="AK129" i="4"/>
  <c r="AD131" i="4"/>
  <c r="H204" i="4"/>
  <c r="I204" i="4"/>
  <c r="R205" i="4"/>
  <c r="R206" i="4"/>
  <c r="R207" i="4"/>
  <c r="Q205" i="4"/>
  <c r="Q206" i="4"/>
  <c r="Q207" i="4"/>
  <c r="A203" i="4"/>
  <c r="H145" i="4"/>
  <c r="I138" i="4"/>
  <c r="Q68" i="4"/>
  <c r="R68" i="4"/>
  <c r="S68" i="4"/>
  <c r="AI15" i="4"/>
  <c r="AI137" i="4"/>
  <c r="AH144" i="4"/>
  <c r="W66" i="4"/>
  <c r="V73" i="4"/>
  <c r="AD101" i="4"/>
  <c r="AC108" i="4"/>
  <c r="H42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I47" i="4"/>
  <c r="H47" i="4"/>
  <c r="H44" i="4"/>
  <c r="I44" i="4"/>
  <c r="J44" i="4"/>
  <c r="AF97" i="4"/>
  <c r="AG97" i="4"/>
  <c r="Q140" i="4"/>
  <c r="R140" i="4"/>
  <c r="S140" i="4"/>
  <c r="T140" i="4"/>
  <c r="U140" i="4"/>
  <c r="I156" i="4"/>
  <c r="H156" i="4"/>
  <c r="AD47" i="4"/>
  <c r="AC47" i="4"/>
  <c r="AC15" i="4"/>
  <c r="AC42" i="4"/>
  <c r="Z102" i="4"/>
  <c r="Y109" i="4"/>
  <c r="Y110" i="4"/>
  <c r="Y111" i="4"/>
  <c r="Z145" i="4"/>
  <c r="Y145" i="4"/>
  <c r="AG162" i="4"/>
  <c r="AF169" i="4"/>
  <c r="R20" i="4"/>
  <c r="Q26" i="4"/>
  <c r="Q27" i="4"/>
  <c r="U86" i="4"/>
  <c r="U87" i="4"/>
  <c r="AD61" i="4"/>
  <c r="AC61" i="4"/>
  <c r="L193" i="4"/>
  <c r="M186" i="4"/>
  <c r="AC85" i="4"/>
  <c r="AD85" i="4"/>
  <c r="R145" i="4"/>
  <c r="R146" i="4"/>
  <c r="R147" i="4"/>
  <c r="Q145" i="4"/>
  <c r="D87" i="4"/>
  <c r="D110" i="4"/>
  <c r="N169" i="4"/>
  <c r="N170" i="4"/>
  <c r="N171" i="4"/>
  <c r="O162" i="4"/>
  <c r="F170" i="4"/>
  <c r="AK96" i="4"/>
  <c r="AJ96" i="4"/>
  <c r="AK119" i="4"/>
  <c r="AJ119" i="4"/>
  <c r="AJ114" i="4"/>
  <c r="AJ49" i="4"/>
  <c r="AK42" i="4"/>
  <c r="AK49" i="4"/>
  <c r="AB200" i="4"/>
  <c r="AC200" i="4"/>
  <c r="AD200" i="4"/>
  <c r="AE200" i="4"/>
  <c r="AF200" i="4"/>
  <c r="AG200" i="4"/>
  <c r="AH200" i="4"/>
  <c r="AA206" i="4"/>
  <c r="AA207" i="4"/>
  <c r="X18" i="4"/>
  <c r="W25" i="4"/>
  <c r="H176" i="4"/>
  <c r="I176" i="4"/>
  <c r="J176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H179" i="4"/>
  <c r="A178" i="4"/>
  <c r="I179" i="4"/>
  <c r="H174" i="4"/>
  <c r="V37" i="4"/>
  <c r="W30" i="4"/>
  <c r="A70" i="4"/>
  <c r="H107" i="4"/>
  <c r="H102" i="4"/>
  <c r="H104" i="4"/>
  <c r="I104" i="4"/>
  <c r="J104" i="4"/>
  <c r="K104" i="4"/>
  <c r="L104" i="4"/>
  <c r="M104" i="4"/>
  <c r="I107" i="4"/>
  <c r="H105" i="4"/>
  <c r="I105" i="4"/>
  <c r="J105" i="4"/>
  <c r="K105" i="4"/>
  <c r="L105" i="4"/>
  <c r="M105" i="4"/>
  <c r="N105" i="4"/>
  <c r="O105" i="4"/>
  <c r="P105" i="4"/>
  <c r="Q105" i="4"/>
  <c r="R105" i="4"/>
  <c r="Z181" i="4"/>
  <c r="Y181" i="4"/>
  <c r="M149" i="4"/>
  <c r="L156" i="4"/>
  <c r="Q49" i="4"/>
  <c r="R49" i="4"/>
  <c r="AK205" i="4"/>
  <c r="AC73" i="4"/>
  <c r="AD73" i="4"/>
  <c r="AG145" i="4"/>
  <c r="AH138" i="4"/>
  <c r="AD197" i="4"/>
  <c r="AC204" i="4"/>
  <c r="H126" i="4"/>
  <c r="H128" i="4"/>
  <c r="I128" i="4"/>
  <c r="J128" i="4"/>
  <c r="H129" i="4"/>
  <c r="I129" i="4"/>
  <c r="J129" i="4"/>
  <c r="K129" i="4"/>
  <c r="L129" i="4"/>
  <c r="I131" i="4"/>
  <c r="H131" i="4"/>
  <c r="H188" i="4"/>
  <c r="I188" i="4"/>
  <c r="J188" i="4"/>
  <c r="H191" i="4"/>
  <c r="H186" i="4"/>
  <c r="I191" i="4"/>
  <c r="H189" i="4"/>
  <c r="I189" i="4"/>
  <c r="J189" i="4"/>
  <c r="K189" i="4"/>
  <c r="L189" i="4"/>
  <c r="M189" i="4"/>
  <c r="N189" i="4"/>
  <c r="O189" i="4"/>
  <c r="P189" i="4"/>
  <c r="Q189" i="4"/>
  <c r="R189" i="4"/>
  <c r="V15" i="4"/>
  <c r="Y49" i="4"/>
  <c r="Z49" i="4"/>
  <c r="H36" i="4"/>
  <c r="I36" i="4"/>
  <c r="I168" i="4"/>
  <c r="J161" i="4"/>
  <c r="AK72" i="4"/>
  <c r="AJ72" i="4"/>
  <c r="D74" i="4"/>
  <c r="K61" i="4"/>
  <c r="L61" i="4"/>
  <c r="AK204" i="4"/>
  <c r="AJ204" i="4"/>
  <c r="H192" i="4"/>
  <c r="I192" i="4"/>
  <c r="AC37" i="4"/>
  <c r="AD37" i="4"/>
  <c r="H24" i="4"/>
  <c r="I24" i="4"/>
  <c r="Y133" i="4"/>
  <c r="Z126" i="4"/>
  <c r="AK84" i="4"/>
  <c r="AJ84" i="4"/>
  <c r="V181" i="4"/>
  <c r="W181" i="4"/>
  <c r="Y205" i="4"/>
  <c r="Y206" i="4"/>
  <c r="Y207" i="4"/>
  <c r="Z205" i="4"/>
  <c r="Z206" i="4"/>
  <c r="Z207" i="4"/>
  <c r="AC141" i="4"/>
  <c r="AD141" i="4"/>
  <c r="AE141" i="4"/>
  <c r="AF141" i="4"/>
  <c r="AG141" i="4"/>
  <c r="AH141" i="4"/>
  <c r="AI141" i="4"/>
  <c r="AJ141" i="4"/>
  <c r="AK141" i="4"/>
  <c r="AD143" i="4"/>
  <c r="AC143" i="4"/>
  <c r="A143" i="4"/>
  <c r="AC138" i="4"/>
  <c r="AJ155" i="4"/>
  <c r="AJ153" i="4"/>
  <c r="AK153" i="4"/>
  <c r="AJ152" i="4"/>
  <c r="AK152" i="4"/>
  <c r="AK155" i="4"/>
  <c r="A154" i="4"/>
  <c r="D122" i="4"/>
  <c r="AK61" i="4"/>
  <c r="AJ61" i="4"/>
  <c r="AD97" i="4"/>
  <c r="AC97" i="4"/>
  <c r="R73" i="4"/>
  <c r="Q73" i="4"/>
  <c r="Q74" i="4"/>
  <c r="Q75" i="4"/>
  <c r="AJ33" i="4"/>
  <c r="AK33" i="4"/>
  <c r="AJ30" i="4"/>
  <c r="AK35" i="4"/>
  <c r="AJ35" i="4"/>
  <c r="A34" i="4"/>
  <c r="I157" i="4"/>
  <c r="I158" i="4"/>
  <c r="I159" i="4"/>
  <c r="H157" i="4"/>
  <c r="W90" i="4"/>
  <c r="V97" i="4"/>
  <c r="H119" i="4"/>
  <c r="H114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H116" i="4"/>
  <c r="I116" i="4"/>
  <c r="J116" i="4"/>
  <c r="I119" i="4"/>
  <c r="S206" i="4"/>
  <c r="S207" i="4"/>
  <c r="K205" i="4"/>
  <c r="K206" i="4"/>
  <c r="K207" i="4"/>
  <c r="L205" i="4"/>
  <c r="L206" i="4"/>
  <c r="L207" i="4"/>
  <c r="H56" i="4"/>
  <c r="I56" i="4"/>
  <c r="J56" i="4"/>
  <c r="H59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I59" i="4"/>
  <c r="AC144" i="4"/>
  <c r="AD144" i="4"/>
  <c r="AD179" i="4"/>
  <c r="AC174" i="4"/>
  <c r="AC179" i="4"/>
  <c r="AC177" i="4"/>
  <c r="AD177" i="4"/>
  <c r="AE177" i="4"/>
  <c r="AF177" i="4"/>
  <c r="AG177" i="4"/>
  <c r="AH177" i="4"/>
  <c r="AI177" i="4"/>
  <c r="AJ177" i="4"/>
  <c r="AK177" i="4"/>
  <c r="AA74" i="4"/>
  <c r="AA75" i="4"/>
  <c r="AB68" i="4"/>
  <c r="AD192" i="4"/>
  <c r="AE185" i="4"/>
  <c r="AK25" i="4"/>
  <c r="AJ25" i="4"/>
  <c r="M125" i="4"/>
  <c r="L132" i="4"/>
  <c r="D147" i="4"/>
  <c r="R37" i="4"/>
  <c r="Q37" i="4"/>
  <c r="AK120" i="4"/>
  <c r="AJ120" i="4"/>
  <c r="W15" i="4"/>
  <c r="M170" i="4"/>
  <c r="M171" i="4"/>
  <c r="O205" i="4"/>
  <c r="O206" i="4"/>
  <c r="O207" i="4"/>
  <c r="N205" i="4"/>
  <c r="N206" i="4"/>
  <c r="N207" i="4"/>
  <c r="O61" i="4"/>
  <c r="N61" i="4"/>
  <c r="AG61" i="4"/>
  <c r="AF61" i="4"/>
  <c r="I84" i="4"/>
  <c r="H84" i="4"/>
  <c r="W109" i="4"/>
  <c r="W110" i="4"/>
  <c r="W111" i="4"/>
  <c r="V109" i="4"/>
  <c r="V110" i="4"/>
  <c r="V111" i="4"/>
  <c r="J206" i="4"/>
  <c r="J207" i="4"/>
  <c r="AI104" i="4"/>
  <c r="AI110" i="4"/>
  <c r="AI111" i="4"/>
  <c r="AK179" i="4"/>
  <c r="AJ174" i="4"/>
  <c r="AJ179" i="4"/>
  <c r="A60" i="4"/>
  <c r="H30" i="4"/>
  <c r="AK60" i="4"/>
  <c r="AJ60" i="4"/>
  <c r="I96" i="4"/>
  <c r="J89" i="4"/>
  <c r="T92" i="4"/>
  <c r="S98" i="4"/>
  <c r="S99" i="4"/>
  <c r="V185" i="4"/>
  <c r="U192" i="4"/>
  <c r="D27" i="4"/>
  <c r="H73" i="4"/>
  <c r="H74" i="4"/>
  <c r="H75" i="4"/>
  <c r="I66" i="4"/>
  <c r="D62" i="4"/>
  <c r="AG157" i="4"/>
  <c r="AG158" i="4"/>
  <c r="AG159" i="4"/>
  <c r="AH150" i="4"/>
  <c r="AG121" i="4"/>
  <c r="AF121" i="4"/>
  <c r="L181" i="4"/>
  <c r="K181" i="4"/>
  <c r="O109" i="4"/>
  <c r="P102" i="4"/>
  <c r="A191" i="4"/>
  <c r="N97" i="4"/>
  <c r="N98" i="4"/>
  <c r="N99" i="4"/>
  <c r="O90" i="4"/>
  <c r="I162" i="4"/>
  <c r="H169" i="4"/>
  <c r="H170" i="4"/>
  <c r="H171" i="4"/>
  <c r="AD84" i="4"/>
  <c r="AC84" i="4"/>
  <c r="R78" i="4"/>
  <c r="Q85" i="4"/>
  <c r="Q86" i="4"/>
  <c r="Q87" i="4"/>
  <c r="R181" i="4"/>
  <c r="Q181" i="4"/>
  <c r="K37" i="4"/>
  <c r="K38" i="4"/>
  <c r="K39" i="4"/>
  <c r="L37" i="4"/>
  <c r="L38" i="4"/>
  <c r="L39" i="4"/>
  <c r="D38" i="4"/>
  <c r="L85" i="4"/>
  <c r="L86" i="4"/>
  <c r="L87" i="4"/>
  <c r="K85" i="4"/>
  <c r="AK180" i="4"/>
  <c r="AJ180" i="4"/>
  <c r="A180" i="4"/>
  <c r="F54" i="4"/>
  <c r="E61" i="4"/>
  <c r="E62" i="4"/>
  <c r="E63" i="4"/>
  <c r="AC198" i="4"/>
  <c r="Y15" i="4"/>
  <c r="I85" i="4"/>
  <c r="I86" i="4"/>
  <c r="I87" i="4"/>
  <c r="H85" i="4"/>
  <c r="F120" i="4"/>
  <c r="G113" i="4"/>
  <c r="AC119" i="4"/>
  <c r="AD119" i="4"/>
  <c r="AC117" i="4"/>
  <c r="AD117" i="4"/>
  <c r="AE117" i="4"/>
  <c r="AF117" i="4"/>
  <c r="AG117" i="4"/>
  <c r="AH117" i="4"/>
  <c r="AI117" i="4"/>
  <c r="AJ117" i="4"/>
  <c r="AK117" i="4"/>
  <c r="K157" i="4"/>
  <c r="K158" i="4"/>
  <c r="K159" i="4"/>
  <c r="L150" i="4"/>
  <c r="Y77" i="4"/>
  <c r="X84" i="4"/>
  <c r="AJ66" i="4"/>
  <c r="AJ69" i="4"/>
  <c r="AK69" i="4"/>
  <c r="AJ68" i="4"/>
  <c r="AK68" i="4"/>
  <c r="AK71" i="4"/>
  <c r="AJ71" i="4"/>
  <c r="A71" i="4"/>
  <c r="K15" i="4"/>
  <c r="AI168" i="4"/>
  <c r="AJ161" i="4"/>
  <c r="L121" i="4"/>
  <c r="M114" i="4"/>
  <c r="D194" i="4"/>
  <c r="X168" i="4"/>
  <c r="Y161" i="4"/>
  <c r="AK97" i="4"/>
  <c r="AJ97" i="4"/>
  <c r="K80" i="4"/>
  <c r="L80" i="4"/>
  <c r="M80" i="4"/>
  <c r="AF158" i="4"/>
  <c r="AF159" i="4"/>
  <c r="AI149" i="4"/>
  <c r="AH156" i="4"/>
  <c r="W205" i="4"/>
  <c r="W206" i="4"/>
  <c r="W207" i="4"/>
  <c r="V205" i="4"/>
  <c r="V206" i="4"/>
  <c r="V207" i="4"/>
  <c r="A95" i="4"/>
  <c r="A94" i="4"/>
  <c r="H72" i="4"/>
  <c r="I65" i="4"/>
  <c r="AJ131" i="4"/>
  <c r="AK131" i="4"/>
  <c r="I205" i="4"/>
  <c r="I206" i="4"/>
  <c r="I207" i="4"/>
  <c r="H205" i="4"/>
  <c r="H206" i="4"/>
  <c r="H207" i="4"/>
  <c r="S146" i="4"/>
  <c r="S147" i="4"/>
  <c r="G99" i="4"/>
  <c r="AG85" i="4"/>
  <c r="AF85" i="4"/>
  <c r="Q158" i="4"/>
  <c r="Q159" i="4"/>
  <c r="AF152" i="4"/>
  <c r="AG152" i="4"/>
  <c r="AH152" i="4"/>
  <c r="AI152" i="4"/>
  <c r="AE158" i="4"/>
  <c r="AE159" i="4"/>
  <c r="H97" i="4"/>
  <c r="I90" i="4"/>
  <c r="V85" i="4"/>
  <c r="V86" i="4"/>
  <c r="V87" i="4"/>
  <c r="W78" i="4"/>
  <c r="W61" i="4"/>
  <c r="V61" i="4"/>
  <c r="AK29" i="4"/>
  <c r="AK36" i="4"/>
  <c r="AJ36" i="4"/>
  <c r="F132" i="4"/>
  <c r="G125" i="4"/>
  <c r="AC24" i="4"/>
  <c r="AD24" i="4"/>
  <c r="A35" i="4"/>
  <c r="L15" i="4"/>
  <c r="AK107" i="4"/>
  <c r="A106" i="4"/>
  <c r="AJ105" i="4"/>
  <c r="AK105" i="4"/>
  <c r="AJ107" i="4"/>
  <c r="AJ102" i="4"/>
  <c r="J158" i="4"/>
  <c r="J159" i="4"/>
  <c r="A348" i="1"/>
  <c r="A216" i="1"/>
  <c r="A241" i="1"/>
  <c r="A242" i="1"/>
  <c r="A204" i="1"/>
  <c r="A228" i="1"/>
  <c r="A156" i="1"/>
  <c r="E157" i="1"/>
  <c r="E158" i="1"/>
  <c r="A96" i="1"/>
  <c r="E97" i="1"/>
  <c r="E98" i="1"/>
  <c r="E2" i="3"/>
  <c r="J4" i="3"/>
  <c r="A48" i="1"/>
  <c r="E49" i="1"/>
  <c r="E50" i="1"/>
  <c r="E25" i="1"/>
  <c r="E26" i="1"/>
  <c r="A24" i="1"/>
  <c r="E110" i="1"/>
  <c r="A109" i="1"/>
  <c r="A110" i="1"/>
  <c r="A132" i="1"/>
  <c r="E133" i="1"/>
  <c r="E134" i="1"/>
  <c r="E85" i="1"/>
  <c r="A84" i="1"/>
  <c r="A115" i="1"/>
  <c r="A107" i="4"/>
  <c r="W157" i="4"/>
  <c r="X150" i="4"/>
  <c r="A166" i="4"/>
  <c r="AD15" i="4"/>
  <c r="A82" i="4"/>
  <c r="N137" i="4"/>
  <c r="M144" i="4"/>
  <c r="I15" i="4"/>
  <c r="AC164" i="4"/>
  <c r="AD164" i="4"/>
  <c r="AE164" i="4"/>
  <c r="AE170" i="4"/>
  <c r="AE171" i="4"/>
  <c r="AE125" i="4"/>
  <c r="AD132" i="4"/>
  <c r="T146" i="4"/>
  <c r="T147" i="4"/>
  <c r="A155" i="4"/>
  <c r="A190" i="4"/>
  <c r="M38" i="4"/>
  <c r="M39" i="4"/>
  <c r="L133" i="4"/>
  <c r="M126" i="4"/>
  <c r="A24" i="4"/>
  <c r="A36" i="4"/>
  <c r="K86" i="4"/>
  <c r="K87" i="4"/>
  <c r="R74" i="4"/>
  <c r="R75" i="4"/>
  <c r="Q146" i="4"/>
  <c r="Q147" i="4"/>
  <c r="T38" i="4"/>
  <c r="T39" i="4"/>
  <c r="AB86" i="4"/>
  <c r="AB87" i="4"/>
  <c r="AC80" i="4"/>
  <c r="AD80" i="4"/>
  <c r="AE80" i="4"/>
  <c r="S78" i="4"/>
  <c r="R85" i="4"/>
  <c r="R86" i="4"/>
  <c r="R87" i="4"/>
  <c r="AH157" i="4"/>
  <c r="AH158" i="4"/>
  <c r="AH159" i="4"/>
  <c r="AI150" i="4"/>
  <c r="AD49" i="4"/>
  <c r="AC49" i="4"/>
  <c r="AD108" i="4"/>
  <c r="AE101" i="4"/>
  <c r="H146" i="4"/>
  <c r="AD198" i="4"/>
  <c r="AC205" i="4"/>
  <c r="AC206" i="4"/>
  <c r="AC207" i="4"/>
  <c r="P109" i="4"/>
  <c r="Q102" i="4"/>
  <c r="V192" i="4"/>
  <c r="W192" i="4"/>
  <c r="H37" i="4"/>
  <c r="I37" i="4"/>
  <c r="I38" i="4"/>
  <c r="I39" i="4"/>
  <c r="W97" i="4"/>
  <c r="X90" i="4"/>
  <c r="A131" i="4"/>
  <c r="A128" i="4"/>
  <c r="A130" i="4"/>
  <c r="W37" i="4"/>
  <c r="W38" i="4"/>
  <c r="W39" i="4"/>
  <c r="X30" i="4"/>
  <c r="X25" i="4"/>
  <c r="Y18" i="4"/>
  <c r="D111" i="4"/>
  <c r="M193" i="4"/>
  <c r="N186" i="4"/>
  <c r="S20" i="4"/>
  <c r="R26" i="4"/>
  <c r="R27" i="4"/>
  <c r="J50" i="4"/>
  <c r="J51" i="4"/>
  <c r="K44" i="4"/>
  <c r="D207" i="4"/>
  <c r="A83" i="4"/>
  <c r="O169" i="4"/>
  <c r="O170" i="4"/>
  <c r="O171" i="4"/>
  <c r="P162" i="4"/>
  <c r="K188" i="4"/>
  <c r="J194" i="4"/>
  <c r="J195" i="4"/>
  <c r="M121" i="4"/>
  <c r="N114" i="4"/>
  <c r="D63" i="4"/>
  <c r="M132" i="4"/>
  <c r="N125" i="4"/>
  <c r="H158" i="4"/>
  <c r="AA126" i="4"/>
  <c r="Z133" i="4"/>
  <c r="V38" i="4"/>
  <c r="V39" i="4"/>
  <c r="A46" i="4"/>
  <c r="A14" i="4"/>
  <c r="A47" i="4"/>
  <c r="W73" i="4"/>
  <c r="X66" i="4"/>
  <c r="S38" i="4"/>
  <c r="S39" i="4"/>
  <c r="AD169" i="4"/>
  <c r="AC169" i="4"/>
  <c r="AH206" i="4"/>
  <c r="AH207" i="4"/>
  <c r="AI200" i="4"/>
  <c r="AG169" i="4"/>
  <c r="AH162" i="4"/>
  <c r="F61" i="4"/>
  <c r="F62" i="4"/>
  <c r="F63" i="4"/>
  <c r="G54" i="4"/>
  <c r="K89" i="4"/>
  <c r="J96" i="4"/>
  <c r="A59" i="4"/>
  <c r="A58" i="4"/>
  <c r="AJ15" i="4"/>
  <c r="D75" i="4"/>
  <c r="I181" i="4"/>
  <c r="I182" i="4"/>
  <c r="I183" i="4"/>
  <c r="H181" i="4"/>
  <c r="AJ137" i="4"/>
  <c r="AI144" i="4"/>
  <c r="J108" i="4"/>
  <c r="K101" i="4"/>
  <c r="AB74" i="4"/>
  <c r="AB75" i="4"/>
  <c r="AC68" i="4"/>
  <c r="AD68" i="4"/>
  <c r="AD74" i="4"/>
  <c r="AD75" i="4"/>
  <c r="W85" i="4"/>
  <c r="W86" i="4"/>
  <c r="W87" i="4"/>
  <c r="X78" i="4"/>
  <c r="J65" i="4"/>
  <c r="I72" i="4"/>
  <c r="Z84" i="4"/>
  <c r="Y84" i="4"/>
  <c r="K116" i="4"/>
  <c r="J122" i="4"/>
  <c r="J123" i="4"/>
  <c r="J134" i="4"/>
  <c r="J135" i="4"/>
  <c r="K128" i="4"/>
  <c r="N104" i="4"/>
  <c r="M110" i="4"/>
  <c r="M111" i="4"/>
  <c r="M156" i="4"/>
  <c r="N149" i="4"/>
  <c r="I145" i="4"/>
  <c r="I146" i="4"/>
  <c r="I147" i="4"/>
  <c r="J138" i="4"/>
  <c r="G132" i="4"/>
  <c r="H125" i="4"/>
  <c r="H133" i="4"/>
  <c r="I133" i="4"/>
  <c r="I134" i="4"/>
  <c r="I135" i="4"/>
  <c r="AJ121" i="4"/>
  <c r="AK121" i="4"/>
  <c r="F171" i="4"/>
  <c r="I49" i="4"/>
  <c r="I50" i="4"/>
  <c r="I51" i="4"/>
  <c r="H49" i="4"/>
  <c r="T68" i="4"/>
  <c r="S74" i="4"/>
  <c r="S75" i="4"/>
  <c r="AC193" i="4"/>
  <c r="AC194" i="4"/>
  <c r="AC195" i="4"/>
  <c r="AD186" i="4"/>
  <c r="A142" i="4"/>
  <c r="T152" i="4"/>
  <c r="S158" i="4"/>
  <c r="S159" i="4"/>
  <c r="AH145" i="4"/>
  <c r="AI138" i="4"/>
  <c r="D195" i="4"/>
  <c r="AK73" i="4"/>
  <c r="AK74" i="4"/>
  <c r="AK75" i="4"/>
  <c r="AJ73" i="4"/>
  <c r="AJ74" i="4"/>
  <c r="AJ75" i="4"/>
  <c r="AI156" i="4"/>
  <c r="AJ149" i="4"/>
  <c r="D39" i="4"/>
  <c r="T98" i="4"/>
  <c r="T99" i="4"/>
  <c r="U92" i="4"/>
  <c r="AJ104" i="4"/>
  <c r="AK104" i="4"/>
  <c r="I73" i="4"/>
  <c r="I74" i="4"/>
  <c r="I75" i="4"/>
  <c r="J66" i="4"/>
  <c r="I169" i="4"/>
  <c r="I170" i="4"/>
  <c r="I171" i="4"/>
  <c r="J162" i="4"/>
  <c r="AK15" i="4"/>
  <c r="AD145" i="4"/>
  <c r="AC145" i="4"/>
  <c r="AJ109" i="4"/>
  <c r="AJ110" i="4"/>
  <c r="AJ111" i="4"/>
  <c r="AK109" i="4"/>
  <c r="L157" i="4"/>
  <c r="L158" i="4"/>
  <c r="L159" i="4"/>
  <c r="M150" i="4"/>
  <c r="N38" i="4"/>
  <c r="N39" i="4"/>
  <c r="O97" i="4"/>
  <c r="O98" i="4"/>
  <c r="O99" i="4"/>
  <c r="P90" i="4"/>
  <c r="AJ181" i="4"/>
  <c r="AK181" i="4"/>
  <c r="AE192" i="4"/>
  <c r="AF185" i="4"/>
  <c r="J62" i="4"/>
  <c r="J63" i="4"/>
  <c r="K56" i="4"/>
  <c r="L56" i="4"/>
  <c r="M56" i="4"/>
  <c r="AJ37" i="4"/>
  <c r="AK30" i="4"/>
  <c r="AK37" i="4"/>
  <c r="Q38" i="4"/>
  <c r="Q39" i="4"/>
  <c r="AD181" i="4"/>
  <c r="AC181" i="4"/>
  <c r="I121" i="4"/>
  <c r="I122" i="4"/>
  <c r="I123" i="4"/>
  <c r="H121" i="4"/>
  <c r="D123" i="4"/>
  <c r="AB206" i="4"/>
  <c r="AB207" i="4"/>
  <c r="I193" i="4"/>
  <c r="I194" i="4"/>
  <c r="I195" i="4"/>
  <c r="H193" i="4"/>
  <c r="Z109" i="4"/>
  <c r="Z110" i="4"/>
  <c r="Z111" i="4"/>
  <c r="AA102" i="4"/>
  <c r="A179" i="4"/>
  <c r="U38" i="4"/>
  <c r="U39" i="4"/>
  <c r="V32" i="4"/>
  <c r="W32" i="4"/>
  <c r="X32" i="4"/>
  <c r="Y32" i="4"/>
  <c r="Z32" i="4"/>
  <c r="AA32" i="4"/>
  <c r="AJ168" i="4"/>
  <c r="AK168" i="4"/>
  <c r="I97" i="4"/>
  <c r="I98" i="4"/>
  <c r="I99" i="4"/>
  <c r="J90" i="4"/>
  <c r="N80" i="4"/>
  <c r="M86" i="4"/>
  <c r="M87" i="4"/>
  <c r="G120" i="4"/>
  <c r="H113" i="4"/>
  <c r="H15" i="4"/>
  <c r="H98" i="4"/>
  <c r="H109" i="4"/>
  <c r="I102" i="4"/>
  <c r="Z168" i="4"/>
  <c r="Y168" i="4"/>
  <c r="O38" i="4"/>
  <c r="O39" i="4"/>
  <c r="H86" i="4"/>
  <c r="P38" i="4"/>
  <c r="P39" i="4"/>
  <c r="R38" i="4"/>
  <c r="R39" i="4"/>
  <c r="A119" i="4"/>
  <c r="A118" i="4"/>
  <c r="K161" i="4"/>
  <c r="J168" i="4"/>
  <c r="AE197" i="4"/>
  <c r="AD204" i="4"/>
  <c r="J182" i="4"/>
  <c r="J183" i="4"/>
  <c r="K176" i="4"/>
  <c r="L176" i="4"/>
  <c r="M176" i="4"/>
  <c r="AC86" i="4"/>
  <c r="AC87" i="4"/>
  <c r="V140" i="4"/>
  <c r="U146" i="4"/>
  <c r="U147" i="4"/>
  <c r="AK85" i="4"/>
  <c r="AJ85" i="4"/>
  <c r="A349" i="1"/>
  <c r="A350" i="1"/>
  <c r="A205" i="1"/>
  <c r="A206" i="1"/>
  <c r="A229" i="1"/>
  <c r="A230" i="1"/>
  <c r="A217" i="1"/>
  <c r="A218" i="1"/>
  <c r="E86" i="1"/>
  <c r="A85" i="1"/>
  <c r="A86" i="1"/>
  <c r="A120" i="1"/>
  <c r="A119" i="1"/>
  <c r="M133" i="4"/>
  <c r="N126" i="4"/>
  <c r="AK110" i="4"/>
  <c r="AK111" i="4"/>
  <c r="A84" i="4"/>
  <c r="AC170" i="4"/>
  <c r="AC171" i="4"/>
  <c r="Y150" i="4"/>
  <c r="X157" i="4"/>
  <c r="AD86" i="4"/>
  <c r="AD87" i="4"/>
  <c r="A32" i="4"/>
  <c r="AD170" i="4"/>
  <c r="AD171" i="4"/>
  <c r="AF164" i="4"/>
  <c r="N144" i="4"/>
  <c r="O144" i="4"/>
  <c r="AE132" i="4"/>
  <c r="AF125" i="4"/>
  <c r="U98" i="4"/>
  <c r="U99" i="4"/>
  <c r="V92" i="4"/>
  <c r="AD193" i="4"/>
  <c r="AD194" i="4"/>
  <c r="AD195" i="4"/>
  <c r="AE186" i="4"/>
  <c r="G61" i="4"/>
  <c r="G62" i="4"/>
  <c r="G63" i="4"/>
  <c r="H54" i="4"/>
  <c r="L44" i="4"/>
  <c r="K50" i="4"/>
  <c r="K51" i="4"/>
  <c r="AA109" i="4"/>
  <c r="AA110" i="4"/>
  <c r="AA111" i="4"/>
  <c r="AB102" i="4"/>
  <c r="H134" i="4"/>
  <c r="X85" i="4"/>
  <c r="X86" i="4"/>
  <c r="X87" i="4"/>
  <c r="Y78" i="4"/>
  <c r="AK144" i="4"/>
  <c r="AJ144" i="4"/>
  <c r="H159" i="4"/>
  <c r="P169" i="4"/>
  <c r="P170" i="4"/>
  <c r="P171" i="4"/>
  <c r="Q162" i="4"/>
  <c r="Q109" i="4"/>
  <c r="R109" i="4"/>
  <c r="AH169" i="4"/>
  <c r="AH170" i="4"/>
  <c r="AH171" i="4"/>
  <c r="AI162" i="4"/>
  <c r="O132" i="4"/>
  <c r="N132" i="4"/>
  <c r="T20" i="4"/>
  <c r="S26" i="4"/>
  <c r="I109" i="4"/>
  <c r="I110" i="4"/>
  <c r="I111" i="4"/>
  <c r="J102" i="4"/>
  <c r="M62" i="4"/>
  <c r="M63" i="4"/>
  <c r="N56" i="4"/>
  <c r="A49" i="4"/>
  <c r="H50" i="4"/>
  <c r="N193" i="4"/>
  <c r="O186" i="4"/>
  <c r="X37" i="4"/>
  <c r="X38" i="4"/>
  <c r="X39" i="4"/>
  <c r="Y30" i="4"/>
  <c r="H122" i="4"/>
  <c r="O80" i="4"/>
  <c r="O86" i="4"/>
  <c r="O87" i="4"/>
  <c r="N86" i="4"/>
  <c r="N87" i="4"/>
  <c r="N176" i="4"/>
  <c r="M182" i="4"/>
  <c r="M183" i="4"/>
  <c r="L116" i="4"/>
  <c r="K122" i="4"/>
  <c r="K123" i="4"/>
  <c r="AJ200" i="4"/>
  <c r="AI206" i="4"/>
  <c r="AI207" i="4"/>
  <c r="AC74" i="4"/>
  <c r="AC75" i="4"/>
  <c r="AD205" i="4"/>
  <c r="AE198" i="4"/>
  <c r="AI157" i="4"/>
  <c r="AI158" i="4"/>
  <c r="AI159" i="4"/>
  <c r="AJ150" i="4"/>
  <c r="L188" i="4"/>
  <c r="K194" i="4"/>
  <c r="K195" i="4"/>
  <c r="J97" i="4"/>
  <c r="J98" i="4"/>
  <c r="J99" i="4"/>
  <c r="K90" i="4"/>
  <c r="U68" i="4"/>
  <c r="T74" i="4"/>
  <c r="T75" i="4"/>
  <c r="A80" i="4"/>
  <c r="X97" i="4"/>
  <c r="Y90" i="4"/>
  <c r="H147" i="4"/>
  <c r="H110" i="4"/>
  <c r="AJ156" i="4"/>
  <c r="AK156" i="4"/>
  <c r="J73" i="4"/>
  <c r="K66" i="4"/>
  <c r="L62" i="4"/>
  <c r="L63" i="4"/>
  <c r="L128" i="4"/>
  <c r="K134" i="4"/>
  <c r="K135" i="4"/>
  <c r="J72" i="4"/>
  <c r="K65" i="4"/>
  <c r="H99" i="4"/>
  <c r="H194" i="4"/>
  <c r="L182" i="4"/>
  <c r="L183" i="4"/>
  <c r="A181" i="4"/>
  <c r="H182" i="4"/>
  <c r="AF197" i="4"/>
  <c r="AE204" i="4"/>
  <c r="X73" i="4"/>
  <c r="X74" i="4"/>
  <c r="X75" i="4"/>
  <c r="Y66" i="4"/>
  <c r="H87" i="4"/>
  <c r="B15" i="4"/>
  <c r="U152" i="4"/>
  <c r="T158" i="4"/>
  <c r="T159" i="4"/>
  <c r="O104" i="4"/>
  <c r="N110" i="4"/>
  <c r="N111" i="4"/>
  <c r="L89" i="4"/>
  <c r="K96" i="4"/>
  <c r="O114" i="4"/>
  <c r="N121" i="4"/>
  <c r="Y25" i="4"/>
  <c r="Z25" i="4"/>
  <c r="AE108" i="4"/>
  <c r="AF101" i="4"/>
  <c r="S85" i="4"/>
  <c r="T85" i="4"/>
  <c r="T86" i="4"/>
  <c r="T87" i="4"/>
  <c r="O156" i="4"/>
  <c r="N156" i="4"/>
  <c r="W140" i="4"/>
  <c r="V146" i="4"/>
  <c r="V147" i="4"/>
  <c r="P97" i="4"/>
  <c r="P98" i="4"/>
  <c r="P99" i="4"/>
  <c r="Q90" i="4"/>
  <c r="I132" i="4"/>
  <c r="H132" i="4"/>
  <c r="J169" i="4"/>
  <c r="K162" i="4"/>
  <c r="AI145" i="4"/>
  <c r="AJ138" i="4"/>
  <c r="AF192" i="4"/>
  <c r="AG185" i="4"/>
  <c r="M157" i="4"/>
  <c r="N150" i="4"/>
  <c r="L168" i="4"/>
  <c r="K168" i="4"/>
  <c r="A168" i="4"/>
  <c r="I120" i="4"/>
  <c r="H120" i="4"/>
  <c r="A120" i="4"/>
  <c r="AA38" i="4"/>
  <c r="AA39" i="4"/>
  <c r="AB32" i="4"/>
  <c r="J145" i="4"/>
  <c r="J146" i="4"/>
  <c r="J147" i="4"/>
  <c r="K138" i="4"/>
  <c r="K182" i="4"/>
  <c r="K183" i="4"/>
  <c r="K108" i="4"/>
  <c r="L108" i="4"/>
  <c r="K62" i="4"/>
  <c r="K63" i="4"/>
  <c r="AA133" i="4"/>
  <c r="AB126" i="4"/>
  <c r="H38" i="4"/>
  <c r="AE86" i="4"/>
  <c r="AE87" i="4"/>
  <c r="AF80" i="4"/>
  <c r="A143" i="1"/>
  <c r="AF132" i="4"/>
  <c r="AG125" i="4"/>
  <c r="AG164" i="4"/>
  <c r="AG170" i="4"/>
  <c r="AG171" i="4"/>
  <c r="AF170" i="4"/>
  <c r="AF171" i="4"/>
  <c r="N133" i="4"/>
  <c r="O126" i="4"/>
  <c r="Z150" i="4"/>
  <c r="Y157" i="4"/>
  <c r="A156" i="4"/>
  <c r="AG80" i="4"/>
  <c r="AF86" i="4"/>
  <c r="AF87" i="4"/>
  <c r="AE205" i="4"/>
  <c r="AE206" i="4"/>
  <c r="AE207" i="4"/>
  <c r="AF198" i="4"/>
  <c r="AE193" i="4"/>
  <c r="AE194" i="4"/>
  <c r="AE195" i="4"/>
  <c r="AF186" i="4"/>
  <c r="S86" i="4"/>
  <c r="S87" i="4"/>
  <c r="A85" i="4"/>
  <c r="M116" i="4"/>
  <c r="L122" i="4"/>
  <c r="L123" i="4"/>
  <c r="O176" i="4"/>
  <c r="N182" i="4"/>
  <c r="N183" i="4"/>
  <c r="M89" i="4"/>
  <c r="L96" i="4"/>
  <c r="Z85" i="4"/>
  <c r="Z86" i="4"/>
  <c r="Z87" i="4"/>
  <c r="Y85" i="4"/>
  <c r="Y86" i="4"/>
  <c r="Y87" i="4"/>
  <c r="J109" i="4"/>
  <c r="J110" i="4"/>
  <c r="J111" i="4"/>
  <c r="K102" i="4"/>
  <c r="K145" i="4"/>
  <c r="K146" i="4"/>
  <c r="K147" i="4"/>
  <c r="L138" i="4"/>
  <c r="V152" i="4"/>
  <c r="U158" i="4"/>
  <c r="U159" i="4"/>
  <c r="U74" i="4"/>
  <c r="U75" i="4"/>
  <c r="V68" i="4"/>
  <c r="O193" i="4"/>
  <c r="P186" i="4"/>
  <c r="Q169" i="4"/>
  <c r="Q170" i="4"/>
  <c r="Q171" i="4"/>
  <c r="R162" i="4"/>
  <c r="H135" i="4"/>
  <c r="W92" i="4"/>
  <c r="V98" i="4"/>
  <c r="V99" i="4"/>
  <c r="Z73" i="4"/>
  <c r="Z74" i="4"/>
  <c r="Z75" i="4"/>
  <c r="Y73" i="4"/>
  <c r="Y74" i="4"/>
  <c r="Y75" i="4"/>
  <c r="S27" i="4"/>
  <c r="H39" i="4"/>
  <c r="AG204" i="4"/>
  <c r="AF204" i="4"/>
  <c r="AD206" i="4"/>
  <c r="H183" i="4"/>
  <c r="H51" i="4"/>
  <c r="AB109" i="4"/>
  <c r="AB110" i="4"/>
  <c r="AB111" i="4"/>
  <c r="AC102" i="4"/>
  <c r="AH185" i="4"/>
  <c r="AG192" i="4"/>
  <c r="AK157" i="4"/>
  <c r="AK158" i="4"/>
  <c r="AK159" i="4"/>
  <c r="AJ157" i="4"/>
  <c r="AJ158" i="4"/>
  <c r="AJ159" i="4"/>
  <c r="A25" i="4"/>
  <c r="Q97" i="4"/>
  <c r="Q98" i="4"/>
  <c r="Q99" i="4"/>
  <c r="R97" i="4"/>
  <c r="R98" i="4"/>
  <c r="R99" i="4"/>
  <c r="Z97" i="4"/>
  <c r="Y97" i="4"/>
  <c r="I61" i="4"/>
  <c r="I62" i="4"/>
  <c r="I63" i="4"/>
  <c r="H61" i="4"/>
  <c r="H62" i="4"/>
  <c r="H63" i="4"/>
  <c r="AG108" i="4"/>
  <c r="AF108" i="4"/>
  <c r="P104" i="4"/>
  <c r="O110" i="4"/>
  <c r="O111" i="4"/>
  <c r="X140" i="4"/>
  <c r="W146" i="4"/>
  <c r="W147" i="4"/>
  <c r="AJ145" i="4"/>
  <c r="AK138" i="4"/>
  <c r="AK145" i="4"/>
  <c r="K72" i="4"/>
  <c r="L72" i="4"/>
  <c r="A72" i="4"/>
  <c r="K97" i="4"/>
  <c r="L97" i="4"/>
  <c r="L98" i="4"/>
  <c r="L99" i="4"/>
  <c r="AB133" i="4"/>
  <c r="AC126" i="4"/>
  <c r="O121" i="4"/>
  <c r="P114" i="4"/>
  <c r="J170" i="4"/>
  <c r="O157" i="4"/>
  <c r="O158" i="4"/>
  <c r="O159" i="4"/>
  <c r="N157" i="4"/>
  <c r="N158" i="4"/>
  <c r="N159" i="4"/>
  <c r="H195" i="4"/>
  <c r="AK200" i="4"/>
  <c r="AK206" i="4"/>
  <c r="AK207" i="4"/>
  <c r="AJ206" i="4"/>
  <c r="AJ207" i="4"/>
  <c r="H123" i="4"/>
  <c r="O56" i="4"/>
  <c r="N62" i="4"/>
  <c r="N63" i="4"/>
  <c r="Y37" i="4"/>
  <c r="Y38" i="4"/>
  <c r="Y39" i="4"/>
  <c r="Z37" i="4"/>
  <c r="Z38" i="4"/>
  <c r="Z39" i="4"/>
  <c r="K73" i="4"/>
  <c r="K74" i="4"/>
  <c r="K75" i="4"/>
  <c r="L66" i="4"/>
  <c r="J74" i="4"/>
  <c r="L169" i="4"/>
  <c r="L170" i="4"/>
  <c r="L171" i="4"/>
  <c r="K169" i="4"/>
  <c r="K170" i="4"/>
  <c r="K171" i="4"/>
  <c r="H111" i="4"/>
  <c r="T26" i="4"/>
  <c r="T27" i="4"/>
  <c r="U20" i="4"/>
  <c r="M128" i="4"/>
  <c r="L134" i="4"/>
  <c r="L135" i="4"/>
  <c r="A61" i="4"/>
  <c r="AB38" i="4"/>
  <c r="AB39" i="4"/>
  <c r="AC32" i="4"/>
  <c r="M158" i="4"/>
  <c r="M188" i="4"/>
  <c r="L194" i="4"/>
  <c r="L195" i="4"/>
  <c r="AI169" i="4"/>
  <c r="AI170" i="4"/>
  <c r="AI171" i="4"/>
  <c r="AJ162" i="4"/>
  <c r="A144" i="4"/>
  <c r="M44" i="4"/>
  <c r="L50" i="4"/>
  <c r="L51" i="4"/>
  <c r="Z157" i="4"/>
  <c r="AA150" i="4"/>
  <c r="O133" i="4"/>
  <c r="P126" i="4"/>
  <c r="AH125" i="4"/>
  <c r="AG132" i="4"/>
  <c r="J75" i="4"/>
  <c r="Q104" i="4"/>
  <c r="P110" i="4"/>
  <c r="P111" i="4"/>
  <c r="L73" i="4"/>
  <c r="L74" i="4"/>
  <c r="L75" i="4"/>
  <c r="M66" i="4"/>
  <c r="M159" i="4"/>
  <c r="A108" i="4"/>
  <c r="AG205" i="4"/>
  <c r="AG206" i="4"/>
  <c r="AG207" i="4"/>
  <c r="AF205" i="4"/>
  <c r="AF193" i="4"/>
  <c r="AF194" i="4"/>
  <c r="AF195" i="4"/>
  <c r="AG186" i="4"/>
  <c r="A37" i="4"/>
  <c r="AD126" i="4"/>
  <c r="AC133" i="4"/>
  <c r="M50" i="4"/>
  <c r="M51" i="4"/>
  <c r="N44" i="4"/>
  <c r="W152" i="4"/>
  <c r="V158" i="4"/>
  <c r="V159" i="4"/>
  <c r="AH80" i="4"/>
  <c r="AG86" i="4"/>
  <c r="AG87" i="4"/>
  <c r="L109" i="4"/>
  <c r="L110" i="4"/>
  <c r="L111" i="4"/>
  <c r="K109" i="4"/>
  <c r="K110" i="4"/>
  <c r="K111" i="4"/>
  <c r="W68" i="4"/>
  <c r="W74" i="4"/>
  <c r="W75" i="4"/>
  <c r="V74" i="4"/>
  <c r="V75" i="4"/>
  <c r="AD207" i="4"/>
  <c r="V20" i="4"/>
  <c r="U26" i="4"/>
  <c r="Y140" i="4"/>
  <c r="X146" i="4"/>
  <c r="X147" i="4"/>
  <c r="X92" i="4"/>
  <c r="W98" i="4"/>
  <c r="W99" i="4"/>
  <c r="P176" i="4"/>
  <c r="O182" i="4"/>
  <c r="K98" i="4"/>
  <c r="A97" i="4"/>
  <c r="AH192" i="4"/>
  <c r="AI185" i="4"/>
  <c r="A204" i="4"/>
  <c r="M138" i="4"/>
  <c r="L145" i="4"/>
  <c r="R169" i="4"/>
  <c r="R170" i="4"/>
  <c r="R171" i="4"/>
  <c r="S162" i="4"/>
  <c r="AD32" i="4"/>
  <c r="AC38" i="4"/>
  <c r="AC39" i="4"/>
  <c r="P121" i="4"/>
  <c r="Q114" i="4"/>
  <c r="P193" i="4"/>
  <c r="Q186" i="4"/>
  <c r="AK162" i="4"/>
  <c r="AK169" i="4"/>
  <c r="AK170" i="4"/>
  <c r="AK171" i="4"/>
  <c r="AJ169" i="4"/>
  <c r="AJ170" i="4"/>
  <c r="AJ171" i="4"/>
  <c r="M134" i="4"/>
  <c r="M135" i="4"/>
  <c r="N128" i="4"/>
  <c r="N89" i="4"/>
  <c r="M96" i="4"/>
  <c r="P56" i="4"/>
  <c r="O62" i="4"/>
  <c r="O63" i="4"/>
  <c r="N188" i="4"/>
  <c r="M194" i="4"/>
  <c r="J171" i="4"/>
  <c r="AC109" i="4"/>
  <c r="AC110" i="4"/>
  <c r="AC111" i="4"/>
  <c r="AD102" i="4"/>
  <c r="N116" i="4"/>
  <c r="M122" i="4"/>
  <c r="AH132" i="4"/>
  <c r="AI125" i="4"/>
  <c r="AA157" i="4"/>
  <c r="AA158" i="4"/>
  <c r="AA159" i="4"/>
  <c r="AB150" i="4"/>
  <c r="P133" i="4"/>
  <c r="Q126" i="4"/>
  <c r="T162" i="4"/>
  <c r="S169" i="4"/>
  <c r="S170" i="4"/>
  <c r="S171" i="4"/>
  <c r="M195" i="4"/>
  <c r="R186" i="4"/>
  <c r="Q193" i="4"/>
  <c r="K99" i="4"/>
  <c r="AG193" i="4"/>
  <c r="AG194" i="4"/>
  <c r="AG195" i="4"/>
  <c r="AH186" i="4"/>
  <c r="O116" i="4"/>
  <c r="N122" i="4"/>
  <c r="N123" i="4"/>
  <c r="AD133" i="4"/>
  <c r="AE126" i="4"/>
  <c r="AD109" i="4"/>
  <c r="AD110" i="4"/>
  <c r="AD111" i="4"/>
  <c r="AE102" i="4"/>
  <c r="L146" i="4"/>
  <c r="Q176" i="4"/>
  <c r="P182" i="4"/>
  <c r="P183" i="4"/>
  <c r="M73" i="4"/>
  <c r="M74" i="4"/>
  <c r="M75" i="4"/>
  <c r="N66" i="4"/>
  <c r="X152" i="4"/>
  <c r="W158" i="4"/>
  <c r="AJ185" i="4"/>
  <c r="AI192" i="4"/>
  <c r="AF206" i="4"/>
  <c r="A205" i="4"/>
  <c r="N96" i="4"/>
  <c r="O96" i="4"/>
  <c r="A96" i="4"/>
  <c r="O128" i="4"/>
  <c r="N134" i="4"/>
  <c r="U27" i="4"/>
  <c r="O188" i="4"/>
  <c r="N194" i="4"/>
  <c r="N195" i="4"/>
  <c r="O183" i="4"/>
  <c r="AI80" i="4"/>
  <c r="AH86" i="4"/>
  <c r="AH87" i="4"/>
  <c r="M145" i="4"/>
  <c r="M146" i="4"/>
  <c r="M147" i="4"/>
  <c r="N138" i="4"/>
  <c r="P62" i="4"/>
  <c r="P63" i="4"/>
  <c r="Q56" i="4"/>
  <c r="Y92" i="4"/>
  <c r="X98" i="4"/>
  <c r="X99" i="4"/>
  <c r="Q121" i="4"/>
  <c r="R114" i="4"/>
  <c r="O44" i="4"/>
  <c r="N50" i="4"/>
  <c r="N51" i="4"/>
  <c r="R104" i="4"/>
  <c r="R110" i="4"/>
  <c r="R111" i="4"/>
  <c r="Q110" i="4"/>
  <c r="Q111" i="4"/>
  <c r="Z140" i="4"/>
  <c r="Y146" i="4"/>
  <c r="Y147" i="4"/>
  <c r="M123" i="4"/>
  <c r="AE32" i="4"/>
  <c r="AD38" i="4"/>
  <c r="W20" i="4"/>
  <c r="V26" i="4"/>
  <c r="V27" i="4"/>
  <c r="R133" i="4"/>
  <c r="Q133" i="4"/>
  <c r="AC150" i="4"/>
  <c r="AB157" i="4"/>
  <c r="AB158" i="4"/>
  <c r="AB159" i="4"/>
  <c r="AI132" i="4"/>
  <c r="AJ125" i="4"/>
  <c r="P128" i="4"/>
  <c r="O134" i="4"/>
  <c r="O135" i="4"/>
  <c r="Z92" i="4"/>
  <c r="Y98" i="4"/>
  <c r="Y99" i="4"/>
  <c r="Y152" i="4"/>
  <c r="X158" i="4"/>
  <c r="X159" i="4"/>
  <c r="AE133" i="4"/>
  <c r="AF126" i="4"/>
  <c r="R56" i="4"/>
  <c r="Q62" i="4"/>
  <c r="Q63" i="4"/>
  <c r="X20" i="4"/>
  <c r="W26" i="4"/>
  <c r="W27" i="4"/>
  <c r="W159" i="4"/>
  <c r="P44" i="4"/>
  <c r="O50" i="4"/>
  <c r="O51" i="4"/>
  <c r="R193" i="4"/>
  <c r="S186" i="4"/>
  <c r="AD39" i="4"/>
  <c r="N145" i="4"/>
  <c r="N146" i="4"/>
  <c r="N147" i="4"/>
  <c r="O145" i="4"/>
  <c r="AF32" i="4"/>
  <c r="AE38" i="4"/>
  <c r="AE39" i="4"/>
  <c r="R176" i="4"/>
  <c r="Q182" i="4"/>
  <c r="AE109" i="4"/>
  <c r="AE110" i="4"/>
  <c r="AF102" i="4"/>
  <c r="AA140" i="4"/>
  <c r="Z146" i="4"/>
  <c r="Z147" i="4"/>
  <c r="P188" i="4"/>
  <c r="O194" i="4"/>
  <c r="O195" i="4"/>
  <c r="O73" i="4"/>
  <c r="N73" i="4"/>
  <c r="N74" i="4"/>
  <c r="P116" i="4"/>
  <c r="O122" i="4"/>
  <c r="O123" i="4"/>
  <c r="AF207" i="4"/>
  <c r="A206" i="4"/>
  <c r="A207" i="4"/>
  <c r="AH193" i="4"/>
  <c r="AH194" i="4"/>
  <c r="AH195" i="4"/>
  <c r="AI186" i="4"/>
  <c r="S114" i="4"/>
  <c r="R121" i="4"/>
  <c r="AJ80" i="4"/>
  <c r="AI86" i="4"/>
  <c r="AI87" i="4"/>
  <c r="N135" i="4"/>
  <c r="AJ192" i="4"/>
  <c r="AK185" i="4"/>
  <c r="AK192" i="4"/>
  <c r="A192" i="4"/>
  <c r="L147" i="4"/>
  <c r="T169" i="4"/>
  <c r="T170" i="4"/>
  <c r="T171" i="4"/>
  <c r="U162" i="4"/>
  <c r="A73" i="1"/>
  <c r="A74" i="1"/>
  <c r="AC157" i="4"/>
  <c r="AD157" i="4"/>
  <c r="AD158" i="4"/>
  <c r="AD159" i="4"/>
  <c r="AJ132" i="4"/>
  <c r="AK125" i="4"/>
  <c r="AK132" i="4"/>
  <c r="A132" i="4"/>
  <c r="P50" i="4"/>
  <c r="P51" i="4"/>
  <c r="Q44" i="4"/>
  <c r="S176" i="4"/>
  <c r="R182" i="4"/>
  <c r="R183" i="4"/>
  <c r="S56" i="4"/>
  <c r="R62" i="4"/>
  <c r="R63" i="4"/>
  <c r="T114" i="4"/>
  <c r="S121" i="4"/>
  <c r="AG32" i="4"/>
  <c r="AF38" i="4"/>
  <c r="AF39" i="4"/>
  <c r="AI193" i="4"/>
  <c r="AI194" i="4"/>
  <c r="AI195" i="4"/>
  <c r="AJ186" i="4"/>
  <c r="O146" i="4"/>
  <c r="A145" i="4"/>
  <c r="Z152" i="4"/>
  <c r="Z158" i="4"/>
  <c r="Z159" i="4"/>
  <c r="Y158" i="4"/>
  <c r="Y159" i="4"/>
  <c r="AE111" i="4"/>
  <c r="Y20" i="4"/>
  <c r="X26" i="4"/>
  <c r="X27" i="4"/>
  <c r="Q128" i="4"/>
  <c r="P134" i="4"/>
  <c r="P135" i="4"/>
  <c r="N75" i="4"/>
  <c r="AG126" i="4"/>
  <c r="AF133" i="4"/>
  <c r="O74" i="4"/>
  <c r="O75" i="4"/>
  <c r="A73" i="4"/>
  <c r="Q188" i="4"/>
  <c r="P194" i="4"/>
  <c r="P195" i="4"/>
  <c r="AA146" i="4"/>
  <c r="AA147" i="4"/>
  <c r="AB140" i="4"/>
  <c r="AA92" i="4"/>
  <c r="Z98" i="4"/>
  <c r="Z99" i="4"/>
  <c r="AG109" i="4"/>
  <c r="AF109" i="4"/>
  <c r="AF110" i="4"/>
  <c r="AF111" i="4"/>
  <c r="AK80" i="4"/>
  <c r="AK86" i="4"/>
  <c r="AJ86" i="4"/>
  <c r="AJ87" i="4"/>
  <c r="U169" i="4"/>
  <c r="U170" i="4"/>
  <c r="U171" i="4"/>
  <c r="V162" i="4"/>
  <c r="Q116" i="4"/>
  <c r="P122" i="4"/>
  <c r="Q183" i="4"/>
  <c r="S193" i="4"/>
  <c r="T186" i="4"/>
  <c r="A97" i="1"/>
  <c r="A98" i="1"/>
  <c r="A74" i="4"/>
  <c r="A75" i="4"/>
  <c r="AC158" i="4"/>
  <c r="AC159" i="4"/>
  <c r="A157" i="4"/>
  <c r="AB146" i="4"/>
  <c r="AB147" i="4"/>
  <c r="AC140" i="4"/>
  <c r="AG133" i="4"/>
  <c r="AH126" i="4"/>
  <c r="P123" i="4"/>
  <c r="R116" i="4"/>
  <c r="Q122" i="4"/>
  <c r="Q123" i="4"/>
  <c r="V169" i="4"/>
  <c r="V170" i="4"/>
  <c r="V171" i="4"/>
  <c r="W162" i="4"/>
  <c r="R128" i="4"/>
  <c r="Q134" i="4"/>
  <c r="Q135" i="4"/>
  <c r="R188" i="4"/>
  <c r="Q194" i="4"/>
  <c r="Q195" i="4"/>
  <c r="AK87" i="4"/>
  <c r="A86" i="4"/>
  <c r="A87" i="4"/>
  <c r="Z20" i="4"/>
  <c r="Y26" i="4"/>
  <c r="Y27" i="4"/>
  <c r="R44" i="4"/>
  <c r="Q50" i="4"/>
  <c r="Q51" i="4"/>
  <c r="T193" i="4"/>
  <c r="U186" i="4"/>
  <c r="AB92" i="4"/>
  <c r="AA98" i="4"/>
  <c r="AA99" i="4"/>
  <c r="T121" i="4"/>
  <c r="U114" i="4"/>
  <c r="T56" i="4"/>
  <c r="S62" i="4"/>
  <c r="S63" i="4"/>
  <c r="A158" i="4"/>
  <c r="A159" i="4"/>
  <c r="O147" i="4"/>
  <c r="AJ193" i="4"/>
  <c r="AJ194" i="4"/>
  <c r="AJ195" i="4"/>
  <c r="AK186" i="4"/>
  <c r="AK193" i="4"/>
  <c r="T176" i="4"/>
  <c r="S182" i="4"/>
  <c r="S183" i="4"/>
  <c r="AG110" i="4"/>
  <c r="A109" i="4"/>
  <c r="AH32" i="4"/>
  <c r="AG38" i="4"/>
  <c r="AG39" i="4"/>
  <c r="AG111" i="4"/>
  <c r="A110" i="4"/>
  <c r="A111" i="4"/>
  <c r="AA20" i="4"/>
  <c r="Z26" i="4"/>
  <c r="Z27" i="4"/>
  <c r="AH133" i="4"/>
  <c r="AI126" i="4"/>
  <c r="S188" i="4"/>
  <c r="R194" i="4"/>
  <c r="R195" i="4"/>
  <c r="U193" i="4"/>
  <c r="V186" i="4"/>
  <c r="S44" i="4"/>
  <c r="R50" i="4"/>
  <c r="R51" i="4"/>
  <c r="T62" i="4"/>
  <c r="T63" i="4"/>
  <c r="U56" i="4"/>
  <c r="S116" i="4"/>
  <c r="R122" i="4"/>
  <c r="R123" i="4"/>
  <c r="U121" i="4"/>
  <c r="V114" i="4"/>
  <c r="U176" i="4"/>
  <c r="T182" i="4"/>
  <c r="T183" i="4"/>
  <c r="AK194" i="4"/>
  <c r="AC92" i="4"/>
  <c r="AB98" i="4"/>
  <c r="AB99" i="4"/>
  <c r="AD140" i="4"/>
  <c r="AC146" i="4"/>
  <c r="AC147" i="4"/>
  <c r="S128" i="4"/>
  <c r="R134" i="4"/>
  <c r="R135" i="4"/>
  <c r="AH38" i="4"/>
  <c r="AH39" i="4"/>
  <c r="AI32" i="4"/>
  <c r="W169" i="4"/>
  <c r="W170" i="4"/>
  <c r="W171" i="4"/>
  <c r="X162" i="4"/>
  <c r="V121" i="4"/>
  <c r="W114" i="4"/>
  <c r="AE140" i="4"/>
  <c r="AD146" i="4"/>
  <c r="AD147" i="4"/>
  <c r="T116" i="4"/>
  <c r="S122" i="4"/>
  <c r="S123" i="4"/>
  <c r="X169" i="4"/>
  <c r="X170" i="4"/>
  <c r="X171" i="4"/>
  <c r="Y162" i="4"/>
  <c r="U62" i="4"/>
  <c r="U63" i="4"/>
  <c r="V56" i="4"/>
  <c r="AI38" i="4"/>
  <c r="AI39" i="4"/>
  <c r="AJ32" i="4"/>
  <c r="T128" i="4"/>
  <c r="S134" i="4"/>
  <c r="S135" i="4"/>
  <c r="T188" i="4"/>
  <c r="S194" i="4"/>
  <c r="S195" i="4"/>
  <c r="AI133" i="4"/>
  <c r="AJ126" i="4"/>
  <c r="AD92" i="4"/>
  <c r="AC98" i="4"/>
  <c r="AC99" i="4"/>
  <c r="AK195" i="4"/>
  <c r="AA26" i="4"/>
  <c r="AA27" i="4"/>
  <c r="AB20" i="4"/>
  <c r="T44" i="4"/>
  <c r="S50" i="4"/>
  <c r="S51" i="4"/>
  <c r="U182" i="4"/>
  <c r="U183" i="4"/>
  <c r="V176" i="4"/>
  <c r="W186" i="4"/>
  <c r="V193" i="4"/>
  <c r="U44" i="4"/>
  <c r="T50" i="4"/>
  <c r="T51" i="4"/>
  <c r="Z169" i="4"/>
  <c r="Y169" i="4"/>
  <c r="Y170" i="4"/>
  <c r="Y171" i="4"/>
  <c r="U188" i="4"/>
  <c r="T194" i="4"/>
  <c r="T195" i="4"/>
  <c r="U116" i="4"/>
  <c r="T122" i="4"/>
  <c r="T123" i="4"/>
  <c r="AF140" i="4"/>
  <c r="AE146" i="4"/>
  <c r="AE147" i="4"/>
  <c r="AK126" i="4"/>
  <c r="AK133" i="4"/>
  <c r="AJ133" i="4"/>
  <c r="AC20" i="4"/>
  <c r="AB26" i="4"/>
  <c r="AB27" i="4"/>
  <c r="U128" i="4"/>
  <c r="T134" i="4"/>
  <c r="T135" i="4"/>
  <c r="W193" i="4"/>
  <c r="X186" i="4"/>
  <c r="AK32" i="4"/>
  <c r="AK38" i="4"/>
  <c r="AJ38" i="4"/>
  <c r="AJ39" i="4"/>
  <c r="W121" i="4"/>
  <c r="X114" i="4"/>
  <c r="W176" i="4"/>
  <c r="V182" i="4"/>
  <c r="V183" i="4"/>
  <c r="AE92" i="4"/>
  <c r="AD98" i="4"/>
  <c r="AD99" i="4"/>
  <c r="W56" i="4"/>
  <c r="V62" i="4"/>
  <c r="V63" i="4"/>
  <c r="A193" i="1"/>
  <c r="A194" i="1"/>
  <c r="AE98" i="4"/>
  <c r="AE99" i="4"/>
  <c r="AF92" i="4"/>
  <c r="X176" i="4"/>
  <c r="W182" i="4"/>
  <c r="W183" i="4"/>
  <c r="V116" i="4"/>
  <c r="U122" i="4"/>
  <c r="U123" i="4"/>
  <c r="AD20" i="4"/>
  <c r="AC26" i="4"/>
  <c r="AC27" i="4"/>
  <c r="AK39" i="4"/>
  <c r="A38" i="4"/>
  <c r="A39" i="4"/>
  <c r="A133" i="4"/>
  <c r="X56" i="4"/>
  <c r="W62" i="4"/>
  <c r="W63" i="4"/>
  <c r="U134" i="4"/>
  <c r="U135" i="4"/>
  <c r="V128" i="4"/>
  <c r="X121" i="4"/>
  <c r="Y114" i="4"/>
  <c r="V188" i="4"/>
  <c r="U194" i="4"/>
  <c r="X193" i="4"/>
  <c r="Y186" i="4"/>
  <c r="Z170" i="4"/>
  <c r="A169" i="4"/>
  <c r="AG140" i="4"/>
  <c r="AF146" i="4"/>
  <c r="AF147" i="4"/>
  <c r="U50" i="4"/>
  <c r="U51" i="4"/>
  <c r="V44" i="4"/>
  <c r="AH140" i="4"/>
  <c r="AG146" i="4"/>
  <c r="AG147" i="4"/>
  <c r="W128" i="4"/>
  <c r="V134" i="4"/>
  <c r="V135" i="4"/>
  <c r="Y193" i="4"/>
  <c r="Z193" i="4"/>
  <c r="Y56" i="4"/>
  <c r="X62" i="4"/>
  <c r="X63" i="4"/>
  <c r="A193" i="4"/>
  <c r="U195" i="4"/>
  <c r="AG92" i="4"/>
  <c r="AF98" i="4"/>
  <c r="AF99" i="4"/>
  <c r="Z114" i="4"/>
  <c r="Y121" i="4"/>
  <c r="AE20" i="4"/>
  <c r="AD26" i="4"/>
  <c r="AD27" i="4"/>
  <c r="Z171" i="4"/>
  <c r="A170" i="4"/>
  <c r="A171" i="4"/>
  <c r="W116" i="4"/>
  <c r="V122" i="4"/>
  <c r="V123" i="4"/>
  <c r="X182" i="4"/>
  <c r="X183" i="4"/>
  <c r="Y176" i="4"/>
  <c r="W44" i="4"/>
  <c r="V50" i="4"/>
  <c r="V51" i="4"/>
  <c r="W188" i="4"/>
  <c r="V194" i="4"/>
  <c r="V195" i="4"/>
  <c r="AF20" i="4"/>
  <c r="AE26" i="4"/>
  <c r="AE27" i="4"/>
  <c r="Z56" i="4"/>
  <c r="Y62" i="4"/>
  <c r="Y63" i="4"/>
  <c r="Z176" i="4"/>
  <c r="Y182" i="4"/>
  <c r="Y183" i="4"/>
  <c r="X188" i="4"/>
  <c r="W194" i="4"/>
  <c r="W195" i="4"/>
  <c r="X44" i="4"/>
  <c r="W50" i="4"/>
  <c r="W51" i="4"/>
  <c r="Z121" i="4"/>
  <c r="AA114" i="4"/>
  <c r="AH92" i="4"/>
  <c r="AG98" i="4"/>
  <c r="AG99" i="4"/>
  <c r="X128" i="4"/>
  <c r="W134" i="4"/>
  <c r="W135" i="4"/>
  <c r="X116" i="4"/>
  <c r="W122" i="4"/>
  <c r="W123" i="4"/>
  <c r="AI140" i="4"/>
  <c r="AH146" i="4"/>
  <c r="AH147" i="4"/>
  <c r="A61" i="1"/>
  <c r="A62" i="1"/>
  <c r="Y116" i="4"/>
  <c r="X122" i="4"/>
  <c r="X123" i="4"/>
  <c r="X134" i="4"/>
  <c r="X135" i="4"/>
  <c r="Y128" i="4"/>
  <c r="AI92" i="4"/>
  <c r="AH98" i="4"/>
  <c r="AH99" i="4"/>
  <c r="AA121" i="4"/>
  <c r="AB114" i="4"/>
  <c r="Y188" i="4"/>
  <c r="X194" i="4"/>
  <c r="X195" i="4"/>
  <c r="AA176" i="4"/>
  <c r="Z182" i="4"/>
  <c r="Z183" i="4"/>
  <c r="AJ140" i="4"/>
  <c r="AI146" i="4"/>
  <c r="AI147" i="4"/>
  <c r="AA56" i="4"/>
  <c r="Z62" i="4"/>
  <c r="Z63" i="4"/>
  <c r="X50" i="4"/>
  <c r="X51" i="4"/>
  <c r="Y44" i="4"/>
  <c r="AG20" i="4"/>
  <c r="AF26" i="4"/>
  <c r="AF27" i="4"/>
  <c r="AJ92" i="4"/>
  <c r="AI98" i="4"/>
  <c r="AI99" i="4"/>
  <c r="Z128" i="4"/>
  <c r="Y134" i="4"/>
  <c r="Y135" i="4"/>
  <c r="Z44" i="4"/>
  <c r="Y50" i="4"/>
  <c r="Y51" i="4"/>
  <c r="Z188" i="4"/>
  <c r="Z194" i="4"/>
  <c r="Y194" i="4"/>
  <c r="Y195" i="4"/>
  <c r="AB121" i="4"/>
  <c r="AC114" i="4"/>
  <c r="AA62" i="4"/>
  <c r="AA63" i="4"/>
  <c r="AB56" i="4"/>
  <c r="AK140" i="4"/>
  <c r="AK146" i="4"/>
  <c r="AJ146" i="4"/>
  <c r="AJ147" i="4"/>
  <c r="AA182" i="4"/>
  <c r="AA183" i="4"/>
  <c r="AB176" i="4"/>
  <c r="AH20" i="4"/>
  <c r="AG26" i="4"/>
  <c r="AG27" i="4"/>
  <c r="Z116" i="4"/>
  <c r="Y122" i="4"/>
  <c r="Y123" i="4"/>
  <c r="A145" i="1"/>
  <c r="A146" i="1"/>
  <c r="A157" i="1"/>
  <c r="A158" i="1"/>
  <c r="AD121" i="4"/>
  <c r="AC121" i="4"/>
  <c r="AI20" i="4"/>
  <c r="AH26" i="4"/>
  <c r="AH27" i="4"/>
  <c r="AB182" i="4"/>
  <c r="AB183" i="4"/>
  <c r="AC176" i="4"/>
  <c r="AK147" i="4"/>
  <c r="A146" i="4"/>
  <c r="A147" i="4"/>
  <c r="AA116" i="4"/>
  <c r="Z122" i="4"/>
  <c r="Z123" i="4"/>
  <c r="Z195" i="4"/>
  <c r="A194" i="4"/>
  <c r="A195" i="4"/>
  <c r="AA44" i="4"/>
  <c r="Z50" i="4"/>
  <c r="Z51" i="4"/>
  <c r="AB62" i="4"/>
  <c r="AB63" i="4"/>
  <c r="AC56" i="4"/>
  <c r="AA128" i="4"/>
  <c r="Z134" i="4"/>
  <c r="Z135" i="4"/>
  <c r="AK92" i="4"/>
  <c r="AK98" i="4"/>
  <c r="AJ98" i="4"/>
  <c r="AJ99" i="4"/>
  <c r="A181" i="1"/>
  <c r="A182" i="1"/>
  <c r="AK99" i="4"/>
  <c r="A98" i="4"/>
  <c r="A99" i="4"/>
  <c r="AB116" i="4"/>
  <c r="AA122" i="4"/>
  <c r="AA123" i="4"/>
  <c r="AB128" i="4"/>
  <c r="AA134" i="4"/>
  <c r="AA135" i="4"/>
  <c r="AD56" i="4"/>
  <c r="AC62" i="4"/>
  <c r="AC63" i="4"/>
  <c r="AA50" i="4"/>
  <c r="AA51" i="4"/>
  <c r="AB44" i="4"/>
  <c r="AJ20" i="4"/>
  <c r="AI26" i="4"/>
  <c r="AI27" i="4"/>
  <c r="AD176" i="4"/>
  <c r="AC182" i="4"/>
  <c r="AC183" i="4"/>
  <c r="A121" i="4"/>
  <c r="AC44" i="4"/>
  <c r="AB50" i="4"/>
  <c r="AB51" i="4"/>
  <c r="AE56" i="4"/>
  <c r="AD62" i="4"/>
  <c r="AD63" i="4"/>
  <c r="AC128" i="4"/>
  <c r="AB134" i="4"/>
  <c r="AB135" i="4"/>
  <c r="AE176" i="4"/>
  <c r="AD182" i="4"/>
  <c r="AD183" i="4"/>
  <c r="AC116" i="4"/>
  <c r="AB122" i="4"/>
  <c r="AB123" i="4"/>
  <c r="AK20" i="4"/>
  <c r="AK26" i="4"/>
  <c r="AJ26" i="4"/>
  <c r="AJ27" i="4"/>
  <c r="AD116" i="4"/>
  <c r="AC122" i="4"/>
  <c r="AC123" i="4"/>
  <c r="AE182" i="4"/>
  <c r="AE183" i="4"/>
  <c r="AF176" i="4"/>
  <c r="AD128" i="4"/>
  <c r="AC134" i="4"/>
  <c r="AC135" i="4"/>
  <c r="AE62" i="4"/>
  <c r="AE63" i="4"/>
  <c r="AF56" i="4"/>
  <c r="AK27" i="4"/>
  <c r="A26" i="4"/>
  <c r="A27" i="4"/>
  <c r="AD44" i="4"/>
  <c r="AC50" i="4"/>
  <c r="AC51" i="4"/>
  <c r="AG56" i="4"/>
  <c r="AF62" i="4"/>
  <c r="AF63" i="4"/>
  <c r="AE128" i="4"/>
  <c r="AD134" i="4"/>
  <c r="AD135" i="4"/>
  <c r="AG176" i="4"/>
  <c r="AF182" i="4"/>
  <c r="AF183" i="4"/>
  <c r="AE44" i="4"/>
  <c r="AD50" i="4"/>
  <c r="AD51" i="4"/>
  <c r="AE116" i="4"/>
  <c r="AD122" i="4"/>
  <c r="AD123" i="4"/>
  <c r="AF116" i="4"/>
  <c r="AE122" i="4"/>
  <c r="AE123" i="4"/>
  <c r="AF44" i="4"/>
  <c r="AE50" i="4"/>
  <c r="AE51" i="4"/>
  <c r="AH176" i="4"/>
  <c r="AG182" i="4"/>
  <c r="AG183" i="4"/>
  <c r="AF128" i="4"/>
  <c r="AE134" i="4"/>
  <c r="AE135" i="4"/>
  <c r="AH56" i="4"/>
  <c r="AG62" i="4"/>
  <c r="AG63" i="4"/>
  <c r="AH62" i="4"/>
  <c r="AH63" i="4"/>
  <c r="AI56" i="4"/>
  <c r="AG128" i="4"/>
  <c r="AF134" i="4"/>
  <c r="AF135" i="4"/>
  <c r="AI176" i="4"/>
  <c r="AH182" i="4"/>
  <c r="AH183" i="4"/>
  <c r="AG44" i="4"/>
  <c r="AF50" i="4"/>
  <c r="AF51" i="4"/>
  <c r="AG116" i="4"/>
  <c r="AF122" i="4"/>
  <c r="AF123" i="4"/>
  <c r="AH116" i="4"/>
  <c r="AG122" i="4"/>
  <c r="AG123" i="4"/>
  <c r="AH44" i="4"/>
  <c r="AG50" i="4"/>
  <c r="AG51" i="4"/>
  <c r="AJ176" i="4"/>
  <c r="AI182" i="4"/>
  <c r="AI183" i="4"/>
  <c r="AH128" i="4"/>
  <c r="AG134" i="4"/>
  <c r="AG135" i="4"/>
  <c r="AI62" i="4"/>
  <c r="AI63" i="4"/>
  <c r="AJ56" i="4"/>
  <c r="A121" i="1"/>
  <c r="A122" i="1"/>
  <c r="AI128" i="4"/>
  <c r="AH134" i="4"/>
  <c r="AH135" i="4"/>
  <c r="AK56" i="4"/>
  <c r="AK62" i="4"/>
  <c r="AJ62" i="4"/>
  <c r="AJ63" i="4"/>
  <c r="AK176" i="4"/>
  <c r="AK182" i="4"/>
  <c r="AJ182" i="4"/>
  <c r="AJ183" i="4"/>
  <c r="AH50" i="4"/>
  <c r="AH51" i="4"/>
  <c r="AI44" i="4"/>
  <c r="AH122" i="4"/>
  <c r="AH123" i="4"/>
  <c r="AI116" i="4"/>
  <c r="A49" i="1"/>
  <c r="A50" i="1"/>
  <c r="AI122" i="4"/>
  <c r="AI123" i="4"/>
  <c r="AJ116" i="4"/>
  <c r="AI50" i="4"/>
  <c r="AI51" i="4"/>
  <c r="AJ44" i="4"/>
  <c r="AK183" i="4"/>
  <c r="A182" i="4"/>
  <c r="A183" i="4"/>
  <c r="AK63" i="4"/>
  <c r="A62" i="4"/>
  <c r="A63" i="4"/>
  <c r="AJ128" i="4"/>
  <c r="AI134" i="4"/>
  <c r="AI135" i="4"/>
  <c r="AK128" i="4"/>
  <c r="AK134" i="4"/>
  <c r="AJ134" i="4"/>
  <c r="AJ135" i="4"/>
  <c r="AK44" i="4"/>
  <c r="AK50" i="4"/>
  <c r="AJ50" i="4"/>
  <c r="AJ51" i="4"/>
  <c r="AK116" i="4"/>
  <c r="AK122" i="4"/>
  <c r="AJ122" i="4"/>
  <c r="AJ123" i="4"/>
  <c r="A25" i="1"/>
  <c r="A26" i="1"/>
  <c r="A133" i="1"/>
  <c r="A134" i="1"/>
  <c r="AK123" i="4"/>
  <c r="A122" i="4"/>
  <c r="A123" i="4"/>
  <c r="AK51" i="4"/>
  <c r="A50" i="4"/>
  <c r="A51" i="4"/>
  <c r="AK135" i="4"/>
  <c r="A134" i="4"/>
  <c r="A135" i="4"/>
  <c r="A169" i="1"/>
  <c r="A170" i="1"/>
  <c r="A37" i="1"/>
  <c r="A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ID#AAAB1cWAh7k
</t>
        </r>
        <r>
          <rPr>
            <sz val="11"/>
            <color rgb="FF000000"/>
            <rFont val="Calibri"/>
            <family val="2"/>
          </rPr>
          <t>本田広宣</t>
        </r>
        <r>
          <rPr>
            <sz val="11"/>
            <color rgb="FF000000"/>
            <rFont val="Calibri"/>
            <family val="2"/>
          </rPr>
          <t xml:space="preserve">    (2026-03-08 11:35:44)
</t>
        </r>
        <r>
          <rPr>
            <sz val="11"/>
            <color rgb="FF000000"/>
            <rFont val="Calibri"/>
            <family val="2"/>
          </rPr>
          <t>月間売上予測</t>
        </r>
      </text>
    </commen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ID#AAAB1cWAh78
本田広宣    (2026-03-08 11:35:44)
現在合計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DLqvkYuf7Vli4KaIDCrmYQfTX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4" authorId="0" shapeId="0" xr:uid="{FED3E782-BE9B-CD40-89AF-201241BB9A01}">
      <text>
        <r>
          <rPr>
            <sz val="11"/>
            <color theme="1"/>
            <rFont val="Calibri"/>
            <family val="2"/>
            <scheme val="minor"/>
          </rPr>
          <t>======
ID#AAAB1cWAh7k
本田広宣    (2026-03-08 11:35:44)
月間売上予測</t>
        </r>
      </text>
    </comment>
    <comment ref="A15" authorId="0" shapeId="0" xr:uid="{0859F7EC-4FD8-AB4E-A14B-BEF77D39E6ED}">
      <text>
        <r>
          <rPr>
            <sz val="11"/>
            <color theme="1"/>
            <rFont val="Calibri"/>
            <family val="2"/>
            <scheme val="minor"/>
          </rPr>
          <t>======
ID#AAAB1cWAh78
本田広宣    (2026-03-08 11:35:44)
現在合計</t>
        </r>
      </text>
    </comment>
    <comment ref="A413" authorId="0" shapeId="0" xr:uid="{F8665C6C-394B-B24E-B95E-4886BCDA8C88}">
      <text>
        <r>
          <rPr>
            <sz val="11"/>
            <color theme="1"/>
            <rFont val="Calibri"/>
            <family val="2"/>
            <scheme val="minor"/>
          </rPr>
          <t>======
ID#AAAB1cWAh7k
本田広宣    (2026-03-08 11:35:44)
月間売上予測</t>
        </r>
      </text>
    </comment>
    <comment ref="A414" authorId="0" shapeId="0" xr:uid="{DB0520C4-1A33-1841-819D-D46B471C950C}">
      <text>
        <r>
          <rPr>
            <sz val="11"/>
            <color theme="1"/>
            <rFont val="Calibri"/>
            <family val="2"/>
            <scheme val="minor"/>
          </rPr>
          <t>======
ID#AAAB1cWAh78
本田広宣    (2026-03-08 11:35:44)
現在合計</t>
        </r>
      </text>
    </comment>
    <comment ref="A63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ID#AAAB1cWAh8A
本田広宣    (2026-03-08 11:35:44)
月間売上予測</t>
        </r>
      </text>
    </comment>
    <comment ref="A63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======
ID#AAAB1cWAh70
本田広宣    (2026-03-08 11:35:44)
現在合計</t>
        </r>
      </text>
    </comment>
    <comment ref="A840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ID#AAAB1cWAh74
本田広宣    (2026-03-08 11:35:44)
月間売上予測</t>
        </r>
      </text>
    </comment>
    <comment ref="A84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ID#AAAB1cWAh7w
本田広宣    (2026-03-08 11:35:44)
現在合計</t>
        </r>
      </text>
    </comment>
    <comment ref="A105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======
ID#AAAB1cWAh7o
本田広宣    (2026-03-08 11:35:44)
月間売上予測</t>
        </r>
      </text>
    </comment>
    <comment ref="A1058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======
ID#AAAB1cWAh7s
本田広宣    (2026-03-08 11:35:44)
現在合計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84OxEqjpxid5E26zY6rF0f9sAsw=="/>
    </ext>
  </extLst>
</comments>
</file>

<file path=xl/sharedStrings.xml><?xml version="1.0" encoding="utf-8"?>
<sst xmlns="http://schemas.openxmlformats.org/spreadsheetml/2006/main" count="18669" uniqueCount="300">
  <si>
    <t>日付</t>
  </si>
  <si>
    <t>八女</t>
  </si>
  <si>
    <t>100円</t>
  </si>
  <si>
    <t>クリスタル</t>
  </si>
  <si>
    <t>プライズ</t>
  </si>
  <si>
    <t>投入残</t>
  </si>
  <si>
    <t>補充</t>
  </si>
  <si>
    <t>下げ</t>
  </si>
  <si>
    <t>単価</t>
  </si>
  <si>
    <t>月間予想</t>
  </si>
  <si>
    <t>景品名</t>
  </si>
  <si>
    <t>マスコットポーチヒョウ</t>
  </si>
  <si>
    <t>設定</t>
  </si>
  <si>
    <t>百差</t>
  </si>
  <si>
    <t>P差</t>
  </si>
  <si>
    <t>払出</t>
  </si>
  <si>
    <t>払出額</t>
  </si>
  <si>
    <t>原価率</t>
  </si>
  <si>
    <t/>
  </si>
  <si>
    <t>BUZZ＃1</t>
  </si>
  <si>
    <t>機械合計</t>
  </si>
  <si>
    <t>ボアバンスクリップ</t>
  </si>
  <si>
    <t>ラブブ風kh</t>
  </si>
  <si>
    <t>サンリオミラー</t>
  </si>
  <si>
    <t>24.8.10.24</t>
  </si>
  <si>
    <t>サミュエル</t>
  </si>
  <si>
    <t>もんちっちスノー</t>
  </si>
  <si>
    <t>シール</t>
  </si>
  <si>
    <t>20.5.7.20</t>
  </si>
  <si>
    <t>BUZZ＃2</t>
  </si>
  <si>
    <t>ギャル3ポーチ</t>
  </si>
  <si>
    <t>たまごっちシール</t>
  </si>
  <si>
    <t>17.6.7.18</t>
  </si>
  <si>
    <t>チョコブロックシール</t>
  </si>
  <si>
    <t>サンリオリュック</t>
  </si>
  <si>
    <t>バタースクイーズ</t>
  </si>
  <si>
    <t>20.8.8.20</t>
  </si>
  <si>
    <t>たまごっちmc</t>
  </si>
  <si>
    <t>14.6.6.15</t>
  </si>
  <si>
    <t>パステルケーキ</t>
  </si>
  <si>
    <t>BUZZ＃3</t>
  </si>
  <si>
    <t>忍者飯</t>
  </si>
  <si>
    <t>コントローラーイヤホン</t>
  </si>
  <si>
    <t>キティラインストーン</t>
  </si>
  <si>
    <t>ラブブ風</t>
  </si>
  <si>
    <t>18.9.12.20</t>
  </si>
  <si>
    <t>BUZZミニ#1</t>
  </si>
  <si>
    <t>BUZZミニ#2</t>
  </si>
  <si>
    <t>サンリオポーチ</t>
  </si>
  <si>
    <t>BUZZミニ#3</t>
  </si>
  <si>
    <t>サミュエルラッキーバニー</t>
  </si>
  <si>
    <t>21.6.7.22</t>
  </si>
  <si>
    <t>24.7.8.24</t>
  </si>
  <si>
    <t>1000円</t>
  </si>
  <si>
    <t>ガチャコロ</t>
  </si>
  <si>
    <t>カプセル上</t>
  </si>
  <si>
    <t>カプセル下</t>
  </si>
  <si>
    <t>払出No</t>
  </si>
  <si>
    <t>備考</t>
  </si>
  <si>
    <t>千差</t>
  </si>
  <si>
    <t>CP上差</t>
  </si>
  <si>
    <t>CP下差</t>
  </si>
  <si>
    <t>前回M</t>
  </si>
  <si>
    <t>今回M</t>
  </si>
  <si>
    <t>枚数</t>
  </si>
  <si>
    <t>千</t>
  </si>
  <si>
    <t>五百</t>
  </si>
  <si>
    <t>百</t>
  </si>
  <si>
    <t>金額</t>
  </si>
  <si>
    <t>立替</t>
  </si>
  <si>
    <t>両替機</t>
  </si>
  <si>
    <t>メーター</t>
  </si>
  <si>
    <t>途中両替</t>
  </si>
  <si>
    <t>BUZZ1</t>
  </si>
  <si>
    <t>集金時実数</t>
  </si>
  <si>
    <t>BUZZ２</t>
  </si>
  <si>
    <t>百残り</t>
  </si>
  <si>
    <t>集金後</t>
  </si>
  <si>
    <t>BUZZ3</t>
  </si>
  <si>
    <t>両替金</t>
  </si>
  <si>
    <t>Buzzミニ</t>
  </si>
  <si>
    <t>↓</t>
  </si>
  <si>
    <t>20.6.7.24</t>
  </si>
  <si>
    <t>17.6.7.20</t>
  </si>
  <si>
    <t>16.4.6.20</t>
  </si>
  <si>
    <t>15.4.6.20</t>
  </si>
  <si>
    <t>カメラmuse</t>
  </si>
  <si>
    <t>サンリオギャルミニマスコット</t>
  </si>
  <si>
    <t>リセット</t>
  </si>
  <si>
    <t>18.3.5.18</t>
  </si>
  <si>
    <t>サンリオkc</t>
  </si>
  <si>
    <t>北斗フラッシュボタン</t>
  </si>
  <si>
    <t>pro4</t>
  </si>
  <si>
    <t>ギャルキティスカーフリュック</t>
  </si>
  <si>
    <t>19.9.10.19</t>
  </si>
  <si>
    <t>20.8.9.24</t>
  </si>
  <si>
    <t>20.8.9.20</t>
  </si>
  <si>
    <t>16.6.7.24</t>
  </si>
  <si>
    <t>20.8.10.24</t>
  </si>
  <si>
    <t>ぷっくりアングリー</t>
  </si>
  <si>
    <t>22.6.7.22</t>
  </si>
  <si>
    <t>19.6.6.19</t>
  </si>
  <si>
    <t>17.3.6.19</t>
  </si>
  <si>
    <t>キティ日焼けポーチ</t>
  </si>
  <si>
    <t>24.8.9.24</t>
  </si>
  <si>
    <t>サンリオウインドウマルチケース</t>
  </si>
  <si>
    <t>24.1.12.24</t>
  </si>
  <si>
    <t>24.13.14.24</t>
  </si>
  <si>
    <t>17.6.6.18</t>
  </si>
  <si>
    <t>15.7.7.15</t>
  </si>
  <si>
    <t>サンリオヘアバンド</t>
  </si>
  <si>
    <t>34.7.9.35</t>
  </si>
  <si>
    <t>2/10設置</t>
  </si>
  <si>
    <t>16.6.6.17</t>
  </si>
  <si>
    <t>16.7.7.17</t>
  </si>
  <si>
    <t>15.7.7.17</t>
  </si>
  <si>
    <t>15.7.8.18</t>
  </si>
  <si>
    <t>15.7.8.16</t>
  </si>
  <si>
    <t>サンリオヒョウ柄mc</t>
  </si>
  <si>
    <t>レインボー</t>
  </si>
  <si>
    <t>17.7.8.17</t>
  </si>
  <si>
    <t>23.9.9.24</t>
  </si>
  <si>
    <t>21.8.8.24</t>
  </si>
  <si>
    <t>AIラバー</t>
  </si>
  <si>
    <t>16.6.7.17</t>
  </si>
  <si>
    <t>14.5.6.20</t>
  </si>
  <si>
    <t>ゴスロリ</t>
  </si>
  <si>
    <t>pro4ゴールド</t>
  </si>
  <si>
    <t>モンチッチケース</t>
  </si>
  <si>
    <t>13.5.6.14</t>
  </si>
  <si>
    <t>ラブブ風マスコット</t>
  </si>
  <si>
    <t>13.7.7.13</t>
  </si>
  <si>
    <t>22.7.7.22</t>
  </si>
  <si>
    <t>21.6.7.24</t>
  </si>
  <si>
    <t>ラブブ風MC</t>
  </si>
  <si>
    <t>22.9.10.24</t>
  </si>
  <si>
    <t>24.11.12.24</t>
  </si>
  <si>
    <t>24.11.13.24</t>
  </si>
  <si>
    <t>クリスマスkc</t>
  </si>
  <si>
    <t>19.7.8.20</t>
  </si>
  <si>
    <t>18.7.8.18</t>
  </si>
  <si>
    <t>20.9.10.20</t>
  </si>
  <si>
    <t>るらら2種</t>
  </si>
  <si>
    <t>40.12.14.48</t>
  </si>
  <si>
    <t>pwさげ</t>
  </si>
  <si>
    <t>佐賀</t>
  </si>
  <si>
    <t>1000GATCHA</t>
  </si>
  <si>
    <t>カプセル</t>
  </si>
  <si>
    <t>モンチッチどでかぱっちん</t>
  </si>
  <si>
    <t>AIモンスター18㎝</t>
  </si>
  <si>
    <t>モンチッチkc</t>
  </si>
  <si>
    <t>12.2.5.13</t>
  </si>
  <si>
    <t>10.5.6.11</t>
  </si>
  <si>
    <t>スティッチスカーフポーチ</t>
  </si>
  <si>
    <t>サンリオファン</t>
  </si>
  <si>
    <t>19.5.8.19</t>
  </si>
  <si>
    <t>20.5.8.19</t>
  </si>
  <si>
    <t>AIマスコット</t>
  </si>
  <si>
    <t>13.6.7.15</t>
  </si>
  <si>
    <t>12.4.6.14</t>
  </si>
  <si>
    <t>AIモンスター</t>
  </si>
  <si>
    <t>モンチッチmc</t>
  </si>
  <si>
    <t>デジタル液晶ミニカメラ</t>
  </si>
  <si>
    <t>14.4.4.15</t>
  </si>
  <si>
    <t>24.9.10.24</t>
  </si>
  <si>
    <t>センサー故障</t>
  </si>
  <si>
    <t>モンチッチヘアクリップ</t>
  </si>
  <si>
    <t>15.4.6.15</t>
  </si>
  <si>
    <t>ブレスレット</t>
  </si>
  <si>
    <t>17.6.8.17</t>
  </si>
  <si>
    <t>13.6.9.16</t>
  </si>
  <si>
    <t>12.6.8.12</t>
  </si>
  <si>
    <t>スイカクーリッシュじゃがりこ</t>
  </si>
  <si>
    <t>トッポイヤホン</t>
  </si>
  <si>
    <t>液晶ミニカメラ</t>
  </si>
  <si>
    <t>らぶぶ風kh</t>
  </si>
  <si>
    <t>日焼けキティカラビナ</t>
  </si>
  <si>
    <t>18.9.10.17</t>
  </si>
  <si>
    <t>クレーンゲームボタンkh</t>
  </si>
  <si>
    <t>ハロウィン</t>
  </si>
  <si>
    <t>るらら</t>
  </si>
  <si>
    <t>48.11.12.48</t>
  </si>
  <si>
    <t>AIぬいぐるみ</t>
  </si>
  <si>
    <t>サンリオミラー付きボアポーチ</t>
  </si>
  <si>
    <t>24.9.12.23</t>
  </si>
  <si>
    <t>レインボーキティ</t>
  </si>
  <si>
    <t>日焼けキティカラビナポーチ</t>
  </si>
  <si>
    <t>ミニカメラ</t>
  </si>
  <si>
    <t>16.7.8.16</t>
  </si>
  <si>
    <t>19.7.8.19</t>
  </si>
  <si>
    <t>13.4.5.15</t>
  </si>
  <si>
    <t>12.4.5.13</t>
  </si>
  <si>
    <t>22.7.7.23</t>
  </si>
  <si>
    <t>21.6.7.23</t>
  </si>
  <si>
    <t>スンスンクリップ</t>
  </si>
  <si>
    <t>液晶ミニデジタルカメラ</t>
  </si>
  <si>
    <t>サンリオがまぐち</t>
  </si>
  <si>
    <t>24.7.9.24</t>
  </si>
  <si>
    <t>18.7.8.17</t>
  </si>
  <si>
    <t>17.6.7.17</t>
  </si>
  <si>
    <t>ヒョウ柄キティ</t>
  </si>
  <si>
    <t>カラビナキティポーチ</t>
  </si>
  <si>
    <t>11.5.6.11</t>
  </si>
  <si>
    <t>13.4.5.13</t>
  </si>
  <si>
    <t>13.6.7.13</t>
  </si>
  <si>
    <t>20.6.7.20</t>
  </si>
  <si>
    <t>19.6.7.19</t>
  </si>
  <si>
    <t>たまごっちチャーム</t>
  </si>
  <si>
    <t>15.7.7.16</t>
  </si>
  <si>
    <t>15.5.6.18</t>
  </si>
  <si>
    <t>テスト2千円</t>
  </si>
  <si>
    <t>ドーナツスクイーズ</t>
  </si>
  <si>
    <t>22.7.8.24</t>
  </si>
  <si>
    <t>肉球スクイーズ</t>
  </si>
  <si>
    <t>19.7.9.19</t>
  </si>
  <si>
    <t>ボンドロ</t>
  </si>
  <si>
    <t>31.7.8.30</t>
  </si>
  <si>
    <t>キラキラマルチケース</t>
  </si>
  <si>
    <t>18.7.8.24</t>
  </si>
  <si>
    <t>サンリオブレスレット</t>
  </si>
  <si>
    <t>テスト110</t>
  </si>
  <si>
    <t>テスト50</t>
  </si>
  <si>
    <t>フルーツモンチッチmc</t>
  </si>
  <si>
    <t>17.6.7.19</t>
  </si>
  <si>
    <t>ワッペミニポーチ</t>
  </si>
  <si>
    <t>19.6.8.20</t>
  </si>
  <si>
    <t>カピバラスクイーズ</t>
  </si>
  <si>
    <t>24.10.11.24</t>
  </si>
  <si>
    <t>ベアブリック</t>
  </si>
  <si>
    <t>22.10.11.22</t>
  </si>
  <si>
    <t>24.10.13.24</t>
  </si>
  <si>
    <t>トロミスクイーズ</t>
  </si>
  <si>
    <t>23.6.8.24</t>
  </si>
  <si>
    <t>ネイルチップ</t>
  </si>
  <si>
    <t>16.6.7.18</t>
  </si>
  <si>
    <t>たまもりシール</t>
  </si>
  <si>
    <t>20.7.8.20</t>
  </si>
  <si>
    <t>チョコスクイーズ)</t>
  </si>
  <si>
    <t>35.11.13.39</t>
  </si>
  <si>
    <t>キティタイルシール</t>
  </si>
  <si>
    <t>フルーツスクイーズ</t>
  </si>
  <si>
    <t>ご当地もけけ</t>
  </si>
  <si>
    <t>トイストーリー</t>
  </si>
  <si>
    <t>24.12.15.24</t>
  </si>
  <si>
    <t>24.9.11.24</t>
  </si>
  <si>
    <t>たまごっちカスタムキーリング</t>
  </si>
  <si>
    <t>たまごっちミニチュアポシェット</t>
  </si>
  <si>
    <t>16.7.9.18</t>
  </si>
  <si>
    <t>24.9.12.24</t>
  </si>
  <si>
    <t>33.9.10.33</t>
  </si>
  <si>
    <t>ふわもちミニパンケーキ</t>
  </si>
  <si>
    <t>17.5.5.18</t>
  </si>
  <si>
    <t>極とろスクイーズ</t>
  </si>
  <si>
    <t>46.9.10.48</t>
  </si>
  <si>
    <t>キティドデカぱっちん</t>
  </si>
  <si>
    <t>16.6.7.16</t>
  </si>
  <si>
    <t>ミニデジカメ</t>
  </si>
  <si>
    <t>21.7.9.24</t>
  </si>
  <si>
    <t>極とろアイススクイーズ</t>
  </si>
  <si>
    <t>48.10.11.48</t>
  </si>
  <si>
    <t>サンリオデカぱっちん</t>
  </si>
  <si>
    <t>16.6.6.18</t>
  </si>
  <si>
    <t>レインボーバター</t>
  </si>
  <si>
    <t>スンスンがまぐち</t>
  </si>
  <si>
    <t>48.12.13.48</t>
  </si>
  <si>
    <t>おかしなたまごっち</t>
  </si>
  <si>
    <t>47.10.11.48</t>
  </si>
  <si>
    <t>日焼けモンチッチ</t>
  </si>
  <si>
    <t>19.8.9.24</t>
  </si>
  <si>
    <t>BUZZ＃4</t>
    <phoneticPr fontId="9"/>
  </si>
  <si>
    <t>BUZZ＃5</t>
    <phoneticPr fontId="9"/>
  </si>
  <si>
    <t>BUZZ＃6</t>
    <phoneticPr fontId="9"/>
  </si>
  <si>
    <t>BUZZミニ#4</t>
    <phoneticPr fontId="9"/>
  </si>
  <si>
    <t>BUZZミニ#5</t>
    <phoneticPr fontId="9"/>
  </si>
  <si>
    <t>BUZZミニ#6</t>
    <phoneticPr fontId="9"/>
  </si>
  <si>
    <t>BUZZ4</t>
    <phoneticPr fontId="9"/>
  </si>
  <si>
    <t>BUZZ5</t>
    <phoneticPr fontId="9"/>
  </si>
  <si>
    <t>BUZZ6</t>
    <phoneticPr fontId="9"/>
  </si>
  <si>
    <t>たまごっちキーリング</t>
  </si>
  <si>
    <t>キティファー付きポーチ</t>
  </si>
  <si>
    <t>76ラバーマスコット</t>
  </si>
  <si>
    <t>電ブルcute</t>
  </si>
  <si>
    <t>ハンディファン</t>
  </si>
  <si>
    <t>平成フォンシール</t>
  </si>
  <si>
    <t>キラキラマルチポーチ</t>
  </si>
  <si>
    <t>モンチッチプチがま口</t>
  </si>
  <si>
    <t>みにとろスクイーズ</t>
  </si>
  <si>
    <t>たまごっちボアポーチ</t>
  </si>
  <si>
    <t>ミニプリンター</t>
  </si>
  <si>
    <t>19.7.9.24</t>
  </si>
  <si>
    <t>サンリオエナメルポーチ</t>
  </si>
  <si>
    <t>37.3.13.48</t>
  </si>
  <si>
    <t>アイススクイーズ</t>
  </si>
  <si>
    <t>40.13.14.48</t>
  </si>
  <si>
    <t>19.6.7.24</t>
  </si>
  <si>
    <t>19.7.7.24</t>
  </si>
  <si>
    <t>マロッシュイヤホン</t>
  </si>
  <si>
    <t>17.8.9.20</t>
  </si>
  <si>
    <t>クリームタルトスクイーズ</t>
  </si>
  <si>
    <t>24.7.7.24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</si>
</sst>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/aaa"/>
    <numFmt numFmtId="177" formatCode="m/d/aaa"/>
    <numFmt numFmtId="178" formatCode="0_);[Red]\(0\)"/>
  </numFmts>
  <fonts count="11" x14ac:knownFonts="1">
    <font>
      <sz val="11"/>
      <color theme="1"/>
      <name val="Calibri"/>
      <scheme val="minor"/>
    </font>
    <font>
      <sz val="8"/>
      <color theme="1"/>
      <name val="Meiryo"/>
      <family val="2"/>
      <charset val="128"/>
    </font>
    <font>
      <sz val="6"/>
      <color theme="1"/>
      <name val="Meiryo"/>
      <family val="2"/>
      <charset val="128"/>
    </font>
    <font>
      <sz val="8"/>
      <color theme="1"/>
      <name val="Calibri"/>
      <family val="2"/>
    </font>
    <font>
      <sz val="10"/>
      <color theme="1"/>
      <name val="Meiryo"/>
      <family val="2"/>
      <charset val="128"/>
    </font>
    <font>
      <b/>
      <sz val="10"/>
      <color theme="1"/>
      <name val="Meiryo"/>
      <family val="2"/>
      <charset val="128"/>
    </font>
    <font>
      <sz val="8"/>
      <color theme="1"/>
      <name val="Meiryo"/>
      <family val="2"/>
      <charset val="128"/>
    </font>
    <font>
      <sz val="6"/>
      <color theme="1"/>
      <name val="Meiryo"/>
      <family val="2"/>
      <charset val="128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5E5E5"/>
        <bgColor rgb="FFE5E5E5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slantDashDot">
        <color rgb="FF000000"/>
      </left>
      <right/>
      <top style="slantDashDot">
        <color rgb="FF000000"/>
      </top>
      <bottom/>
      <diagonal/>
    </border>
    <border>
      <left style="thin">
        <color rgb="FF000000"/>
      </left>
      <right style="thin">
        <color rgb="FF000000"/>
      </right>
      <top style="slantDashDot">
        <color rgb="FF000000"/>
      </top>
      <bottom style="thin">
        <color rgb="FF000000"/>
      </bottom>
      <diagonal/>
    </border>
    <border>
      <left style="thin">
        <color rgb="FF000000"/>
      </left>
      <right style="slantDashDot">
        <color rgb="FF000000"/>
      </right>
      <top style="slantDashDot">
        <color rgb="FF000000"/>
      </top>
      <bottom style="thin">
        <color rgb="FF000000"/>
      </bottom>
      <diagonal/>
    </border>
    <border>
      <left style="slantDashDot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slantDashDot">
        <color rgb="FF000000"/>
      </right>
      <top style="thin">
        <color rgb="FF000000"/>
      </top>
      <bottom style="thin">
        <color rgb="FF000000"/>
      </bottom>
      <diagonal/>
    </border>
    <border>
      <left style="slantDashDot">
        <color rgb="FF000000"/>
      </left>
      <right/>
      <top/>
      <bottom/>
      <diagonal/>
    </border>
    <border>
      <left style="thin">
        <color rgb="FF000000"/>
      </left>
      <right style="slantDashDot">
        <color rgb="FF000000"/>
      </right>
      <top/>
      <bottom style="thin">
        <color rgb="FF000000"/>
      </bottom>
      <diagonal/>
    </border>
    <border>
      <left style="slantDashDot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slantDashDot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slantDashDot">
        <color rgb="FF000000"/>
      </left>
      <right style="thin">
        <color rgb="FF000000"/>
      </right>
      <top style="thin">
        <color rgb="FF000000"/>
      </top>
      <bottom style="slantDashDot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slantDashDot">
        <color rgb="FF000000"/>
      </bottom>
      <diagonal/>
    </border>
    <border>
      <left style="thin">
        <color rgb="FF000000"/>
      </left>
      <right style="slantDashDot">
        <color rgb="FF000000"/>
      </right>
      <top style="thin">
        <color rgb="FF000000"/>
      </top>
      <bottom style="slantDashDot">
        <color rgb="FF000000"/>
      </bottom>
      <diagonal/>
    </border>
    <border>
      <left style="slantDashDot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slantDashDot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7">
    <xf numFmtId="0" fontId="0" fillId="0" borderId="0" xfId="0" applyAlignment="1">
      <alignment vertical="center"/>
    </xf>
    <xf numFmtId="38" fontId="1" fillId="0" borderId="0" xfId="0" applyNumberFormat="1" applyFont="1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vertical="center"/>
    </xf>
    <xf numFmtId="38" fontId="1" fillId="0" borderId="0" xfId="0" applyNumberFormat="1" applyFont="1"/>
    <xf numFmtId="38" fontId="1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vertical="center"/>
    </xf>
    <xf numFmtId="178" fontId="1" fillId="0" borderId="4" xfId="0" applyNumberFormat="1" applyFont="1" applyBorder="1" applyAlignment="1">
      <alignment horizontal="center" vertical="center"/>
    </xf>
    <xf numFmtId="38" fontId="1" fillId="0" borderId="5" xfId="0" applyNumberFormat="1" applyFont="1" applyBorder="1" applyAlignment="1">
      <alignment horizontal="center" vertical="center"/>
    </xf>
    <xf numFmtId="38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38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vertical="center"/>
    </xf>
    <xf numFmtId="0" fontId="1" fillId="0" borderId="7" xfId="0" applyFont="1" applyBorder="1"/>
    <xf numFmtId="38" fontId="1" fillId="0" borderId="8" xfId="0" applyNumberFormat="1" applyFont="1" applyBorder="1" applyAlignment="1">
      <alignment horizontal="center" vertical="center"/>
    </xf>
    <xf numFmtId="38" fontId="1" fillId="0" borderId="8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horizontal="center" vertical="center" shrinkToFit="1"/>
    </xf>
    <xf numFmtId="9" fontId="1" fillId="0" borderId="1" xfId="0" applyNumberFormat="1" applyFont="1" applyBorder="1" applyAlignment="1">
      <alignment vertical="center" shrinkToFit="1"/>
    </xf>
    <xf numFmtId="38" fontId="1" fillId="5" borderId="1" xfId="0" applyNumberFormat="1" applyFont="1" applyFill="1" applyBorder="1" applyAlignment="1">
      <alignment horizontal="center" vertical="center"/>
    </xf>
    <xf numFmtId="38" fontId="1" fillId="5" borderId="1" xfId="0" applyNumberFormat="1" applyFont="1" applyFill="1" applyBorder="1" applyAlignment="1">
      <alignment vertical="center"/>
    </xf>
    <xf numFmtId="10" fontId="1" fillId="0" borderId="11" xfId="0" applyNumberFormat="1" applyFont="1" applyBorder="1" applyAlignment="1">
      <alignment vertical="center"/>
    </xf>
    <xf numFmtId="38" fontId="1" fillId="5" borderId="12" xfId="0" applyNumberFormat="1" applyFont="1" applyFill="1" applyBorder="1" applyAlignment="1">
      <alignment horizontal="center" vertical="center"/>
    </xf>
    <xf numFmtId="9" fontId="1" fillId="5" borderId="12" xfId="0" applyNumberFormat="1" applyFont="1" applyFill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6" borderId="13" xfId="0" applyFont="1" applyFill="1" applyBorder="1"/>
    <xf numFmtId="38" fontId="1" fillId="6" borderId="13" xfId="0" applyNumberFormat="1" applyFont="1" applyFill="1" applyBorder="1" applyAlignment="1">
      <alignment shrinkToFit="1"/>
    </xf>
    <xf numFmtId="9" fontId="1" fillId="5" borderId="1" xfId="0" applyNumberFormat="1" applyFont="1" applyFill="1" applyBorder="1" applyAlignment="1">
      <alignment vertical="center"/>
    </xf>
    <xf numFmtId="178" fontId="1" fillId="0" borderId="7" xfId="0" applyNumberFormat="1" applyFont="1" applyBorder="1" applyAlignment="1">
      <alignment horizontal="center" vertical="center"/>
    </xf>
    <xf numFmtId="38" fontId="1" fillId="0" borderId="9" xfId="0" applyNumberFormat="1" applyFont="1" applyBorder="1" applyAlignment="1">
      <alignment horizontal="center" vertical="center"/>
    </xf>
    <xf numFmtId="0" fontId="1" fillId="0" borderId="0" xfId="0" applyFont="1"/>
    <xf numFmtId="38" fontId="2" fillId="0" borderId="0" xfId="0" applyNumberFormat="1" applyFont="1" applyAlignment="1">
      <alignment vertical="center"/>
    </xf>
    <xf numFmtId="176" fontId="2" fillId="0" borderId="9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vertical="center"/>
    </xf>
    <xf numFmtId="38" fontId="1" fillId="0" borderId="7" xfId="0" applyNumberFormat="1" applyFont="1" applyBorder="1" applyAlignment="1">
      <alignment shrinkToFit="1"/>
    </xf>
    <xf numFmtId="38" fontId="1" fillId="7" borderId="1" xfId="0" applyNumberFormat="1" applyFont="1" applyFill="1" applyBorder="1" applyAlignment="1">
      <alignment horizontal="center" vertical="center"/>
    </xf>
    <xf numFmtId="38" fontId="1" fillId="7" borderId="1" xfId="0" applyNumberFormat="1" applyFont="1" applyFill="1" applyBorder="1" applyAlignment="1">
      <alignment vertical="center"/>
    </xf>
    <xf numFmtId="38" fontId="1" fillId="7" borderId="12" xfId="0" applyNumberFormat="1" applyFont="1" applyFill="1" applyBorder="1" applyAlignment="1">
      <alignment horizontal="center" vertical="center"/>
    </xf>
    <xf numFmtId="9" fontId="1" fillId="7" borderId="12" xfId="0" applyNumberFormat="1" applyFont="1" applyFill="1" applyBorder="1" applyAlignment="1">
      <alignment vertical="center"/>
    </xf>
    <xf numFmtId="0" fontId="3" fillId="0" borderId="0" xfId="0" applyFont="1"/>
    <xf numFmtId="38" fontId="4" fillId="0" borderId="0" xfId="0" applyNumberFormat="1" applyFont="1" applyAlignment="1">
      <alignment vertical="center" shrinkToFit="1"/>
    </xf>
    <xf numFmtId="38" fontId="4" fillId="0" borderId="0" xfId="0" applyNumberFormat="1" applyFont="1" applyAlignment="1">
      <alignment vertical="center"/>
    </xf>
    <xf numFmtId="38" fontId="4" fillId="0" borderId="4" xfId="0" applyNumberFormat="1" applyFont="1" applyBorder="1" applyAlignment="1">
      <alignment vertical="center"/>
    </xf>
    <xf numFmtId="38" fontId="4" fillId="0" borderId="14" xfId="0" applyNumberFormat="1" applyFont="1" applyBorder="1" applyAlignment="1">
      <alignment vertical="center"/>
    </xf>
    <xf numFmtId="38" fontId="4" fillId="0" borderId="15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38" fontId="4" fillId="0" borderId="16" xfId="0" applyNumberFormat="1" applyFont="1" applyBorder="1" applyAlignment="1">
      <alignment vertical="center"/>
    </xf>
    <xf numFmtId="0" fontId="4" fillId="0" borderId="17" xfId="0" applyFont="1" applyBorder="1" applyAlignment="1">
      <alignment vertical="center" shrinkToFit="1"/>
    </xf>
    <xf numFmtId="38" fontId="4" fillId="0" borderId="18" xfId="0" applyNumberFormat="1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38" fontId="4" fillId="0" borderId="20" xfId="0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38" fontId="4" fillId="0" borderId="22" xfId="0" applyNumberFormat="1" applyFont="1" applyBorder="1" applyAlignment="1">
      <alignment vertical="center"/>
    </xf>
    <xf numFmtId="38" fontId="4" fillId="0" borderId="23" xfId="0" applyNumberFormat="1" applyFont="1" applyBorder="1" applyAlignment="1">
      <alignment vertical="center"/>
    </xf>
    <xf numFmtId="38" fontId="4" fillId="0" borderId="24" xfId="0" applyNumberFormat="1" applyFont="1" applyBorder="1" applyAlignment="1">
      <alignment vertical="center" shrinkToFit="1"/>
    </xf>
    <xf numFmtId="38" fontId="4" fillId="0" borderId="25" xfId="0" applyNumberFormat="1" applyFont="1" applyBorder="1" applyAlignment="1">
      <alignment vertical="center"/>
    </xf>
    <xf numFmtId="38" fontId="4" fillId="0" borderId="26" xfId="0" applyNumberFormat="1" applyFont="1" applyBorder="1" applyAlignment="1">
      <alignment vertical="center"/>
    </xf>
    <xf numFmtId="38" fontId="4" fillId="0" borderId="27" xfId="0" applyNumberFormat="1" applyFont="1" applyBorder="1" applyAlignment="1">
      <alignment vertical="center"/>
    </xf>
    <xf numFmtId="38" fontId="4" fillId="0" borderId="28" xfId="0" applyNumberFormat="1" applyFont="1" applyBorder="1" applyAlignment="1">
      <alignment vertical="center"/>
    </xf>
    <xf numFmtId="38" fontId="4" fillId="0" borderId="29" xfId="0" applyNumberFormat="1" applyFont="1" applyBorder="1" applyAlignment="1">
      <alignment vertical="center"/>
    </xf>
    <xf numFmtId="38" fontId="4" fillId="0" borderId="30" xfId="0" applyNumberFormat="1" applyFont="1" applyBorder="1" applyAlignment="1">
      <alignment vertical="center"/>
    </xf>
    <xf numFmtId="0" fontId="4" fillId="0" borderId="31" xfId="0" applyFont="1" applyBorder="1" applyAlignment="1">
      <alignment vertical="center" shrinkToFit="1"/>
    </xf>
    <xf numFmtId="38" fontId="4" fillId="0" borderId="32" xfId="0" applyNumberFormat="1" applyFont="1" applyBorder="1" applyAlignment="1">
      <alignment vertical="center"/>
    </xf>
    <xf numFmtId="38" fontId="4" fillId="0" borderId="33" xfId="0" applyNumberFormat="1" applyFont="1" applyBorder="1" applyAlignment="1">
      <alignment vertical="center"/>
    </xf>
    <xf numFmtId="38" fontId="4" fillId="0" borderId="34" xfId="0" applyNumberFormat="1" applyFont="1" applyBorder="1" applyAlignment="1">
      <alignment vertical="center"/>
    </xf>
    <xf numFmtId="38" fontId="4" fillId="0" borderId="35" xfId="0" applyNumberFormat="1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38" fontId="4" fillId="0" borderId="37" xfId="0" applyNumberFormat="1" applyFont="1" applyBorder="1" applyAlignment="1">
      <alignment vertical="center"/>
    </xf>
    <xf numFmtId="38" fontId="4" fillId="0" borderId="31" xfId="0" applyNumberFormat="1" applyFont="1" applyBorder="1" applyAlignment="1">
      <alignment vertical="center" shrinkToFit="1"/>
    </xf>
    <xf numFmtId="38" fontId="4" fillId="0" borderId="36" xfId="0" applyNumberFormat="1" applyFont="1" applyBorder="1" applyAlignment="1">
      <alignment vertical="center"/>
    </xf>
    <xf numFmtId="38" fontId="4" fillId="0" borderId="38" xfId="0" applyNumberFormat="1" applyFont="1" applyBorder="1" applyAlignment="1">
      <alignment vertical="center" shrinkToFit="1"/>
    </xf>
    <xf numFmtId="38" fontId="4" fillId="0" borderId="39" xfId="0" applyNumberFormat="1" applyFont="1" applyBorder="1" applyAlignment="1">
      <alignment vertical="center"/>
    </xf>
    <xf numFmtId="38" fontId="4" fillId="0" borderId="40" xfId="0" applyNumberFormat="1" applyFont="1" applyBorder="1" applyAlignment="1">
      <alignment vertical="center"/>
    </xf>
    <xf numFmtId="38" fontId="4" fillId="0" borderId="41" xfId="0" applyNumberFormat="1" applyFont="1" applyBorder="1" applyAlignment="1">
      <alignment vertical="center"/>
    </xf>
    <xf numFmtId="38" fontId="4" fillId="0" borderId="42" xfId="0" applyNumberFormat="1" applyFont="1" applyBorder="1" applyAlignment="1">
      <alignment vertical="center"/>
    </xf>
    <xf numFmtId="38" fontId="4" fillId="0" borderId="43" xfId="0" applyNumberFormat="1" applyFont="1" applyBorder="1" applyAlignment="1">
      <alignment vertical="center"/>
    </xf>
    <xf numFmtId="38" fontId="4" fillId="0" borderId="44" xfId="0" applyNumberFormat="1" applyFont="1" applyBorder="1" applyAlignment="1">
      <alignment vertical="center"/>
    </xf>
    <xf numFmtId="0" fontId="4" fillId="0" borderId="45" xfId="0" applyFont="1" applyBorder="1" applyAlignment="1">
      <alignment vertical="center" shrinkToFit="1"/>
    </xf>
    <xf numFmtId="38" fontId="4" fillId="0" borderId="46" xfId="0" applyNumberFormat="1" applyFont="1" applyBorder="1" applyAlignment="1">
      <alignment vertical="center"/>
    </xf>
    <xf numFmtId="38" fontId="4" fillId="0" borderId="47" xfId="0" applyNumberFormat="1" applyFont="1" applyBorder="1" applyAlignment="1">
      <alignment vertical="center"/>
    </xf>
    <xf numFmtId="38" fontId="4" fillId="0" borderId="48" xfId="0" applyNumberFormat="1" applyFont="1" applyBorder="1" applyAlignment="1">
      <alignment vertical="center"/>
    </xf>
    <xf numFmtId="38" fontId="4" fillId="0" borderId="49" xfId="0" applyNumberFormat="1" applyFont="1" applyBorder="1" applyAlignment="1">
      <alignment vertical="center"/>
    </xf>
    <xf numFmtId="38" fontId="4" fillId="0" borderId="50" xfId="0" applyNumberFormat="1" applyFont="1" applyBorder="1" applyAlignment="1">
      <alignment vertical="center"/>
    </xf>
    <xf numFmtId="38" fontId="4" fillId="0" borderId="51" xfId="0" applyNumberFormat="1" applyFont="1" applyBorder="1" applyAlignment="1">
      <alignment vertical="center"/>
    </xf>
    <xf numFmtId="38" fontId="5" fillId="0" borderId="37" xfId="0" applyNumberFormat="1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38" fontId="5" fillId="0" borderId="44" xfId="0" applyNumberFormat="1" applyFont="1" applyBorder="1" applyAlignment="1">
      <alignment vertical="center"/>
    </xf>
    <xf numFmtId="38" fontId="4" fillId="0" borderId="52" xfId="0" applyNumberFormat="1" applyFont="1" applyBorder="1" applyAlignment="1">
      <alignment vertical="center" shrinkToFit="1"/>
    </xf>
    <xf numFmtId="38" fontId="4" fillId="0" borderId="53" xfId="0" applyNumberFormat="1" applyFont="1" applyBorder="1" applyAlignment="1">
      <alignment vertical="center"/>
    </xf>
    <xf numFmtId="38" fontId="4" fillId="0" borderId="54" xfId="0" applyNumberFormat="1" applyFont="1" applyBorder="1" applyAlignment="1">
      <alignment vertical="center"/>
    </xf>
    <xf numFmtId="38" fontId="4" fillId="0" borderId="55" xfId="0" applyNumberFormat="1" applyFont="1" applyBorder="1" applyAlignment="1">
      <alignment vertical="center"/>
    </xf>
    <xf numFmtId="38" fontId="4" fillId="0" borderId="56" xfId="0" applyNumberFormat="1" applyFont="1" applyBorder="1" applyAlignment="1">
      <alignment vertical="center"/>
    </xf>
    <xf numFmtId="38" fontId="4" fillId="0" borderId="57" xfId="0" applyNumberFormat="1" applyFont="1" applyBorder="1" applyAlignment="1">
      <alignment vertical="center"/>
    </xf>
    <xf numFmtId="38" fontId="5" fillId="0" borderId="58" xfId="0" applyNumberFormat="1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38" fontId="4" fillId="0" borderId="59" xfId="0" applyNumberFormat="1" applyFont="1" applyBorder="1" applyAlignment="1">
      <alignment vertical="center" shrinkToFit="1"/>
    </xf>
    <xf numFmtId="38" fontId="4" fillId="0" borderId="60" xfId="0" applyNumberFormat="1" applyFont="1" applyBorder="1" applyAlignment="1">
      <alignment vertical="center"/>
    </xf>
    <xf numFmtId="38" fontId="4" fillId="0" borderId="61" xfId="0" applyNumberFormat="1" applyFont="1" applyBorder="1" applyAlignment="1">
      <alignment vertical="center"/>
    </xf>
    <xf numFmtId="38" fontId="4" fillId="0" borderId="62" xfId="0" applyNumberFormat="1" applyFont="1" applyBorder="1" applyAlignment="1">
      <alignment vertical="center"/>
    </xf>
    <xf numFmtId="38" fontId="4" fillId="0" borderId="63" xfId="0" applyNumberFormat="1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38" fontId="5" fillId="0" borderId="65" xfId="0" applyNumberFormat="1" applyFont="1" applyBorder="1" applyAlignment="1">
      <alignment vertical="center"/>
    </xf>
    <xf numFmtId="0" fontId="4" fillId="0" borderId="66" xfId="0" applyFont="1" applyBorder="1" applyAlignment="1">
      <alignment vertical="center" shrinkToFit="1"/>
    </xf>
    <xf numFmtId="38" fontId="4" fillId="0" borderId="67" xfId="0" applyNumberFormat="1" applyFont="1" applyBorder="1" applyAlignment="1">
      <alignment vertical="center"/>
    </xf>
    <xf numFmtId="38" fontId="4" fillId="0" borderId="68" xfId="0" applyNumberFormat="1" applyFont="1" applyBorder="1" applyAlignment="1">
      <alignment vertical="center"/>
    </xf>
    <xf numFmtId="38" fontId="4" fillId="0" borderId="69" xfId="0" applyNumberFormat="1" applyFont="1" applyBorder="1" applyAlignment="1">
      <alignment vertical="center"/>
    </xf>
    <xf numFmtId="38" fontId="4" fillId="0" borderId="70" xfId="0" applyNumberFormat="1" applyFont="1" applyBorder="1" applyAlignment="1">
      <alignment vertical="center"/>
    </xf>
    <xf numFmtId="38" fontId="4" fillId="0" borderId="71" xfId="0" applyNumberFormat="1" applyFont="1" applyBorder="1" applyAlignment="1">
      <alignment vertical="center"/>
    </xf>
    <xf numFmtId="38" fontId="5" fillId="0" borderId="72" xfId="0" applyNumberFormat="1" applyFont="1" applyBorder="1" applyAlignment="1">
      <alignment vertical="center"/>
    </xf>
    <xf numFmtId="38" fontId="5" fillId="0" borderId="51" xfId="0" applyNumberFormat="1" applyFont="1" applyBorder="1" applyAlignment="1">
      <alignment vertical="center"/>
    </xf>
    <xf numFmtId="0" fontId="4" fillId="0" borderId="0" xfId="0" applyFont="1" applyAlignment="1">
      <alignment vertical="center" shrinkToFit="1"/>
    </xf>
    <xf numFmtId="38" fontId="4" fillId="0" borderId="73" xfId="0" applyNumberFormat="1" applyFont="1" applyBorder="1" applyAlignment="1">
      <alignment vertical="center"/>
    </xf>
    <xf numFmtId="38" fontId="4" fillId="0" borderId="74" xfId="0" applyNumberFormat="1" applyFont="1" applyBorder="1" applyAlignment="1">
      <alignment vertical="center"/>
    </xf>
    <xf numFmtId="38" fontId="4" fillId="0" borderId="75" xfId="0" applyNumberFormat="1" applyFont="1" applyBorder="1" applyAlignment="1">
      <alignment vertical="center"/>
    </xf>
    <xf numFmtId="178" fontId="6" fillId="0" borderId="4" xfId="0" applyNumberFormat="1" applyFont="1" applyBorder="1" applyAlignment="1">
      <alignment horizontal="center" vertical="center"/>
    </xf>
    <xf numFmtId="38" fontId="6" fillId="0" borderId="5" xfId="0" applyNumberFormat="1" applyFont="1" applyBorder="1" applyAlignment="1">
      <alignment horizontal="center" vertical="center"/>
    </xf>
    <xf numFmtId="38" fontId="6" fillId="9" borderId="5" xfId="0" applyNumberFormat="1" applyFont="1" applyFill="1" applyBorder="1" applyAlignment="1">
      <alignment vertical="center"/>
    </xf>
    <xf numFmtId="38" fontId="6" fillId="0" borderId="5" xfId="0" applyNumberFormat="1" applyFont="1" applyBorder="1" applyAlignment="1">
      <alignment vertical="center"/>
    </xf>
    <xf numFmtId="38" fontId="6" fillId="8" borderId="5" xfId="0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38" fontId="6" fillId="0" borderId="1" xfId="0" applyNumberFormat="1" applyFont="1" applyBorder="1" applyAlignment="1">
      <alignment horizontal="center" vertical="center"/>
    </xf>
    <xf numFmtId="38" fontId="6" fillId="9" borderId="1" xfId="0" applyNumberFormat="1" applyFont="1" applyFill="1" applyBorder="1" applyAlignment="1">
      <alignment vertical="center"/>
    </xf>
    <xf numFmtId="38" fontId="6" fillId="0" borderId="1" xfId="0" applyNumberFormat="1" applyFont="1" applyBorder="1" applyAlignment="1">
      <alignment vertical="center"/>
    </xf>
    <xf numFmtId="38" fontId="6" fillId="8" borderId="1" xfId="0" applyNumberFormat="1" applyFont="1" applyFill="1" applyBorder="1" applyAlignment="1">
      <alignment vertical="center"/>
    </xf>
    <xf numFmtId="0" fontId="6" fillId="0" borderId="13" xfId="0" applyFont="1" applyBorder="1"/>
    <xf numFmtId="38" fontId="6" fillId="0" borderId="8" xfId="0" applyNumberFormat="1" applyFont="1" applyBorder="1" applyAlignment="1">
      <alignment horizontal="center" vertical="center"/>
    </xf>
    <xf numFmtId="38" fontId="6" fillId="0" borderId="8" xfId="0" applyNumberFormat="1" applyFont="1" applyBorder="1" applyAlignment="1">
      <alignment vertical="center"/>
    </xf>
    <xf numFmtId="38" fontId="6" fillId="9" borderId="10" xfId="0" applyNumberFormat="1" applyFont="1" applyFill="1" applyBorder="1" applyAlignment="1">
      <alignment vertical="center"/>
    </xf>
    <xf numFmtId="38" fontId="6" fillId="0" borderId="10" xfId="0" applyNumberFormat="1" applyFont="1" applyBorder="1" applyAlignment="1">
      <alignment vertical="center"/>
    </xf>
    <xf numFmtId="38" fontId="6" fillId="8" borderId="10" xfId="0" applyNumberFormat="1" applyFont="1" applyFill="1" applyBorder="1" applyAlignment="1">
      <alignment vertical="center"/>
    </xf>
    <xf numFmtId="38" fontId="6" fillId="0" borderId="1" xfId="0" applyNumberFormat="1" applyFont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vertical="center" shrinkToFit="1"/>
    </xf>
    <xf numFmtId="9" fontId="6" fillId="0" borderId="1" xfId="0" applyNumberFormat="1" applyFont="1" applyBorder="1" applyAlignment="1">
      <alignment vertical="center" shrinkToFit="1"/>
    </xf>
    <xf numFmtId="9" fontId="6" fillId="8" borderId="1" xfId="0" applyNumberFormat="1" applyFont="1" applyFill="1" applyBorder="1" applyAlignment="1">
      <alignment vertical="center" shrinkToFit="1"/>
    </xf>
    <xf numFmtId="38" fontId="6" fillId="5" borderId="1" xfId="0" applyNumberFormat="1" applyFont="1" applyFill="1" applyBorder="1" applyAlignment="1">
      <alignment horizontal="center" vertical="center"/>
    </xf>
    <xf numFmtId="38" fontId="6" fillId="5" borderId="1" xfId="0" applyNumberFormat="1" applyFont="1" applyFill="1" applyBorder="1" applyAlignment="1">
      <alignment vertical="center"/>
    </xf>
    <xf numFmtId="10" fontId="6" fillId="0" borderId="11" xfId="0" applyNumberFormat="1" applyFont="1" applyBorder="1" applyAlignment="1">
      <alignment vertical="center"/>
    </xf>
    <xf numFmtId="38" fontId="6" fillId="5" borderId="12" xfId="0" applyNumberFormat="1" applyFont="1" applyFill="1" applyBorder="1" applyAlignment="1">
      <alignment horizontal="center" vertical="center"/>
    </xf>
    <xf numFmtId="9" fontId="6" fillId="9" borderId="12" xfId="0" applyNumberFormat="1" applyFont="1" applyFill="1" applyBorder="1" applyAlignment="1">
      <alignment vertical="center"/>
    </xf>
    <xf numFmtId="9" fontId="6" fillId="5" borderId="12" xfId="0" applyNumberFormat="1" applyFont="1" applyFill="1" applyBorder="1" applyAlignment="1">
      <alignment vertical="center"/>
    </xf>
    <xf numFmtId="9" fontId="6" fillId="8" borderId="12" xfId="0" applyNumberFormat="1" applyFont="1" applyFill="1" applyBorder="1" applyAlignment="1">
      <alignment vertical="center"/>
    </xf>
    <xf numFmtId="0" fontId="6" fillId="0" borderId="13" xfId="0" applyFont="1" applyBorder="1" applyAlignment="1">
      <alignment horizontal="center"/>
    </xf>
    <xf numFmtId="0" fontId="6" fillId="6" borderId="13" xfId="0" applyFont="1" applyFill="1" applyBorder="1"/>
    <xf numFmtId="38" fontId="6" fillId="6" borderId="13" xfId="0" applyNumberFormat="1" applyFont="1" applyFill="1" applyBorder="1" applyAlignment="1">
      <alignment shrinkToFit="1"/>
    </xf>
    <xf numFmtId="9" fontId="6" fillId="9" borderId="1" xfId="0" applyNumberFormat="1" applyFont="1" applyFill="1" applyBorder="1" applyAlignment="1">
      <alignment vertical="center"/>
    </xf>
    <xf numFmtId="9" fontId="6" fillId="5" borderId="1" xfId="0" applyNumberFormat="1" applyFont="1" applyFill="1" applyBorder="1" applyAlignment="1">
      <alignment vertical="center"/>
    </xf>
    <xf numFmtId="9" fontId="6" fillId="8" borderId="1" xfId="0" applyNumberFormat="1" applyFont="1" applyFill="1" applyBorder="1" applyAlignment="1">
      <alignment vertical="center"/>
    </xf>
    <xf numFmtId="178" fontId="6" fillId="0" borderId="13" xfId="0" applyNumberFormat="1" applyFont="1" applyBorder="1" applyAlignment="1">
      <alignment horizontal="center" vertical="center"/>
    </xf>
    <xf numFmtId="38" fontId="6" fillId="0" borderId="10" xfId="0" applyNumberFormat="1" applyFont="1" applyBorder="1" applyAlignment="1">
      <alignment horizontal="center" vertical="center"/>
    </xf>
    <xf numFmtId="38" fontId="7" fillId="0" borderId="0" xfId="0" applyNumberFormat="1" applyFont="1" applyAlignment="1">
      <alignment vertical="center"/>
    </xf>
    <xf numFmtId="176" fontId="7" fillId="0" borderId="10" xfId="0" applyNumberFormat="1" applyFont="1" applyBorder="1" applyAlignment="1">
      <alignment horizontal="center" vertical="center"/>
    </xf>
    <xf numFmtId="177" fontId="7" fillId="0" borderId="10" xfId="0" applyNumberFormat="1" applyFont="1" applyBorder="1" applyAlignment="1">
      <alignment vertical="center"/>
    </xf>
    <xf numFmtId="38" fontId="6" fillId="0" borderId="13" xfId="0" applyNumberFormat="1" applyFont="1" applyBorder="1" applyAlignment="1">
      <alignment shrinkToFit="1"/>
    </xf>
    <xf numFmtId="38" fontId="6" fillId="7" borderId="1" xfId="0" applyNumberFormat="1" applyFont="1" applyFill="1" applyBorder="1" applyAlignment="1">
      <alignment horizontal="center" vertical="center"/>
    </xf>
    <xf numFmtId="38" fontId="6" fillId="7" borderId="1" xfId="0" applyNumberFormat="1" applyFont="1" applyFill="1" applyBorder="1" applyAlignment="1">
      <alignment vertical="center"/>
    </xf>
    <xf numFmtId="38" fontId="6" fillId="7" borderId="12" xfId="0" applyNumberFormat="1" applyFont="1" applyFill="1" applyBorder="1" applyAlignment="1">
      <alignment horizontal="center" vertical="center"/>
    </xf>
    <xf numFmtId="9" fontId="6" fillId="7" borderId="12" xfId="0" applyNumberFormat="1" applyFont="1" applyFill="1" applyBorder="1" applyAlignment="1">
      <alignment vertical="center"/>
    </xf>
    <xf numFmtId="177" fontId="6" fillId="0" borderId="1" xfId="0" applyNumberFormat="1" applyFont="1" applyBorder="1" applyAlignment="1">
      <alignment vertical="center"/>
    </xf>
    <xf numFmtId="178" fontId="6" fillId="0" borderId="3" xfId="0" applyNumberFormat="1" applyFont="1" applyBorder="1" applyAlignment="1">
      <alignment vertical="center"/>
    </xf>
    <xf numFmtId="0" fontId="6" fillId="0" borderId="0" xfId="0" applyFont="1"/>
    <xf numFmtId="38" fontId="6" fillId="0" borderId="0" xfId="0" applyNumberFormat="1" applyFont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vertical="center"/>
    </xf>
    <xf numFmtId="38" fontId="6" fillId="0" borderId="0" xfId="0" applyNumberFormat="1" applyFont="1"/>
    <xf numFmtId="38" fontId="6" fillId="0" borderId="3" xfId="0" applyNumberFormat="1" applyFont="1" applyBorder="1" applyAlignment="1">
      <alignment horizontal="center" vertical="center"/>
    </xf>
    <xf numFmtId="178" fontId="6" fillId="2" borderId="3" xfId="0" applyNumberFormat="1" applyFont="1" applyFill="1" applyBorder="1" applyAlignment="1">
      <alignment vertical="center"/>
    </xf>
    <xf numFmtId="38" fontId="6" fillId="2" borderId="5" xfId="0" applyNumberFormat="1" applyFont="1" applyFill="1" applyBorder="1" applyAlignment="1">
      <alignment vertical="center"/>
    </xf>
    <xf numFmtId="38" fontId="6" fillId="3" borderId="5" xfId="0" applyNumberFormat="1" applyFont="1" applyFill="1" applyBorder="1" applyAlignment="1">
      <alignment vertical="center"/>
    </xf>
    <xf numFmtId="38" fontId="6" fillId="4" borderId="5" xfId="0" applyNumberFormat="1" applyFont="1" applyFill="1" applyBorder="1" applyAlignment="1">
      <alignment vertical="center"/>
    </xf>
    <xf numFmtId="38" fontId="6" fillId="2" borderId="1" xfId="0" applyNumberFormat="1" applyFont="1" applyFill="1" applyBorder="1" applyAlignment="1">
      <alignment vertical="center"/>
    </xf>
    <xf numFmtId="38" fontId="6" fillId="3" borderId="1" xfId="0" applyNumberFormat="1" applyFont="1" applyFill="1" applyBorder="1" applyAlignment="1">
      <alignment vertical="center"/>
    </xf>
    <xf numFmtId="38" fontId="6" fillId="4" borderId="1" xfId="0" applyNumberFormat="1" applyFont="1" applyFill="1" applyBorder="1" applyAlignment="1">
      <alignment vertical="center"/>
    </xf>
    <xf numFmtId="38" fontId="6" fillId="2" borderId="10" xfId="0" applyNumberFormat="1" applyFont="1" applyFill="1" applyBorder="1" applyAlignment="1">
      <alignment vertical="center"/>
    </xf>
    <xf numFmtId="38" fontId="6" fillId="3" borderId="10" xfId="0" applyNumberFormat="1" applyFont="1" applyFill="1" applyBorder="1" applyAlignment="1">
      <alignment vertical="center"/>
    </xf>
    <xf numFmtId="38" fontId="6" fillId="4" borderId="10" xfId="0" applyNumberFormat="1" applyFont="1" applyFill="1" applyBorder="1" applyAlignment="1">
      <alignment vertical="center"/>
    </xf>
    <xf numFmtId="9" fontId="6" fillId="2" borderId="1" xfId="0" applyNumberFormat="1" applyFont="1" applyFill="1" applyBorder="1" applyAlignment="1">
      <alignment vertical="center" shrinkToFit="1"/>
    </xf>
    <xf numFmtId="9" fontId="6" fillId="3" borderId="1" xfId="0" applyNumberFormat="1" applyFont="1" applyFill="1" applyBorder="1" applyAlignment="1">
      <alignment vertical="center" shrinkToFit="1"/>
    </xf>
    <xf numFmtId="9" fontId="6" fillId="4" borderId="1" xfId="0" applyNumberFormat="1" applyFont="1" applyFill="1" applyBorder="1" applyAlignment="1">
      <alignment vertical="center" shrinkToFit="1"/>
    </xf>
    <xf numFmtId="9" fontId="6" fillId="2" borderId="12" xfId="0" applyNumberFormat="1" applyFont="1" applyFill="1" applyBorder="1" applyAlignment="1">
      <alignment vertical="center"/>
    </xf>
    <xf numFmtId="9" fontId="6" fillId="3" borderId="12" xfId="0" applyNumberFormat="1" applyFont="1" applyFill="1" applyBorder="1" applyAlignment="1">
      <alignment vertical="center"/>
    </xf>
    <xf numFmtId="9" fontId="6" fillId="4" borderId="12" xfId="0" applyNumberFormat="1" applyFont="1" applyFill="1" applyBorder="1" applyAlignment="1">
      <alignment vertical="center"/>
    </xf>
    <xf numFmtId="9" fontId="6" fillId="2" borderId="1" xfId="0" applyNumberFormat="1" applyFont="1" applyFill="1" applyBorder="1" applyAlignment="1">
      <alignment vertical="center"/>
    </xf>
    <xf numFmtId="9" fontId="6" fillId="3" borderId="1" xfId="0" applyNumberFormat="1" applyFont="1" applyFill="1" applyBorder="1" applyAlignment="1">
      <alignment vertical="center"/>
    </xf>
    <xf numFmtId="9" fontId="6" fillId="4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vertical="center" shrinkToFit="1"/>
    </xf>
    <xf numFmtId="177" fontId="7" fillId="2" borderId="10" xfId="0" applyNumberFormat="1" applyFont="1" applyFill="1" applyBorder="1" applyAlignment="1">
      <alignment vertical="center"/>
    </xf>
    <xf numFmtId="0" fontId="7" fillId="0" borderId="0" xfId="0" applyFont="1"/>
    <xf numFmtId="0" fontId="6" fillId="0" borderId="0" xfId="0" applyFont="1" applyAlignment="1">
      <alignment shrinkToFit="1"/>
    </xf>
    <xf numFmtId="177" fontId="7" fillId="3" borderId="10" xfId="0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vertical="center" shrinkToFit="1"/>
    </xf>
    <xf numFmtId="9" fontId="6" fillId="0" borderId="12" xfId="0" applyNumberFormat="1" applyFont="1" applyBorder="1" applyAlignment="1">
      <alignment vertical="center"/>
    </xf>
    <xf numFmtId="9" fontId="6" fillId="0" borderId="1" xfId="0" applyNumberFormat="1" applyFont="1" applyBorder="1" applyAlignment="1">
      <alignment vertical="center"/>
    </xf>
    <xf numFmtId="38" fontId="1" fillId="8" borderId="5" xfId="0" applyNumberFormat="1" applyFont="1" applyFill="1" applyBorder="1" applyAlignment="1">
      <alignment vertical="center"/>
    </xf>
    <xf numFmtId="38" fontId="1" fillId="8" borderId="1" xfId="0" applyNumberFormat="1" applyFont="1" applyFill="1" applyBorder="1" applyAlignment="1">
      <alignment vertical="center"/>
    </xf>
    <xf numFmtId="38" fontId="1" fillId="8" borderId="9" xfId="0" applyNumberFormat="1" applyFont="1" applyFill="1" applyBorder="1" applyAlignment="1">
      <alignment vertical="center"/>
    </xf>
    <xf numFmtId="9" fontId="1" fillId="8" borderId="1" xfId="0" applyNumberFormat="1" applyFont="1" applyFill="1" applyBorder="1" applyAlignment="1">
      <alignment vertical="center" shrinkToFit="1"/>
    </xf>
    <xf numFmtId="9" fontId="1" fillId="8" borderId="12" xfId="0" applyNumberFormat="1" applyFont="1" applyFill="1" applyBorder="1" applyAlignment="1">
      <alignment vertical="center"/>
    </xf>
    <xf numFmtId="9" fontId="1" fillId="8" borderId="1" xfId="0" applyNumberFormat="1" applyFont="1" applyFill="1" applyBorder="1" applyAlignment="1">
      <alignment vertical="center"/>
    </xf>
    <xf numFmtId="10" fontId="1" fillId="0" borderId="76" xfId="0" applyNumberFormat="1" applyFont="1" applyBorder="1" applyAlignment="1">
      <alignment vertical="center"/>
    </xf>
    <xf numFmtId="38" fontId="1" fillId="5" borderId="3" xfId="0" applyNumberFormat="1" applyFont="1" applyFill="1" applyBorder="1" applyAlignment="1">
      <alignment horizontal="center" vertical="center"/>
    </xf>
    <xf numFmtId="9" fontId="6" fillId="9" borderId="3" xfId="0" applyNumberFormat="1" applyFont="1" applyFill="1" applyBorder="1" applyAlignment="1">
      <alignment vertical="center"/>
    </xf>
    <xf numFmtId="9" fontId="1" fillId="5" borderId="3" xfId="0" applyNumberFormat="1" applyFont="1" applyFill="1" applyBorder="1" applyAlignment="1">
      <alignment vertical="center"/>
    </xf>
    <xf numFmtId="9" fontId="1" fillId="8" borderId="3" xfId="0" applyNumberFormat="1" applyFont="1" applyFill="1" applyBorder="1" applyAlignment="1">
      <alignment vertical="center"/>
    </xf>
    <xf numFmtId="38" fontId="1" fillId="0" borderId="10" xfId="0" applyNumberFormat="1" applyFont="1" applyBorder="1" applyAlignment="1">
      <alignment horizontal="center" vertical="center"/>
    </xf>
    <xf numFmtId="38" fontId="1" fillId="0" borderId="10" xfId="0" applyNumberFormat="1" applyFont="1" applyBorder="1" applyAlignment="1">
      <alignment vertical="center"/>
    </xf>
    <xf numFmtId="38" fontId="1" fillId="8" borderId="10" xfId="0" applyNumberFormat="1" applyFont="1" applyFill="1" applyBorder="1" applyAlignment="1">
      <alignment vertical="center"/>
    </xf>
    <xf numFmtId="178" fontId="1" fillId="0" borderId="77" xfId="0" applyNumberFormat="1" applyFont="1" applyBorder="1" applyAlignment="1">
      <alignment horizontal="center" vertical="center"/>
    </xf>
    <xf numFmtId="38" fontId="1" fillId="0" borderId="78" xfId="0" applyNumberFormat="1" applyFont="1" applyBorder="1" applyAlignment="1">
      <alignment horizontal="center" vertical="center"/>
    </xf>
    <xf numFmtId="38" fontId="6" fillId="9" borderId="78" xfId="0" applyNumberFormat="1" applyFont="1" applyFill="1" applyBorder="1" applyAlignment="1">
      <alignment vertical="center"/>
    </xf>
    <xf numFmtId="38" fontId="1" fillId="0" borderId="78" xfId="0" applyNumberFormat="1" applyFont="1" applyBorder="1" applyAlignment="1">
      <alignment vertical="center"/>
    </xf>
    <xf numFmtId="38" fontId="1" fillId="8" borderId="78" xfId="0" applyNumberFormat="1" applyFont="1" applyFill="1" applyBorder="1" applyAlignment="1">
      <alignment vertical="center"/>
    </xf>
    <xf numFmtId="38" fontId="1" fillId="0" borderId="79" xfId="0" applyNumberFormat="1" applyFont="1" applyBorder="1" applyAlignment="1">
      <alignment vertical="center"/>
    </xf>
    <xf numFmtId="0" fontId="1" fillId="3" borderId="80" xfId="0" applyFont="1" applyFill="1" applyBorder="1" applyAlignment="1">
      <alignment vertical="center"/>
    </xf>
    <xf numFmtId="38" fontId="1" fillId="0" borderId="81" xfId="0" applyNumberFormat="1" applyFont="1" applyBorder="1" applyAlignment="1">
      <alignment vertical="center"/>
    </xf>
    <xf numFmtId="0" fontId="1" fillId="0" borderId="82" xfId="0" applyFont="1" applyBorder="1" applyAlignment="1">
      <alignment horizontal="center"/>
    </xf>
    <xf numFmtId="0" fontId="1" fillId="6" borderId="82" xfId="0" applyFont="1" applyFill="1" applyBorder="1"/>
    <xf numFmtId="38" fontId="1" fillId="6" borderId="82" xfId="0" applyNumberFormat="1" applyFont="1" applyFill="1" applyBorder="1" applyAlignment="1">
      <alignment shrinkToFit="1"/>
    </xf>
    <xf numFmtId="38" fontId="1" fillId="0" borderId="83" xfId="0" applyNumberFormat="1" applyFont="1" applyBorder="1" applyAlignment="1">
      <alignment vertical="center"/>
    </xf>
    <xf numFmtId="38" fontId="1" fillId="0" borderId="84" xfId="0" applyNumberFormat="1" applyFont="1" applyBorder="1" applyAlignment="1">
      <alignment horizontal="center" vertical="center"/>
    </xf>
    <xf numFmtId="9" fontId="1" fillId="0" borderId="81" xfId="0" applyNumberFormat="1" applyFont="1" applyBorder="1" applyAlignment="1">
      <alignment vertical="center" shrinkToFit="1"/>
    </xf>
    <xf numFmtId="38" fontId="1" fillId="0" borderId="84" xfId="0" applyNumberFormat="1" applyFont="1" applyBorder="1" applyAlignment="1">
      <alignment vertical="center"/>
    </xf>
    <xf numFmtId="38" fontId="1" fillId="5" borderId="81" xfId="0" applyNumberFormat="1" applyFont="1" applyFill="1" applyBorder="1" applyAlignment="1">
      <alignment vertical="center"/>
    </xf>
    <xf numFmtId="10" fontId="1" fillId="0" borderId="85" xfId="0" applyNumberFormat="1" applyFont="1" applyBorder="1" applyAlignment="1">
      <alignment vertical="center"/>
    </xf>
    <xf numFmtId="9" fontId="1" fillId="5" borderId="81" xfId="0" applyNumberFormat="1" applyFont="1" applyFill="1" applyBorder="1" applyAlignment="1">
      <alignment vertical="center"/>
    </xf>
    <xf numFmtId="178" fontId="1" fillId="0" borderId="82" xfId="0" applyNumberFormat="1" applyFont="1" applyBorder="1" applyAlignment="1">
      <alignment horizontal="center" vertical="center"/>
    </xf>
    <xf numFmtId="10" fontId="1" fillId="0" borderId="86" xfId="0" applyNumberFormat="1" applyFont="1" applyBorder="1" applyAlignment="1">
      <alignment vertical="center"/>
    </xf>
    <xf numFmtId="38" fontId="1" fillId="5" borderId="87" xfId="0" applyNumberFormat="1" applyFont="1" applyFill="1" applyBorder="1" applyAlignment="1">
      <alignment horizontal="center" vertical="center"/>
    </xf>
    <xf numFmtId="9" fontId="6" fillId="9" borderId="87" xfId="0" applyNumberFormat="1" applyFont="1" applyFill="1" applyBorder="1" applyAlignment="1">
      <alignment vertical="center"/>
    </xf>
    <xf numFmtId="9" fontId="1" fillId="5" borderId="87" xfId="0" applyNumberFormat="1" applyFont="1" applyFill="1" applyBorder="1" applyAlignment="1">
      <alignment vertical="center"/>
    </xf>
    <xf numFmtId="9" fontId="1" fillId="8" borderId="87" xfId="0" applyNumberFormat="1" applyFont="1" applyFill="1" applyBorder="1" applyAlignment="1">
      <alignment vertical="center"/>
    </xf>
    <xf numFmtId="9" fontId="1" fillId="5" borderId="88" xfId="0" applyNumberFormat="1" applyFont="1" applyFill="1" applyBorder="1" applyAlignment="1">
      <alignment vertical="center"/>
    </xf>
    <xf numFmtId="10" fontId="1" fillId="0" borderId="89" xfId="0" applyNumberFormat="1" applyFont="1" applyBorder="1" applyAlignment="1">
      <alignment vertical="center"/>
    </xf>
    <xf numFmtId="9" fontId="1" fillId="5" borderId="90" xfId="0" applyNumberFormat="1" applyFont="1" applyFill="1" applyBorder="1" applyAlignment="1">
      <alignment vertical="center"/>
    </xf>
    <xf numFmtId="0" fontId="1" fillId="0" borderId="82" xfId="0" applyFont="1" applyBorder="1"/>
    <xf numFmtId="38" fontId="5" fillId="0" borderId="30" xfId="0" applyNumberFormat="1" applyFont="1" applyBorder="1" applyAlignment="1">
      <alignment vertical="center"/>
    </xf>
  </cellXfs>
  <cellStyles count="1">
    <cellStyle name="標準" xfId="0" builtinId="0"/>
  </cellStyles>
  <dxfs count="12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workbookViewId="0">
      <pane xSplit="2" ySplit="2" topLeftCell="J315" activePane="bottomRight" state="frozen"/>
      <selection pane="bottomLeft" activeCell="A3" sqref="A3"/>
      <selection pane="topRight" activeCell="C1" sqref="C1"/>
      <selection pane="bottomRight" activeCell="M87" sqref="M87"/>
    </sheetView>
  </sheetViews>
  <sheetFormatPr defaultColWidth="14.390625" defaultRowHeight="15" customHeight="1" x14ac:dyDescent="0.2"/>
  <cols>
    <col min="1" max="1" width="10.22265625" customWidth="1"/>
    <col min="2" max="2" width="6.859375" customWidth="1"/>
    <col min="3" max="55" width="9.68359375" customWidth="1"/>
  </cols>
  <sheetData>
    <row r="1" spans="1:55" ht="11.25" customHeight="1" x14ac:dyDescent="0.2">
      <c r="A1" s="1">
        <f>SUM(A9,A21,A33,A45,A57,A69,A81,A93,A105,A117,A129,A141,A153,A165,A177,A189,A201,A213,A225,A237,A249,A261,A273,A285,A297,A309,A321,A333,A345,A357,A369)</f>
        <v>1013727.2727272728</v>
      </c>
      <c r="B1" s="2" t="s">
        <v>0</v>
      </c>
      <c r="C1" s="159">
        <v>46160</v>
      </c>
      <c r="D1" s="3">
        <f t="shared" ref="D1" si="0">C1+1</f>
        <v>46161</v>
      </c>
      <c r="E1" s="3">
        <f t="shared" ref="E1" si="1">D1+1</f>
        <v>46162</v>
      </c>
      <c r="F1" s="3">
        <f t="shared" ref="F1" si="2">E1+1</f>
        <v>46163</v>
      </c>
      <c r="G1" s="3">
        <f t="shared" ref="G1" si="3">F1+1</f>
        <v>46164</v>
      </c>
      <c r="H1" s="3">
        <f t="shared" ref="H1" si="4">G1+1</f>
        <v>46165</v>
      </c>
      <c r="I1" s="3">
        <f t="shared" ref="I1" si="5">H1+1</f>
        <v>46166</v>
      </c>
      <c r="J1" s="3">
        <f t="shared" ref="J1" si="6">I1+1</f>
        <v>46167</v>
      </c>
      <c r="K1" s="3">
        <f t="shared" ref="K1" si="7">J1+1</f>
        <v>46168</v>
      </c>
      <c r="L1" s="3">
        <f t="shared" ref="L1" si="8">K1+1</f>
        <v>46169</v>
      </c>
      <c r="M1" s="3">
        <f t="shared" ref="M1" si="9">L1+1</f>
        <v>46170</v>
      </c>
      <c r="N1" s="3">
        <f t="shared" ref="N1" si="10">M1+1</f>
        <v>46171</v>
      </c>
      <c r="O1" s="3">
        <f t="shared" ref="O1" si="11">N1+1</f>
        <v>46172</v>
      </c>
      <c r="P1" s="3">
        <f t="shared" ref="P1" si="12">O1+1</f>
        <v>46173</v>
      </c>
      <c r="Q1" s="3">
        <f t="shared" ref="Q1" si="13">P1+1</f>
        <v>46174</v>
      </c>
      <c r="R1" s="3">
        <f t="shared" ref="R1" si="14">Q1+1</f>
        <v>46175</v>
      </c>
      <c r="S1" s="3">
        <f t="shared" ref="S1" si="15">R1+1</f>
        <v>46176</v>
      </c>
      <c r="T1" s="3">
        <f t="shared" ref="T1" si="16">S1+1</f>
        <v>46177</v>
      </c>
      <c r="U1" s="3">
        <f t="shared" ref="U1" si="17">T1+1</f>
        <v>46178</v>
      </c>
      <c r="V1" s="3">
        <f t="shared" ref="V1" si="18">U1+1</f>
        <v>46179</v>
      </c>
      <c r="W1" s="3">
        <f t="shared" ref="W1" si="19">V1+1</f>
        <v>46180</v>
      </c>
      <c r="X1" s="3">
        <f t="shared" ref="X1" si="20">W1+1</f>
        <v>46181</v>
      </c>
      <c r="Y1" s="3">
        <f t="shared" ref="Y1" si="21">X1+1</f>
        <v>46182</v>
      </c>
      <c r="Z1" s="3">
        <f t="shared" ref="Z1" si="22">Y1+1</f>
        <v>46183</v>
      </c>
      <c r="AA1" s="3">
        <f t="shared" ref="AA1" si="23">Z1+1</f>
        <v>46184</v>
      </c>
      <c r="AB1" s="3">
        <f t="shared" ref="AB1" si="24">AA1+1</f>
        <v>46185</v>
      </c>
      <c r="AC1" s="3">
        <f t="shared" ref="AC1" si="25">AB1+1</f>
        <v>46186</v>
      </c>
      <c r="AD1" s="3">
        <f t="shared" ref="AD1" si="26">AC1+1</f>
        <v>46187</v>
      </c>
      <c r="AE1" s="3">
        <f t="shared" ref="AE1" si="27">AD1+1</f>
        <v>46188</v>
      </c>
      <c r="AF1" s="3">
        <f t="shared" ref="AF1" si="28">AE1+1</f>
        <v>46189</v>
      </c>
      <c r="AG1" s="3">
        <f t="shared" ref="AG1" si="29">AF1+1</f>
        <v>46190</v>
      </c>
      <c r="AH1" s="3">
        <f t="shared" ref="AH1" si="30">AG1+1</f>
        <v>46191</v>
      </c>
      <c r="AI1" s="3">
        <f t="shared" ref="AI1" si="31">AH1+1</f>
        <v>46192</v>
      </c>
      <c r="AJ1" s="3">
        <f t="shared" ref="AJ1" si="32">AI1+1</f>
        <v>46193</v>
      </c>
      <c r="AK1" s="3">
        <f t="shared" ref="AK1" si="33">AJ1+1</f>
        <v>46194</v>
      </c>
      <c r="AL1" s="3">
        <f t="shared" ref="AL1" si="34">AK1+1</f>
        <v>46195</v>
      </c>
      <c r="AM1" s="3">
        <f t="shared" ref="AM1" si="35">AL1+1</f>
        <v>46196</v>
      </c>
      <c r="AN1" s="3">
        <f t="shared" ref="AN1" si="36">AM1+1</f>
        <v>46197</v>
      </c>
      <c r="AO1" s="3">
        <f t="shared" ref="AO1" si="37">AN1+1</f>
        <v>46198</v>
      </c>
      <c r="AP1" s="3">
        <f t="shared" ref="AP1" si="38">AO1+1</f>
        <v>46199</v>
      </c>
      <c r="AQ1" s="3">
        <f t="shared" ref="AQ1" si="39">AP1+1</f>
        <v>46200</v>
      </c>
      <c r="AR1" s="3">
        <f t="shared" ref="AR1" si="40">AQ1+1</f>
        <v>46201</v>
      </c>
      <c r="AS1" s="3">
        <f t="shared" ref="AS1" si="41">AR1+1</f>
        <v>46202</v>
      </c>
      <c r="AT1" s="3">
        <f t="shared" ref="AT1" si="42">AS1+1</f>
        <v>46203</v>
      </c>
      <c r="AU1" s="3">
        <f t="shared" ref="AU1" si="43">AT1+1</f>
        <v>46204</v>
      </c>
      <c r="AV1" s="3">
        <f t="shared" ref="AS1:BC1" si="44">AU1+1</f>
        <v>46205</v>
      </c>
      <c r="AW1" s="3">
        <f t="shared" si="44"/>
        <v>46206</v>
      </c>
      <c r="AX1" s="3">
        <f t="shared" si="44"/>
        <v>46207</v>
      </c>
      <c r="AY1" s="3">
        <f t="shared" si="44"/>
        <v>46208</v>
      </c>
      <c r="AZ1" s="3">
        <f t="shared" si="44"/>
        <v>46209</v>
      </c>
      <c r="BA1" s="3">
        <f t="shared" si="44"/>
        <v>46210</v>
      </c>
      <c r="BB1" s="3">
        <f t="shared" si="44"/>
        <v>46211</v>
      </c>
      <c r="BC1" s="3">
        <f t="shared" si="44"/>
        <v>46212</v>
      </c>
    </row>
    <row r="2" spans="1:55" ht="11.25" customHeight="1" thickBot="1" x14ac:dyDescent="0.3">
      <c r="A2" s="4"/>
      <c r="B2" s="5">
        <f>SUM(C2:AO2)</f>
        <v>3717</v>
      </c>
      <c r="C2" s="160">
        <v>0</v>
      </c>
      <c r="D2" s="6">
        <f>SUM(D10,D22,D34,D46,D58,D70,D82,D94,D106,D118,D130,D142,D154,D166,D178,D190,D202,D214,D226,D238,D250,D262,D274,D286,D298,D310,D322,D334,D346,D358,D370)</f>
        <v>0</v>
      </c>
      <c r="E2" s="6">
        <f t="shared" ref="E2:BC2" si="45">SUM(E10,E22,E34,E46,E58,E70,E82,E94,E106,E118,E130,E142,E154,E166,E178,E190,E202,E214,E226,E238,E250,E262,E274,E286,E298,E310,E322,E334,E346,E358,E370)</f>
        <v>0</v>
      </c>
      <c r="F2" s="6">
        <f t="shared" si="45"/>
        <v>1835</v>
      </c>
      <c r="G2" s="6">
        <f t="shared" si="45"/>
        <v>0</v>
      </c>
      <c r="H2" s="6">
        <f t="shared" si="45"/>
        <v>0</v>
      </c>
      <c r="I2" s="6">
        <f t="shared" si="45"/>
        <v>1882</v>
      </c>
      <c r="J2" s="6">
        <f t="shared" si="45"/>
        <v>0</v>
      </c>
      <c r="K2" s="6">
        <f t="shared" si="45"/>
        <v>0</v>
      </c>
      <c r="L2" s="6">
        <f t="shared" si="45"/>
        <v>0</v>
      </c>
      <c r="M2" s="6">
        <f t="shared" si="45"/>
        <v>0</v>
      </c>
      <c r="N2" s="6">
        <f t="shared" si="45"/>
        <v>0</v>
      </c>
      <c r="O2" s="6">
        <f t="shared" si="45"/>
        <v>0</v>
      </c>
      <c r="P2" s="6">
        <f t="shared" si="45"/>
        <v>0</v>
      </c>
      <c r="Q2" s="6">
        <f t="shared" si="45"/>
        <v>0</v>
      </c>
      <c r="R2" s="6">
        <f t="shared" si="45"/>
        <v>0</v>
      </c>
      <c r="S2" s="6">
        <f t="shared" si="45"/>
        <v>0</v>
      </c>
      <c r="T2" s="6">
        <f t="shared" si="45"/>
        <v>0</v>
      </c>
      <c r="U2" s="6">
        <f t="shared" si="45"/>
        <v>0</v>
      </c>
      <c r="V2" s="6">
        <f t="shared" si="45"/>
        <v>0</v>
      </c>
      <c r="W2" s="6">
        <f t="shared" si="45"/>
        <v>0</v>
      </c>
      <c r="X2" s="6">
        <f t="shared" si="45"/>
        <v>0</v>
      </c>
      <c r="Y2" s="6">
        <f t="shared" si="45"/>
        <v>0</v>
      </c>
      <c r="Z2" s="6">
        <f t="shared" si="45"/>
        <v>0</v>
      </c>
      <c r="AA2" s="6">
        <f t="shared" si="45"/>
        <v>0</v>
      </c>
      <c r="AB2" s="6">
        <f t="shared" si="45"/>
        <v>0</v>
      </c>
      <c r="AC2" s="6">
        <f t="shared" si="45"/>
        <v>0</v>
      </c>
      <c r="AD2" s="6">
        <f t="shared" si="45"/>
        <v>0</v>
      </c>
      <c r="AE2" s="6">
        <f t="shared" si="45"/>
        <v>0</v>
      </c>
      <c r="AF2" s="6">
        <f t="shared" si="45"/>
        <v>0</v>
      </c>
      <c r="AG2" s="6">
        <f t="shared" si="45"/>
        <v>0</v>
      </c>
      <c r="AH2" s="6">
        <f t="shared" si="45"/>
        <v>0</v>
      </c>
      <c r="AI2" s="6">
        <f t="shared" si="45"/>
        <v>0</v>
      </c>
      <c r="AJ2" s="6">
        <f t="shared" si="45"/>
        <v>0</v>
      </c>
      <c r="AK2" s="6">
        <f t="shared" si="45"/>
        <v>0</v>
      </c>
      <c r="AL2" s="6">
        <f t="shared" si="45"/>
        <v>0</v>
      </c>
      <c r="AM2" s="6">
        <f t="shared" si="45"/>
        <v>0</v>
      </c>
      <c r="AN2" s="6">
        <f t="shared" si="45"/>
        <v>0</v>
      </c>
      <c r="AO2" s="6">
        <f t="shared" si="45"/>
        <v>0</v>
      </c>
      <c r="AP2" s="6">
        <f t="shared" si="45"/>
        <v>0</v>
      </c>
      <c r="AQ2" s="6">
        <f t="shared" si="45"/>
        <v>0</v>
      </c>
      <c r="AR2" s="6">
        <f t="shared" si="45"/>
        <v>0</v>
      </c>
      <c r="AS2" s="6">
        <f t="shared" si="45"/>
        <v>0</v>
      </c>
      <c r="AT2" s="6">
        <f t="shared" si="45"/>
        <v>0</v>
      </c>
      <c r="AU2" s="6">
        <f t="shared" si="45"/>
        <v>0</v>
      </c>
      <c r="AV2" s="6">
        <f t="shared" si="45"/>
        <v>0</v>
      </c>
      <c r="AW2" s="6">
        <f t="shared" si="45"/>
        <v>0</v>
      </c>
      <c r="AX2" s="6">
        <f t="shared" si="45"/>
        <v>0</v>
      </c>
      <c r="AY2" s="6">
        <f t="shared" si="45"/>
        <v>0</v>
      </c>
      <c r="AZ2" s="6">
        <f t="shared" si="45"/>
        <v>0</v>
      </c>
      <c r="BA2" s="6">
        <f t="shared" si="45"/>
        <v>0</v>
      </c>
      <c r="BB2" s="6">
        <f t="shared" si="45"/>
        <v>0</v>
      </c>
      <c r="BC2" s="6">
        <f t="shared" si="45"/>
        <v>0</v>
      </c>
    </row>
    <row r="3" spans="1:55" ht="11.25" customHeight="1" x14ac:dyDescent="0.2">
      <c r="A3" s="7" t="s">
        <v>1</v>
      </c>
      <c r="B3" s="8" t="s">
        <v>2</v>
      </c>
      <c r="C3" s="118">
        <v>33500</v>
      </c>
      <c r="D3" s="9">
        <v>33500</v>
      </c>
      <c r="E3" s="9">
        <v>33500</v>
      </c>
      <c r="F3" s="9">
        <v>33558</v>
      </c>
      <c r="G3" s="194">
        <v>33558</v>
      </c>
      <c r="H3" s="9">
        <v>33558</v>
      </c>
      <c r="I3" s="9">
        <v>33618</v>
      </c>
      <c r="J3" s="194">
        <v>33618</v>
      </c>
      <c r="K3" s="9">
        <v>33618</v>
      </c>
      <c r="L3" s="9">
        <v>33618</v>
      </c>
      <c r="M3" s="9">
        <v>33618</v>
      </c>
      <c r="N3" s="194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 ht="11.25" customHeight="1" x14ac:dyDescent="0.2">
      <c r="A4" s="10" t="s">
        <v>3</v>
      </c>
      <c r="B4" s="11" t="s">
        <v>4</v>
      </c>
      <c r="C4" s="123">
        <v>1234</v>
      </c>
      <c r="D4" s="12">
        <f t="shared" ref="D4" si="46">IF(D$3="","",C4)</f>
        <v>1234</v>
      </c>
      <c r="E4" s="12">
        <f t="shared" ref="E4" si="47">IF(E$3="","",D4)</f>
        <v>1234</v>
      </c>
      <c r="F4" s="12">
        <v>1241</v>
      </c>
      <c r="G4" s="195">
        <f t="shared" ref="G4" si="48">IF(G$3="","",F4)</f>
        <v>1241</v>
      </c>
      <c r="H4" s="12">
        <f t="shared" ref="H4" si="49">IF(H$3="","",G4)</f>
        <v>1241</v>
      </c>
      <c r="I4" s="12">
        <v>1242</v>
      </c>
      <c r="J4" s="195">
        <f t="shared" ref="J4" si="50">IF(J$3="","",I4)</f>
        <v>1242</v>
      </c>
      <c r="K4" s="12">
        <f t="shared" ref="K4" si="51">IF(K$3="","",J4)</f>
        <v>1242</v>
      </c>
      <c r="L4" s="12">
        <f t="shared" ref="L4" si="52">IF(L$3="","",K4)</f>
        <v>1242</v>
      </c>
      <c r="M4" s="12">
        <f t="shared" ref="M4" si="53">IF(M$3="","",L4)</f>
        <v>1242</v>
      </c>
      <c r="N4" s="195" t="str">
        <f t="shared" ref="N4" si="54">IF(N$3="","",M4)</f>
        <v/>
      </c>
      <c r="O4" s="12" t="str">
        <f t="shared" ref="O4" si="55">IF(O$3="","",N4)</f>
        <v/>
      </c>
      <c r="P4" s="12" t="str">
        <f t="shared" ref="P4" si="56">IF(P$3="","",O4)</f>
        <v/>
      </c>
      <c r="Q4" s="12" t="str">
        <f t="shared" ref="Q4" si="57">IF(Q$3="","",P4)</f>
        <v/>
      </c>
      <c r="R4" s="12" t="str">
        <f t="shared" ref="R4" si="58">IF(R$3="","",Q4)</f>
        <v/>
      </c>
      <c r="S4" s="12" t="str">
        <f t="shared" ref="S4" si="59">IF(S$3="","",R4)</f>
        <v/>
      </c>
      <c r="T4" s="12" t="str">
        <f t="shared" ref="T4" si="60">IF(T$3="","",S4)</f>
        <v/>
      </c>
      <c r="U4" s="12" t="str">
        <f t="shared" ref="U4" si="61">IF(U$3="","",T4)</f>
        <v/>
      </c>
      <c r="V4" s="12" t="str">
        <f t="shared" ref="V4" si="62">IF(V$3="","",U4)</f>
        <v/>
      </c>
      <c r="W4" s="12" t="str">
        <f t="shared" ref="W4" si="63">IF(W$3="","",V4)</f>
        <v/>
      </c>
      <c r="X4" s="12" t="str">
        <f t="shared" ref="X4" si="64">IF(X$3="","",W4)</f>
        <v/>
      </c>
      <c r="Y4" s="12" t="str">
        <f t="shared" ref="Y4" si="65">IF(Y$3="","",X4)</f>
        <v/>
      </c>
      <c r="Z4" s="12" t="str">
        <f t="shared" ref="Z4" si="66">IF(Z$3="","",Y4)</f>
        <v/>
      </c>
      <c r="AA4" s="12" t="str">
        <f t="shared" ref="AA4" si="67">IF(AA$3="","",Z4)</f>
        <v/>
      </c>
      <c r="AB4" s="12" t="str">
        <f t="shared" ref="AB4" si="68">IF(AB$3="","",AA4)</f>
        <v/>
      </c>
      <c r="AC4" s="12" t="str">
        <f t="shared" ref="AC4" si="69">IF(AC$3="","",AB4)</f>
        <v/>
      </c>
      <c r="AD4" s="12" t="str">
        <f t="shared" ref="AD4" si="70">IF(AD$3="","",AC4)</f>
        <v/>
      </c>
      <c r="AE4" s="12" t="str">
        <f t="shared" ref="AE4" si="71">IF(AE$3="","",AD4)</f>
        <v/>
      </c>
      <c r="AF4" s="12" t="str">
        <f t="shared" ref="AF4" si="72">IF(AF$3="","",AE4)</f>
        <v/>
      </c>
      <c r="AG4" s="12" t="str">
        <f t="shared" ref="AG4" si="73">IF(AG$3="","",AF4)</f>
        <v/>
      </c>
      <c r="AH4" s="12" t="str">
        <f t="shared" ref="AH4" si="74">IF(AH$3="","",AG4)</f>
        <v/>
      </c>
      <c r="AI4" s="12" t="str">
        <f t="shared" ref="AI4" si="75">IF(AI$3="","",AH4)</f>
        <v/>
      </c>
      <c r="AJ4" s="12" t="str">
        <f t="shared" ref="AJ4" si="76">IF(AJ$3="","",AI4)</f>
        <v/>
      </c>
      <c r="AK4" s="12" t="str">
        <f t="shared" ref="AK4" si="77">IF(AK$3="","",AJ4)</f>
        <v/>
      </c>
      <c r="AL4" s="12" t="str">
        <f t="shared" ref="AL4" si="78">IF(AL$3="","",AK4)</f>
        <v/>
      </c>
      <c r="AM4" s="12" t="str">
        <f t="shared" ref="AM4" si="79">IF(AM$3="","",AL4)</f>
        <v/>
      </c>
      <c r="AN4" s="12" t="str">
        <f t="shared" ref="AN4" si="80">IF(AN$3="","",AM4)</f>
        <v/>
      </c>
      <c r="AO4" s="12" t="str">
        <f t="shared" ref="AO4" si="81">IF(AO$3="","",AN4)</f>
        <v/>
      </c>
      <c r="AP4" s="12" t="str">
        <f t="shared" ref="AP4" si="82">IF(AP$3="","",AO4)</f>
        <v/>
      </c>
      <c r="AQ4" s="12" t="str">
        <f t="shared" ref="AQ4" si="83">IF(AQ$3="","",AP4)</f>
        <v/>
      </c>
      <c r="AR4" s="12" t="str">
        <f t="shared" ref="AR4" si="84">IF(AR$3="","",AQ4)</f>
        <v/>
      </c>
      <c r="AS4" s="12" t="str">
        <f t="shared" ref="AS4" si="85">IF(AS$3="","",AR4)</f>
        <v/>
      </c>
      <c r="AT4" s="12" t="str">
        <f t="shared" ref="AT4" si="86">IF(AT$3="","",AS4)</f>
        <v/>
      </c>
      <c r="AU4" s="12" t="str">
        <f t="shared" ref="AU4" si="87">IF(AU$3="","",AT4)</f>
        <v/>
      </c>
      <c r="AV4" s="12" t="str">
        <f t="shared" ref="AS4:BC4" si="88">IF(AV$3="","",AU4)</f>
        <v/>
      </c>
      <c r="AW4" s="12" t="str">
        <f t="shared" si="88"/>
        <v/>
      </c>
      <c r="AX4" s="12" t="str">
        <f t="shared" si="88"/>
        <v/>
      </c>
      <c r="AY4" s="12" t="str">
        <f t="shared" si="88"/>
        <v/>
      </c>
      <c r="AZ4" s="12" t="str">
        <f t="shared" si="88"/>
        <v/>
      </c>
      <c r="BA4" s="12" t="str">
        <f t="shared" si="88"/>
        <v/>
      </c>
      <c r="BB4" s="12" t="str">
        <f t="shared" si="88"/>
        <v/>
      </c>
      <c r="BC4" s="12" t="str">
        <f t="shared" si="88"/>
        <v/>
      </c>
    </row>
    <row r="5" spans="1:55" ht="11.25" customHeight="1" x14ac:dyDescent="0.25">
      <c r="A5" s="13"/>
      <c r="B5" s="11" t="s">
        <v>5</v>
      </c>
      <c r="C5" s="123">
        <v>46</v>
      </c>
      <c r="D5" s="12">
        <f t="shared" ref="D5" si="89">IF(D3="","",(C5+C6))</f>
        <v>46</v>
      </c>
      <c r="E5" s="12">
        <f t="shared" ref="E5" si="90">IF(E3="","",(D5+D6))</f>
        <v>46</v>
      </c>
      <c r="F5" s="12">
        <v>39</v>
      </c>
      <c r="G5" s="195">
        <f t="shared" ref="G5" si="91">IF(G3="","",(F5+F6))</f>
        <v>39</v>
      </c>
      <c r="H5" s="12">
        <f t="shared" ref="H5" si="92">IF(H3="","",(G5+G6))</f>
        <v>39</v>
      </c>
      <c r="I5" s="12">
        <v>38</v>
      </c>
      <c r="J5" s="195">
        <f t="shared" ref="J5" si="93">IF(J3="","",(I5+I6))</f>
        <v>58</v>
      </c>
      <c r="K5" s="12">
        <f t="shared" ref="K5" si="94">IF(K3="","",(J5+J6))</f>
        <v>58</v>
      </c>
      <c r="L5" s="12">
        <f t="shared" ref="L5" si="95">IF(L3="","",(K5+K6))</f>
        <v>58</v>
      </c>
      <c r="M5" s="12">
        <f t="shared" ref="M5" si="96">IF(M3="","",(L5+L6))</f>
        <v>58</v>
      </c>
      <c r="N5" s="195" t="str">
        <f t="shared" ref="N5" si="97">IF(N3="","",(M5+M6))</f>
        <v/>
      </c>
      <c r="O5" s="12" t="str">
        <f t="shared" ref="O5" si="98">IF(O3="","",(N5+N6))</f>
        <v/>
      </c>
      <c r="P5" s="12" t="str">
        <f t="shared" ref="P5" si="99">IF(P3="","",(O5+O6))</f>
        <v/>
      </c>
      <c r="Q5" s="12" t="str">
        <f t="shared" ref="Q5" si="100">IF(Q3="","",(P5+P6))</f>
        <v/>
      </c>
      <c r="R5" s="12" t="str">
        <f t="shared" ref="R5" si="101">IF(R3="","",(Q5+Q6))</f>
        <v/>
      </c>
      <c r="S5" s="12" t="str">
        <f t="shared" ref="S5" si="102">IF(S3="","",(R5+R6))</f>
        <v/>
      </c>
      <c r="T5" s="12" t="str">
        <f t="shared" ref="T5" si="103">IF(T3="","",(S5+S6))</f>
        <v/>
      </c>
      <c r="U5" s="12" t="str">
        <f t="shared" ref="U5" si="104">IF(U3="","",(T5+T6))</f>
        <v/>
      </c>
      <c r="V5" s="12" t="str">
        <f t="shared" ref="V5" si="105">IF(V3="","",(U5+U6))</f>
        <v/>
      </c>
      <c r="W5" s="12" t="str">
        <f t="shared" ref="W5" si="106">IF(W3="","",(V5+V6))</f>
        <v/>
      </c>
      <c r="X5" s="12" t="str">
        <f t="shared" ref="X5" si="107">IF(X3="","",(W5+W6))</f>
        <v/>
      </c>
      <c r="Y5" s="12" t="str">
        <f t="shared" ref="Y5" si="108">IF(Y3="","",(X5+X6))</f>
        <v/>
      </c>
      <c r="Z5" s="12" t="str">
        <f t="shared" ref="Z5" si="109">IF(Z3="","",(Y5+Y6))</f>
        <v/>
      </c>
      <c r="AA5" s="12" t="str">
        <f t="shared" ref="AA5" si="110">IF(AA3="","",(Z5+Z6))</f>
        <v/>
      </c>
      <c r="AB5" s="12" t="str">
        <f t="shared" ref="AB5" si="111">IF(AB3="","",(AA5+AA6))</f>
        <v/>
      </c>
      <c r="AC5" s="12" t="str">
        <f t="shared" ref="AC5" si="112">IF(AC3="","",(AB5+AB6))</f>
        <v/>
      </c>
      <c r="AD5" s="12" t="str">
        <f t="shared" ref="AD5" si="113">IF(AD3="","",(AC5+AC6))</f>
        <v/>
      </c>
      <c r="AE5" s="12" t="str">
        <f t="shared" ref="AE5" si="114">IF(AE3="","",(AD5+AD6))</f>
        <v/>
      </c>
      <c r="AF5" s="12" t="str">
        <f t="shared" ref="AF5" si="115">IF(AF3="","",(AE5+AE6))</f>
        <v/>
      </c>
      <c r="AG5" s="12" t="str">
        <f t="shared" ref="AG5" si="116">IF(AG3="","",(AF5+AF6))</f>
        <v/>
      </c>
      <c r="AH5" s="12" t="str">
        <f t="shared" ref="AH5" si="117">IF(AH3="","",(AG5+AG6))</f>
        <v/>
      </c>
      <c r="AI5" s="12" t="str">
        <f t="shared" ref="AI5" si="118">IF(AI3="","",(AH5+AH6))</f>
        <v/>
      </c>
      <c r="AJ5" s="12" t="str">
        <f t="shared" ref="AJ5" si="119">IF(AJ3="","",(AI5+AI6))</f>
        <v/>
      </c>
      <c r="AK5" s="12" t="str">
        <f t="shared" ref="AK5" si="120">IF(AK3="","",(AJ5+AJ6))</f>
        <v/>
      </c>
      <c r="AL5" s="12" t="str">
        <f t="shared" ref="AL5" si="121">IF(AL3="","",(AK5+AK6))</f>
        <v/>
      </c>
      <c r="AM5" s="12" t="str">
        <f t="shared" ref="AM5" si="122">IF(AM3="","",(AL5+AL6))</f>
        <v/>
      </c>
      <c r="AN5" s="12" t="str">
        <f t="shared" ref="AN5" si="123">IF(AN3="","",(AM5+AM6))</f>
        <v/>
      </c>
      <c r="AO5" s="12" t="str">
        <f t="shared" ref="AO5" si="124">IF(AO3="","",(AN5+AN6))</f>
        <v/>
      </c>
      <c r="AP5" s="12" t="str">
        <f t="shared" ref="AP5" si="125">IF(AP3="","",(AO5+AO6))</f>
        <v/>
      </c>
      <c r="AQ5" s="12" t="str">
        <f t="shared" ref="AQ5" si="126">IF(AQ3="","",(AP5+AP6))</f>
        <v/>
      </c>
      <c r="AR5" s="12" t="str">
        <f t="shared" ref="AR5" si="127">IF(AR3="","",(AQ5+AQ6))</f>
        <v/>
      </c>
      <c r="AS5" s="12" t="str">
        <f t="shared" ref="AS5" si="128">IF(AS3="","",(AR5+AR6))</f>
        <v/>
      </c>
      <c r="AT5" s="12" t="str">
        <f t="shared" ref="AT5" si="129">IF(AT3="","",(AS5+AS6))</f>
        <v/>
      </c>
      <c r="AU5" s="12" t="str">
        <f t="shared" ref="AU5" si="130">IF(AU3="","",(AT5+AT6))</f>
        <v/>
      </c>
      <c r="AV5" s="12" t="str">
        <f t="shared" ref="AS5:BC5" si="131">IF(AV3="","",(AU5+AU6))</f>
        <v/>
      </c>
      <c r="AW5" s="12" t="str">
        <f t="shared" si="131"/>
        <v/>
      </c>
      <c r="AX5" s="12" t="str">
        <f t="shared" si="131"/>
        <v/>
      </c>
      <c r="AY5" s="12" t="str">
        <f t="shared" si="131"/>
        <v/>
      </c>
      <c r="AZ5" s="12" t="str">
        <f t="shared" si="131"/>
        <v/>
      </c>
      <c r="BA5" s="12" t="str">
        <f t="shared" si="131"/>
        <v/>
      </c>
      <c r="BB5" s="12" t="str">
        <f t="shared" si="131"/>
        <v/>
      </c>
      <c r="BC5" s="12" t="str">
        <f t="shared" si="131"/>
        <v/>
      </c>
    </row>
    <row r="6" spans="1:55" ht="11.25" customHeight="1" x14ac:dyDescent="0.2">
      <c r="A6" s="14"/>
      <c r="B6" s="11" t="s">
        <v>6</v>
      </c>
      <c r="C6" s="123"/>
      <c r="D6" s="12"/>
      <c r="E6" s="12"/>
      <c r="F6" s="12"/>
      <c r="G6" s="195"/>
      <c r="H6" s="12"/>
      <c r="I6" s="12">
        <v>20</v>
      </c>
      <c r="J6" s="195"/>
      <c r="K6" s="12"/>
      <c r="L6" s="12"/>
      <c r="M6" s="12"/>
      <c r="N6" s="195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pans="1:55" ht="11.25" customHeight="1" x14ac:dyDescent="0.2">
      <c r="A7" s="15"/>
      <c r="B7" s="11" t="s">
        <v>8</v>
      </c>
      <c r="C7" s="129">
        <v>300</v>
      </c>
      <c r="D7" s="16">
        <f t="shared" ref="D7" si="132">IF(D3="","",C7)</f>
        <v>300</v>
      </c>
      <c r="E7" s="16">
        <f t="shared" ref="E7" si="133">IF(E3="","",D7)</f>
        <v>300</v>
      </c>
      <c r="F7" s="16">
        <f t="shared" ref="F7" si="134">IF(F3="","",E7)</f>
        <v>300</v>
      </c>
      <c r="G7" s="196">
        <f t="shared" ref="G7" si="135">IF(G3="","",F7)</f>
        <v>300</v>
      </c>
      <c r="H7" s="16">
        <f t="shared" ref="H7" si="136">IF(H3="","",G7)</f>
        <v>300</v>
      </c>
      <c r="I7" s="16">
        <f t="shared" ref="I7" si="137">IF(I3="","",H7)</f>
        <v>300</v>
      </c>
      <c r="J7" s="196">
        <f t="shared" ref="J7" si="138">IF(J3="","",I7)</f>
        <v>300</v>
      </c>
      <c r="K7" s="16">
        <f t="shared" ref="K7" si="139">IF(K3="","",J7)</f>
        <v>300</v>
      </c>
      <c r="L7" s="16">
        <f t="shared" ref="L7" si="140">IF(L3="","",K7)</f>
        <v>300</v>
      </c>
      <c r="M7" s="16">
        <f t="shared" ref="M7" si="141">IF(M3="","",L7)</f>
        <v>300</v>
      </c>
      <c r="N7" s="196" t="str">
        <f t="shared" ref="N7" si="142">IF(N3="","",M7)</f>
        <v/>
      </c>
      <c r="O7" s="16" t="str">
        <f t="shared" ref="O7" si="143">IF(O3="","",N7)</f>
        <v/>
      </c>
      <c r="P7" s="16" t="str">
        <f t="shared" ref="P7" si="144">IF(P3="","",O7)</f>
        <v/>
      </c>
      <c r="Q7" s="16" t="str">
        <f t="shared" ref="Q7" si="145">IF(Q3="","",P7)</f>
        <v/>
      </c>
      <c r="R7" s="16" t="str">
        <f t="shared" ref="R7" si="146">IF(R3="","",Q7)</f>
        <v/>
      </c>
      <c r="S7" s="16" t="str">
        <f t="shared" ref="S7" si="147">IF(S3="","",R7)</f>
        <v/>
      </c>
      <c r="T7" s="16" t="str">
        <f t="shared" ref="T7" si="148">IF(T3="","",S7)</f>
        <v/>
      </c>
      <c r="U7" s="16" t="str">
        <f t="shared" ref="U7" si="149">IF(U3="","",T7)</f>
        <v/>
      </c>
      <c r="V7" s="16" t="str">
        <f t="shared" ref="V7" si="150">IF(V3="","",U7)</f>
        <v/>
      </c>
      <c r="W7" s="16" t="str">
        <f t="shared" ref="W7" si="151">IF(W3="","",V7)</f>
        <v/>
      </c>
      <c r="X7" s="16" t="str">
        <f t="shared" ref="X7" si="152">IF(X3="","",W7)</f>
        <v/>
      </c>
      <c r="Y7" s="16" t="str">
        <f t="shared" ref="Y7" si="153">IF(Y3="","",X7)</f>
        <v/>
      </c>
      <c r="Z7" s="16" t="str">
        <f t="shared" ref="Z7" si="154">IF(Z3="","",Y7)</f>
        <v/>
      </c>
      <c r="AA7" s="16" t="str">
        <f t="shared" ref="AA7" si="155">IF(AA3="","",Z7)</f>
        <v/>
      </c>
      <c r="AB7" s="16" t="str">
        <f t="shared" ref="AB7" si="156">IF(AB3="","",AA7)</f>
        <v/>
      </c>
      <c r="AC7" s="16" t="str">
        <f t="shared" ref="AC7" si="157">IF(AC3="","",AB7)</f>
        <v/>
      </c>
      <c r="AD7" s="16" t="str">
        <f t="shared" ref="AD7" si="158">IF(AD3="","",AC7)</f>
        <v/>
      </c>
      <c r="AE7" s="16" t="str">
        <f t="shared" ref="AE7" si="159">IF(AE3="","",AD7)</f>
        <v/>
      </c>
      <c r="AF7" s="16" t="str">
        <f t="shared" ref="AF7" si="160">IF(AF3="","",AE7)</f>
        <v/>
      </c>
      <c r="AG7" s="16" t="str">
        <f t="shared" ref="AG7" si="161">IF(AG3="","",AF7)</f>
        <v/>
      </c>
      <c r="AH7" s="16" t="str">
        <f t="shared" ref="AH7" si="162">IF(AH3="","",AG7)</f>
        <v/>
      </c>
      <c r="AI7" s="16" t="str">
        <f t="shared" ref="AI7" si="163">IF(AI3="","",AH7)</f>
        <v/>
      </c>
      <c r="AJ7" s="16" t="str">
        <f t="shared" ref="AJ7" si="164">IF(AJ3="","",AI7)</f>
        <v/>
      </c>
      <c r="AK7" s="16" t="str">
        <f t="shared" ref="AK7" si="165">IF(AK3="","",AJ7)</f>
        <v/>
      </c>
      <c r="AL7" s="16" t="str">
        <f t="shared" ref="AL7" si="166">IF(AL3="","",AK7)</f>
        <v/>
      </c>
      <c r="AM7" s="16" t="str">
        <f t="shared" ref="AM7" si="167">IF(AM3="","",AL7)</f>
        <v/>
      </c>
      <c r="AN7" s="16" t="str">
        <f t="shared" ref="AN7" si="168">IF(AN3="","",AM7)</f>
        <v/>
      </c>
      <c r="AO7" s="16" t="str">
        <f t="shared" ref="AO7" si="169">IF(AO3="","",AN7)</f>
        <v/>
      </c>
      <c r="AP7" s="16" t="str">
        <f t="shared" ref="AP7" si="170">IF(AP3="","",AO7)</f>
        <v/>
      </c>
      <c r="AQ7" s="16" t="str">
        <f t="shared" ref="AQ7" si="171">IF(AQ3="","",AP7)</f>
        <v/>
      </c>
      <c r="AR7" s="16" t="str">
        <f t="shared" ref="AR7" si="172">IF(AR3="","",AQ7)</f>
        <v/>
      </c>
      <c r="AS7" s="16" t="str">
        <f t="shared" ref="AS7" si="173">IF(AS3="","",AR7)</f>
        <v/>
      </c>
      <c r="AT7" s="16" t="str">
        <f t="shared" ref="AT7" si="174">IF(AT3="","",AS7)</f>
        <v/>
      </c>
      <c r="AU7" s="16" t="str">
        <f t="shared" ref="AU7" si="175">IF(AU3="","",AT7)</f>
        <v/>
      </c>
      <c r="AV7" s="16" t="str">
        <f t="shared" ref="AS7:BC7" si="176">IF(AV3="","",AU7)</f>
        <v/>
      </c>
      <c r="AW7" s="16" t="str">
        <f t="shared" si="176"/>
        <v/>
      </c>
      <c r="AX7" s="16" t="str">
        <f t="shared" si="176"/>
        <v/>
      </c>
      <c r="AY7" s="16" t="str">
        <f t="shared" si="176"/>
        <v/>
      </c>
      <c r="AZ7" s="16" t="str">
        <f t="shared" si="176"/>
        <v/>
      </c>
      <c r="BA7" s="16" t="str">
        <f t="shared" si="176"/>
        <v/>
      </c>
      <c r="BB7" s="16" t="str">
        <f t="shared" si="176"/>
        <v/>
      </c>
      <c r="BC7" s="16" t="str">
        <f t="shared" si="176"/>
        <v/>
      </c>
    </row>
    <row r="8" spans="1:55" ht="11.25" customHeight="1" x14ac:dyDescent="0.2">
      <c r="A8" s="14" t="s">
        <v>9</v>
      </c>
      <c r="B8" s="17" t="s">
        <v>10</v>
      </c>
      <c r="C8" s="133" t="s">
        <v>240</v>
      </c>
      <c r="D8" s="18" t="str">
        <f t="shared" ref="D8" si="177">IF(D3="","",C8)</f>
        <v>フルーツスクイーズ</v>
      </c>
      <c r="E8" s="18" t="str">
        <f t="shared" ref="E8" si="178">IF(E3="","",D8)</f>
        <v>フルーツスクイーズ</v>
      </c>
      <c r="F8" s="18" t="str">
        <f t="shared" ref="F8" si="179">IF(F3="","",E8)</f>
        <v>フルーツスクイーズ</v>
      </c>
      <c r="G8" s="197" t="str">
        <f t="shared" ref="G8" si="180">IF(G3="","",F8)</f>
        <v>フルーツスクイーズ</v>
      </c>
      <c r="H8" s="18" t="str">
        <f t="shared" ref="H8" si="181">IF(H3="","",G8)</f>
        <v>フルーツスクイーズ</v>
      </c>
      <c r="I8" s="18" t="str">
        <f t="shared" ref="I8" si="182">IF(I3="","",H8)</f>
        <v>フルーツスクイーズ</v>
      </c>
      <c r="J8" s="197" t="str">
        <f t="shared" ref="J8" si="183">IF(J3="","",I8)</f>
        <v>フルーツスクイーズ</v>
      </c>
      <c r="K8" s="18" t="str">
        <f t="shared" ref="K8" si="184">IF(K3="","",J8)</f>
        <v>フルーツスクイーズ</v>
      </c>
      <c r="L8" s="18" t="str">
        <f t="shared" ref="L8" si="185">IF(L3="","",K8)</f>
        <v>フルーツスクイーズ</v>
      </c>
      <c r="M8" s="18" t="str">
        <f t="shared" ref="M8" si="186">IF(M3="","",L8)</f>
        <v>フルーツスクイーズ</v>
      </c>
      <c r="N8" s="197" t="str">
        <f t="shared" ref="N8" si="187">IF(N3="","",M8)</f>
        <v/>
      </c>
      <c r="O8" s="18" t="str">
        <f t="shared" ref="O8" si="188">IF(O3="","",N8)</f>
        <v/>
      </c>
      <c r="P8" s="18" t="str">
        <f t="shared" ref="P8" si="189">IF(P3="","",O8)</f>
        <v/>
      </c>
      <c r="Q8" s="18" t="str">
        <f t="shared" ref="Q8" si="190">IF(Q3="","",P8)</f>
        <v/>
      </c>
      <c r="R8" s="18" t="str">
        <f t="shared" ref="R8" si="191">IF(R3="","",Q8)</f>
        <v/>
      </c>
      <c r="S8" s="18" t="str">
        <f t="shared" ref="S8" si="192">IF(S3="","",R8)</f>
        <v/>
      </c>
      <c r="T8" s="18" t="str">
        <f t="shared" ref="T8" si="193">IF(T3="","",S8)</f>
        <v/>
      </c>
      <c r="U8" s="18" t="str">
        <f t="shared" ref="U8" si="194">IF(U3="","",T8)</f>
        <v/>
      </c>
      <c r="V8" s="18" t="str">
        <f t="shared" ref="V8" si="195">IF(V3="","",U8)</f>
        <v/>
      </c>
      <c r="W8" s="18" t="str">
        <f t="shared" ref="W8" si="196">IF(W3="","",V8)</f>
        <v/>
      </c>
      <c r="X8" s="18" t="str">
        <f t="shared" ref="X8" si="197">IF(X3="","",W8)</f>
        <v/>
      </c>
      <c r="Y8" s="18" t="str">
        <f t="shared" ref="Y8" si="198">IF(Y3="","",X8)</f>
        <v/>
      </c>
      <c r="Z8" s="18" t="str">
        <f t="shared" ref="Z8" si="199">IF(Z3="","",Y8)</f>
        <v/>
      </c>
      <c r="AA8" s="18" t="str">
        <f t="shared" ref="AA8" si="200">IF(AA3="","",Z8)</f>
        <v/>
      </c>
      <c r="AB8" s="18" t="str">
        <f t="shared" ref="AB8" si="201">IF(AB3="","",AA8)</f>
        <v/>
      </c>
      <c r="AC8" s="18" t="str">
        <f t="shared" ref="AC8" si="202">IF(AC3="","",AB8)</f>
        <v/>
      </c>
      <c r="AD8" s="18" t="str">
        <f t="shared" ref="AD8" si="203">IF(AD3="","",AC8)</f>
        <v/>
      </c>
      <c r="AE8" s="18" t="str">
        <f t="shared" ref="AE8" si="204">IF(AE3="","",AD8)</f>
        <v/>
      </c>
      <c r="AF8" s="18" t="str">
        <f t="shared" ref="AF8" si="205">IF(AF3="","",AE8)</f>
        <v/>
      </c>
      <c r="AG8" s="18" t="str">
        <f t="shared" ref="AG8" si="206">IF(AG3="","",AF8)</f>
        <v/>
      </c>
      <c r="AH8" s="18" t="str">
        <f t="shared" ref="AH8" si="207">IF(AH3="","",AG8)</f>
        <v/>
      </c>
      <c r="AI8" s="18" t="str">
        <f t="shared" ref="AI8" si="208">IF(AI3="","",AH8)</f>
        <v/>
      </c>
      <c r="AJ8" s="18" t="str">
        <f t="shared" ref="AJ8" si="209">IF(AJ3="","",AI8)</f>
        <v/>
      </c>
      <c r="AK8" s="18" t="str">
        <f t="shared" ref="AK8" si="210">IF(AK3="","",AJ8)</f>
        <v/>
      </c>
      <c r="AL8" s="18" t="str">
        <f t="shared" ref="AL8" si="211">IF(AL3="","",AK8)</f>
        <v/>
      </c>
      <c r="AM8" s="18" t="str">
        <f t="shared" ref="AM8" si="212">IF(AM3="","",AL8)</f>
        <v/>
      </c>
      <c r="AN8" s="18" t="str">
        <f t="shared" ref="AN8" si="213">IF(AN3="","",AM8)</f>
        <v/>
      </c>
      <c r="AO8" s="18" t="str">
        <f t="shared" ref="AO8" si="214">IF(AO3="","",AN8)</f>
        <v/>
      </c>
      <c r="AP8" s="18" t="str">
        <f t="shared" ref="AP8" si="215">IF(AP3="","",AO8)</f>
        <v/>
      </c>
      <c r="AQ8" s="18" t="str">
        <f t="shared" ref="AQ8" si="216">IF(AQ3="","",AP8)</f>
        <v/>
      </c>
      <c r="AR8" s="18" t="str">
        <f t="shared" ref="AR8" si="217">IF(AR3="","",AQ8)</f>
        <v/>
      </c>
      <c r="AS8" s="18" t="str">
        <f t="shared" ref="AS8" si="218">IF(AS3="","",AR8)</f>
        <v/>
      </c>
      <c r="AT8" s="18" t="str">
        <f t="shared" ref="AT8" si="219">IF(AT3="","",AS8)</f>
        <v/>
      </c>
      <c r="AU8" s="18" t="str">
        <f t="shared" ref="AU8" si="220">IF(AU3="","",AT8)</f>
        <v/>
      </c>
      <c r="AV8" s="18" t="str">
        <f t="shared" ref="AS8:BC8" si="221">IF(AV3="","",AU8)</f>
        <v/>
      </c>
      <c r="AW8" s="18" t="str">
        <f t="shared" si="221"/>
        <v/>
      </c>
      <c r="AX8" s="18" t="str">
        <f t="shared" si="221"/>
        <v/>
      </c>
      <c r="AY8" s="18" t="str">
        <f t="shared" si="221"/>
        <v/>
      </c>
      <c r="AZ8" s="18" t="str">
        <f t="shared" si="221"/>
        <v/>
      </c>
      <c r="BA8" s="18" t="str">
        <f t="shared" si="221"/>
        <v/>
      </c>
      <c r="BB8" s="18" t="str">
        <f t="shared" si="221"/>
        <v/>
      </c>
      <c r="BC8" s="18" t="str">
        <f t="shared" si="221"/>
        <v/>
      </c>
    </row>
    <row r="9" spans="1:55" ht="11.25" customHeight="1" x14ac:dyDescent="0.2">
      <c r="A9" s="15">
        <f>AVERAGE(C10:AS10)*30*100</f>
        <v>32181.81818181818</v>
      </c>
      <c r="B9" s="11" t="s">
        <v>12</v>
      </c>
      <c r="C9" s="123"/>
      <c r="D9" s="12"/>
      <c r="E9" s="12"/>
      <c r="F9" s="12"/>
      <c r="G9" s="195"/>
      <c r="H9" s="12"/>
      <c r="I9" s="12"/>
      <c r="J9" s="195"/>
      <c r="K9" s="12"/>
      <c r="L9" s="12"/>
      <c r="M9" s="12"/>
      <c r="N9" s="195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:55" ht="11.25" customHeight="1" x14ac:dyDescent="0.2">
      <c r="A10" s="15">
        <f t="shared" ref="A10:A13" si="222">SUM(C10:AS10)</f>
        <v>118</v>
      </c>
      <c r="B10" s="19" t="s">
        <v>13</v>
      </c>
      <c r="C10" s="123">
        <v>0</v>
      </c>
      <c r="D10" s="20">
        <f t="shared" ref="D10:D11" si="223">IF(D3="","",D3-C3)</f>
        <v>0</v>
      </c>
      <c r="E10" s="20">
        <f t="shared" ref="E10:E11" si="224">IF(E3="","",E3-D3)</f>
        <v>0</v>
      </c>
      <c r="F10" s="20">
        <f t="shared" ref="F10:F11" si="225">IF(F3="","",F3-E3)</f>
        <v>58</v>
      </c>
      <c r="G10" s="195">
        <f t="shared" ref="G10:G11" si="226">IF(G3="","",G3-F3)</f>
        <v>0</v>
      </c>
      <c r="H10" s="20">
        <f t="shared" ref="H10:H11" si="227">IF(H3="","",H3-G3)</f>
        <v>0</v>
      </c>
      <c r="I10" s="20">
        <f t="shared" ref="I10:I11" si="228">IF(I3="","",I3-H3)</f>
        <v>60</v>
      </c>
      <c r="J10" s="195">
        <f t="shared" ref="J10:J11" si="229">IF(J3="","",J3-I3)</f>
        <v>0</v>
      </c>
      <c r="K10" s="20">
        <f t="shared" ref="K10:K11" si="230">IF(K3="","",K3-J3)</f>
        <v>0</v>
      </c>
      <c r="L10" s="20">
        <f t="shared" ref="L10:L11" si="231">IF(L3="","",L3-K3)</f>
        <v>0</v>
      </c>
      <c r="M10" s="20">
        <f t="shared" ref="M10:M11" si="232">IF(M3="","",M3-L3)</f>
        <v>0</v>
      </c>
      <c r="N10" s="195" t="str">
        <f t="shared" ref="N10:N11" si="233">IF(N3="","",N3-M3)</f>
        <v/>
      </c>
      <c r="O10" s="20" t="str">
        <f t="shared" ref="O10:O11" si="234">IF(O3="","",O3-N3)</f>
        <v/>
      </c>
      <c r="P10" s="20" t="str">
        <f t="shared" ref="P10:P11" si="235">IF(P3="","",P3-O3)</f>
        <v/>
      </c>
      <c r="Q10" s="20" t="str">
        <f t="shared" ref="Q10:Q11" si="236">IF(Q3="","",Q3-P3)</f>
        <v/>
      </c>
      <c r="R10" s="20" t="str">
        <f t="shared" ref="R10:R11" si="237">IF(R3="","",R3-Q3)</f>
        <v/>
      </c>
      <c r="S10" s="20" t="str">
        <f t="shared" ref="S10:S11" si="238">IF(S3="","",S3-R3)</f>
        <v/>
      </c>
      <c r="T10" s="20" t="str">
        <f t="shared" ref="T10:T11" si="239">IF(T3="","",T3-S3)</f>
        <v/>
      </c>
      <c r="U10" s="20" t="str">
        <f t="shared" ref="U10:U11" si="240">IF(U3="","",U3-T3)</f>
        <v/>
      </c>
      <c r="V10" s="20" t="str">
        <f t="shared" ref="V10:V11" si="241">IF(V3="","",V3-U3)</f>
        <v/>
      </c>
      <c r="W10" s="20" t="str">
        <f t="shared" ref="W10:W11" si="242">IF(W3="","",W3-V3)</f>
        <v/>
      </c>
      <c r="X10" s="20" t="str">
        <f t="shared" ref="X10:X11" si="243">IF(X3="","",X3-W3)</f>
        <v/>
      </c>
      <c r="Y10" s="20" t="str">
        <f t="shared" ref="Y10:Y11" si="244">IF(Y3="","",Y3-X3)</f>
        <v/>
      </c>
      <c r="Z10" s="20" t="str">
        <f t="shared" ref="Z10:Z11" si="245">IF(Z3="","",Z3-Y3)</f>
        <v/>
      </c>
      <c r="AA10" s="20" t="str">
        <f t="shared" ref="AA10:AA11" si="246">IF(AA3="","",AA3-Z3)</f>
        <v/>
      </c>
      <c r="AB10" s="20" t="str">
        <f t="shared" ref="AB10:AB11" si="247">IF(AB3="","",AB3-AA3)</f>
        <v/>
      </c>
      <c r="AC10" s="20" t="str">
        <f t="shared" ref="AC10:AC11" si="248">IF(AC3="","",AC3-AB3)</f>
        <v/>
      </c>
      <c r="AD10" s="20" t="str">
        <f t="shared" ref="AD10:AD11" si="249">IF(AD3="","",AD3-AC3)</f>
        <v/>
      </c>
      <c r="AE10" s="20" t="str">
        <f t="shared" ref="AE10:AE11" si="250">IF(AE3="","",AE3-AD3)</f>
        <v/>
      </c>
      <c r="AF10" s="20" t="str">
        <f t="shared" ref="AF10:AF11" si="251">IF(AF3="","",AF3-AE3)</f>
        <v/>
      </c>
      <c r="AG10" s="20" t="str">
        <f t="shared" ref="AG10:AG11" si="252">IF(AG3="","",AG3-AF3)</f>
        <v/>
      </c>
      <c r="AH10" s="20" t="str">
        <f t="shared" ref="AH10:AH11" si="253">IF(AH3="","",AH3-AG3)</f>
        <v/>
      </c>
      <c r="AI10" s="20" t="str">
        <f t="shared" ref="AI10:AI11" si="254">IF(AI3="","",AI3-AH3)</f>
        <v/>
      </c>
      <c r="AJ10" s="20" t="str">
        <f t="shared" ref="AJ10:AJ11" si="255">IF(AJ3="","",AJ3-AI3)</f>
        <v/>
      </c>
      <c r="AK10" s="20" t="str">
        <f t="shared" ref="AK10:AK11" si="256">IF(AK3="","",AK3-AJ3)</f>
        <v/>
      </c>
      <c r="AL10" s="20" t="str">
        <f t="shared" ref="AL10:AL11" si="257">IF(AL3="","",AL3-AK3)</f>
        <v/>
      </c>
      <c r="AM10" s="20" t="str">
        <f t="shared" ref="AM10:AM11" si="258">IF(AM3="","",AM3-AL3)</f>
        <v/>
      </c>
      <c r="AN10" s="20" t="str">
        <f t="shared" ref="AN10:AN11" si="259">IF(AN3="","",AN3-AM3)</f>
        <v/>
      </c>
      <c r="AO10" s="20" t="str">
        <f t="shared" ref="AO10:AO11" si="260">IF(AO3="","",AO3-AN3)</f>
        <v/>
      </c>
      <c r="AP10" s="20" t="str">
        <f t="shared" ref="AP10:AP11" si="261">IF(AP3="","",AP3-AO3)</f>
        <v/>
      </c>
      <c r="AQ10" s="20" t="str">
        <f t="shared" ref="AQ10:AQ11" si="262">IF(AQ3="","",AQ3-AP3)</f>
        <v/>
      </c>
      <c r="AR10" s="20" t="str">
        <f t="shared" ref="AR10:AR11" si="263">IF(AR3="","",AR3-AQ3)</f>
        <v/>
      </c>
      <c r="AS10" s="20" t="str">
        <f t="shared" ref="AS10:AS11" si="264">IF(AS3="","",AS3-AR3)</f>
        <v/>
      </c>
      <c r="AT10" s="20" t="str">
        <f t="shared" ref="AT10:AT11" si="265">IF(AT3="","",AT3-AS3)</f>
        <v/>
      </c>
      <c r="AU10" s="20" t="str">
        <f t="shared" ref="AU10:AU11" si="266">IF(AU3="","",AU3-AT3)</f>
        <v/>
      </c>
      <c r="AV10" s="20" t="str">
        <f t="shared" ref="AS10:BC10" si="267">IF(AV3="","",AV3-AU3)</f>
        <v/>
      </c>
      <c r="AW10" s="20" t="str">
        <f t="shared" si="267"/>
        <v/>
      </c>
      <c r="AX10" s="20" t="str">
        <f t="shared" si="267"/>
        <v/>
      </c>
      <c r="AY10" s="20" t="str">
        <f t="shared" si="267"/>
        <v/>
      </c>
      <c r="AZ10" s="20" t="str">
        <f t="shared" si="267"/>
        <v/>
      </c>
      <c r="BA10" s="20" t="str">
        <f t="shared" si="267"/>
        <v/>
      </c>
      <c r="BB10" s="20" t="str">
        <f t="shared" si="267"/>
        <v/>
      </c>
      <c r="BC10" s="20" t="str">
        <f t="shared" si="267"/>
        <v/>
      </c>
    </row>
    <row r="11" spans="1:55" ht="11.25" customHeight="1" x14ac:dyDescent="0.2">
      <c r="A11" s="15">
        <f t="shared" si="222"/>
        <v>8</v>
      </c>
      <c r="B11" s="19" t="s">
        <v>14</v>
      </c>
      <c r="C11" s="123">
        <v>0</v>
      </c>
      <c r="D11" s="20">
        <f t="shared" si="223"/>
        <v>0</v>
      </c>
      <c r="E11" s="20">
        <f t="shared" si="224"/>
        <v>0</v>
      </c>
      <c r="F11" s="20">
        <f t="shared" si="225"/>
        <v>7</v>
      </c>
      <c r="G11" s="195">
        <f t="shared" si="226"/>
        <v>0</v>
      </c>
      <c r="H11" s="20">
        <f t="shared" si="227"/>
        <v>0</v>
      </c>
      <c r="I11" s="20">
        <f t="shared" si="228"/>
        <v>1</v>
      </c>
      <c r="J11" s="195">
        <f t="shared" si="229"/>
        <v>0</v>
      </c>
      <c r="K11" s="20">
        <f t="shared" si="230"/>
        <v>0</v>
      </c>
      <c r="L11" s="20">
        <f t="shared" si="231"/>
        <v>0</v>
      </c>
      <c r="M11" s="20">
        <f t="shared" si="232"/>
        <v>0</v>
      </c>
      <c r="N11" s="195" t="str">
        <f t="shared" si="233"/>
        <v/>
      </c>
      <c r="O11" s="20" t="str">
        <f t="shared" si="234"/>
        <v/>
      </c>
      <c r="P11" s="20" t="str">
        <f t="shared" si="235"/>
        <v/>
      </c>
      <c r="Q11" s="20" t="str">
        <f t="shared" si="236"/>
        <v/>
      </c>
      <c r="R11" s="20" t="str">
        <f t="shared" si="237"/>
        <v/>
      </c>
      <c r="S11" s="20" t="str">
        <f t="shared" si="238"/>
        <v/>
      </c>
      <c r="T11" s="20" t="str">
        <f t="shared" si="239"/>
        <v/>
      </c>
      <c r="U11" s="20" t="str">
        <f t="shared" si="240"/>
        <v/>
      </c>
      <c r="V11" s="20" t="str">
        <f t="shared" si="241"/>
        <v/>
      </c>
      <c r="W11" s="20" t="str">
        <f t="shared" si="242"/>
        <v/>
      </c>
      <c r="X11" s="20" t="str">
        <f t="shared" si="243"/>
        <v/>
      </c>
      <c r="Y11" s="20" t="str">
        <f t="shared" si="244"/>
        <v/>
      </c>
      <c r="Z11" s="20" t="str">
        <f t="shared" si="245"/>
        <v/>
      </c>
      <c r="AA11" s="20" t="str">
        <f t="shared" si="246"/>
        <v/>
      </c>
      <c r="AB11" s="20" t="str">
        <f t="shared" si="247"/>
        <v/>
      </c>
      <c r="AC11" s="20" t="str">
        <f t="shared" si="248"/>
        <v/>
      </c>
      <c r="AD11" s="20" t="str">
        <f t="shared" si="249"/>
        <v/>
      </c>
      <c r="AE11" s="20" t="str">
        <f t="shared" si="250"/>
        <v/>
      </c>
      <c r="AF11" s="20" t="str">
        <f t="shared" si="251"/>
        <v/>
      </c>
      <c r="AG11" s="20" t="str">
        <f t="shared" si="252"/>
        <v/>
      </c>
      <c r="AH11" s="20" t="str">
        <f t="shared" si="253"/>
        <v/>
      </c>
      <c r="AI11" s="20" t="str">
        <f t="shared" si="254"/>
        <v/>
      </c>
      <c r="AJ11" s="20" t="str">
        <f t="shared" si="255"/>
        <v/>
      </c>
      <c r="AK11" s="20" t="str">
        <f t="shared" si="256"/>
        <v/>
      </c>
      <c r="AL11" s="20" t="str">
        <f t="shared" si="257"/>
        <v/>
      </c>
      <c r="AM11" s="20" t="str">
        <f t="shared" si="258"/>
        <v/>
      </c>
      <c r="AN11" s="20" t="str">
        <f t="shared" si="259"/>
        <v/>
      </c>
      <c r="AO11" s="20" t="str">
        <f t="shared" si="260"/>
        <v/>
      </c>
      <c r="AP11" s="20" t="str">
        <f t="shared" si="261"/>
        <v/>
      </c>
      <c r="AQ11" s="20" t="str">
        <f t="shared" si="262"/>
        <v/>
      </c>
      <c r="AR11" s="20" t="str">
        <f t="shared" si="263"/>
        <v/>
      </c>
      <c r="AS11" s="20" t="str">
        <f t="shared" si="264"/>
        <v/>
      </c>
      <c r="AT11" s="20" t="str">
        <f t="shared" si="265"/>
        <v/>
      </c>
      <c r="AU11" s="20" t="str">
        <f t="shared" si="266"/>
        <v/>
      </c>
      <c r="AV11" s="20" t="str">
        <f t="shared" ref="AS11:BC11" si="268">IF(AV4="","",AV4-AU4)</f>
        <v/>
      </c>
      <c r="AW11" s="20" t="str">
        <f t="shared" si="268"/>
        <v/>
      </c>
      <c r="AX11" s="20" t="str">
        <f t="shared" si="268"/>
        <v/>
      </c>
      <c r="AY11" s="20" t="str">
        <f t="shared" si="268"/>
        <v/>
      </c>
      <c r="AZ11" s="20" t="str">
        <f t="shared" si="268"/>
        <v/>
      </c>
      <c r="BA11" s="20" t="str">
        <f t="shared" si="268"/>
        <v/>
      </c>
      <c r="BB11" s="20" t="str">
        <f t="shared" si="268"/>
        <v/>
      </c>
      <c r="BC11" s="20" t="str">
        <f t="shared" si="268"/>
        <v/>
      </c>
    </row>
    <row r="12" spans="1:55" ht="11.25" customHeight="1" x14ac:dyDescent="0.2">
      <c r="A12" s="15">
        <f t="shared" si="222"/>
        <v>8</v>
      </c>
      <c r="B12" s="19" t="s">
        <v>15</v>
      </c>
      <c r="C12" s="123">
        <v>0</v>
      </c>
      <c r="D12" s="20">
        <f t="shared" ref="D12" si="269">IF(D5="","",C5+C6-D5)</f>
        <v>0</v>
      </c>
      <c r="E12" s="20">
        <f t="shared" ref="E12" si="270">IF(E5="","",D5+D6-E5)</f>
        <v>0</v>
      </c>
      <c r="F12" s="20">
        <f t="shared" ref="F12" si="271">IF(F5="","",E5+E6-F5)</f>
        <v>7</v>
      </c>
      <c r="G12" s="195">
        <f t="shared" ref="G12" si="272">IF(G5="","",F5+F6-G5)</f>
        <v>0</v>
      </c>
      <c r="H12" s="20">
        <f t="shared" ref="H12" si="273">IF(H5="","",G5+G6-H5)</f>
        <v>0</v>
      </c>
      <c r="I12" s="20">
        <f t="shared" ref="I12" si="274">IF(I5="","",H5+H6-I5)</f>
        <v>1</v>
      </c>
      <c r="J12" s="195">
        <f t="shared" ref="J12" si="275">IF(J5="","",I5+I6-J5)</f>
        <v>0</v>
      </c>
      <c r="K12" s="20">
        <f t="shared" ref="K12" si="276">IF(K5="","",J5+J6-K5)</f>
        <v>0</v>
      </c>
      <c r="L12" s="20">
        <f t="shared" ref="L12" si="277">IF(L5="","",K5+K6-L5)</f>
        <v>0</v>
      </c>
      <c r="M12" s="20">
        <f t="shared" ref="M12" si="278">IF(M5="","",L5+L6-M5)</f>
        <v>0</v>
      </c>
      <c r="N12" s="195" t="str">
        <f t="shared" ref="N12" si="279">IF(N5="","",M5+M6-N5)</f>
        <v/>
      </c>
      <c r="O12" s="20" t="str">
        <f t="shared" ref="O12" si="280">IF(O5="","",N5+N6-O5)</f>
        <v/>
      </c>
      <c r="P12" s="20" t="str">
        <f t="shared" ref="P12" si="281">IF(P5="","",O5+O6-P5)</f>
        <v/>
      </c>
      <c r="Q12" s="20" t="str">
        <f t="shared" ref="Q12" si="282">IF(Q5="","",P5+P6-Q5)</f>
        <v/>
      </c>
      <c r="R12" s="20" t="str">
        <f t="shared" ref="R12" si="283">IF(R5="","",Q5+Q6-R5)</f>
        <v/>
      </c>
      <c r="S12" s="20" t="str">
        <f t="shared" ref="S12" si="284">IF(S5="","",R5+R6-S5)</f>
        <v/>
      </c>
      <c r="T12" s="20" t="str">
        <f t="shared" ref="T12" si="285">IF(T5="","",S5+S6-T5)</f>
        <v/>
      </c>
      <c r="U12" s="20" t="str">
        <f t="shared" ref="U12" si="286">IF(U5="","",T5+T6-U5)</f>
        <v/>
      </c>
      <c r="V12" s="20" t="str">
        <f t="shared" ref="V12" si="287">IF(V5="","",U5+U6-V5)</f>
        <v/>
      </c>
      <c r="W12" s="20" t="str">
        <f t="shared" ref="W12" si="288">IF(W5="","",V5+V6-W5)</f>
        <v/>
      </c>
      <c r="X12" s="20" t="str">
        <f t="shared" ref="X12" si="289">IF(X5="","",W5+W6-X5)</f>
        <v/>
      </c>
      <c r="Y12" s="20" t="str">
        <f t="shared" ref="Y12" si="290">IF(Y5="","",X5+X6-Y5)</f>
        <v/>
      </c>
      <c r="Z12" s="20" t="str">
        <f t="shared" ref="Z12" si="291">IF(Z5="","",Y5+Y6-Z5)</f>
        <v/>
      </c>
      <c r="AA12" s="20" t="str">
        <f t="shared" ref="AA12" si="292">IF(AA5="","",Z5+Z6-AA5)</f>
        <v/>
      </c>
      <c r="AB12" s="20" t="str">
        <f t="shared" ref="AB12" si="293">IF(AB5="","",AA5+AA6-AB5)</f>
        <v/>
      </c>
      <c r="AC12" s="20" t="str">
        <f t="shared" ref="AC12" si="294">IF(AC5="","",AB5+AB6-AC5)</f>
        <v/>
      </c>
      <c r="AD12" s="20" t="str">
        <f t="shared" ref="AD12" si="295">IF(AD5="","",AC5+AC6-AD5)</f>
        <v/>
      </c>
      <c r="AE12" s="20" t="str">
        <f t="shared" ref="AE12" si="296">IF(AE5="","",AD5+AD6-AE5)</f>
        <v/>
      </c>
      <c r="AF12" s="20" t="str">
        <f t="shared" ref="AF12" si="297">IF(AF5="","",AE5+AE6-AF5)</f>
        <v/>
      </c>
      <c r="AG12" s="20" t="str">
        <f t="shared" ref="AG12" si="298">IF(AG5="","",AF5+AF6-AG5)</f>
        <v/>
      </c>
      <c r="AH12" s="20" t="str">
        <f t="shared" ref="AH12" si="299">IF(AH5="","",AG5+AG6-AH5)</f>
        <v/>
      </c>
      <c r="AI12" s="20" t="str">
        <f t="shared" ref="AI12" si="300">IF(AI5="","",AH5+AH6-AI5)</f>
        <v/>
      </c>
      <c r="AJ12" s="20" t="str">
        <f t="shared" ref="AJ12" si="301">IF(AJ5="","",AI5+AI6-AJ5)</f>
        <v/>
      </c>
      <c r="AK12" s="20" t="str">
        <f t="shared" ref="AK12" si="302">IF(AK5="","",AJ5+AJ6-AK5)</f>
        <v/>
      </c>
      <c r="AL12" s="20" t="str">
        <f t="shared" ref="AL12" si="303">IF(AL5="","",AK5+AK6-AL5)</f>
        <v/>
      </c>
      <c r="AM12" s="20" t="str">
        <f t="shared" ref="AM12" si="304">IF(AM5="","",AL5+AL6-AM5)</f>
        <v/>
      </c>
      <c r="AN12" s="20" t="str">
        <f t="shared" ref="AN12" si="305">IF(AN5="","",AM5+AM6-AN5)</f>
        <v/>
      </c>
      <c r="AO12" s="20" t="str">
        <f t="shared" ref="AO12" si="306">IF(AO5="","",AN5+AN6-AO5)</f>
        <v/>
      </c>
      <c r="AP12" s="20" t="str">
        <f t="shared" ref="AP12" si="307">IF(AP5="","",AO5+AO6-AP5)</f>
        <v/>
      </c>
      <c r="AQ12" s="20" t="str">
        <f t="shared" ref="AQ12" si="308">IF(AQ5="","",AP5+AP6-AQ5)</f>
        <v/>
      </c>
      <c r="AR12" s="20" t="str">
        <f t="shared" ref="AR12" si="309">IF(AR5="","",AQ5+AQ6-AR5)</f>
        <v/>
      </c>
      <c r="AS12" s="20" t="str">
        <f t="shared" ref="AS12" si="310">IF(AS5="","",AR5+AR6-AS5)</f>
        <v/>
      </c>
      <c r="AT12" s="20" t="str">
        <f t="shared" ref="AT12" si="311">IF(AT5="","",AS5+AS6-AT5)</f>
        <v/>
      </c>
      <c r="AU12" s="20" t="str">
        <f t="shared" ref="AU12" si="312">IF(AU5="","",AT5+AT6-AU5)</f>
        <v/>
      </c>
      <c r="AV12" s="20" t="str">
        <f t="shared" ref="AS12:BC12" si="313">IF(AV5="","",AU5+AU6-AV5)</f>
        <v/>
      </c>
      <c r="AW12" s="20" t="str">
        <f t="shared" si="313"/>
        <v/>
      </c>
      <c r="AX12" s="20" t="str">
        <f t="shared" si="313"/>
        <v/>
      </c>
      <c r="AY12" s="20" t="str">
        <f t="shared" si="313"/>
        <v/>
      </c>
      <c r="AZ12" s="20" t="str">
        <f t="shared" si="313"/>
        <v/>
      </c>
      <c r="BA12" s="20" t="str">
        <f t="shared" si="313"/>
        <v/>
      </c>
      <c r="BB12" s="20" t="str">
        <f t="shared" si="313"/>
        <v/>
      </c>
      <c r="BC12" s="20" t="str">
        <f t="shared" si="313"/>
        <v/>
      </c>
    </row>
    <row r="13" spans="1:55" ht="11.25" customHeight="1" x14ac:dyDescent="0.2">
      <c r="A13" s="15">
        <f t="shared" si="222"/>
        <v>2400</v>
      </c>
      <c r="B13" s="19" t="s">
        <v>16</v>
      </c>
      <c r="C13" s="123">
        <v>0</v>
      </c>
      <c r="D13" s="20">
        <f t="shared" ref="D13:AU13" si="314">IF(D3="","",D12*D7)</f>
        <v>0</v>
      </c>
      <c r="E13" s="20">
        <f t="shared" si="314"/>
        <v>0</v>
      </c>
      <c r="F13" s="20">
        <f t="shared" si="314"/>
        <v>2100</v>
      </c>
      <c r="G13" s="195">
        <f t="shared" si="314"/>
        <v>0</v>
      </c>
      <c r="H13" s="20">
        <f t="shared" si="314"/>
        <v>0</v>
      </c>
      <c r="I13" s="20">
        <f t="shared" si="314"/>
        <v>300</v>
      </c>
      <c r="J13" s="195">
        <f t="shared" si="314"/>
        <v>0</v>
      </c>
      <c r="K13" s="20">
        <f t="shared" si="314"/>
        <v>0</v>
      </c>
      <c r="L13" s="20">
        <f t="shared" si="314"/>
        <v>0</v>
      </c>
      <c r="M13" s="20">
        <f t="shared" si="314"/>
        <v>0</v>
      </c>
      <c r="N13" s="195" t="str">
        <f t="shared" si="314"/>
        <v/>
      </c>
      <c r="O13" s="20" t="str">
        <f t="shared" si="314"/>
        <v/>
      </c>
      <c r="P13" s="20" t="str">
        <f t="shared" si="314"/>
        <v/>
      </c>
      <c r="Q13" s="20" t="str">
        <f t="shared" si="314"/>
        <v/>
      </c>
      <c r="R13" s="20" t="str">
        <f t="shared" si="314"/>
        <v/>
      </c>
      <c r="S13" s="20" t="str">
        <f t="shared" si="314"/>
        <v/>
      </c>
      <c r="T13" s="20" t="str">
        <f t="shared" si="314"/>
        <v/>
      </c>
      <c r="U13" s="20" t="str">
        <f t="shared" si="314"/>
        <v/>
      </c>
      <c r="V13" s="20" t="str">
        <f t="shared" si="314"/>
        <v/>
      </c>
      <c r="W13" s="20" t="str">
        <f t="shared" si="314"/>
        <v/>
      </c>
      <c r="X13" s="20" t="str">
        <f t="shared" si="314"/>
        <v/>
      </c>
      <c r="Y13" s="20" t="str">
        <f t="shared" si="314"/>
        <v/>
      </c>
      <c r="Z13" s="20" t="str">
        <f t="shared" si="314"/>
        <v/>
      </c>
      <c r="AA13" s="20" t="str">
        <f t="shared" si="314"/>
        <v/>
      </c>
      <c r="AB13" s="20" t="str">
        <f t="shared" si="314"/>
        <v/>
      </c>
      <c r="AC13" s="20" t="str">
        <f t="shared" si="314"/>
        <v/>
      </c>
      <c r="AD13" s="20" t="str">
        <f t="shared" si="314"/>
        <v/>
      </c>
      <c r="AE13" s="20" t="str">
        <f t="shared" si="314"/>
        <v/>
      </c>
      <c r="AF13" s="20" t="str">
        <f t="shared" si="314"/>
        <v/>
      </c>
      <c r="AG13" s="20" t="str">
        <f t="shared" si="314"/>
        <v/>
      </c>
      <c r="AH13" s="20" t="str">
        <f t="shared" si="314"/>
        <v/>
      </c>
      <c r="AI13" s="20" t="str">
        <f t="shared" si="314"/>
        <v/>
      </c>
      <c r="AJ13" s="20" t="str">
        <f t="shared" si="314"/>
        <v/>
      </c>
      <c r="AK13" s="20" t="str">
        <f t="shared" si="314"/>
        <v/>
      </c>
      <c r="AL13" s="20" t="str">
        <f t="shared" si="314"/>
        <v/>
      </c>
      <c r="AM13" s="20" t="str">
        <f t="shared" si="314"/>
        <v/>
      </c>
      <c r="AN13" s="20" t="str">
        <f t="shared" si="314"/>
        <v/>
      </c>
      <c r="AO13" s="20" t="str">
        <f t="shared" si="314"/>
        <v/>
      </c>
      <c r="AP13" s="20" t="str">
        <f t="shared" si="314"/>
        <v/>
      </c>
      <c r="AQ13" s="20" t="str">
        <f t="shared" si="314"/>
        <v/>
      </c>
      <c r="AR13" s="20" t="str">
        <f t="shared" si="314"/>
        <v/>
      </c>
      <c r="AS13" s="20" t="str">
        <f t="shared" si="314"/>
        <v/>
      </c>
      <c r="AT13" s="20" t="str">
        <f t="shared" si="314"/>
        <v/>
      </c>
      <c r="AU13" s="20" t="str">
        <f t="shared" si="314"/>
        <v/>
      </c>
      <c r="AV13" s="20" t="str">
        <f t="shared" ref="AS13:BC13" si="315">IF(AV3="","",AV12*AV7)</f>
        <v/>
      </c>
      <c r="AW13" s="20" t="str">
        <f t="shared" si="315"/>
        <v/>
      </c>
      <c r="AX13" s="20" t="str">
        <f t="shared" si="315"/>
        <v/>
      </c>
      <c r="AY13" s="20" t="str">
        <f t="shared" si="315"/>
        <v/>
      </c>
      <c r="AZ13" s="20" t="str">
        <f t="shared" si="315"/>
        <v/>
      </c>
      <c r="BA13" s="20" t="str">
        <f t="shared" si="315"/>
        <v/>
      </c>
      <c r="BB13" s="20" t="str">
        <f t="shared" si="315"/>
        <v/>
      </c>
      <c r="BC13" s="20" t="str">
        <f t="shared" si="315"/>
        <v/>
      </c>
    </row>
    <row r="14" spans="1:55" ht="11.25" customHeight="1" thickBot="1" x14ac:dyDescent="0.25">
      <c r="A14" s="21">
        <f>IF(A13="","",A13/(A10*100))</f>
        <v>0.20338983050847459</v>
      </c>
      <c r="B14" s="22" t="s">
        <v>17</v>
      </c>
      <c r="C14" s="140" t="s">
        <v>18</v>
      </c>
      <c r="D14" s="23" t="str">
        <f t="shared" ref="D14:AU14" si="316">IF(D13="","",IF(D13=0,"",D13/(D10*100)))</f>
        <v/>
      </c>
      <c r="E14" s="23" t="str">
        <f t="shared" si="316"/>
        <v/>
      </c>
      <c r="F14" s="23">
        <f t="shared" si="316"/>
        <v>0.36206896551724138</v>
      </c>
      <c r="G14" s="198" t="str">
        <f t="shared" si="316"/>
        <v/>
      </c>
      <c r="H14" s="23" t="str">
        <f t="shared" si="316"/>
        <v/>
      </c>
      <c r="I14" s="23">
        <f t="shared" si="316"/>
        <v>0.05</v>
      </c>
      <c r="J14" s="198" t="str">
        <f t="shared" si="316"/>
        <v/>
      </c>
      <c r="K14" s="23" t="str">
        <f t="shared" si="316"/>
        <v/>
      </c>
      <c r="L14" s="23" t="str">
        <f t="shared" si="316"/>
        <v/>
      </c>
      <c r="M14" s="23" t="str">
        <f t="shared" si="316"/>
        <v/>
      </c>
      <c r="N14" s="198" t="str">
        <f t="shared" si="316"/>
        <v/>
      </c>
      <c r="O14" s="23" t="str">
        <f t="shared" si="316"/>
        <v/>
      </c>
      <c r="P14" s="23" t="str">
        <f t="shared" si="316"/>
        <v/>
      </c>
      <c r="Q14" s="23" t="str">
        <f t="shared" si="316"/>
        <v/>
      </c>
      <c r="R14" s="23" t="str">
        <f t="shared" si="316"/>
        <v/>
      </c>
      <c r="S14" s="23" t="str">
        <f t="shared" si="316"/>
        <v/>
      </c>
      <c r="T14" s="23" t="str">
        <f t="shared" si="316"/>
        <v/>
      </c>
      <c r="U14" s="23" t="str">
        <f t="shared" si="316"/>
        <v/>
      </c>
      <c r="V14" s="23" t="str">
        <f t="shared" si="316"/>
        <v/>
      </c>
      <c r="W14" s="23" t="str">
        <f t="shared" si="316"/>
        <v/>
      </c>
      <c r="X14" s="23" t="str">
        <f t="shared" si="316"/>
        <v/>
      </c>
      <c r="Y14" s="23" t="str">
        <f t="shared" si="316"/>
        <v/>
      </c>
      <c r="Z14" s="23" t="str">
        <f t="shared" si="316"/>
        <v/>
      </c>
      <c r="AA14" s="23" t="str">
        <f t="shared" si="316"/>
        <v/>
      </c>
      <c r="AB14" s="23" t="str">
        <f t="shared" si="316"/>
        <v/>
      </c>
      <c r="AC14" s="23" t="str">
        <f t="shared" si="316"/>
        <v/>
      </c>
      <c r="AD14" s="23" t="str">
        <f t="shared" si="316"/>
        <v/>
      </c>
      <c r="AE14" s="23" t="str">
        <f t="shared" si="316"/>
        <v/>
      </c>
      <c r="AF14" s="23" t="str">
        <f t="shared" si="316"/>
        <v/>
      </c>
      <c r="AG14" s="23" t="str">
        <f t="shared" si="316"/>
        <v/>
      </c>
      <c r="AH14" s="23" t="str">
        <f t="shared" si="316"/>
        <v/>
      </c>
      <c r="AI14" s="23" t="str">
        <f t="shared" si="316"/>
        <v/>
      </c>
      <c r="AJ14" s="23" t="str">
        <f t="shared" si="316"/>
        <v/>
      </c>
      <c r="AK14" s="23" t="str">
        <f t="shared" si="316"/>
        <v/>
      </c>
      <c r="AL14" s="23" t="str">
        <f t="shared" si="316"/>
        <v/>
      </c>
      <c r="AM14" s="23" t="str">
        <f t="shared" si="316"/>
        <v/>
      </c>
      <c r="AN14" s="23" t="str">
        <f t="shared" si="316"/>
        <v/>
      </c>
      <c r="AO14" s="23" t="str">
        <f t="shared" si="316"/>
        <v/>
      </c>
      <c r="AP14" s="23" t="str">
        <f t="shared" si="316"/>
        <v/>
      </c>
      <c r="AQ14" s="23" t="str">
        <f t="shared" si="316"/>
        <v/>
      </c>
      <c r="AR14" s="23" t="str">
        <f t="shared" si="316"/>
        <v/>
      </c>
      <c r="AS14" s="23" t="str">
        <f t="shared" si="316"/>
        <v/>
      </c>
      <c r="AT14" s="23" t="str">
        <f t="shared" si="316"/>
        <v/>
      </c>
      <c r="AU14" s="23" t="str">
        <f t="shared" si="316"/>
        <v/>
      </c>
      <c r="AV14" s="23" t="str">
        <f t="shared" ref="AS14:BC14" si="317">IF(AV13="","",IF(AV13=0,"",AV13/(AV10*100)))</f>
        <v/>
      </c>
      <c r="AW14" s="23" t="str">
        <f t="shared" si="317"/>
        <v/>
      </c>
      <c r="AX14" s="23" t="str">
        <f t="shared" si="317"/>
        <v/>
      </c>
      <c r="AY14" s="23" t="str">
        <f t="shared" si="317"/>
        <v/>
      </c>
      <c r="AZ14" s="23" t="str">
        <f t="shared" si="317"/>
        <v/>
      </c>
      <c r="BA14" s="23" t="str">
        <f t="shared" si="317"/>
        <v/>
      </c>
      <c r="BB14" s="23" t="str">
        <f t="shared" si="317"/>
        <v/>
      </c>
      <c r="BC14" s="23" t="str">
        <f t="shared" si="317"/>
        <v/>
      </c>
    </row>
    <row r="15" spans="1:55" ht="11.25" customHeight="1" x14ac:dyDescent="0.2">
      <c r="A15" s="7" t="s">
        <v>1</v>
      </c>
      <c r="B15" s="8" t="s">
        <v>2</v>
      </c>
      <c r="C15" s="118">
        <v>28348</v>
      </c>
      <c r="D15" s="9">
        <f t="shared" ref="D15:D16" si="318">IF(D$3="","",C15)</f>
        <v>28348</v>
      </c>
      <c r="E15" s="9">
        <f t="shared" ref="E15:E16" si="319">IF(E$3="","",D15)</f>
        <v>28348</v>
      </c>
      <c r="F15" s="9">
        <v>28443</v>
      </c>
      <c r="G15" s="194">
        <f t="shared" ref="G15:G16" si="320">IF(G$3="","",F15)</f>
        <v>28443</v>
      </c>
      <c r="H15" s="9">
        <f t="shared" ref="H15:H16" si="321">IF(H$3="","",G15)</f>
        <v>28443</v>
      </c>
      <c r="I15" s="9">
        <v>28496</v>
      </c>
      <c r="J15" s="194">
        <f t="shared" ref="J15:J16" si="322">IF(J$3="","",I15)</f>
        <v>28496</v>
      </c>
      <c r="K15" s="9">
        <f t="shared" ref="K15:K16" si="323">IF(K$3="","",J15)</f>
        <v>28496</v>
      </c>
      <c r="L15" s="9">
        <f t="shared" ref="L15:L16" si="324">IF(L$3="","",K15)</f>
        <v>28496</v>
      </c>
      <c r="M15" s="9">
        <f t="shared" ref="M15:M16" si="325">IF(M$3="","",L15)</f>
        <v>28496</v>
      </c>
      <c r="N15" s="194" t="str">
        <f t="shared" ref="N15:N16" si="326">IF(N$3="","",M15)</f>
        <v/>
      </c>
      <c r="O15" s="9" t="str">
        <f t="shared" ref="O15:O16" si="327">IF(O$3="","",N15)</f>
        <v/>
      </c>
      <c r="P15" s="9" t="str">
        <f t="shared" ref="P15:P16" si="328">IF(P$3="","",O15)</f>
        <v/>
      </c>
      <c r="Q15" s="9" t="str">
        <f t="shared" ref="Q15:Q16" si="329">IF(Q$3="","",P15)</f>
        <v/>
      </c>
      <c r="R15" s="9" t="str">
        <f t="shared" ref="R15:R16" si="330">IF(R$3="","",Q15)</f>
        <v/>
      </c>
      <c r="S15" s="9" t="str">
        <f t="shared" ref="S15:S16" si="331">IF(S$3="","",R15)</f>
        <v/>
      </c>
      <c r="T15" s="9" t="str">
        <f t="shared" ref="T15:T16" si="332">IF(T$3="","",S15)</f>
        <v/>
      </c>
      <c r="U15" s="9" t="str">
        <f t="shared" ref="U15:U16" si="333">IF(U$3="","",T15)</f>
        <v/>
      </c>
      <c r="V15" s="9" t="str">
        <f t="shared" ref="V15:V16" si="334">IF(V$3="","",U15)</f>
        <v/>
      </c>
      <c r="W15" s="9" t="str">
        <f t="shared" ref="W15:W16" si="335">IF(W$3="","",V15)</f>
        <v/>
      </c>
      <c r="X15" s="9" t="str">
        <f t="shared" ref="X15:X16" si="336">IF(X$3="","",W15)</f>
        <v/>
      </c>
      <c r="Y15" s="9" t="str">
        <f t="shared" ref="Y15:Y16" si="337">IF(Y$3="","",X15)</f>
        <v/>
      </c>
      <c r="Z15" s="9" t="str">
        <f t="shared" ref="Z15:Z16" si="338">IF(Z$3="","",Y15)</f>
        <v/>
      </c>
      <c r="AA15" s="9" t="str">
        <f t="shared" ref="AA15:AA16" si="339">IF(AA$3="","",Z15)</f>
        <v/>
      </c>
      <c r="AB15" s="9" t="str">
        <f t="shared" ref="AB15:AB16" si="340">IF(AB$3="","",AA15)</f>
        <v/>
      </c>
      <c r="AC15" s="9" t="str">
        <f t="shared" ref="AC15:AC16" si="341">IF(AC$3="","",AB15)</f>
        <v/>
      </c>
      <c r="AD15" s="9" t="str">
        <f t="shared" ref="AD15:AD16" si="342">IF(AD$3="","",AC15)</f>
        <v/>
      </c>
      <c r="AE15" s="9" t="str">
        <f t="shared" ref="AE15:AE16" si="343">IF(AE$3="","",AD15)</f>
        <v/>
      </c>
      <c r="AF15" s="9" t="str">
        <f t="shared" ref="AF15:AF16" si="344">IF(AF$3="","",AE15)</f>
        <v/>
      </c>
      <c r="AG15" s="9" t="str">
        <f t="shared" ref="AG15:AG16" si="345">IF(AG$3="","",AF15)</f>
        <v/>
      </c>
      <c r="AH15" s="9" t="str">
        <f t="shared" ref="AH15:AH16" si="346">IF(AH$3="","",AG15)</f>
        <v/>
      </c>
      <c r="AI15" s="9" t="str">
        <f t="shared" ref="AI15:AI16" si="347">IF(AI$3="","",AH15)</f>
        <v/>
      </c>
      <c r="AJ15" s="9" t="str">
        <f t="shared" ref="AJ15:AJ16" si="348">IF(AJ$3="","",AI15)</f>
        <v/>
      </c>
      <c r="AK15" s="9" t="str">
        <f t="shared" ref="AK15:AK16" si="349">IF(AK$3="","",AJ15)</f>
        <v/>
      </c>
      <c r="AL15" s="9" t="str">
        <f t="shared" ref="AL15:AL16" si="350">IF(AL$3="","",AK15)</f>
        <v/>
      </c>
      <c r="AM15" s="9" t="str">
        <f t="shared" ref="AM15:AM16" si="351">IF(AM$3="","",AL15)</f>
        <v/>
      </c>
      <c r="AN15" s="9" t="str">
        <f t="shared" ref="AN15:AN16" si="352">IF(AN$3="","",AM15)</f>
        <v/>
      </c>
      <c r="AO15" s="9" t="str">
        <f t="shared" ref="AO15:AO16" si="353">IF(AO$3="","",AN15)</f>
        <v/>
      </c>
      <c r="AP15" s="9" t="str">
        <f t="shared" ref="AP15:AP16" si="354">IF(AP$3="","",AO15)</f>
        <v/>
      </c>
      <c r="AQ15" s="9" t="str">
        <f t="shared" ref="AQ15:AQ16" si="355">IF(AQ$3="","",AP15)</f>
        <v/>
      </c>
      <c r="AR15" s="9" t="str">
        <f t="shared" ref="AR15:AR16" si="356">IF(AR$3="","",AQ15)</f>
        <v/>
      </c>
      <c r="AS15" s="9" t="str">
        <f t="shared" ref="AS15:AS16" si="357">IF(AS$3="","",AR15)</f>
        <v/>
      </c>
      <c r="AT15" s="9" t="str">
        <f t="shared" ref="AT15:AT16" si="358">IF(AT$3="","",AS15)</f>
        <v/>
      </c>
      <c r="AU15" s="9" t="str">
        <f t="shared" ref="AU15:AU16" si="359">IF(AU$3="","",AT15)</f>
        <v/>
      </c>
      <c r="AV15" s="9" t="str">
        <f t="shared" ref="AS15:BC15" si="360">IF(AV$3="","",AU15)</f>
        <v/>
      </c>
      <c r="AW15" s="9" t="str">
        <f t="shared" si="360"/>
        <v/>
      </c>
      <c r="AX15" s="9" t="str">
        <f t="shared" si="360"/>
        <v/>
      </c>
      <c r="AY15" s="9" t="str">
        <f t="shared" si="360"/>
        <v/>
      </c>
      <c r="AZ15" s="9" t="str">
        <f t="shared" si="360"/>
        <v/>
      </c>
      <c r="BA15" s="9" t="str">
        <f t="shared" si="360"/>
        <v/>
      </c>
      <c r="BB15" s="9" t="str">
        <f t="shared" si="360"/>
        <v/>
      </c>
      <c r="BC15" s="9" t="str">
        <f t="shared" si="360"/>
        <v/>
      </c>
    </row>
    <row r="16" spans="1:55" ht="11.25" customHeight="1" x14ac:dyDescent="0.2">
      <c r="A16" s="10" t="s">
        <v>19</v>
      </c>
      <c r="B16" s="11" t="s">
        <v>4</v>
      </c>
      <c r="C16" s="123">
        <v>997</v>
      </c>
      <c r="D16" s="12">
        <f t="shared" si="318"/>
        <v>997</v>
      </c>
      <c r="E16" s="12">
        <f t="shared" si="319"/>
        <v>997</v>
      </c>
      <c r="F16" s="12">
        <f t="shared" ref="F16" si="361">IF(F$3="","",E16)</f>
        <v>997</v>
      </c>
      <c r="G16" s="195">
        <f t="shared" si="320"/>
        <v>997</v>
      </c>
      <c r="H16" s="12">
        <f t="shared" si="321"/>
        <v>997</v>
      </c>
      <c r="I16" s="12">
        <v>998</v>
      </c>
      <c r="J16" s="195">
        <f t="shared" si="322"/>
        <v>998</v>
      </c>
      <c r="K16" s="12">
        <f t="shared" si="323"/>
        <v>998</v>
      </c>
      <c r="L16" s="12">
        <f t="shared" si="324"/>
        <v>998</v>
      </c>
      <c r="M16" s="12">
        <f t="shared" si="325"/>
        <v>998</v>
      </c>
      <c r="N16" s="195" t="str">
        <f t="shared" si="326"/>
        <v/>
      </c>
      <c r="O16" s="12" t="str">
        <f t="shared" si="327"/>
        <v/>
      </c>
      <c r="P16" s="12" t="str">
        <f t="shared" si="328"/>
        <v/>
      </c>
      <c r="Q16" s="12" t="str">
        <f t="shared" si="329"/>
        <v/>
      </c>
      <c r="R16" s="12" t="str">
        <f t="shared" si="330"/>
        <v/>
      </c>
      <c r="S16" s="12" t="str">
        <f t="shared" si="331"/>
        <v/>
      </c>
      <c r="T16" s="12" t="str">
        <f t="shared" si="332"/>
        <v/>
      </c>
      <c r="U16" s="12" t="str">
        <f t="shared" si="333"/>
        <v/>
      </c>
      <c r="V16" s="12" t="str">
        <f t="shared" si="334"/>
        <v/>
      </c>
      <c r="W16" s="12" t="str">
        <f t="shared" si="335"/>
        <v/>
      </c>
      <c r="X16" s="12" t="str">
        <f t="shared" si="336"/>
        <v/>
      </c>
      <c r="Y16" s="12" t="str">
        <f t="shared" si="337"/>
        <v/>
      </c>
      <c r="Z16" s="12" t="str">
        <f t="shared" si="338"/>
        <v/>
      </c>
      <c r="AA16" s="12" t="str">
        <f t="shared" si="339"/>
        <v/>
      </c>
      <c r="AB16" s="12" t="str">
        <f t="shared" si="340"/>
        <v/>
      </c>
      <c r="AC16" s="12" t="str">
        <f t="shared" si="341"/>
        <v/>
      </c>
      <c r="AD16" s="12" t="str">
        <f t="shared" si="342"/>
        <v/>
      </c>
      <c r="AE16" s="12" t="str">
        <f t="shared" si="343"/>
        <v/>
      </c>
      <c r="AF16" s="12" t="str">
        <f t="shared" si="344"/>
        <v/>
      </c>
      <c r="AG16" s="12" t="str">
        <f t="shared" si="345"/>
        <v/>
      </c>
      <c r="AH16" s="12" t="str">
        <f t="shared" si="346"/>
        <v/>
      </c>
      <c r="AI16" s="12" t="str">
        <f t="shared" si="347"/>
        <v/>
      </c>
      <c r="AJ16" s="12" t="str">
        <f t="shared" si="348"/>
        <v/>
      </c>
      <c r="AK16" s="12" t="str">
        <f t="shared" si="349"/>
        <v/>
      </c>
      <c r="AL16" s="12" t="str">
        <f t="shared" si="350"/>
        <v/>
      </c>
      <c r="AM16" s="12" t="str">
        <f t="shared" si="351"/>
        <v/>
      </c>
      <c r="AN16" s="12" t="str">
        <f t="shared" si="352"/>
        <v/>
      </c>
      <c r="AO16" s="12" t="str">
        <f t="shared" si="353"/>
        <v/>
      </c>
      <c r="AP16" s="12" t="str">
        <f t="shared" si="354"/>
        <v/>
      </c>
      <c r="AQ16" s="12" t="str">
        <f t="shared" si="355"/>
        <v/>
      </c>
      <c r="AR16" s="12" t="str">
        <f t="shared" si="356"/>
        <v/>
      </c>
      <c r="AS16" s="12" t="str">
        <f t="shared" si="357"/>
        <v/>
      </c>
      <c r="AT16" s="12" t="str">
        <f t="shared" si="358"/>
        <v/>
      </c>
      <c r="AU16" s="12" t="str">
        <f t="shared" si="359"/>
        <v/>
      </c>
      <c r="AV16" s="12" t="str">
        <f t="shared" ref="AS16:BC16" si="362">IF(AV$3="","",AU16)</f>
        <v/>
      </c>
      <c r="AW16" s="12" t="str">
        <f t="shared" si="362"/>
        <v/>
      </c>
      <c r="AX16" s="12" t="str">
        <f t="shared" si="362"/>
        <v/>
      </c>
      <c r="AY16" s="12" t="str">
        <f t="shared" si="362"/>
        <v/>
      </c>
      <c r="AZ16" s="12" t="str">
        <f t="shared" si="362"/>
        <v/>
      </c>
      <c r="BA16" s="12" t="str">
        <f t="shared" si="362"/>
        <v/>
      </c>
      <c r="BB16" s="12" t="str">
        <f t="shared" si="362"/>
        <v/>
      </c>
      <c r="BC16" s="12" t="str">
        <f t="shared" si="362"/>
        <v/>
      </c>
    </row>
    <row r="17" spans="1:55" ht="11.25" customHeight="1" x14ac:dyDescent="0.25">
      <c r="A17" s="24">
        <v>1</v>
      </c>
      <c r="B17" s="11" t="s">
        <v>5</v>
      </c>
      <c r="C17" s="123">
        <v>11</v>
      </c>
      <c r="D17" s="12">
        <f t="shared" ref="D17" si="363">IF(D15="","",(C17+C18))</f>
        <v>11</v>
      </c>
      <c r="E17" s="12">
        <f t="shared" ref="E17" si="364">IF(E15="","",(D17+D18))</f>
        <v>11</v>
      </c>
      <c r="F17" s="12">
        <f t="shared" ref="F17" si="365">IF(F15="","",(E17+E18))</f>
        <v>11</v>
      </c>
      <c r="G17" s="195">
        <f t="shared" ref="G17" si="366">IF(G15="","",(F17+F18))</f>
        <v>11</v>
      </c>
      <c r="H17" s="12">
        <f t="shared" ref="H17" si="367">IF(H15="","",(G17+G18))</f>
        <v>11</v>
      </c>
      <c r="I17" s="12">
        <v>10</v>
      </c>
      <c r="J17" s="195">
        <f t="shared" ref="J17" si="368">IF(J15="","",(I17+I18))</f>
        <v>10</v>
      </c>
      <c r="K17" s="12">
        <f t="shared" ref="K17" si="369">IF(K15="","",(J17+J18))</f>
        <v>10</v>
      </c>
      <c r="L17" s="12">
        <f t="shared" ref="L17" si="370">IF(L15="","",(K17+K18))</f>
        <v>10</v>
      </c>
      <c r="M17" s="12">
        <f t="shared" ref="M17" si="371">IF(M15="","",(L17+L18))</f>
        <v>10</v>
      </c>
      <c r="N17" s="195" t="str">
        <f t="shared" ref="N17" si="372">IF(N15="","",(M17+M18))</f>
        <v/>
      </c>
      <c r="O17" s="12" t="str">
        <f t="shared" ref="O17" si="373">IF(O15="","",(N17+N18))</f>
        <v/>
      </c>
      <c r="P17" s="12" t="str">
        <f t="shared" ref="P17" si="374">IF(P15="","",(O17+O18))</f>
        <v/>
      </c>
      <c r="Q17" s="12" t="str">
        <f t="shared" ref="Q17" si="375">IF(Q15="","",(P17+P18))</f>
        <v/>
      </c>
      <c r="R17" s="12" t="str">
        <f t="shared" ref="R17" si="376">IF(R15="","",(Q17+Q18))</f>
        <v/>
      </c>
      <c r="S17" s="12" t="str">
        <f t="shared" ref="S17" si="377">IF(S15="","",(R17+R18))</f>
        <v/>
      </c>
      <c r="T17" s="12" t="str">
        <f t="shared" ref="T17" si="378">IF(T15="","",(S17+S18))</f>
        <v/>
      </c>
      <c r="U17" s="12" t="str">
        <f t="shared" ref="U17" si="379">IF(U15="","",(T17+T18))</f>
        <v/>
      </c>
      <c r="V17" s="12" t="str">
        <f t="shared" ref="V17" si="380">IF(V15="","",(U17+U18))</f>
        <v/>
      </c>
      <c r="W17" s="12" t="str">
        <f t="shared" ref="W17" si="381">IF(W15="","",(V17+V18))</f>
        <v/>
      </c>
      <c r="X17" s="12" t="str">
        <f t="shared" ref="X17" si="382">IF(X15="","",(W17+W18))</f>
        <v/>
      </c>
      <c r="Y17" s="12" t="str">
        <f t="shared" ref="Y17" si="383">IF(Y15="","",(X17+X18))</f>
        <v/>
      </c>
      <c r="Z17" s="12" t="str">
        <f t="shared" ref="Z17" si="384">IF(Z15="","",(Y17+Y18))</f>
        <v/>
      </c>
      <c r="AA17" s="12" t="str">
        <f t="shared" ref="AA17" si="385">IF(AA15="","",(Z17+Z18))</f>
        <v/>
      </c>
      <c r="AB17" s="12" t="str">
        <f t="shared" ref="AB17" si="386">IF(AB15="","",(AA17+AA18))</f>
        <v/>
      </c>
      <c r="AC17" s="12" t="str">
        <f t="shared" ref="AC17" si="387">IF(AC15="","",(AB17+AB18))</f>
        <v/>
      </c>
      <c r="AD17" s="12" t="str">
        <f t="shared" ref="AD17" si="388">IF(AD15="","",(AC17+AC18))</f>
        <v/>
      </c>
      <c r="AE17" s="12" t="str">
        <f t="shared" ref="AE17" si="389">IF(AE15="","",(AD17+AD18))</f>
        <v/>
      </c>
      <c r="AF17" s="12" t="str">
        <f t="shared" ref="AF17" si="390">IF(AF15="","",(AE17+AE18))</f>
        <v/>
      </c>
      <c r="AG17" s="12" t="str">
        <f t="shared" ref="AG17" si="391">IF(AG15="","",(AF17+AF18))</f>
        <v/>
      </c>
      <c r="AH17" s="12" t="str">
        <f t="shared" ref="AH17" si="392">IF(AH15="","",(AG17+AG18))</f>
        <v/>
      </c>
      <c r="AI17" s="12" t="str">
        <f t="shared" ref="AI17" si="393">IF(AI15="","",(AH17+AH18))</f>
        <v/>
      </c>
      <c r="AJ17" s="12" t="str">
        <f t="shared" ref="AJ17" si="394">IF(AJ15="","",(AI17+AI18))</f>
        <v/>
      </c>
      <c r="AK17" s="12" t="str">
        <f t="shared" ref="AK17" si="395">IF(AK15="","",(AJ17+AJ18))</f>
        <v/>
      </c>
      <c r="AL17" s="12" t="str">
        <f t="shared" ref="AL17" si="396">IF(AL15="","",(AK17+AK18))</f>
        <v/>
      </c>
      <c r="AM17" s="12" t="str">
        <f t="shared" ref="AM17" si="397">IF(AM15="","",(AL17+AL18))</f>
        <v/>
      </c>
      <c r="AN17" s="12" t="str">
        <f t="shared" ref="AN17" si="398">IF(AN15="","",(AM17+AM18))</f>
        <v/>
      </c>
      <c r="AO17" s="12" t="str">
        <f t="shared" ref="AO17" si="399">IF(AO15="","",(AN17+AN18))</f>
        <v/>
      </c>
      <c r="AP17" s="12" t="str">
        <f t="shared" ref="AP17" si="400">IF(AP15="","",(AO17+AO18))</f>
        <v/>
      </c>
      <c r="AQ17" s="12" t="str">
        <f t="shared" ref="AQ17" si="401">IF(AQ15="","",(AP17+AP18))</f>
        <v/>
      </c>
      <c r="AR17" s="12" t="str">
        <f t="shared" ref="AR17" si="402">IF(AR15="","",(AQ17+AQ18))</f>
        <v/>
      </c>
      <c r="AS17" s="12" t="str">
        <f t="shared" ref="AS17" si="403">IF(AS15="","",(AR17+AR18))</f>
        <v/>
      </c>
      <c r="AT17" s="12" t="str">
        <f t="shared" ref="AT17" si="404">IF(AT15="","",(AS17+AS18))</f>
        <v/>
      </c>
      <c r="AU17" s="12" t="str">
        <f t="shared" ref="AU17" si="405">IF(AU15="","",(AT17+AT18))</f>
        <v/>
      </c>
      <c r="AV17" s="12" t="str">
        <f t="shared" ref="AS17:BC17" si="406">IF(AV15="","",(AU17+AU18))</f>
        <v/>
      </c>
      <c r="AW17" s="12" t="str">
        <f t="shared" si="406"/>
        <v/>
      </c>
      <c r="AX17" s="12" t="str">
        <f t="shared" si="406"/>
        <v/>
      </c>
      <c r="AY17" s="12" t="str">
        <f t="shared" si="406"/>
        <v/>
      </c>
      <c r="AZ17" s="12" t="str">
        <f t="shared" si="406"/>
        <v/>
      </c>
      <c r="BA17" s="12" t="str">
        <f t="shared" si="406"/>
        <v/>
      </c>
      <c r="BB17" s="12" t="str">
        <f t="shared" si="406"/>
        <v/>
      </c>
      <c r="BC17" s="12" t="str">
        <f t="shared" si="406"/>
        <v/>
      </c>
    </row>
    <row r="18" spans="1:55" ht="11.25" customHeight="1" x14ac:dyDescent="0.25">
      <c r="A18" s="25" t="s">
        <v>20</v>
      </c>
      <c r="B18" s="11" t="s">
        <v>6</v>
      </c>
      <c r="C18" s="123"/>
      <c r="D18" s="12"/>
      <c r="E18" s="12"/>
      <c r="F18" s="12"/>
      <c r="G18" s="195"/>
      <c r="H18" s="12"/>
      <c r="I18" s="12"/>
      <c r="J18" s="195"/>
      <c r="K18" s="12"/>
      <c r="L18" s="12"/>
      <c r="M18" s="12"/>
      <c r="N18" s="195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</row>
    <row r="19" spans="1:55" ht="11.25" customHeight="1" x14ac:dyDescent="0.25">
      <c r="A19" s="26">
        <f>+(A22+A34+A46+A58)*100</f>
        <v>69800</v>
      </c>
      <c r="B19" s="11" t="s">
        <v>8</v>
      </c>
      <c r="C19" s="129">
        <v>1100</v>
      </c>
      <c r="D19" s="16">
        <f t="shared" ref="D19" si="407">IF(D15="","",C19)</f>
        <v>1100</v>
      </c>
      <c r="E19" s="16">
        <f t="shared" ref="E19" si="408">IF(E15="","",D19)</f>
        <v>1100</v>
      </c>
      <c r="F19" s="16">
        <f t="shared" ref="F19" si="409">IF(F15="","",E19)</f>
        <v>1100</v>
      </c>
      <c r="G19" s="196">
        <f t="shared" ref="G19" si="410">IF(G15="","",F19)</f>
        <v>1100</v>
      </c>
      <c r="H19" s="16">
        <f t="shared" ref="H19" si="411">IF(H15="","",G19)</f>
        <v>1100</v>
      </c>
      <c r="I19" s="16">
        <f t="shared" ref="I19" si="412">IF(I15="","",H19)</f>
        <v>1100</v>
      </c>
      <c r="J19" s="196">
        <f t="shared" ref="J19" si="413">IF(J15="","",I19)</f>
        <v>1100</v>
      </c>
      <c r="K19" s="16">
        <f t="shared" ref="K19" si="414">IF(K15="","",J19)</f>
        <v>1100</v>
      </c>
      <c r="L19" s="16">
        <f t="shared" ref="L19" si="415">IF(L15="","",K19)</f>
        <v>1100</v>
      </c>
      <c r="M19" s="16">
        <f t="shared" ref="M19" si="416">IF(M15="","",L19)</f>
        <v>1100</v>
      </c>
      <c r="N19" s="196" t="str">
        <f t="shared" ref="N19" si="417">IF(N15="","",M19)</f>
        <v/>
      </c>
      <c r="O19" s="16" t="str">
        <f t="shared" ref="O19" si="418">IF(O15="","",N19)</f>
        <v/>
      </c>
      <c r="P19" s="16" t="str">
        <f t="shared" ref="P19" si="419">IF(P15="","",O19)</f>
        <v/>
      </c>
      <c r="Q19" s="16" t="str">
        <f t="shared" ref="Q19" si="420">IF(Q15="","",P19)</f>
        <v/>
      </c>
      <c r="R19" s="16" t="str">
        <f t="shared" ref="R19" si="421">IF(R15="","",Q19)</f>
        <v/>
      </c>
      <c r="S19" s="16" t="str">
        <f t="shared" ref="S19" si="422">IF(S15="","",R19)</f>
        <v/>
      </c>
      <c r="T19" s="16" t="str">
        <f t="shared" ref="T19" si="423">IF(T15="","",S19)</f>
        <v/>
      </c>
      <c r="U19" s="16" t="str">
        <f t="shared" ref="U19" si="424">IF(U15="","",T19)</f>
        <v/>
      </c>
      <c r="V19" s="16" t="str">
        <f t="shared" ref="V19" si="425">IF(V15="","",U19)</f>
        <v/>
      </c>
      <c r="W19" s="16" t="str">
        <f t="shared" ref="W19" si="426">IF(W15="","",V19)</f>
        <v/>
      </c>
      <c r="X19" s="16" t="str">
        <f t="shared" ref="X19" si="427">IF(X15="","",W19)</f>
        <v/>
      </c>
      <c r="Y19" s="16" t="str">
        <f t="shared" ref="Y19" si="428">IF(Y15="","",X19)</f>
        <v/>
      </c>
      <c r="Z19" s="16" t="str">
        <f t="shared" ref="Z19" si="429">IF(Z15="","",Y19)</f>
        <v/>
      </c>
      <c r="AA19" s="16" t="str">
        <f t="shared" ref="AA19" si="430">IF(AA15="","",Z19)</f>
        <v/>
      </c>
      <c r="AB19" s="16" t="str">
        <f t="shared" ref="AB19" si="431">IF(AB15="","",AA19)</f>
        <v/>
      </c>
      <c r="AC19" s="16" t="str">
        <f t="shared" ref="AC19" si="432">IF(AC15="","",AB19)</f>
        <v/>
      </c>
      <c r="AD19" s="16" t="str">
        <f t="shared" ref="AD19" si="433">IF(AD15="","",AC19)</f>
        <v/>
      </c>
      <c r="AE19" s="16" t="str">
        <f t="shared" ref="AE19" si="434">IF(AE15="","",AD19)</f>
        <v/>
      </c>
      <c r="AF19" s="16" t="str">
        <f t="shared" ref="AF19" si="435">IF(AF15="","",AE19)</f>
        <v/>
      </c>
      <c r="AG19" s="16" t="str">
        <f t="shared" ref="AG19" si="436">IF(AG15="","",AF19)</f>
        <v/>
      </c>
      <c r="AH19" s="16" t="str">
        <f t="shared" ref="AH19" si="437">IF(AH15="","",AG19)</f>
        <v/>
      </c>
      <c r="AI19" s="16" t="str">
        <f t="shared" ref="AI19" si="438">IF(AI15="","",AH19)</f>
        <v/>
      </c>
      <c r="AJ19" s="16" t="str">
        <f t="shared" ref="AJ19" si="439">IF(AJ15="","",AI19)</f>
        <v/>
      </c>
      <c r="AK19" s="16" t="str">
        <f t="shared" ref="AK19" si="440">IF(AK15="","",AJ19)</f>
        <v/>
      </c>
      <c r="AL19" s="16" t="str">
        <f t="shared" ref="AL19" si="441">IF(AL15="","",AK19)</f>
        <v/>
      </c>
      <c r="AM19" s="16" t="str">
        <f t="shared" ref="AM19" si="442">IF(AM15="","",AL19)</f>
        <v/>
      </c>
      <c r="AN19" s="16" t="str">
        <f t="shared" ref="AN19" si="443">IF(AN15="","",AM19)</f>
        <v/>
      </c>
      <c r="AO19" s="16" t="str">
        <f t="shared" ref="AO19" si="444">IF(AO15="","",AN19)</f>
        <v/>
      </c>
      <c r="AP19" s="16" t="str">
        <f t="shared" ref="AP19" si="445">IF(AP15="","",AO19)</f>
        <v/>
      </c>
      <c r="AQ19" s="16" t="str">
        <f t="shared" ref="AQ19" si="446">IF(AQ15="","",AP19)</f>
        <v/>
      </c>
      <c r="AR19" s="16" t="str">
        <f t="shared" ref="AR19" si="447">IF(AR15="","",AQ19)</f>
        <v/>
      </c>
      <c r="AS19" s="16" t="str">
        <f t="shared" ref="AS19" si="448">IF(AS15="","",AR19)</f>
        <v/>
      </c>
      <c r="AT19" s="16" t="str">
        <f t="shared" ref="AT19" si="449">IF(AT15="","",AS19)</f>
        <v/>
      </c>
      <c r="AU19" s="16" t="str">
        <f t="shared" ref="AU19" si="450">IF(AU15="","",AT19)</f>
        <v/>
      </c>
      <c r="AV19" s="16" t="str">
        <f t="shared" ref="AS19:BC19" si="451">IF(AV15="","",AU19)</f>
        <v/>
      </c>
      <c r="AW19" s="16" t="str">
        <f t="shared" si="451"/>
        <v/>
      </c>
      <c r="AX19" s="16" t="str">
        <f t="shared" si="451"/>
        <v/>
      </c>
      <c r="AY19" s="16" t="str">
        <f t="shared" si="451"/>
        <v/>
      </c>
      <c r="AZ19" s="16" t="str">
        <f t="shared" si="451"/>
        <v/>
      </c>
      <c r="BA19" s="16" t="str">
        <f t="shared" si="451"/>
        <v/>
      </c>
      <c r="BB19" s="16" t="str">
        <f t="shared" si="451"/>
        <v/>
      </c>
      <c r="BC19" s="16" t="str">
        <f t="shared" si="451"/>
        <v/>
      </c>
    </row>
    <row r="20" spans="1:55" ht="11.25" customHeight="1" x14ac:dyDescent="0.2">
      <c r="A20" s="14" t="s">
        <v>9</v>
      </c>
      <c r="B20" s="17" t="s">
        <v>10</v>
      </c>
      <c r="C20" s="133" t="s">
        <v>154</v>
      </c>
      <c r="D20" s="18" t="str">
        <f t="shared" ref="D20" si="452">IF(D15="","",C20)</f>
        <v>サンリオファン</v>
      </c>
      <c r="E20" s="18" t="str">
        <f t="shared" ref="E20" si="453">IF(E15="","",D20)</f>
        <v>サンリオファン</v>
      </c>
      <c r="F20" s="18" t="str">
        <f t="shared" ref="F20" si="454">IF(F15="","",E20)</f>
        <v>サンリオファン</v>
      </c>
      <c r="G20" s="197" t="str">
        <f t="shared" ref="G20" si="455">IF(G15="","",F20)</f>
        <v>サンリオファン</v>
      </c>
      <c r="H20" s="18" t="str">
        <f t="shared" ref="H20" si="456">IF(H15="","",G20)</f>
        <v>サンリオファン</v>
      </c>
      <c r="I20" s="18" t="str">
        <f t="shared" ref="I20" si="457">IF(I15="","",H20)</f>
        <v>サンリオファン</v>
      </c>
      <c r="J20" s="197" t="str">
        <f t="shared" ref="J20" si="458">IF(J15="","",I20)</f>
        <v>サンリオファン</v>
      </c>
      <c r="K20" s="18" t="str">
        <f t="shared" ref="K20" si="459">IF(K15="","",J20)</f>
        <v>サンリオファン</v>
      </c>
      <c r="L20" s="18" t="str">
        <f t="shared" ref="L20" si="460">IF(L15="","",K20)</f>
        <v>サンリオファン</v>
      </c>
      <c r="M20" s="18" t="str">
        <f t="shared" ref="M20" si="461">IF(M15="","",L20)</f>
        <v>サンリオファン</v>
      </c>
      <c r="N20" s="197" t="str">
        <f t="shared" ref="N20" si="462">IF(N15="","",M20)</f>
        <v/>
      </c>
      <c r="O20" s="18" t="str">
        <f t="shared" ref="O20" si="463">IF(O15="","",N20)</f>
        <v/>
      </c>
      <c r="P20" s="18" t="str">
        <f t="shared" ref="P20" si="464">IF(P15="","",O20)</f>
        <v/>
      </c>
      <c r="Q20" s="18" t="str">
        <f t="shared" ref="Q20" si="465">IF(Q15="","",P20)</f>
        <v/>
      </c>
      <c r="R20" s="18" t="str">
        <f t="shared" ref="R20" si="466">IF(R15="","",Q20)</f>
        <v/>
      </c>
      <c r="S20" s="18" t="str">
        <f t="shared" ref="S20" si="467">IF(S15="","",R20)</f>
        <v/>
      </c>
      <c r="T20" s="18" t="str">
        <f t="shared" ref="T20" si="468">IF(T15="","",S20)</f>
        <v/>
      </c>
      <c r="U20" s="18" t="str">
        <f t="shared" ref="U20" si="469">IF(U15="","",T20)</f>
        <v/>
      </c>
      <c r="V20" s="18" t="str">
        <f t="shared" ref="V20" si="470">IF(V15="","",U20)</f>
        <v/>
      </c>
      <c r="W20" s="18" t="str">
        <f t="shared" ref="W20" si="471">IF(W15="","",V20)</f>
        <v/>
      </c>
      <c r="X20" s="18" t="str">
        <f t="shared" ref="X20" si="472">IF(X15="","",W20)</f>
        <v/>
      </c>
      <c r="Y20" s="18" t="str">
        <f t="shared" ref="Y20" si="473">IF(Y15="","",X20)</f>
        <v/>
      </c>
      <c r="Z20" s="18" t="str">
        <f t="shared" ref="Z20" si="474">IF(Z15="","",Y20)</f>
        <v/>
      </c>
      <c r="AA20" s="18" t="str">
        <f t="shared" ref="AA20" si="475">IF(AA15="","",Z20)</f>
        <v/>
      </c>
      <c r="AB20" s="18" t="str">
        <f t="shared" ref="AB20" si="476">IF(AB15="","",AA20)</f>
        <v/>
      </c>
      <c r="AC20" s="18" t="str">
        <f t="shared" ref="AC20" si="477">IF(AC15="","",AB20)</f>
        <v/>
      </c>
      <c r="AD20" s="18" t="str">
        <f t="shared" ref="AD20" si="478">IF(AD15="","",AC20)</f>
        <v/>
      </c>
      <c r="AE20" s="18" t="str">
        <f t="shared" ref="AE20" si="479">IF(AE15="","",AD20)</f>
        <v/>
      </c>
      <c r="AF20" s="18" t="str">
        <f t="shared" ref="AF20" si="480">IF(AF15="","",AE20)</f>
        <v/>
      </c>
      <c r="AG20" s="18" t="str">
        <f t="shared" ref="AG20" si="481">IF(AG15="","",AF20)</f>
        <v/>
      </c>
      <c r="AH20" s="18" t="str">
        <f t="shared" ref="AH20" si="482">IF(AH15="","",AG20)</f>
        <v/>
      </c>
      <c r="AI20" s="18" t="str">
        <f t="shared" ref="AI20" si="483">IF(AI15="","",AH20)</f>
        <v/>
      </c>
      <c r="AJ20" s="18" t="str">
        <f t="shared" ref="AJ20" si="484">IF(AJ15="","",AI20)</f>
        <v/>
      </c>
      <c r="AK20" s="18" t="str">
        <f t="shared" ref="AK20" si="485">IF(AK15="","",AJ20)</f>
        <v/>
      </c>
      <c r="AL20" s="18" t="str">
        <f t="shared" ref="AL20" si="486">IF(AL15="","",AK20)</f>
        <v/>
      </c>
      <c r="AM20" s="18" t="str">
        <f t="shared" ref="AM20" si="487">IF(AM15="","",AL20)</f>
        <v/>
      </c>
      <c r="AN20" s="18" t="str">
        <f t="shared" ref="AN20" si="488">IF(AN15="","",AM20)</f>
        <v/>
      </c>
      <c r="AO20" s="18" t="str">
        <f t="shared" ref="AO20" si="489">IF(AO15="","",AN20)</f>
        <v/>
      </c>
      <c r="AP20" s="18" t="str">
        <f t="shared" ref="AP20" si="490">IF(AP15="","",AO20)</f>
        <v/>
      </c>
      <c r="AQ20" s="18" t="str">
        <f t="shared" ref="AQ20" si="491">IF(AQ15="","",AP20)</f>
        <v/>
      </c>
      <c r="AR20" s="18" t="str">
        <f t="shared" ref="AR20" si="492">IF(AR15="","",AQ20)</f>
        <v/>
      </c>
      <c r="AS20" s="18" t="str">
        <f t="shared" ref="AS20" si="493">IF(AS15="","",AR20)</f>
        <v/>
      </c>
      <c r="AT20" s="18" t="str">
        <f t="shared" ref="AT20" si="494">IF(AT15="","",AS20)</f>
        <v/>
      </c>
      <c r="AU20" s="18" t="str">
        <f t="shared" ref="AU20" si="495">IF(AU15="","",AT20)</f>
        <v/>
      </c>
      <c r="AV20" s="18" t="str">
        <f t="shared" ref="AS20:BC20" si="496">IF(AV15="","",AU20)</f>
        <v/>
      </c>
      <c r="AW20" s="18" t="str">
        <f t="shared" si="496"/>
        <v/>
      </c>
      <c r="AX20" s="18" t="str">
        <f t="shared" si="496"/>
        <v/>
      </c>
      <c r="AY20" s="18" t="str">
        <f t="shared" si="496"/>
        <v/>
      </c>
      <c r="AZ20" s="18" t="str">
        <f t="shared" si="496"/>
        <v/>
      </c>
      <c r="BA20" s="18" t="str">
        <f t="shared" si="496"/>
        <v/>
      </c>
      <c r="BB20" s="18" t="str">
        <f t="shared" si="496"/>
        <v/>
      </c>
      <c r="BC20" s="18" t="str">
        <f t="shared" si="496"/>
        <v/>
      </c>
    </row>
    <row r="21" spans="1:55" ht="11.25" customHeight="1" x14ac:dyDescent="0.2">
      <c r="A21" s="15">
        <f>AVERAGE(C22:AS22)*30*100</f>
        <v>40363.63636363636</v>
      </c>
      <c r="B21" s="11" t="s">
        <v>12</v>
      </c>
      <c r="C21" s="123"/>
      <c r="D21" s="12"/>
      <c r="E21" s="12"/>
      <c r="F21" s="12"/>
      <c r="G21" s="195"/>
      <c r="H21" s="12"/>
      <c r="I21" s="12"/>
      <c r="J21" s="195"/>
      <c r="K21" s="12"/>
      <c r="L21" s="12"/>
      <c r="M21" s="12"/>
      <c r="N21" s="195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</row>
    <row r="22" spans="1:55" ht="11.25" customHeight="1" x14ac:dyDescent="0.2">
      <c r="A22" s="15">
        <f t="shared" ref="A22:A25" si="497">SUM(C22:AS22)</f>
        <v>148</v>
      </c>
      <c r="B22" s="19" t="s">
        <v>13</v>
      </c>
      <c r="C22" s="123">
        <v>0</v>
      </c>
      <c r="D22" s="20">
        <f t="shared" ref="D22:D23" si="498">IF(D15="","",D15-C15)</f>
        <v>0</v>
      </c>
      <c r="E22" s="20">
        <f t="shared" ref="E22:E23" si="499">IF(E15="","",E15-D15)</f>
        <v>0</v>
      </c>
      <c r="F22" s="20">
        <f t="shared" ref="F22:F23" si="500">IF(F15="","",F15-E15)</f>
        <v>95</v>
      </c>
      <c r="G22" s="195">
        <f t="shared" ref="G22:G23" si="501">IF(G15="","",G15-F15)</f>
        <v>0</v>
      </c>
      <c r="H22" s="20">
        <f t="shared" ref="H22:H23" si="502">IF(H15="","",H15-G15)</f>
        <v>0</v>
      </c>
      <c r="I22" s="20">
        <f t="shared" ref="I22:I23" si="503">IF(I15="","",I15-H15)</f>
        <v>53</v>
      </c>
      <c r="J22" s="195">
        <f t="shared" ref="J22:J23" si="504">IF(J15="","",J15-I15)</f>
        <v>0</v>
      </c>
      <c r="K22" s="20">
        <f t="shared" ref="K22:K23" si="505">IF(K15="","",K15-J15)</f>
        <v>0</v>
      </c>
      <c r="L22" s="20">
        <f t="shared" ref="L22:L23" si="506">IF(L15="","",L15-K15)</f>
        <v>0</v>
      </c>
      <c r="M22" s="20">
        <f t="shared" ref="M22:M23" si="507">IF(M15="","",M15-L15)</f>
        <v>0</v>
      </c>
      <c r="N22" s="195" t="str">
        <f t="shared" ref="N22:N23" si="508">IF(N15="","",N15-M15)</f>
        <v/>
      </c>
      <c r="O22" s="20" t="str">
        <f t="shared" ref="O22:O23" si="509">IF(O15="","",O15-N15)</f>
        <v/>
      </c>
      <c r="P22" s="20" t="str">
        <f t="shared" ref="P22:P23" si="510">IF(P15="","",P15-O15)</f>
        <v/>
      </c>
      <c r="Q22" s="20" t="str">
        <f t="shared" ref="Q22:Q23" si="511">IF(Q15="","",Q15-P15)</f>
        <v/>
      </c>
      <c r="R22" s="20" t="str">
        <f t="shared" ref="R22:R23" si="512">IF(R15="","",R15-Q15)</f>
        <v/>
      </c>
      <c r="S22" s="20" t="str">
        <f t="shared" ref="S22:S23" si="513">IF(S15="","",S15-R15)</f>
        <v/>
      </c>
      <c r="T22" s="20" t="str">
        <f t="shared" ref="T22:T23" si="514">IF(T15="","",T15-S15)</f>
        <v/>
      </c>
      <c r="U22" s="20" t="str">
        <f t="shared" ref="U22:U23" si="515">IF(U15="","",U15-T15)</f>
        <v/>
      </c>
      <c r="V22" s="20" t="str">
        <f t="shared" ref="V22:V23" si="516">IF(V15="","",V15-U15)</f>
        <v/>
      </c>
      <c r="W22" s="20" t="str">
        <f t="shared" ref="W22:W23" si="517">IF(W15="","",W15-V15)</f>
        <v/>
      </c>
      <c r="X22" s="20" t="str">
        <f t="shared" ref="X22:X23" si="518">IF(X15="","",X15-W15)</f>
        <v/>
      </c>
      <c r="Y22" s="20" t="str">
        <f t="shared" ref="Y22:Y23" si="519">IF(Y15="","",Y15-X15)</f>
        <v/>
      </c>
      <c r="Z22" s="20" t="str">
        <f t="shared" ref="Z22:Z23" si="520">IF(Z15="","",Z15-Y15)</f>
        <v/>
      </c>
      <c r="AA22" s="20" t="str">
        <f t="shared" ref="AA22:AA23" si="521">IF(AA15="","",AA15-Z15)</f>
        <v/>
      </c>
      <c r="AB22" s="20" t="str">
        <f t="shared" ref="AB22:AB23" si="522">IF(AB15="","",AB15-AA15)</f>
        <v/>
      </c>
      <c r="AC22" s="20" t="str">
        <f t="shared" ref="AC22:AC23" si="523">IF(AC15="","",AC15-AB15)</f>
        <v/>
      </c>
      <c r="AD22" s="20" t="str">
        <f t="shared" ref="AD22:AD23" si="524">IF(AD15="","",AD15-AC15)</f>
        <v/>
      </c>
      <c r="AE22" s="20" t="str">
        <f t="shared" ref="AE22:AE23" si="525">IF(AE15="","",AE15-AD15)</f>
        <v/>
      </c>
      <c r="AF22" s="20" t="str">
        <f t="shared" ref="AF22:AF23" si="526">IF(AF15="","",AF15-AE15)</f>
        <v/>
      </c>
      <c r="AG22" s="20" t="str">
        <f t="shared" ref="AG22:AG23" si="527">IF(AG15="","",AG15-AF15)</f>
        <v/>
      </c>
      <c r="AH22" s="20" t="str">
        <f t="shared" ref="AH22:AH23" si="528">IF(AH15="","",AH15-AG15)</f>
        <v/>
      </c>
      <c r="AI22" s="20" t="str">
        <f t="shared" ref="AI22:AI23" si="529">IF(AI15="","",AI15-AH15)</f>
        <v/>
      </c>
      <c r="AJ22" s="20" t="str">
        <f t="shared" ref="AJ22:AJ23" si="530">IF(AJ15="","",AJ15-AI15)</f>
        <v/>
      </c>
      <c r="AK22" s="20" t="str">
        <f t="shared" ref="AK22:AK23" si="531">IF(AK15="","",AK15-AJ15)</f>
        <v/>
      </c>
      <c r="AL22" s="20" t="str">
        <f t="shared" ref="AL22:AL23" si="532">IF(AL15="","",AL15-AK15)</f>
        <v/>
      </c>
      <c r="AM22" s="20" t="str">
        <f t="shared" ref="AM22:AM23" si="533">IF(AM15="","",AM15-AL15)</f>
        <v/>
      </c>
      <c r="AN22" s="20" t="str">
        <f t="shared" ref="AN22:AN23" si="534">IF(AN15="","",AN15-AM15)</f>
        <v/>
      </c>
      <c r="AO22" s="20" t="str">
        <f t="shared" ref="AO22:AO23" si="535">IF(AO15="","",AO15-AN15)</f>
        <v/>
      </c>
      <c r="AP22" s="20" t="str">
        <f t="shared" ref="AP22:AP23" si="536">IF(AP15="","",AP15-AO15)</f>
        <v/>
      </c>
      <c r="AQ22" s="20" t="str">
        <f t="shared" ref="AQ22:AQ23" si="537">IF(AQ15="","",AQ15-AP15)</f>
        <v/>
      </c>
      <c r="AR22" s="20" t="str">
        <f t="shared" ref="AR22:AR23" si="538">IF(AR15="","",AR15-AQ15)</f>
        <v/>
      </c>
      <c r="AS22" s="20" t="str">
        <f t="shared" ref="AS22:AS23" si="539">IF(AS15="","",AS15-AR15)</f>
        <v/>
      </c>
      <c r="AT22" s="20" t="str">
        <f t="shared" ref="AT22:AT23" si="540">IF(AT15="","",AT15-AS15)</f>
        <v/>
      </c>
      <c r="AU22" s="20" t="str">
        <f t="shared" ref="AU22:AU23" si="541">IF(AU15="","",AU15-AT15)</f>
        <v/>
      </c>
      <c r="AV22" s="20" t="str">
        <f t="shared" ref="AS22:BC22" si="542">IF(AV15="","",AV15-AU15)</f>
        <v/>
      </c>
      <c r="AW22" s="20" t="str">
        <f t="shared" si="542"/>
        <v/>
      </c>
      <c r="AX22" s="20" t="str">
        <f t="shared" si="542"/>
        <v/>
      </c>
      <c r="AY22" s="20" t="str">
        <f t="shared" si="542"/>
        <v/>
      </c>
      <c r="AZ22" s="20" t="str">
        <f t="shared" si="542"/>
        <v/>
      </c>
      <c r="BA22" s="20" t="str">
        <f t="shared" si="542"/>
        <v/>
      </c>
      <c r="BB22" s="20" t="str">
        <f t="shared" si="542"/>
        <v/>
      </c>
      <c r="BC22" s="20" t="str">
        <f t="shared" si="542"/>
        <v/>
      </c>
    </row>
    <row r="23" spans="1:55" ht="11.25" customHeight="1" x14ac:dyDescent="0.2">
      <c r="A23" s="15">
        <f t="shared" si="497"/>
        <v>1</v>
      </c>
      <c r="B23" s="19" t="s">
        <v>14</v>
      </c>
      <c r="C23" s="123">
        <v>0</v>
      </c>
      <c r="D23" s="20">
        <f t="shared" si="498"/>
        <v>0</v>
      </c>
      <c r="E23" s="20">
        <f t="shared" si="499"/>
        <v>0</v>
      </c>
      <c r="F23" s="20">
        <f t="shared" si="500"/>
        <v>0</v>
      </c>
      <c r="G23" s="195">
        <f t="shared" si="501"/>
        <v>0</v>
      </c>
      <c r="H23" s="20">
        <f t="shared" si="502"/>
        <v>0</v>
      </c>
      <c r="I23" s="20">
        <f t="shared" si="503"/>
        <v>1</v>
      </c>
      <c r="J23" s="195">
        <f t="shared" si="504"/>
        <v>0</v>
      </c>
      <c r="K23" s="20">
        <f t="shared" si="505"/>
        <v>0</v>
      </c>
      <c r="L23" s="20">
        <f t="shared" si="506"/>
        <v>0</v>
      </c>
      <c r="M23" s="20">
        <f t="shared" si="507"/>
        <v>0</v>
      </c>
      <c r="N23" s="195" t="str">
        <f t="shared" si="508"/>
        <v/>
      </c>
      <c r="O23" s="20" t="str">
        <f t="shared" si="509"/>
        <v/>
      </c>
      <c r="P23" s="20" t="str">
        <f t="shared" si="510"/>
        <v/>
      </c>
      <c r="Q23" s="20" t="str">
        <f t="shared" si="511"/>
        <v/>
      </c>
      <c r="R23" s="20" t="str">
        <f t="shared" si="512"/>
        <v/>
      </c>
      <c r="S23" s="20" t="str">
        <f t="shared" si="513"/>
        <v/>
      </c>
      <c r="T23" s="20" t="str">
        <f t="shared" si="514"/>
        <v/>
      </c>
      <c r="U23" s="20" t="str">
        <f t="shared" si="515"/>
        <v/>
      </c>
      <c r="V23" s="20" t="str">
        <f t="shared" si="516"/>
        <v/>
      </c>
      <c r="W23" s="20" t="str">
        <f t="shared" si="517"/>
        <v/>
      </c>
      <c r="X23" s="20" t="str">
        <f t="shared" si="518"/>
        <v/>
      </c>
      <c r="Y23" s="20" t="str">
        <f t="shared" si="519"/>
        <v/>
      </c>
      <c r="Z23" s="20" t="str">
        <f t="shared" si="520"/>
        <v/>
      </c>
      <c r="AA23" s="20" t="str">
        <f t="shared" si="521"/>
        <v/>
      </c>
      <c r="AB23" s="20" t="str">
        <f t="shared" si="522"/>
        <v/>
      </c>
      <c r="AC23" s="20" t="str">
        <f t="shared" si="523"/>
        <v/>
      </c>
      <c r="AD23" s="20" t="str">
        <f t="shared" si="524"/>
        <v/>
      </c>
      <c r="AE23" s="20" t="str">
        <f t="shared" si="525"/>
        <v/>
      </c>
      <c r="AF23" s="20" t="str">
        <f t="shared" si="526"/>
        <v/>
      </c>
      <c r="AG23" s="20" t="str">
        <f t="shared" si="527"/>
        <v/>
      </c>
      <c r="AH23" s="20" t="str">
        <f t="shared" si="528"/>
        <v/>
      </c>
      <c r="AI23" s="20" t="str">
        <f t="shared" si="529"/>
        <v/>
      </c>
      <c r="AJ23" s="20" t="str">
        <f t="shared" si="530"/>
        <v/>
      </c>
      <c r="AK23" s="20" t="str">
        <f t="shared" si="531"/>
        <v/>
      </c>
      <c r="AL23" s="20" t="str">
        <f t="shared" si="532"/>
        <v/>
      </c>
      <c r="AM23" s="20" t="str">
        <f t="shared" si="533"/>
        <v/>
      </c>
      <c r="AN23" s="20" t="str">
        <f t="shared" si="534"/>
        <v/>
      </c>
      <c r="AO23" s="20" t="str">
        <f t="shared" si="535"/>
        <v/>
      </c>
      <c r="AP23" s="20" t="str">
        <f t="shared" si="536"/>
        <v/>
      </c>
      <c r="AQ23" s="20" t="str">
        <f t="shared" si="537"/>
        <v/>
      </c>
      <c r="AR23" s="20" t="str">
        <f t="shared" si="538"/>
        <v/>
      </c>
      <c r="AS23" s="20" t="str">
        <f t="shared" si="539"/>
        <v/>
      </c>
      <c r="AT23" s="20" t="str">
        <f t="shared" si="540"/>
        <v/>
      </c>
      <c r="AU23" s="20" t="str">
        <f t="shared" si="541"/>
        <v/>
      </c>
      <c r="AV23" s="20" t="str">
        <f t="shared" ref="AS23:BC23" si="543">IF(AV16="","",AV16-AU16)</f>
        <v/>
      </c>
      <c r="AW23" s="20" t="str">
        <f t="shared" si="543"/>
        <v/>
      </c>
      <c r="AX23" s="20" t="str">
        <f t="shared" si="543"/>
        <v/>
      </c>
      <c r="AY23" s="20" t="str">
        <f t="shared" si="543"/>
        <v/>
      </c>
      <c r="AZ23" s="20" t="str">
        <f t="shared" si="543"/>
        <v/>
      </c>
      <c r="BA23" s="20" t="str">
        <f t="shared" si="543"/>
        <v/>
      </c>
      <c r="BB23" s="20" t="str">
        <f t="shared" si="543"/>
        <v/>
      </c>
      <c r="BC23" s="20" t="str">
        <f t="shared" si="543"/>
        <v/>
      </c>
    </row>
    <row r="24" spans="1:55" ht="11.25" customHeight="1" x14ac:dyDescent="0.2">
      <c r="A24" s="15">
        <f t="shared" si="497"/>
        <v>1</v>
      </c>
      <c r="B24" s="19" t="s">
        <v>15</v>
      </c>
      <c r="C24" s="123">
        <v>0</v>
      </c>
      <c r="D24" s="20">
        <f t="shared" ref="D24" si="544">IF(D17="","",C17+C18-D17)</f>
        <v>0</v>
      </c>
      <c r="E24" s="20">
        <f t="shared" ref="E24" si="545">IF(E17="","",D17+D18-E17)</f>
        <v>0</v>
      </c>
      <c r="F24" s="20">
        <f t="shared" ref="F24" si="546">IF(F17="","",E17+E18-F17)</f>
        <v>0</v>
      </c>
      <c r="G24" s="195">
        <f t="shared" ref="G24" si="547">IF(G17="","",F17+F18-G17)</f>
        <v>0</v>
      </c>
      <c r="H24" s="20">
        <f t="shared" ref="H24" si="548">IF(H17="","",G17+G18-H17)</f>
        <v>0</v>
      </c>
      <c r="I24" s="20">
        <f t="shared" ref="I24" si="549">IF(I17="","",H17+H18-I17)</f>
        <v>1</v>
      </c>
      <c r="J24" s="195">
        <f t="shared" ref="J24" si="550">IF(J17="","",I17+I18-J17)</f>
        <v>0</v>
      </c>
      <c r="K24" s="20">
        <f t="shared" ref="K24" si="551">IF(K17="","",J17+J18-K17)</f>
        <v>0</v>
      </c>
      <c r="L24" s="20">
        <f t="shared" ref="L24" si="552">IF(L17="","",K17+K18-L17)</f>
        <v>0</v>
      </c>
      <c r="M24" s="20">
        <f t="shared" ref="M24" si="553">IF(M17="","",L17+L18-M17)</f>
        <v>0</v>
      </c>
      <c r="N24" s="195" t="str">
        <f t="shared" ref="N24" si="554">IF(N17="","",M17+M18-N17)</f>
        <v/>
      </c>
      <c r="O24" s="20" t="str">
        <f t="shared" ref="O24" si="555">IF(O17="","",N17+N18-O17)</f>
        <v/>
      </c>
      <c r="P24" s="20" t="str">
        <f t="shared" ref="P24" si="556">IF(P17="","",O17+O18-P17)</f>
        <v/>
      </c>
      <c r="Q24" s="20" t="str">
        <f t="shared" ref="Q24" si="557">IF(Q17="","",P17+P18-Q17)</f>
        <v/>
      </c>
      <c r="R24" s="20" t="str">
        <f t="shared" ref="R24" si="558">IF(R17="","",Q17+Q18-R17)</f>
        <v/>
      </c>
      <c r="S24" s="20" t="str">
        <f t="shared" ref="S24" si="559">IF(S17="","",R17+R18-S17)</f>
        <v/>
      </c>
      <c r="T24" s="20" t="str">
        <f t="shared" ref="T24" si="560">IF(T17="","",S17+S18-T17)</f>
        <v/>
      </c>
      <c r="U24" s="20" t="str">
        <f t="shared" ref="U24" si="561">IF(U17="","",T17+T18-U17)</f>
        <v/>
      </c>
      <c r="V24" s="20" t="str">
        <f t="shared" ref="V24" si="562">IF(V17="","",U17+U18-V17)</f>
        <v/>
      </c>
      <c r="W24" s="20" t="str">
        <f t="shared" ref="W24" si="563">IF(W17="","",V17+V18-W17)</f>
        <v/>
      </c>
      <c r="X24" s="20" t="str">
        <f t="shared" ref="X24" si="564">IF(X17="","",W17+W18-X17)</f>
        <v/>
      </c>
      <c r="Y24" s="20" t="str">
        <f t="shared" ref="Y24" si="565">IF(Y17="","",X17+X18-Y17)</f>
        <v/>
      </c>
      <c r="Z24" s="20" t="str">
        <f t="shared" ref="Z24" si="566">IF(Z17="","",Y17+Y18-Z17)</f>
        <v/>
      </c>
      <c r="AA24" s="20" t="str">
        <f t="shared" ref="AA24" si="567">IF(AA17="","",Z17+Z18-AA17)</f>
        <v/>
      </c>
      <c r="AB24" s="20" t="str">
        <f t="shared" ref="AB24" si="568">IF(AB17="","",AA17+AA18-AB17)</f>
        <v/>
      </c>
      <c r="AC24" s="20" t="str">
        <f t="shared" ref="AC24" si="569">IF(AC17="","",AB17+AB18-AC17)</f>
        <v/>
      </c>
      <c r="AD24" s="20" t="str">
        <f t="shared" ref="AD24" si="570">IF(AD17="","",AC17+AC18-AD17)</f>
        <v/>
      </c>
      <c r="AE24" s="20" t="str">
        <f t="shared" ref="AE24" si="571">IF(AE17="","",AD17+AD18-AE17)</f>
        <v/>
      </c>
      <c r="AF24" s="20" t="str">
        <f t="shared" ref="AF24" si="572">IF(AF17="","",AE17+AE18-AF17)</f>
        <v/>
      </c>
      <c r="AG24" s="20" t="str">
        <f t="shared" ref="AG24" si="573">IF(AG17="","",AF17+AF18-AG17)</f>
        <v/>
      </c>
      <c r="AH24" s="20" t="str">
        <f t="shared" ref="AH24" si="574">IF(AH17="","",AG17+AG18-AH17)</f>
        <v/>
      </c>
      <c r="AI24" s="20" t="str">
        <f t="shared" ref="AI24" si="575">IF(AI17="","",AH17+AH18-AI17)</f>
        <v/>
      </c>
      <c r="AJ24" s="20" t="str">
        <f t="shared" ref="AJ24" si="576">IF(AJ17="","",AI17+AI18-AJ17)</f>
        <v/>
      </c>
      <c r="AK24" s="20" t="str">
        <f t="shared" ref="AK24" si="577">IF(AK17="","",AJ17+AJ18-AK17)</f>
        <v/>
      </c>
      <c r="AL24" s="20" t="str">
        <f t="shared" ref="AL24" si="578">IF(AL17="","",AK17+AK18-AL17)</f>
        <v/>
      </c>
      <c r="AM24" s="20" t="str">
        <f t="shared" ref="AM24" si="579">IF(AM17="","",AL17+AL18-AM17)</f>
        <v/>
      </c>
      <c r="AN24" s="20" t="str">
        <f t="shared" ref="AN24" si="580">IF(AN17="","",AM17+AM18-AN17)</f>
        <v/>
      </c>
      <c r="AO24" s="20" t="str">
        <f t="shared" ref="AO24" si="581">IF(AO17="","",AN17+AN18-AO17)</f>
        <v/>
      </c>
      <c r="AP24" s="20" t="str">
        <f t="shared" ref="AP24" si="582">IF(AP17="","",AO17+AO18-AP17)</f>
        <v/>
      </c>
      <c r="AQ24" s="20" t="str">
        <f t="shared" ref="AQ24" si="583">IF(AQ17="","",AP17+AP18-AQ17)</f>
        <v/>
      </c>
      <c r="AR24" s="20" t="str">
        <f t="shared" ref="AR24" si="584">IF(AR17="","",AQ17+AQ18-AR17)</f>
        <v/>
      </c>
      <c r="AS24" s="20" t="str">
        <f t="shared" ref="AS24" si="585">IF(AS17="","",AR17+AR18-AS17)</f>
        <v/>
      </c>
      <c r="AT24" s="20" t="str">
        <f t="shared" ref="AT24" si="586">IF(AT17="","",AS17+AS18-AT17)</f>
        <v/>
      </c>
      <c r="AU24" s="20" t="str">
        <f t="shared" ref="AU24" si="587">IF(AU17="","",AT17+AT18-AU17)</f>
        <v/>
      </c>
      <c r="AV24" s="20" t="str">
        <f t="shared" ref="AS24:BC24" si="588">IF(AV17="","",AU17+AU18-AV17)</f>
        <v/>
      </c>
      <c r="AW24" s="20" t="str">
        <f t="shared" si="588"/>
        <v/>
      </c>
      <c r="AX24" s="20" t="str">
        <f t="shared" si="588"/>
        <v/>
      </c>
      <c r="AY24" s="20" t="str">
        <f t="shared" si="588"/>
        <v/>
      </c>
      <c r="AZ24" s="20" t="str">
        <f t="shared" si="588"/>
        <v/>
      </c>
      <c r="BA24" s="20" t="str">
        <f t="shared" si="588"/>
        <v/>
      </c>
      <c r="BB24" s="20" t="str">
        <f t="shared" si="588"/>
        <v/>
      </c>
      <c r="BC24" s="20" t="str">
        <f t="shared" si="588"/>
        <v/>
      </c>
    </row>
    <row r="25" spans="1:55" ht="11.25" customHeight="1" x14ac:dyDescent="0.2">
      <c r="A25" s="15">
        <f t="shared" si="497"/>
        <v>1100</v>
      </c>
      <c r="B25" s="19" t="s">
        <v>16</v>
      </c>
      <c r="C25" s="123">
        <v>0</v>
      </c>
      <c r="D25" s="20">
        <f t="shared" ref="D25:AU25" si="589">IF(D15="","",D24*D19)</f>
        <v>0</v>
      </c>
      <c r="E25" s="20">
        <f t="shared" si="589"/>
        <v>0</v>
      </c>
      <c r="F25" s="20">
        <f t="shared" si="589"/>
        <v>0</v>
      </c>
      <c r="G25" s="195">
        <f t="shared" si="589"/>
        <v>0</v>
      </c>
      <c r="H25" s="20">
        <f t="shared" si="589"/>
        <v>0</v>
      </c>
      <c r="I25" s="20">
        <f t="shared" si="589"/>
        <v>1100</v>
      </c>
      <c r="J25" s="195">
        <f t="shared" si="589"/>
        <v>0</v>
      </c>
      <c r="K25" s="20">
        <f t="shared" si="589"/>
        <v>0</v>
      </c>
      <c r="L25" s="20">
        <f t="shared" si="589"/>
        <v>0</v>
      </c>
      <c r="M25" s="20">
        <f t="shared" si="589"/>
        <v>0</v>
      </c>
      <c r="N25" s="195" t="str">
        <f t="shared" si="589"/>
        <v/>
      </c>
      <c r="O25" s="20" t="str">
        <f t="shared" si="589"/>
        <v/>
      </c>
      <c r="P25" s="20" t="str">
        <f t="shared" si="589"/>
        <v/>
      </c>
      <c r="Q25" s="20" t="str">
        <f t="shared" si="589"/>
        <v/>
      </c>
      <c r="R25" s="20" t="str">
        <f t="shared" si="589"/>
        <v/>
      </c>
      <c r="S25" s="20" t="str">
        <f t="shared" si="589"/>
        <v/>
      </c>
      <c r="T25" s="20" t="str">
        <f t="shared" si="589"/>
        <v/>
      </c>
      <c r="U25" s="20" t="str">
        <f t="shared" si="589"/>
        <v/>
      </c>
      <c r="V25" s="20" t="str">
        <f t="shared" si="589"/>
        <v/>
      </c>
      <c r="W25" s="20" t="str">
        <f t="shared" si="589"/>
        <v/>
      </c>
      <c r="X25" s="20" t="str">
        <f t="shared" si="589"/>
        <v/>
      </c>
      <c r="Y25" s="20" t="str">
        <f t="shared" si="589"/>
        <v/>
      </c>
      <c r="Z25" s="20" t="str">
        <f t="shared" si="589"/>
        <v/>
      </c>
      <c r="AA25" s="20" t="str">
        <f t="shared" si="589"/>
        <v/>
      </c>
      <c r="AB25" s="20" t="str">
        <f t="shared" si="589"/>
        <v/>
      </c>
      <c r="AC25" s="20" t="str">
        <f t="shared" si="589"/>
        <v/>
      </c>
      <c r="AD25" s="20" t="str">
        <f t="shared" si="589"/>
        <v/>
      </c>
      <c r="AE25" s="20" t="str">
        <f t="shared" si="589"/>
        <v/>
      </c>
      <c r="AF25" s="20" t="str">
        <f t="shared" si="589"/>
        <v/>
      </c>
      <c r="AG25" s="20" t="str">
        <f t="shared" si="589"/>
        <v/>
      </c>
      <c r="AH25" s="20" t="str">
        <f t="shared" si="589"/>
        <v/>
      </c>
      <c r="AI25" s="20" t="str">
        <f t="shared" si="589"/>
        <v/>
      </c>
      <c r="AJ25" s="20" t="str">
        <f t="shared" si="589"/>
        <v/>
      </c>
      <c r="AK25" s="20" t="str">
        <f t="shared" si="589"/>
        <v/>
      </c>
      <c r="AL25" s="20" t="str">
        <f t="shared" si="589"/>
        <v/>
      </c>
      <c r="AM25" s="20" t="str">
        <f t="shared" si="589"/>
        <v/>
      </c>
      <c r="AN25" s="20" t="str">
        <f t="shared" si="589"/>
        <v/>
      </c>
      <c r="AO25" s="20" t="str">
        <f t="shared" si="589"/>
        <v/>
      </c>
      <c r="AP25" s="20" t="str">
        <f t="shared" si="589"/>
        <v/>
      </c>
      <c r="AQ25" s="20" t="str">
        <f t="shared" si="589"/>
        <v/>
      </c>
      <c r="AR25" s="20" t="str">
        <f t="shared" si="589"/>
        <v/>
      </c>
      <c r="AS25" s="20" t="str">
        <f t="shared" si="589"/>
        <v/>
      </c>
      <c r="AT25" s="20" t="str">
        <f t="shared" si="589"/>
        <v/>
      </c>
      <c r="AU25" s="20" t="str">
        <f t="shared" si="589"/>
        <v/>
      </c>
      <c r="AV25" s="20" t="str">
        <f t="shared" ref="AS25:BC25" si="590">IF(AV15="","",AV24*AV19)</f>
        <v/>
      </c>
      <c r="AW25" s="20" t="str">
        <f t="shared" si="590"/>
        <v/>
      </c>
      <c r="AX25" s="20" t="str">
        <f t="shared" si="590"/>
        <v/>
      </c>
      <c r="AY25" s="20" t="str">
        <f t="shared" si="590"/>
        <v/>
      </c>
      <c r="AZ25" s="20" t="str">
        <f t="shared" si="590"/>
        <v/>
      </c>
      <c r="BA25" s="20" t="str">
        <f t="shared" si="590"/>
        <v/>
      </c>
      <c r="BB25" s="20" t="str">
        <f t="shared" si="590"/>
        <v/>
      </c>
      <c r="BC25" s="20" t="str">
        <f t="shared" si="590"/>
        <v/>
      </c>
    </row>
    <row r="26" spans="1:55" ht="11.25" customHeight="1" x14ac:dyDescent="0.2">
      <c r="A26" s="21">
        <f>IF(A25="","",A25/(A22*100))</f>
        <v>7.4324324324324328E-2</v>
      </c>
      <c r="B26" s="19" t="s">
        <v>17</v>
      </c>
      <c r="C26" s="146" t="s">
        <v>18</v>
      </c>
      <c r="D26" s="27" t="str">
        <f t="shared" ref="D26:AU26" si="591">IF(D25="","",IF(D25=0,"",D25/(D22*100)))</f>
        <v/>
      </c>
      <c r="E26" s="27" t="str">
        <f t="shared" si="591"/>
        <v/>
      </c>
      <c r="F26" s="27" t="str">
        <f t="shared" si="591"/>
        <v/>
      </c>
      <c r="G26" s="199" t="str">
        <f t="shared" si="591"/>
        <v/>
      </c>
      <c r="H26" s="27" t="str">
        <f t="shared" si="591"/>
        <v/>
      </c>
      <c r="I26" s="27">
        <f t="shared" si="591"/>
        <v>0.20754716981132076</v>
      </c>
      <c r="J26" s="199" t="str">
        <f t="shared" si="591"/>
        <v/>
      </c>
      <c r="K26" s="27" t="str">
        <f t="shared" si="591"/>
        <v/>
      </c>
      <c r="L26" s="27" t="str">
        <f t="shared" si="591"/>
        <v/>
      </c>
      <c r="M26" s="27" t="str">
        <f t="shared" si="591"/>
        <v/>
      </c>
      <c r="N26" s="199" t="str">
        <f t="shared" si="591"/>
        <v/>
      </c>
      <c r="O26" s="27" t="str">
        <f t="shared" si="591"/>
        <v/>
      </c>
      <c r="P26" s="27" t="str">
        <f t="shared" si="591"/>
        <v/>
      </c>
      <c r="Q26" s="27" t="str">
        <f t="shared" si="591"/>
        <v/>
      </c>
      <c r="R26" s="27" t="str">
        <f t="shared" si="591"/>
        <v/>
      </c>
      <c r="S26" s="27" t="str">
        <f t="shared" si="591"/>
        <v/>
      </c>
      <c r="T26" s="27" t="str">
        <f t="shared" si="591"/>
        <v/>
      </c>
      <c r="U26" s="27" t="str">
        <f t="shared" si="591"/>
        <v/>
      </c>
      <c r="V26" s="27" t="str">
        <f t="shared" si="591"/>
        <v/>
      </c>
      <c r="W26" s="27" t="str">
        <f t="shared" si="591"/>
        <v/>
      </c>
      <c r="X26" s="27" t="str">
        <f t="shared" si="591"/>
        <v/>
      </c>
      <c r="Y26" s="27" t="str">
        <f t="shared" si="591"/>
        <v/>
      </c>
      <c r="Z26" s="27" t="str">
        <f t="shared" si="591"/>
        <v/>
      </c>
      <c r="AA26" s="27" t="str">
        <f t="shared" si="591"/>
        <v/>
      </c>
      <c r="AB26" s="27" t="str">
        <f t="shared" si="591"/>
        <v/>
      </c>
      <c r="AC26" s="27" t="str">
        <f t="shared" si="591"/>
        <v/>
      </c>
      <c r="AD26" s="27" t="str">
        <f t="shared" si="591"/>
        <v/>
      </c>
      <c r="AE26" s="27" t="str">
        <f t="shared" si="591"/>
        <v/>
      </c>
      <c r="AF26" s="27" t="str">
        <f t="shared" si="591"/>
        <v/>
      </c>
      <c r="AG26" s="27" t="str">
        <f t="shared" si="591"/>
        <v/>
      </c>
      <c r="AH26" s="27" t="str">
        <f t="shared" si="591"/>
        <v/>
      </c>
      <c r="AI26" s="27" t="str">
        <f t="shared" si="591"/>
        <v/>
      </c>
      <c r="AJ26" s="27" t="str">
        <f t="shared" si="591"/>
        <v/>
      </c>
      <c r="AK26" s="27" t="str">
        <f t="shared" si="591"/>
        <v/>
      </c>
      <c r="AL26" s="27" t="str">
        <f t="shared" si="591"/>
        <v/>
      </c>
      <c r="AM26" s="27" t="str">
        <f t="shared" si="591"/>
        <v/>
      </c>
      <c r="AN26" s="27" t="str">
        <f t="shared" si="591"/>
        <v/>
      </c>
      <c r="AO26" s="27" t="str">
        <f t="shared" si="591"/>
        <v/>
      </c>
      <c r="AP26" s="27" t="str">
        <f t="shared" si="591"/>
        <v/>
      </c>
      <c r="AQ26" s="27" t="str">
        <f t="shared" si="591"/>
        <v/>
      </c>
      <c r="AR26" s="27" t="str">
        <f t="shared" si="591"/>
        <v/>
      </c>
      <c r="AS26" s="27" t="str">
        <f t="shared" si="591"/>
        <v/>
      </c>
      <c r="AT26" s="27" t="str">
        <f t="shared" si="591"/>
        <v/>
      </c>
      <c r="AU26" s="27" t="str">
        <f t="shared" si="591"/>
        <v/>
      </c>
      <c r="AV26" s="27" t="str">
        <f t="shared" ref="AS26:BC26" si="592">IF(AV25="","",IF(AV25=0,"",AV25/(AV22*100)))</f>
        <v/>
      </c>
      <c r="AW26" s="27" t="str">
        <f t="shared" si="592"/>
        <v/>
      </c>
      <c r="AX26" s="27" t="str">
        <f t="shared" si="592"/>
        <v/>
      </c>
      <c r="AY26" s="27" t="str">
        <f t="shared" si="592"/>
        <v/>
      </c>
      <c r="AZ26" s="27" t="str">
        <f t="shared" si="592"/>
        <v/>
      </c>
      <c r="BA26" s="27" t="str">
        <f t="shared" si="592"/>
        <v/>
      </c>
      <c r="BB26" s="27" t="str">
        <f t="shared" si="592"/>
        <v/>
      </c>
      <c r="BC26" s="27" t="str">
        <f t="shared" si="592"/>
        <v/>
      </c>
    </row>
    <row r="27" spans="1:55" ht="11.25" customHeight="1" x14ac:dyDescent="0.2">
      <c r="A27" s="28" t="s">
        <v>1</v>
      </c>
      <c r="B27" s="29" t="s">
        <v>2</v>
      </c>
      <c r="C27" s="129">
        <v>21919</v>
      </c>
      <c r="D27" s="16">
        <f t="shared" ref="D27:D28" si="593">IF(D$3="","",C27)</f>
        <v>21919</v>
      </c>
      <c r="E27" s="16">
        <f t="shared" ref="E27:E28" si="594">IF(E$3="","",D27)</f>
        <v>21919</v>
      </c>
      <c r="F27" s="16">
        <v>22145</v>
      </c>
      <c r="G27" s="196">
        <f t="shared" ref="G27:G28" si="595">IF(G$3="","",F27)</f>
        <v>22145</v>
      </c>
      <c r="H27" s="16">
        <f t="shared" ref="H27:H28" si="596">IF(H$3="","",G27)</f>
        <v>22145</v>
      </c>
      <c r="I27" s="16">
        <v>22186</v>
      </c>
      <c r="J27" s="196">
        <f t="shared" ref="J27:J28" si="597">IF(J$3="","",I27)</f>
        <v>22186</v>
      </c>
      <c r="K27" s="16">
        <f t="shared" ref="K27:K28" si="598">IF(K$3="","",J27)</f>
        <v>22186</v>
      </c>
      <c r="L27" s="16">
        <f t="shared" ref="L27:L28" si="599">IF(L$3="","",K27)</f>
        <v>22186</v>
      </c>
      <c r="M27" s="16">
        <f t="shared" ref="M27:M28" si="600">IF(M$3="","",L27)</f>
        <v>22186</v>
      </c>
      <c r="N27" s="196" t="str">
        <f t="shared" ref="N27:N28" si="601">IF(N$3="","",M27)</f>
        <v/>
      </c>
      <c r="O27" s="16" t="str">
        <f t="shared" ref="O27:O28" si="602">IF(O$3="","",N27)</f>
        <v/>
      </c>
      <c r="P27" s="16" t="str">
        <f t="shared" ref="P27:P28" si="603">IF(P$3="","",O27)</f>
        <v/>
      </c>
      <c r="Q27" s="16" t="str">
        <f t="shared" ref="Q27:Q28" si="604">IF(Q$3="","",P27)</f>
        <v/>
      </c>
      <c r="R27" s="16" t="str">
        <f t="shared" ref="R27:R28" si="605">IF(R$3="","",Q27)</f>
        <v/>
      </c>
      <c r="S27" s="16" t="str">
        <f t="shared" ref="S27:S28" si="606">IF(S$3="","",R27)</f>
        <v/>
      </c>
      <c r="T27" s="16" t="str">
        <f t="shared" ref="T27:T28" si="607">IF(T$3="","",S27)</f>
        <v/>
      </c>
      <c r="U27" s="16" t="str">
        <f t="shared" ref="U27:U28" si="608">IF(U$3="","",T27)</f>
        <v/>
      </c>
      <c r="V27" s="16" t="str">
        <f t="shared" ref="V27:V28" si="609">IF(V$3="","",U27)</f>
        <v/>
      </c>
      <c r="W27" s="16" t="str">
        <f t="shared" ref="W27:W28" si="610">IF(W$3="","",V27)</f>
        <v/>
      </c>
      <c r="X27" s="16" t="str">
        <f t="shared" ref="X27:X28" si="611">IF(X$3="","",W27)</f>
        <v/>
      </c>
      <c r="Y27" s="16" t="str">
        <f t="shared" ref="Y27:Y28" si="612">IF(Y$3="","",X27)</f>
        <v/>
      </c>
      <c r="Z27" s="16" t="str">
        <f t="shared" ref="Z27:Z28" si="613">IF(Z$3="","",Y27)</f>
        <v/>
      </c>
      <c r="AA27" s="16" t="str">
        <f t="shared" ref="AA27:AA28" si="614">IF(AA$3="","",Z27)</f>
        <v/>
      </c>
      <c r="AB27" s="16" t="str">
        <f t="shared" ref="AB27:AB28" si="615">IF(AB$3="","",AA27)</f>
        <v/>
      </c>
      <c r="AC27" s="16" t="str">
        <f t="shared" ref="AC27:AC28" si="616">IF(AC$3="","",AB27)</f>
        <v/>
      </c>
      <c r="AD27" s="16" t="str">
        <f t="shared" ref="AD27:AD28" si="617">IF(AD$3="","",AC27)</f>
        <v/>
      </c>
      <c r="AE27" s="16" t="str">
        <f t="shared" ref="AE27:AE28" si="618">IF(AE$3="","",AD27)</f>
        <v/>
      </c>
      <c r="AF27" s="16" t="str">
        <f t="shared" ref="AF27:AF28" si="619">IF(AF$3="","",AE27)</f>
        <v/>
      </c>
      <c r="AG27" s="16" t="str">
        <f t="shared" ref="AG27:AG28" si="620">IF(AG$3="","",AF27)</f>
        <v/>
      </c>
      <c r="AH27" s="16" t="str">
        <f t="shared" ref="AH27:AH28" si="621">IF(AH$3="","",AG27)</f>
        <v/>
      </c>
      <c r="AI27" s="16" t="str">
        <f t="shared" ref="AI27:AI28" si="622">IF(AI$3="","",AH27)</f>
        <v/>
      </c>
      <c r="AJ27" s="16" t="str">
        <f t="shared" ref="AJ27:AJ28" si="623">IF(AJ$3="","",AI27)</f>
        <v/>
      </c>
      <c r="AK27" s="16" t="str">
        <f t="shared" ref="AK27:AK28" si="624">IF(AK$3="","",AJ27)</f>
        <v/>
      </c>
      <c r="AL27" s="16" t="str">
        <f t="shared" ref="AL27:AL28" si="625">IF(AL$3="","",AK27)</f>
        <v/>
      </c>
      <c r="AM27" s="16" t="str">
        <f t="shared" ref="AM27:AM28" si="626">IF(AM$3="","",AL27)</f>
        <v/>
      </c>
      <c r="AN27" s="16" t="str">
        <f t="shared" ref="AN27:AN28" si="627">IF(AN$3="","",AM27)</f>
        <v/>
      </c>
      <c r="AO27" s="16" t="str">
        <f t="shared" ref="AO27:AO28" si="628">IF(AO$3="","",AN27)</f>
        <v/>
      </c>
      <c r="AP27" s="16" t="str">
        <f t="shared" ref="AP27:AP28" si="629">IF(AP$3="","",AO27)</f>
        <v/>
      </c>
      <c r="AQ27" s="16" t="str">
        <f t="shared" ref="AQ27:AQ28" si="630">IF(AQ$3="","",AP27)</f>
        <v/>
      </c>
      <c r="AR27" s="16" t="str">
        <f t="shared" ref="AR27:AR28" si="631">IF(AR$3="","",AQ27)</f>
        <v/>
      </c>
      <c r="AS27" s="16" t="str">
        <f t="shared" ref="AS27:AS28" si="632">IF(AS$3="","",AR27)</f>
        <v/>
      </c>
      <c r="AT27" s="16" t="str">
        <f t="shared" ref="AT27:AT28" si="633">IF(AT$3="","",AS27)</f>
        <v/>
      </c>
      <c r="AU27" s="16" t="str">
        <f t="shared" ref="AU27:AU28" si="634">IF(AU$3="","",AT27)</f>
        <v/>
      </c>
      <c r="AV27" s="16" t="str">
        <f t="shared" ref="AS27:BC27" si="635">IF(AV$3="","",AU27)</f>
        <v/>
      </c>
      <c r="AW27" s="16" t="str">
        <f t="shared" si="635"/>
        <v/>
      </c>
      <c r="AX27" s="16" t="str">
        <f t="shared" si="635"/>
        <v/>
      </c>
      <c r="AY27" s="16" t="str">
        <f t="shared" si="635"/>
        <v/>
      </c>
      <c r="AZ27" s="16" t="str">
        <f t="shared" si="635"/>
        <v/>
      </c>
      <c r="BA27" s="16" t="str">
        <f t="shared" si="635"/>
        <v/>
      </c>
      <c r="BB27" s="16" t="str">
        <f t="shared" si="635"/>
        <v/>
      </c>
      <c r="BC27" s="16" t="str">
        <f t="shared" si="635"/>
        <v/>
      </c>
    </row>
    <row r="28" spans="1:55" ht="11.25" customHeight="1" x14ac:dyDescent="0.2">
      <c r="A28" s="10" t="s">
        <v>19</v>
      </c>
      <c r="B28" s="11" t="s">
        <v>4</v>
      </c>
      <c r="C28" s="123">
        <v>1001</v>
      </c>
      <c r="D28" s="12">
        <f t="shared" si="593"/>
        <v>1001</v>
      </c>
      <c r="E28" s="12">
        <f t="shared" si="594"/>
        <v>1001</v>
      </c>
      <c r="F28" s="12">
        <v>1011</v>
      </c>
      <c r="G28" s="195">
        <f t="shared" si="595"/>
        <v>1011</v>
      </c>
      <c r="H28" s="12">
        <f t="shared" si="596"/>
        <v>1011</v>
      </c>
      <c r="I28" s="12">
        <v>1017</v>
      </c>
      <c r="J28" s="195">
        <f t="shared" si="597"/>
        <v>1017</v>
      </c>
      <c r="K28" s="12">
        <f t="shared" si="598"/>
        <v>1017</v>
      </c>
      <c r="L28" s="12">
        <f t="shared" si="599"/>
        <v>1017</v>
      </c>
      <c r="M28" s="12">
        <f t="shared" si="600"/>
        <v>1017</v>
      </c>
      <c r="N28" s="195" t="str">
        <f t="shared" si="601"/>
        <v/>
      </c>
      <c r="O28" s="12" t="str">
        <f t="shared" si="602"/>
        <v/>
      </c>
      <c r="P28" s="12" t="str">
        <f t="shared" si="603"/>
        <v/>
      </c>
      <c r="Q28" s="12" t="str">
        <f t="shared" si="604"/>
        <v/>
      </c>
      <c r="R28" s="12" t="str">
        <f t="shared" si="605"/>
        <v/>
      </c>
      <c r="S28" s="12" t="str">
        <f t="shared" si="606"/>
        <v/>
      </c>
      <c r="T28" s="12" t="str">
        <f t="shared" si="607"/>
        <v/>
      </c>
      <c r="U28" s="12" t="str">
        <f t="shared" si="608"/>
        <v/>
      </c>
      <c r="V28" s="12" t="str">
        <f t="shared" si="609"/>
        <v/>
      </c>
      <c r="W28" s="12" t="str">
        <f t="shared" si="610"/>
        <v/>
      </c>
      <c r="X28" s="12" t="str">
        <f t="shared" si="611"/>
        <v/>
      </c>
      <c r="Y28" s="12" t="str">
        <f t="shared" si="612"/>
        <v/>
      </c>
      <c r="Z28" s="12" t="str">
        <f t="shared" si="613"/>
        <v/>
      </c>
      <c r="AA28" s="12" t="str">
        <f t="shared" si="614"/>
        <v/>
      </c>
      <c r="AB28" s="12" t="str">
        <f t="shared" si="615"/>
        <v/>
      </c>
      <c r="AC28" s="12" t="str">
        <f t="shared" si="616"/>
        <v/>
      </c>
      <c r="AD28" s="12" t="str">
        <f t="shared" si="617"/>
        <v/>
      </c>
      <c r="AE28" s="12" t="str">
        <f t="shared" si="618"/>
        <v/>
      </c>
      <c r="AF28" s="12" t="str">
        <f t="shared" si="619"/>
        <v/>
      </c>
      <c r="AG28" s="12" t="str">
        <f t="shared" si="620"/>
        <v/>
      </c>
      <c r="AH28" s="12" t="str">
        <f t="shared" si="621"/>
        <v/>
      </c>
      <c r="AI28" s="12" t="str">
        <f t="shared" si="622"/>
        <v/>
      </c>
      <c r="AJ28" s="12" t="str">
        <f t="shared" si="623"/>
        <v/>
      </c>
      <c r="AK28" s="12" t="str">
        <f t="shared" si="624"/>
        <v/>
      </c>
      <c r="AL28" s="12" t="str">
        <f t="shared" si="625"/>
        <v/>
      </c>
      <c r="AM28" s="12" t="str">
        <f t="shared" si="626"/>
        <v/>
      </c>
      <c r="AN28" s="12" t="str">
        <f t="shared" si="627"/>
        <v/>
      </c>
      <c r="AO28" s="12" t="str">
        <f t="shared" si="628"/>
        <v/>
      </c>
      <c r="AP28" s="12" t="str">
        <f t="shared" si="629"/>
        <v/>
      </c>
      <c r="AQ28" s="12" t="str">
        <f t="shared" si="630"/>
        <v/>
      </c>
      <c r="AR28" s="12" t="str">
        <f t="shared" si="631"/>
        <v/>
      </c>
      <c r="AS28" s="12" t="str">
        <f t="shared" si="632"/>
        <v/>
      </c>
      <c r="AT28" s="12" t="str">
        <f t="shared" si="633"/>
        <v/>
      </c>
      <c r="AU28" s="12" t="str">
        <f t="shared" si="634"/>
        <v/>
      </c>
      <c r="AV28" s="12" t="str">
        <f t="shared" ref="AS28:BC28" si="636">IF(AV$3="","",AU28)</f>
        <v/>
      </c>
      <c r="AW28" s="12" t="str">
        <f t="shared" si="636"/>
        <v/>
      </c>
      <c r="AX28" s="12" t="str">
        <f t="shared" si="636"/>
        <v/>
      </c>
      <c r="AY28" s="12" t="str">
        <f t="shared" si="636"/>
        <v/>
      </c>
      <c r="AZ28" s="12" t="str">
        <f t="shared" si="636"/>
        <v/>
      </c>
      <c r="BA28" s="12" t="str">
        <f t="shared" si="636"/>
        <v/>
      </c>
      <c r="BB28" s="12" t="str">
        <f t="shared" si="636"/>
        <v/>
      </c>
      <c r="BC28" s="12" t="str">
        <f t="shared" si="636"/>
        <v/>
      </c>
    </row>
    <row r="29" spans="1:55" ht="11.25" customHeight="1" x14ac:dyDescent="0.25">
      <c r="A29" s="24">
        <v>2</v>
      </c>
      <c r="B29" s="11" t="s">
        <v>5</v>
      </c>
      <c r="C29" s="123">
        <v>18</v>
      </c>
      <c r="D29" s="12">
        <f t="shared" ref="D29" si="637">IF(D27="","",(C29+C30))</f>
        <v>18</v>
      </c>
      <c r="E29" s="12">
        <f t="shared" ref="E29" si="638">IF(E27="","",(D29+D30))</f>
        <v>18</v>
      </c>
      <c r="F29" s="12">
        <f t="shared" ref="F29" si="639">IF(F27="","",(E29+E30))</f>
        <v>18</v>
      </c>
      <c r="G29" s="195">
        <f t="shared" ref="G29" si="640">IF(G27="","",(F29+F30))</f>
        <v>18</v>
      </c>
      <c r="H29" s="12">
        <f t="shared" ref="H29" si="641">IF(H27="","",(G29+G30))</f>
        <v>18</v>
      </c>
      <c r="I29" s="12">
        <v>17</v>
      </c>
      <c r="J29" s="195">
        <f t="shared" ref="J29" si="642">IF(J27="","",(I29+I30))</f>
        <v>17</v>
      </c>
      <c r="K29" s="12">
        <f t="shared" ref="K29" si="643">IF(K27="","",(J29+J30))</f>
        <v>17</v>
      </c>
      <c r="L29" s="12">
        <f t="shared" ref="L29" si="644">IF(L27="","",(K29+K30))</f>
        <v>17</v>
      </c>
      <c r="M29" s="12">
        <f t="shared" ref="M29" si="645">IF(M27="","",(L29+L30))</f>
        <v>17</v>
      </c>
      <c r="N29" s="195" t="str">
        <f t="shared" ref="N29" si="646">IF(N27="","",(M29+M30))</f>
        <v/>
      </c>
      <c r="O29" s="12" t="str">
        <f t="shared" ref="O29" si="647">IF(O27="","",(N29+N30))</f>
        <v/>
      </c>
      <c r="P29" s="12" t="str">
        <f t="shared" ref="P29" si="648">IF(P27="","",(O29+O30))</f>
        <v/>
      </c>
      <c r="Q29" s="12" t="str">
        <f t="shared" ref="Q29" si="649">IF(Q27="","",(P29+P30))</f>
        <v/>
      </c>
      <c r="R29" s="12" t="str">
        <f t="shared" ref="R29" si="650">IF(R27="","",(Q29+Q30))</f>
        <v/>
      </c>
      <c r="S29" s="12" t="str">
        <f t="shared" ref="S29" si="651">IF(S27="","",(R29+R30))</f>
        <v/>
      </c>
      <c r="T29" s="12" t="str">
        <f t="shared" ref="T29" si="652">IF(T27="","",(S29+S30))</f>
        <v/>
      </c>
      <c r="U29" s="12" t="str">
        <f t="shared" ref="U29" si="653">IF(U27="","",(T29+T30))</f>
        <v/>
      </c>
      <c r="V29" s="12" t="str">
        <f t="shared" ref="V29" si="654">IF(V27="","",(U29+U30))</f>
        <v/>
      </c>
      <c r="W29" s="12" t="str">
        <f t="shared" ref="W29" si="655">IF(W27="","",(V29+V30))</f>
        <v/>
      </c>
      <c r="X29" s="12" t="str">
        <f t="shared" ref="X29" si="656">IF(X27="","",(W29+W30))</f>
        <v/>
      </c>
      <c r="Y29" s="12" t="str">
        <f t="shared" ref="Y29" si="657">IF(Y27="","",(X29+X30))</f>
        <v/>
      </c>
      <c r="Z29" s="12" t="str">
        <f t="shared" ref="Z29" si="658">IF(Z27="","",(Y29+Y30))</f>
        <v/>
      </c>
      <c r="AA29" s="12" t="str">
        <f t="shared" ref="AA29" si="659">IF(AA27="","",(Z29+Z30))</f>
        <v/>
      </c>
      <c r="AB29" s="12" t="str">
        <f t="shared" ref="AB29" si="660">IF(AB27="","",(AA29+AA30))</f>
        <v/>
      </c>
      <c r="AC29" s="12" t="str">
        <f t="shared" ref="AC29" si="661">IF(AC27="","",(AB29+AB30))</f>
        <v/>
      </c>
      <c r="AD29" s="12" t="str">
        <f t="shared" ref="AD29" si="662">IF(AD27="","",(AC29+AC30))</f>
        <v/>
      </c>
      <c r="AE29" s="12" t="str">
        <f t="shared" ref="AE29" si="663">IF(AE27="","",(AD29+AD30))</f>
        <v/>
      </c>
      <c r="AF29" s="12" t="str">
        <f t="shared" ref="AF29" si="664">IF(AF27="","",(AE29+AE30))</f>
        <v/>
      </c>
      <c r="AG29" s="12" t="str">
        <f t="shared" ref="AG29" si="665">IF(AG27="","",(AF29+AF30))</f>
        <v/>
      </c>
      <c r="AH29" s="12" t="str">
        <f t="shared" ref="AH29" si="666">IF(AH27="","",(AG29+AG30))</f>
        <v/>
      </c>
      <c r="AI29" s="12" t="str">
        <f t="shared" ref="AI29" si="667">IF(AI27="","",(AH29+AH30))</f>
        <v/>
      </c>
      <c r="AJ29" s="12" t="str">
        <f t="shared" ref="AJ29" si="668">IF(AJ27="","",(AI29+AI30))</f>
        <v/>
      </c>
      <c r="AK29" s="12" t="str">
        <f t="shared" ref="AK29" si="669">IF(AK27="","",(AJ29+AJ30))</f>
        <v/>
      </c>
      <c r="AL29" s="12" t="str">
        <f t="shared" ref="AL29" si="670">IF(AL27="","",(AK29+AK30))</f>
        <v/>
      </c>
      <c r="AM29" s="12" t="str">
        <f t="shared" ref="AM29" si="671">IF(AM27="","",(AL29+AL30))</f>
        <v/>
      </c>
      <c r="AN29" s="12" t="str">
        <f t="shared" ref="AN29" si="672">IF(AN27="","",(AM29+AM30))</f>
        <v/>
      </c>
      <c r="AO29" s="12" t="str">
        <f t="shared" ref="AO29" si="673">IF(AO27="","",(AN29+AN30))</f>
        <v/>
      </c>
      <c r="AP29" s="12" t="str">
        <f t="shared" ref="AP29" si="674">IF(AP27="","",(AO29+AO30))</f>
        <v/>
      </c>
      <c r="AQ29" s="12" t="str">
        <f t="shared" ref="AQ29" si="675">IF(AQ27="","",(AP29+AP30))</f>
        <v/>
      </c>
      <c r="AR29" s="12" t="str">
        <f t="shared" ref="AR29" si="676">IF(AR27="","",(AQ29+AQ30))</f>
        <v/>
      </c>
      <c r="AS29" s="12" t="str">
        <f t="shared" ref="AS29" si="677">IF(AS27="","",(AR29+AR30))</f>
        <v/>
      </c>
      <c r="AT29" s="12" t="str">
        <f t="shared" ref="AT29" si="678">IF(AT27="","",(AS29+AS30))</f>
        <v/>
      </c>
      <c r="AU29" s="12" t="str">
        <f t="shared" ref="AU29" si="679">IF(AU27="","",(AT29+AT30))</f>
        <v/>
      </c>
      <c r="AV29" s="12" t="str">
        <f t="shared" ref="AS29:BC29" si="680">IF(AV27="","",(AU29+AU30))</f>
        <v/>
      </c>
      <c r="AW29" s="12" t="str">
        <f t="shared" si="680"/>
        <v/>
      </c>
      <c r="AX29" s="12" t="str">
        <f t="shared" si="680"/>
        <v/>
      </c>
      <c r="AY29" s="12" t="str">
        <f t="shared" si="680"/>
        <v/>
      </c>
      <c r="AZ29" s="12" t="str">
        <f t="shared" si="680"/>
        <v/>
      </c>
      <c r="BA29" s="12" t="str">
        <f t="shared" si="680"/>
        <v/>
      </c>
      <c r="BB29" s="12" t="str">
        <f t="shared" si="680"/>
        <v/>
      </c>
      <c r="BC29" s="12" t="str">
        <f t="shared" si="680"/>
        <v/>
      </c>
    </row>
    <row r="30" spans="1:55" ht="11.25" customHeight="1" x14ac:dyDescent="0.2">
      <c r="A30" s="14"/>
      <c r="B30" s="11" t="s">
        <v>6</v>
      </c>
      <c r="C30" s="123"/>
      <c r="D30" s="12"/>
      <c r="E30" s="12"/>
      <c r="F30" s="12"/>
      <c r="G30" s="195"/>
      <c r="H30" s="12"/>
      <c r="I30" s="12"/>
      <c r="J30" s="195"/>
      <c r="K30" s="12"/>
      <c r="L30" s="12"/>
      <c r="M30" s="12"/>
      <c r="N30" s="195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</row>
    <row r="31" spans="1:55" ht="11.25" customHeight="1" x14ac:dyDescent="0.2">
      <c r="A31" s="15"/>
      <c r="B31" s="11" t="s">
        <v>8</v>
      </c>
      <c r="C31" s="129">
        <v>500</v>
      </c>
      <c r="D31" s="16">
        <f t="shared" ref="D31" si="681">IF(D27="","",C31)</f>
        <v>500</v>
      </c>
      <c r="E31" s="16">
        <f t="shared" ref="E31" si="682">IF(E27="","",D31)</f>
        <v>500</v>
      </c>
      <c r="F31" s="16">
        <f t="shared" ref="F31" si="683">IF(F27="","",E31)</f>
        <v>500</v>
      </c>
      <c r="G31" s="196">
        <f t="shared" ref="G31" si="684">IF(G27="","",F31)</f>
        <v>500</v>
      </c>
      <c r="H31" s="16">
        <f t="shared" ref="H31" si="685">IF(H27="","",G31)</f>
        <v>500</v>
      </c>
      <c r="I31" s="16">
        <f t="shared" ref="I31" si="686">IF(I27="","",H31)</f>
        <v>500</v>
      </c>
      <c r="J31" s="196">
        <f t="shared" ref="J31" si="687">IF(J27="","",I31)</f>
        <v>500</v>
      </c>
      <c r="K31" s="16">
        <f t="shared" ref="K31" si="688">IF(K27="","",J31)</f>
        <v>500</v>
      </c>
      <c r="L31" s="16">
        <f t="shared" ref="L31" si="689">IF(L27="","",K31)</f>
        <v>500</v>
      </c>
      <c r="M31" s="16">
        <f t="shared" ref="M31" si="690">IF(M27="","",L31)</f>
        <v>500</v>
      </c>
      <c r="N31" s="196" t="str">
        <f t="shared" ref="N31" si="691">IF(N27="","",M31)</f>
        <v/>
      </c>
      <c r="O31" s="16" t="str">
        <f t="shared" ref="O31" si="692">IF(O27="","",N31)</f>
        <v/>
      </c>
      <c r="P31" s="16" t="str">
        <f t="shared" ref="P31" si="693">IF(P27="","",O31)</f>
        <v/>
      </c>
      <c r="Q31" s="16" t="str">
        <f t="shared" ref="Q31" si="694">IF(Q27="","",P31)</f>
        <v/>
      </c>
      <c r="R31" s="16" t="str">
        <f t="shared" ref="R31" si="695">IF(R27="","",Q31)</f>
        <v/>
      </c>
      <c r="S31" s="16" t="str">
        <f t="shared" ref="S31" si="696">IF(S27="","",R31)</f>
        <v/>
      </c>
      <c r="T31" s="16" t="str">
        <f t="shared" ref="T31" si="697">IF(T27="","",S31)</f>
        <v/>
      </c>
      <c r="U31" s="16" t="str">
        <f t="shared" ref="U31" si="698">IF(U27="","",T31)</f>
        <v/>
      </c>
      <c r="V31" s="16" t="str">
        <f t="shared" ref="V31" si="699">IF(V27="","",U31)</f>
        <v/>
      </c>
      <c r="W31" s="16" t="str">
        <f t="shared" ref="W31" si="700">IF(W27="","",V31)</f>
        <v/>
      </c>
      <c r="X31" s="16" t="str">
        <f t="shared" ref="X31" si="701">IF(X27="","",W31)</f>
        <v/>
      </c>
      <c r="Y31" s="16" t="str">
        <f t="shared" ref="Y31" si="702">IF(Y27="","",X31)</f>
        <v/>
      </c>
      <c r="Z31" s="16" t="str">
        <f t="shared" ref="Z31" si="703">IF(Z27="","",Y31)</f>
        <v/>
      </c>
      <c r="AA31" s="16" t="str">
        <f t="shared" ref="AA31" si="704">IF(AA27="","",Z31)</f>
        <v/>
      </c>
      <c r="AB31" s="16" t="str">
        <f t="shared" ref="AB31" si="705">IF(AB27="","",AA31)</f>
        <v/>
      </c>
      <c r="AC31" s="16" t="str">
        <f t="shared" ref="AC31" si="706">IF(AC27="","",AB31)</f>
        <v/>
      </c>
      <c r="AD31" s="16" t="str">
        <f t="shared" ref="AD31" si="707">IF(AD27="","",AC31)</f>
        <v/>
      </c>
      <c r="AE31" s="16" t="str">
        <f t="shared" ref="AE31" si="708">IF(AE27="","",AD31)</f>
        <v/>
      </c>
      <c r="AF31" s="16" t="str">
        <f t="shared" ref="AF31" si="709">IF(AF27="","",AE31)</f>
        <v/>
      </c>
      <c r="AG31" s="16" t="str">
        <f t="shared" ref="AG31" si="710">IF(AG27="","",AF31)</f>
        <v/>
      </c>
      <c r="AH31" s="16" t="str">
        <f t="shared" ref="AH31" si="711">IF(AH27="","",AG31)</f>
        <v/>
      </c>
      <c r="AI31" s="16" t="str">
        <f t="shared" ref="AI31" si="712">IF(AI27="","",AH31)</f>
        <v/>
      </c>
      <c r="AJ31" s="16" t="str">
        <f t="shared" ref="AJ31" si="713">IF(AJ27="","",AI31)</f>
        <v/>
      </c>
      <c r="AK31" s="16" t="str">
        <f t="shared" ref="AK31" si="714">IF(AK27="","",AJ31)</f>
        <v/>
      </c>
      <c r="AL31" s="16" t="str">
        <f t="shared" ref="AL31" si="715">IF(AL27="","",AK31)</f>
        <v/>
      </c>
      <c r="AM31" s="16" t="str">
        <f t="shared" ref="AM31" si="716">IF(AM27="","",AL31)</f>
        <v/>
      </c>
      <c r="AN31" s="16" t="str">
        <f t="shared" ref="AN31" si="717">IF(AN27="","",AM31)</f>
        <v/>
      </c>
      <c r="AO31" s="16" t="str">
        <f t="shared" ref="AO31" si="718">IF(AO27="","",AN31)</f>
        <v/>
      </c>
      <c r="AP31" s="16" t="str">
        <f t="shared" ref="AP31" si="719">IF(AP27="","",AO31)</f>
        <v/>
      </c>
      <c r="AQ31" s="16" t="str">
        <f t="shared" ref="AQ31" si="720">IF(AQ27="","",AP31)</f>
        <v/>
      </c>
      <c r="AR31" s="16" t="str">
        <f t="shared" ref="AR31" si="721">IF(AR27="","",AQ31)</f>
        <v/>
      </c>
      <c r="AS31" s="16" t="str">
        <f t="shared" ref="AS31" si="722">IF(AS27="","",AR31)</f>
        <v/>
      </c>
      <c r="AT31" s="16" t="str">
        <f t="shared" ref="AT31" si="723">IF(AT27="","",AS31)</f>
        <v/>
      </c>
      <c r="AU31" s="16" t="str">
        <f t="shared" ref="AU31" si="724">IF(AU27="","",AT31)</f>
        <v/>
      </c>
      <c r="AV31" s="16" t="str">
        <f t="shared" ref="AS31:BC31" si="725">IF(AV27="","",AU31)</f>
        <v/>
      </c>
      <c r="AW31" s="16" t="str">
        <f t="shared" si="725"/>
        <v/>
      </c>
      <c r="AX31" s="16" t="str">
        <f t="shared" si="725"/>
        <v/>
      </c>
      <c r="AY31" s="16" t="str">
        <f t="shared" si="725"/>
        <v/>
      </c>
      <c r="AZ31" s="16" t="str">
        <f t="shared" si="725"/>
        <v/>
      </c>
      <c r="BA31" s="16" t="str">
        <f t="shared" si="725"/>
        <v/>
      </c>
      <c r="BB31" s="16" t="str">
        <f t="shared" si="725"/>
        <v/>
      </c>
      <c r="BC31" s="16" t="str">
        <f t="shared" si="725"/>
        <v/>
      </c>
    </row>
    <row r="32" spans="1:55" ht="11.25" customHeight="1" x14ac:dyDescent="0.2">
      <c r="A32" s="14" t="s">
        <v>9</v>
      </c>
      <c r="B32" s="17" t="s">
        <v>10</v>
      </c>
      <c r="C32" s="133" t="s">
        <v>260</v>
      </c>
      <c r="D32" s="18" t="str">
        <f t="shared" ref="D32" si="726">IF(D27="","",C32)</f>
        <v>サンリオデカぱっちん</v>
      </c>
      <c r="E32" s="18" t="str">
        <f t="shared" ref="E32" si="727">IF(E27="","",D32)</f>
        <v>サンリオデカぱっちん</v>
      </c>
      <c r="F32" s="18" t="str">
        <f t="shared" ref="F32" si="728">IF(F27="","",E32)</f>
        <v>サンリオデカぱっちん</v>
      </c>
      <c r="G32" s="197" t="str">
        <f t="shared" ref="G32" si="729">IF(G27="","",F32)</f>
        <v>サンリオデカぱっちん</v>
      </c>
      <c r="H32" s="18" t="str">
        <f t="shared" ref="H32" si="730">IF(H27="","",G32)</f>
        <v>サンリオデカぱっちん</v>
      </c>
      <c r="I32" s="18" t="str">
        <f t="shared" ref="I32" si="731">IF(I27="","",H32)</f>
        <v>サンリオデカぱっちん</v>
      </c>
      <c r="J32" s="197" t="str">
        <f t="shared" ref="J32" si="732">IF(J27="","",I32)</f>
        <v>サンリオデカぱっちん</v>
      </c>
      <c r="K32" s="18" t="str">
        <f t="shared" ref="K32" si="733">IF(K27="","",J32)</f>
        <v>サンリオデカぱっちん</v>
      </c>
      <c r="L32" s="18" t="str">
        <f t="shared" ref="L32" si="734">IF(L27="","",K32)</f>
        <v>サンリオデカぱっちん</v>
      </c>
      <c r="M32" s="18" t="str">
        <f t="shared" ref="M32" si="735">IF(M27="","",L32)</f>
        <v>サンリオデカぱっちん</v>
      </c>
      <c r="N32" s="197" t="str">
        <f t="shared" ref="N32" si="736">IF(N27="","",M32)</f>
        <v/>
      </c>
      <c r="O32" s="18" t="str">
        <f t="shared" ref="O32" si="737">IF(O27="","",N32)</f>
        <v/>
      </c>
      <c r="P32" s="18" t="str">
        <f t="shared" ref="P32" si="738">IF(P27="","",O32)</f>
        <v/>
      </c>
      <c r="Q32" s="18" t="str">
        <f t="shared" ref="Q32" si="739">IF(Q27="","",P32)</f>
        <v/>
      </c>
      <c r="R32" s="18" t="str">
        <f t="shared" ref="R32" si="740">IF(R27="","",Q32)</f>
        <v/>
      </c>
      <c r="S32" s="18" t="str">
        <f t="shared" ref="S32" si="741">IF(S27="","",R32)</f>
        <v/>
      </c>
      <c r="T32" s="18" t="str">
        <f t="shared" ref="T32" si="742">IF(T27="","",S32)</f>
        <v/>
      </c>
      <c r="U32" s="18" t="str">
        <f t="shared" ref="U32" si="743">IF(U27="","",T32)</f>
        <v/>
      </c>
      <c r="V32" s="18" t="str">
        <f t="shared" ref="V32" si="744">IF(V27="","",U32)</f>
        <v/>
      </c>
      <c r="W32" s="18" t="str">
        <f t="shared" ref="W32" si="745">IF(W27="","",V32)</f>
        <v/>
      </c>
      <c r="X32" s="18" t="str">
        <f t="shared" ref="X32" si="746">IF(X27="","",W32)</f>
        <v/>
      </c>
      <c r="Y32" s="18" t="str">
        <f t="shared" ref="Y32" si="747">IF(Y27="","",X32)</f>
        <v/>
      </c>
      <c r="Z32" s="18" t="str">
        <f t="shared" ref="Z32" si="748">IF(Z27="","",Y32)</f>
        <v/>
      </c>
      <c r="AA32" s="18" t="str">
        <f t="shared" ref="AA32" si="749">IF(AA27="","",Z32)</f>
        <v/>
      </c>
      <c r="AB32" s="18" t="str">
        <f t="shared" ref="AB32" si="750">IF(AB27="","",AA32)</f>
        <v/>
      </c>
      <c r="AC32" s="18" t="str">
        <f t="shared" ref="AC32" si="751">IF(AC27="","",AB32)</f>
        <v/>
      </c>
      <c r="AD32" s="18" t="str">
        <f t="shared" ref="AD32" si="752">IF(AD27="","",AC32)</f>
        <v/>
      </c>
      <c r="AE32" s="18" t="str">
        <f t="shared" ref="AE32" si="753">IF(AE27="","",AD32)</f>
        <v/>
      </c>
      <c r="AF32" s="18" t="str">
        <f t="shared" ref="AF32" si="754">IF(AF27="","",AE32)</f>
        <v/>
      </c>
      <c r="AG32" s="18" t="str">
        <f t="shared" ref="AG32" si="755">IF(AG27="","",AF32)</f>
        <v/>
      </c>
      <c r="AH32" s="18" t="str">
        <f t="shared" ref="AH32" si="756">IF(AH27="","",AG32)</f>
        <v/>
      </c>
      <c r="AI32" s="18" t="str">
        <f t="shared" ref="AI32" si="757">IF(AI27="","",AH32)</f>
        <v/>
      </c>
      <c r="AJ32" s="18" t="str">
        <f t="shared" ref="AJ32" si="758">IF(AJ27="","",AI32)</f>
        <v/>
      </c>
      <c r="AK32" s="18" t="str">
        <f t="shared" ref="AK32" si="759">IF(AK27="","",AJ32)</f>
        <v/>
      </c>
      <c r="AL32" s="18" t="str">
        <f t="shared" ref="AL32" si="760">IF(AL27="","",AK32)</f>
        <v/>
      </c>
      <c r="AM32" s="18" t="str">
        <f t="shared" ref="AM32" si="761">IF(AM27="","",AL32)</f>
        <v/>
      </c>
      <c r="AN32" s="18" t="str">
        <f t="shared" ref="AN32" si="762">IF(AN27="","",AM32)</f>
        <v/>
      </c>
      <c r="AO32" s="18" t="str">
        <f t="shared" ref="AO32" si="763">IF(AO27="","",AN32)</f>
        <v/>
      </c>
      <c r="AP32" s="18" t="str">
        <f t="shared" ref="AP32" si="764">IF(AP27="","",AO32)</f>
        <v/>
      </c>
      <c r="AQ32" s="18" t="str">
        <f t="shared" ref="AQ32" si="765">IF(AQ27="","",AP32)</f>
        <v/>
      </c>
      <c r="AR32" s="18" t="str">
        <f t="shared" ref="AR32" si="766">IF(AR27="","",AQ32)</f>
        <v/>
      </c>
      <c r="AS32" s="18" t="str">
        <f t="shared" ref="AS32" si="767">IF(AS27="","",AR32)</f>
        <v/>
      </c>
      <c r="AT32" s="18" t="str">
        <f t="shared" ref="AT32" si="768">IF(AT27="","",AS32)</f>
        <v/>
      </c>
      <c r="AU32" s="18" t="str">
        <f t="shared" ref="AU32" si="769">IF(AU27="","",AT32)</f>
        <v/>
      </c>
      <c r="AV32" s="18" t="str">
        <f t="shared" ref="AS32:BC32" si="770">IF(AV27="","",AU32)</f>
        <v/>
      </c>
      <c r="AW32" s="18" t="str">
        <f t="shared" si="770"/>
        <v/>
      </c>
      <c r="AX32" s="18" t="str">
        <f t="shared" si="770"/>
        <v/>
      </c>
      <c r="AY32" s="18" t="str">
        <f t="shared" si="770"/>
        <v/>
      </c>
      <c r="AZ32" s="18" t="str">
        <f t="shared" si="770"/>
        <v/>
      </c>
      <c r="BA32" s="18" t="str">
        <f t="shared" si="770"/>
        <v/>
      </c>
      <c r="BB32" s="18" t="str">
        <f t="shared" si="770"/>
        <v/>
      </c>
      <c r="BC32" s="18" t="str">
        <f t="shared" si="770"/>
        <v/>
      </c>
    </row>
    <row r="33" spans="1:55" ht="11.25" customHeight="1" x14ac:dyDescent="0.2">
      <c r="A33" s="15">
        <f>AVERAGE(C34:AS34)*30*100</f>
        <v>72818.181818181823</v>
      </c>
      <c r="B33" s="11" t="s">
        <v>12</v>
      </c>
      <c r="C33" s="123"/>
      <c r="D33" s="12"/>
      <c r="E33" s="12"/>
      <c r="F33" s="12"/>
      <c r="G33" s="195"/>
      <c r="H33" s="12"/>
      <c r="I33" s="12"/>
      <c r="J33" s="195"/>
      <c r="K33" s="12"/>
      <c r="L33" s="12"/>
      <c r="M33" s="12"/>
      <c r="N33" s="195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</row>
    <row r="34" spans="1:55" ht="11.25" customHeight="1" x14ac:dyDescent="0.2">
      <c r="A34" s="15">
        <f t="shared" ref="A34:A37" si="771">SUM(C34:AS34)</f>
        <v>267</v>
      </c>
      <c r="B34" s="19" t="s">
        <v>13</v>
      </c>
      <c r="C34" s="123">
        <v>0</v>
      </c>
      <c r="D34" s="20">
        <f t="shared" ref="D34:D35" si="772">IF(D27="","",D27-C27)</f>
        <v>0</v>
      </c>
      <c r="E34" s="20">
        <f t="shared" ref="E34:E35" si="773">IF(E27="","",E27-D27)</f>
        <v>0</v>
      </c>
      <c r="F34" s="20">
        <f t="shared" ref="F34:F35" si="774">IF(F27="","",F27-E27)</f>
        <v>226</v>
      </c>
      <c r="G34" s="195">
        <f t="shared" ref="G34:G35" si="775">IF(G27="","",G27-F27)</f>
        <v>0</v>
      </c>
      <c r="H34" s="20">
        <f t="shared" ref="H34:H35" si="776">IF(H27="","",H27-G27)</f>
        <v>0</v>
      </c>
      <c r="I34" s="20">
        <f t="shared" ref="I34:I35" si="777">IF(I27="","",I27-H27)</f>
        <v>41</v>
      </c>
      <c r="J34" s="195">
        <f t="shared" ref="J34:J35" si="778">IF(J27="","",J27-I27)</f>
        <v>0</v>
      </c>
      <c r="K34" s="20">
        <f t="shared" ref="K34:K35" si="779">IF(K27="","",K27-J27)</f>
        <v>0</v>
      </c>
      <c r="L34" s="20">
        <f t="shared" ref="L34:L35" si="780">IF(L27="","",L27-K27)</f>
        <v>0</v>
      </c>
      <c r="M34" s="20">
        <f t="shared" ref="M34:M35" si="781">IF(M27="","",M27-L27)</f>
        <v>0</v>
      </c>
      <c r="N34" s="195" t="str">
        <f t="shared" ref="N34:N35" si="782">IF(N27="","",N27-M27)</f>
        <v/>
      </c>
      <c r="O34" s="20" t="str">
        <f t="shared" ref="O34:O35" si="783">IF(O27="","",O27-N27)</f>
        <v/>
      </c>
      <c r="P34" s="20" t="str">
        <f t="shared" ref="P34:P35" si="784">IF(P27="","",P27-O27)</f>
        <v/>
      </c>
      <c r="Q34" s="20" t="str">
        <f t="shared" ref="Q34:Q35" si="785">IF(Q27="","",Q27-P27)</f>
        <v/>
      </c>
      <c r="R34" s="20" t="str">
        <f t="shared" ref="R34:R35" si="786">IF(R27="","",R27-Q27)</f>
        <v/>
      </c>
      <c r="S34" s="20" t="str">
        <f t="shared" ref="S34:S35" si="787">IF(S27="","",S27-R27)</f>
        <v/>
      </c>
      <c r="T34" s="20" t="str">
        <f t="shared" ref="T34:T35" si="788">IF(T27="","",T27-S27)</f>
        <v/>
      </c>
      <c r="U34" s="20" t="str">
        <f t="shared" ref="U34:U35" si="789">IF(U27="","",U27-T27)</f>
        <v/>
      </c>
      <c r="V34" s="20" t="str">
        <f t="shared" ref="V34:V35" si="790">IF(V27="","",V27-U27)</f>
        <v/>
      </c>
      <c r="W34" s="20" t="str">
        <f t="shared" ref="W34:W35" si="791">IF(W27="","",W27-V27)</f>
        <v/>
      </c>
      <c r="X34" s="20" t="str">
        <f t="shared" ref="X34:X35" si="792">IF(X27="","",X27-W27)</f>
        <v/>
      </c>
      <c r="Y34" s="20" t="str">
        <f t="shared" ref="Y34:Y35" si="793">IF(Y27="","",Y27-X27)</f>
        <v/>
      </c>
      <c r="Z34" s="20" t="str">
        <f t="shared" ref="Z34:Z35" si="794">IF(Z27="","",Z27-Y27)</f>
        <v/>
      </c>
      <c r="AA34" s="20" t="str">
        <f t="shared" ref="AA34:AA35" si="795">IF(AA27="","",AA27-Z27)</f>
        <v/>
      </c>
      <c r="AB34" s="20" t="str">
        <f t="shared" ref="AB34:AB35" si="796">IF(AB27="","",AB27-AA27)</f>
        <v/>
      </c>
      <c r="AC34" s="20" t="str">
        <f t="shared" ref="AC34:AC35" si="797">IF(AC27="","",AC27-AB27)</f>
        <v/>
      </c>
      <c r="AD34" s="20" t="str">
        <f t="shared" ref="AD34:AD35" si="798">IF(AD27="","",AD27-AC27)</f>
        <v/>
      </c>
      <c r="AE34" s="20" t="str">
        <f t="shared" ref="AE34:AE35" si="799">IF(AE27="","",AE27-AD27)</f>
        <v/>
      </c>
      <c r="AF34" s="20" t="str">
        <f t="shared" ref="AF34:AF35" si="800">IF(AF27="","",AF27-AE27)</f>
        <v/>
      </c>
      <c r="AG34" s="20" t="str">
        <f t="shared" ref="AG34:AG35" si="801">IF(AG27="","",AG27-AF27)</f>
        <v/>
      </c>
      <c r="AH34" s="20" t="str">
        <f t="shared" ref="AH34:AH35" si="802">IF(AH27="","",AH27-AG27)</f>
        <v/>
      </c>
      <c r="AI34" s="20" t="str">
        <f t="shared" ref="AI34:AI35" si="803">IF(AI27="","",AI27-AH27)</f>
        <v/>
      </c>
      <c r="AJ34" s="20" t="str">
        <f t="shared" ref="AJ34:AJ35" si="804">IF(AJ27="","",AJ27-AI27)</f>
        <v/>
      </c>
      <c r="AK34" s="20" t="str">
        <f t="shared" ref="AK34:AK35" si="805">IF(AK27="","",AK27-AJ27)</f>
        <v/>
      </c>
      <c r="AL34" s="20" t="str">
        <f t="shared" ref="AL34:AL35" si="806">IF(AL27="","",AL27-AK27)</f>
        <v/>
      </c>
      <c r="AM34" s="20" t="str">
        <f t="shared" ref="AM34:AM35" si="807">IF(AM27="","",AM27-AL27)</f>
        <v/>
      </c>
      <c r="AN34" s="20" t="str">
        <f t="shared" ref="AN34:AN35" si="808">IF(AN27="","",AN27-AM27)</f>
        <v/>
      </c>
      <c r="AO34" s="20" t="str">
        <f t="shared" ref="AO34:AO35" si="809">IF(AO27="","",AO27-AN27)</f>
        <v/>
      </c>
      <c r="AP34" s="20" t="str">
        <f t="shared" ref="AP34:AP35" si="810">IF(AP27="","",AP27-AO27)</f>
        <v/>
      </c>
      <c r="AQ34" s="20" t="str">
        <f t="shared" ref="AQ34:AQ35" si="811">IF(AQ27="","",AQ27-AP27)</f>
        <v/>
      </c>
      <c r="AR34" s="20" t="str">
        <f t="shared" ref="AR34:AR35" si="812">IF(AR27="","",AR27-AQ27)</f>
        <v/>
      </c>
      <c r="AS34" s="20" t="str">
        <f t="shared" ref="AS34:AS35" si="813">IF(AS27="","",AS27-AR27)</f>
        <v/>
      </c>
      <c r="AT34" s="20" t="str">
        <f t="shared" ref="AT34:AT35" si="814">IF(AT27="","",AT27-AS27)</f>
        <v/>
      </c>
      <c r="AU34" s="20" t="str">
        <f t="shared" ref="AU34:AU35" si="815">IF(AU27="","",AU27-AT27)</f>
        <v/>
      </c>
      <c r="AV34" s="20" t="str">
        <f t="shared" ref="AS34:BC34" si="816">IF(AV27="","",AV27-AU27)</f>
        <v/>
      </c>
      <c r="AW34" s="20" t="str">
        <f t="shared" si="816"/>
        <v/>
      </c>
      <c r="AX34" s="20" t="str">
        <f t="shared" si="816"/>
        <v/>
      </c>
      <c r="AY34" s="20" t="str">
        <f t="shared" si="816"/>
        <v/>
      </c>
      <c r="AZ34" s="20" t="str">
        <f t="shared" si="816"/>
        <v/>
      </c>
      <c r="BA34" s="20" t="str">
        <f t="shared" si="816"/>
        <v/>
      </c>
      <c r="BB34" s="20" t="str">
        <f t="shared" si="816"/>
        <v/>
      </c>
      <c r="BC34" s="20" t="str">
        <f t="shared" si="816"/>
        <v/>
      </c>
    </row>
    <row r="35" spans="1:55" ht="11.25" customHeight="1" x14ac:dyDescent="0.2">
      <c r="A35" s="15">
        <f t="shared" si="771"/>
        <v>16</v>
      </c>
      <c r="B35" s="19" t="s">
        <v>14</v>
      </c>
      <c r="C35" s="123">
        <v>0</v>
      </c>
      <c r="D35" s="20">
        <f t="shared" si="772"/>
        <v>0</v>
      </c>
      <c r="E35" s="20">
        <f t="shared" si="773"/>
        <v>0</v>
      </c>
      <c r="F35" s="20">
        <f t="shared" si="774"/>
        <v>10</v>
      </c>
      <c r="G35" s="195">
        <f t="shared" si="775"/>
        <v>0</v>
      </c>
      <c r="H35" s="20">
        <f t="shared" si="776"/>
        <v>0</v>
      </c>
      <c r="I35" s="20">
        <f t="shared" si="777"/>
        <v>6</v>
      </c>
      <c r="J35" s="195">
        <f t="shared" si="778"/>
        <v>0</v>
      </c>
      <c r="K35" s="20">
        <f t="shared" si="779"/>
        <v>0</v>
      </c>
      <c r="L35" s="20">
        <f t="shared" si="780"/>
        <v>0</v>
      </c>
      <c r="M35" s="20">
        <f t="shared" si="781"/>
        <v>0</v>
      </c>
      <c r="N35" s="195" t="str">
        <f t="shared" si="782"/>
        <v/>
      </c>
      <c r="O35" s="20" t="str">
        <f t="shared" si="783"/>
        <v/>
      </c>
      <c r="P35" s="20" t="str">
        <f t="shared" si="784"/>
        <v/>
      </c>
      <c r="Q35" s="20" t="str">
        <f t="shared" si="785"/>
        <v/>
      </c>
      <c r="R35" s="20" t="str">
        <f t="shared" si="786"/>
        <v/>
      </c>
      <c r="S35" s="20" t="str">
        <f t="shared" si="787"/>
        <v/>
      </c>
      <c r="T35" s="20" t="str">
        <f t="shared" si="788"/>
        <v/>
      </c>
      <c r="U35" s="20" t="str">
        <f t="shared" si="789"/>
        <v/>
      </c>
      <c r="V35" s="20" t="str">
        <f t="shared" si="790"/>
        <v/>
      </c>
      <c r="W35" s="20" t="str">
        <f t="shared" si="791"/>
        <v/>
      </c>
      <c r="X35" s="20" t="str">
        <f t="shared" si="792"/>
        <v/>
      </c>
      <c r="Y35" s="20" t="str">
        <f t="shared" si="793"/>
        <v/>
      </c>
      <c r="Z35" s="20" t="str">
        <f t="shared" si="794"/>
        <v/>
      </c>
      <c r="AA35" s="20" t="str">
        <f t="shared" si="795"/>
        <v/>
      </c>
      <c r="AB35" s="20" t="str">
        <f t="shared" si="796"/>
        <v/>
      </c>
      <c r="AC35" s="20" t="str">
        <f t="shared" si="797"/>
        <v/>
      </c>
      <c r="AD35" s="20" t="str">
        <f t="shared" si="798"/>
        <v/>
      </c>
      <c r="AE35" s="20" t="str">
        <f t="shared" si="799"/>
        <v/>
      </c>
      <c r="AF35" s="20" t="str">
        <f t="shared" si="800"/>
        <v/>
      </c>
      <c r="AG35" s="20" t="str">
        <f t="shared" si="801"/>
        <v/>
      </c>
      <c r="AH35" s="20" t="str">
        <f t="shared" si="802"/>
        <v/>
      </c>
      <c r="AI35" s="20" t="str">
        <f t="shared" si="803"/>
        <v/>
      </c>
      <c r="AJ35" s="20" t="str">
        <f t="shared" si="804"/>
        <v/>
      </c>
      <c r="AK35" s="20" t="str">
        <f t="shared" si="805"/>
        <v/>
      </c>
      <c r="AL35" s="20" t="str">
        <f t="shared" si="806"/>
        <v/>
      </c>
      <c r="AM35" s="20" t="str">
        <f t="shared" si="807"/>
        <v/>
      </c>
      <c r="AN35" s="20" t="str">
        <f t="shared" si="808"/>
        <v/>
      </c>
      <c r="AO35" s="20" t="str">
        <f t="shared" si="809"/>
        <v/>
      </c>
      <c r="AP35" s="20" t="str">
        <f t="shared" si="810"/>
        <v/>
      </c>
      <c r="AQ35" s="20" t="str">
        <f t="shared" si="811"/>
        <v/>
      </c>
      <c r="AR35" s="20" t="str">
        <f t="shared" si="812"/>
        <v/>
      </c>
      <c r="AS35" s="20" t="str">
        <f t="shared" si="813"/>
        <v/>
      </c>
      <c r="AT35" s="20" t="str">
        <f t="shared" si="814"/>
        <v/>
      </c>
      <c r="AU35" s="20" t="str">
        <f t="shared" si="815"/>
        <v/>
      </c>
      <c r="AV35" s="20" t="str">
        <f t="shared" ref="AS35:BC35" si="817">IF(AV28="","",AV28-AU28)</f>
        <v/>
      </c>
      <c r="AW35" s="20" t="str">
        <f t="shared" si="817"/>
        <v/>
      </c>
      <c r="AX35" s="20" t="str">
        <f t="shared" si="817"/>
        <v/>
      </c>
      <c r="AY35" s="20" t="str">
        <f t="shared" si="817"/>
        <v/>
      </c>
      <c r="AZ35" s="20" t="str">
        <f t="shared" si="817"/>
        <v/>
      </c>
      <c r="BA35" s="20" t="str">
        <f t="shared" si="817"/>
        <v/>
      </c>
      <c r="BB35" s="20" t="str">
        <f t="shared" si="817"/>
        <v/>
      </c>
      <c r="BC35" s="20" t="str">
        <f t="shared" si="817"/>
        <v/>
      </c>
    </row>
    <row r="36" spans="1:55" ht="11.25" customHeight="1" x14ac:dyDescent="0.2">
      <c r="A36" s="15">
        <f t="shared" si="771"/>
        <v>1</v>
      </c>
      <c r="B36" s="19" t="s">
        <v>15</v>
      </c>
      <c r="C36" s="123">
        <v>0</v>
      </c>
      <c r="D36" s="20">
        <f t="shared" ref="D36" si="818">IF(D29="","",C29+C30-D29)</f>
        <v>0</v>
      </c>
      <c r="E36" s="20">
        <f t="shared" ref="E36" si="819">IF(E29="","",D29+D30-E29)</f>
        <v>0</v>
      </c>
      <c r="F36" s="20">
        <f t="shared" ref="F36" si="820">IF(F29="","",E29+E30-F29)</f>
        <v>0</v>
      </c>
      <c r="G36" s="195">
        <f t="shared" ref="G36" si="821">IF(G29="","",F29+F30-G29)</f>
        <v>0</v>
      </c>
      <c r="H36" s="20">
        <f t="shared" ref="H36" si="822">IF(H29="","",G29+G30-H29)</f>
        <v>0</v>
      </c>
      <c r="I36" s="20">
        <f t="shared" ref="I36" si="823">IF(I29="","",H29+H30-I29)</f>
        <v>1</v>
      </c>
      <c r="J36" s="195">
        <f t="shared" ref="J36" si="824">IF(J29="","",I29+I30-J29)</f>
        <v>0</v>
      </c>
      <c r="K36" s="20">
        <f t="shared" ref="K36" si="825">IF(K29="","",J29+J30-K29)</f>
        <v>0</v>
      </c>
      <c r="L36" s="20">
        <f t="shared" ref="L36" si="826">IF(L29="","",K29+K30-L29)</f>
        <v>0</v>
      </c>
      <c r="M36" s="20">
        <f t="shared" ref="M36" si="827">IF(M29="","",L29+L30-M29)</f>
        <v>0</v>
      </c>
      <c r="N36" s="195" t="str">
        <f t="shared" ref="N36" si="828">IF(N29="","",M29+M30-N29)</f>
        <v/>
      </c>
      <c r="O36" s="20" t="str">
        <f t="shared" ref="O36" si="829">IF(O29="","",N29+N30-O29)</f>
        <v/>
      </c>
      <c r="P36" s="20" t="str">
        <f t="shared" ref="P36" si="830">IF(P29="","",O29+O30-P29)</f>
        <v/>
      </c>
      <c r="Q36" s="20" t="str">
        <f t="shared" ref="Q36" si="831">IF(Q29="","",P29+P30-Q29)</f>
        <v/>
      </c>
      <c r="R36" s="20" t="str">
        <f t="shared" ref="R36" si="832">IF(R29="","",Q29+Q30-R29)</f>
        <v/>
      </c>
      <c r="S36" s="20" t="str">
        <f t="shared" ref="S36" si="833">IF(S29="","",R29+R30-S29)</f>
        <v/>
      </c>
      <c r="T36" s="20" t="str">
        <f t="shared" ref="T36" si="834">IF(T29="","",S29+S30-T29)</f>
        <v/>
      </c>
      <c r="U36" s="20" t="str">
        <f t="shared" ref="U36" si="835">IF(U29="","",T29+T30-U29)</f>
        <v/>
      </c>
      <c r="V36" s="20" t="str">
        <f t="shared" ref="V36" si="836">IF(V29="","",U29+U30-V29)</f>
        <v/>
      </c>
      <c r="W36" s="20" t="str">
        <f t="shared" ref="W36" si="837">IF(W29="","",V29+V30-W29)</f>
        <v/>
      </c>
      <c r="X36" s="20" t="str">
        <f t="shared" ref="X36" si="838">IF(X29="","",W29+W30-X29)</f>
        <v/>
      </c>
      <c r="Y36" s="20" t="str">
        <f t="shared" ref="Y36" si="839">IF(Y29="","",X29+X30-Y29)</f>
        <v/>
      </c>
      <c r="Z36" s="20" t="str">
        <f t="shared" ref="Z36" si="840">IF(Z29="","",Y29+Y30-Z29)</f>
        <v/>
      </c>
      <c r="AA36" s="20" t="str">
        <f t="shared" ref="AA36" si="841">IF(AA29="","",Z29+Z30-AA29)</f>
        <v/>
      </c>
      <c r="AB36" s="20" t="str">
        <f t="shared" ref="AB36" si="842">IF(AB29="","",AA29+AA30-AB29)</f>
        <v/>
      </c>
      <c r="AC36" s="20" t="str">
        <f t="shared" ref="AC36" si="843">IF(AC29="","",AB29+AB30-AC29)</f>
        <v/>
      </c>
      <c r="AD36" s="20" t="str">
        <f t="shared" ref="AD36" si="844">IF(AD29="","",AC29+AC30-AD29)</f>
        <v/>
      </c>
      <c r="AE36" s="20" t="str">
        <f t="shared" ref="AE36" si="845">IF(AE29="","",AD29+AD30-AE29)</f>
        <v/>
      </c>
      <c r="AF36" s="20" t="str">
        <f t="shared" ref="AF36" si="846">IF(AF29="","",AE29+AE30-AF29)</f>
        <v/>
      </c>
      <c r="AG36" s="20" t="str">
        <f t="shared" ref="AG36" si="847">IF(AG29="","",AF29+AF30-AG29)</f>
        <v/>
      </c>
      <c r="AH36" s="20" t="str">
        <f t="shared" ref="AH36" si="848">IF(AH29="","",AG29+AG30-AH29)</f>
        <v/>
      </c>
      <c r="AI36" s="20" t="str">
        <f t="shared" ref="AI36" si="849">IF(AI29="","",AH29+AH30-AI29)</f>
        <v/>
      </c>
      <c r="AJ36" s="20" t="str">
        <f t="shared" ref="AJ36" si="850">IF(AJ29="","",AI29+AI30-AJ29)</f>
        <v/>
      </c>
      <c r="AK36" s="20" t="str">
        <f t="shared" ref="AK36" si="851">IF(AK29="","",AJ29+AJ30-AK29)</f>
        <v/>
      </c>
      <c r="AL36" s="20" t="str">
        <f t="shared" ref="AL36" si="852">IF(AL29="","",AK29+AK30-AL29)</f>
        <v/>
      </c>
      <c r="AM36" s="20" t="str">
        <f t="shared" ref="AM36" si="853">IF(AM29="","",AL29+AL30-AM29)</f>
        <v/>
      </c>
      <c r="AN36" s="20" t="str">
        <f t="shared" ref="AN36" si="854">IF(AN29="","",AM29+AM30-AN29)</f>
        <v/>
      </c>
      <c r="AO36" s="20" t="str">
        <f t="shared" ref="AO36" si="855">IF(AO29="","",AN29+AN30-AO29)</f>
        <v/>
      </c>
      <c r="AP36" s="20" t="str">
        <f t="shared" ref="AP36" si="856">IF(AP29="","",AO29+AO30-AP29)</f>
        <v/>
      </c>
      <c r="AQ36" s="20" t="str">
        <f t="shared" ref="AQ36" si="857">IF(AQ29="","",AP29+AP30-AQ29)</f>
        <v/>
      </c>
      <c r="AR36" s="20" t="str">
        <f t="shared" ref="AR36" si="858">IF(AR29="","",AQ29+AQ30-AR29)</f>
        <v/>
      </c>
      <c r="AS36" s="20" t="str">
        <f t="shared" ref="AS36" si="859">IF(AS29="","",AR29+AR30-AS29)</f>
        <v/>
      </c>
      <c r="AT36" s="20" t="str">
        <f t="shared" ref="AT36" si="860">IF(AT29="","",AS29+AS30-AT29)</f>
        <v/>
      </c>
      <c r="AU36" s="20" t="str">
        <f t="shared" ref="AU36" si="861">IF(AU29="","",AT29+AT30-AU29)</f>
        <v/>
      </c>
      <c r="AV36" s="20" t="str">
        <f t="shared" ref="AS36:BC36" si="862">IF(AV29="","",AU29+AU30-AV29)</f>
        <v/>
      </c>
      <c r="AW36" s="20" t="str">
        <f t="shared" si="862"/>
        <v/>
      </c>
      <c r="AX36" s="20" t="str">
        <f t="shared" si="862"/>
        <v/>
      </c>
      <c r="AY36" s="20" t="str">
        <f t="shared" si="862"/>
        <v/>
      </c>
      <c r="AZ36" s="20" t="str">
        <f t="shared" si="862"/>
        <v/>
      </c>
      <c r="BA36" s="20" t="str">
        <f t="shared" si="862"/>
        <v/>
      </c>
      <c r="BB36" s="20" t="str">
        <f t="shared" si="862"/>
        <v/>
      </c>
      <c r="BC36" s="20" t="str">
        <f t="shared" si="862"/>
        <v/>
      </c>
    </row>
    <row r="37" spans="1:55" ht="11.25" customHeight="1" x14ac:dyDescent="0.2">
      <c r="A37" s="15">
        <f t="shared" si="771"/>
        <v>500</v>
      </c>
      <c r="B37" s="19" t="s">
        <v>16</v>
      </c>
      <c r="C37" s="123">
        <v>0</v>
      </c>
      <c r="D37" s="20">
        <f t="shared" ref="D37:AU37" si="863">IF(D27="","",D36*D31)</f>
        <v>0</v>
      </c>
      <c r="E37" s="20">
        <f t="shared" si="863"/>
        <v>0</v>
      </c>
      <c r="F37" s="20">
        <f t="shared" si="863"/>
        <v>0</v>
      </c>
      <c r="G37" s="195">
        <f t="shared" si="863"/>
        <v>0</v>
      </c>
      <c r="H37" s="20">
        <f t="shared" si="863"/>
        <v>0</v>
      </c>
      <c r="I37" s="20">
        <f t="shared" si="863"/>
        <v>500</v>
      </c>
      <c r="J37" s="195">
        <f t="shared" si="863"/>
        <v>0</v>
      </c>
      <c r="K37" s="20">
        <f t="shared" si="863"/>
        <v>0</v>
      </c>
      <c r="L37" s="20">
        <f t="shared" si="863"/>
        <v>0</v>
      </c>
      <c r="M37" s="20">
        <f t="shared" si="863"/>
        <v>0</v>
      </c>
      <c r="N37" s="195" t="str">
        <f t="shared" si="863"/>
        <v/>
      </c>
      <c r="O37" s="20" t="str">
        <f t="shared" si="863"/>
        <v/>
      </c>
      <c r="P37" s="20" t="str">
        <f t="shared" si="863"/>
        <v/>
      </c>
      <c r="Q37" s="20" t="str">
        <f t="shared" si="863"/>
        <v/>
      </c>
      <c r="R37" s="20" t="str">
        <f t="shared" si="863"/>
        <v/>
      </c>
      <c r="S37" s="20" t="str">
        <f t="shared" si="863"/>
        <v/>
      </c>
      <c r="T37" s="20" t="str">
        <f t="shared" si="863"/>
        <v/>
      </c>
      <c r="U37" s="20" t="str">
        <f t="shared" si="863"/>
        <v/>
      </c>
      <c r="V37" s="20" t="str">
        <f t="shared" si="863"/>
        <v/>
      </c>
      <c r="W37" s="20" t="str">
        <f t="shared" si="863"/>
        <v/>
      </c>
      <c r="X37" s="20" t="str">
        <f t="shared" si="863"/>
        <v/>
      </c>
      <c r="Y37" s="20" t="str">
        <f t="shared" si="863"/>
        <v/>
      </c>
      <c r="Z37" s="20" t="str">
        <f t="shared" si="863"/>
        <v/>
      </c>
      <c r="AA37" s="20" t="str">
        <f t="shared" si="863"/>
        <v/>
      </c>
      <c r="AB37" s="20" t="str">
        <f t="shared" si="863"/>
        <v/>
      </c>
      <c r="AC37" s="20" t="str">
        <f t="shared" si="863"/>
        <v/>
      </c>
      <c r="AD37" s="20" t="str">
        <f t="shared" si="863"/>
        <v/>
      </c>
      <c r="AE37" s="20" t="str">
        <f t="shared" si="863"/>
        <v/>
      </c>
      <c r="AF37" s="20" t="str">
        <f t="shared" si="863"/>
        <v/>
      </c>
      <c r="AG37" s="20" t="str">
        <f t="shared" si="863"/>
        <v/>
      </c>
      <c r="AH37" s="20" t="str">
        <f t="shared" si="863"/>
        <v/>
      </c>
      <c r="AI37" s="20" t="str">
        <f t="shared" si="863"/>
        <v/>
      </c>
      <c r="AJ37" s="20" t="str">
        <f t="shared" si="863"/>
        <v/>
      </c>
      <c r="AK37" s="20" t="str">
        <f t="shared" si="863"/>
        <v/>
      </c>
      <c r="AL37" s="20" t="str">
        <f t="shared" si="863"/>
        <v/>
      </c>
      <c r="AM37" s="20" t="str">
        <f t="shared" si="863"/>
        <v/>
      </c>
      <c r="AN37" s="20" t="str">
        <f t="shared" si="863"/>
        <v/>
      </c>
      <c r="AO37" s="20" t="str">
        <f t="shared" si="863"/>
        <v/>
      </c>
      <c r="AP37" s="20" t="str">
        <f t="shared" si="863"/>
        <v/>
      </c>
      <c r="AQ37" s="20" t="str">
        <f t="shared" si="863"/>
        <v/>
      </c>
      <c r="AR37" s="20" t="str">
        <f t="shared" si="863"/>
        <v/>
      </c>
      <c r="AS37" s="20" t="str">
        <f t="shared" si="863"/>
        <v/>
      </c>
      <c r="AT37" s="20" t="str">
        <f t="shared" si="863"/>
        <v/>
      </c>
      <c r="AU37" s="20" t="str">
        <f t="shared" si="863"/>
        <v/>
      </c>
      <c r="AV37" s="20" t="str">
        <f t="shared" ref="AS37:BC37" si="864">IF(AV27="","",AV36*AV31)</f>
        <v/>
      </c>
      <c r="AW37" s="20" t="str">
        <f t="shared" si="864"/>
        <v/>
      </c>
      <c r="AX37" s="20" t="str">
        <f t="shared" si="864"/>
        <v/>
      </c>
      <c r="AY37" s="20" t="str">
        <f t="shared" si="864"/>
        <v/>
      </c>
      <c r="AZ37" s="20" t="str">
        <f t="shared" si="864"/>
        <v/>
      </c>
      <c r="BA37" s="20" t="str">
        <f t="shared" si="864"/>
        <v/>
      </c>
      <c r="BB37" s="20" t="str">
        <f t="shared" si="864"/>
        <v/>
      </c>
      <c r="BC37" s="20" t="str">
        <f t="shared" si="864"/>
        <v/>
      </c>
    </row>
    <row r="38" spans="1:55" ht="11.25" customHeight="1" x14ac:dyDescent="0.2">
      <c r="A38" s="21">
        <f>IF(A37="","",A37/(A34*100))</f>
        <v>1.8726591760299626E-2</v>
      </c>
      <c r="B38" s="19" t="s">
        <v>17</v>
      </c>
      <c r="C38" s="146" t="s">
        <v>18</v>
      </c>
      <c r="D38" s="27" t="str">
        <f t="shared" ref="D38:AU38" si="865">IF(D37="","",IF(D37=0,"",D37/(D34*100)))</f>
        <v/>
      </c>
      <c r="E38" s="27" t="str">
        <f t="shared" si="865"/>
        <v/>
      </c>
      <c r="F38" s="27" t="str">
        <f t="shared" si="865"/>
        <v/>
      </c>
      <c r="G38" s="199" t="str">
        <f t="shared" si="865"/>
        <v/>
      </c>
      <c r="H38" s="27" t="str">
        <f t="shared" si="865"/>
        <v/>
      </c>
      <c r="I38" s="27">
        <f t="shared" si="865"/>
        <v>0.12195121951219512</v>
      </c>
      <c r="J38" s="199" t="str">
        <f t="shared" si="865"/>
        <v/>
      </c>
      <c r="K38" s="27" t="str">
        <f t="shared" si="865"/>
        <v/>
      </c>
      <c r="L38" s="27" t="str">
        <f t="shared" si="865"/>
        <v/>
      </c>
      <c r="M38" s="27" t="str">
        <f t="shared" si="865"/>
        <v/>
      </c>
      <c r="N38" s="199" t="str">
        <f t="shared" si="865"/>
        <v/>
      </c>
      <c r="O38" s="27" t="str">
        <f t="shared" si="865"/>
        <v/>
      </c>
      <c r="P38" s="27" t="str">
        <f t="shared" si="865"/>
        <v/>
      </c>
      <c r="Q38" s="27" t="str">
        <f t="shared" si="865"/>
        <v/>
      </c>
      <c r="R38" s="27" t="str">
        <f t="shared" si="865"/>
        <v/>
      </c>
      <c r="S38" s="27" t="str">
        <f t="shared" si="865"/>
        <v/>
      </c>
      <c r="T38" s="27" t="str">
        <f t="shared" si="865"/>
        <v/>
      </c>
      <c r="U38" s="27" t="str">
        <f t="shared" si="865"/>
        <v/>
      </c>
      <c r="V38" s="27" t="str">
        <f t="shared" si="865"/>
        <v/>
      </c>
      <c r="W38" s="27" t="str">
        <f t="shared" si="865"/>
        <v/>
      </c>
      <c r="X38" s="27" t="str">
        <f t="shared" si="865"/>
        <v/>
      </c>
      <c r="Y38" s="27" t="str">
        <f t="shared" si="865"/>
        <v/>
      </c>
      <c r="Z38" s="27" t="str">
        <f t="shared" si="865"/>
        <v/>
      </c>
      <c r="AA38" s="27" t="str">
        <f t="shared" si="865"/>
        <v/>
      </c>
      <c r="AB38" s="27" t="str">
        <f t="shared" si="865"/>
        <v/>
      </c>
      <c r="AC38" s="27" t="str">
        <f t="shared" si="865"/>
        <v/>
      </c>
      <c r="AD38" s="27" t="str">
        <f t="shared" si="865"/>
        <v/>
      </c>
      <c r="AE38" s="27" t="str">
        <f t="shared" si="865"/>
        <v/>
      </c>
      <c r="AF38" s="27" t="str">
        <f t="shared" si="865"/>
        <v/>
      </c>
      <c r="AG38" s="27" t="str">
        <f t="shared" si="865"/>
        <v/>
      </c>
      <c r="AH38" s="27" t="str">
        <f t="shared" si="865"/>
        <v/>
      </c>
      <c r="AI38" s="27" t="str">
        <f t="shared" si="865"/>
        <v/>
      </c>
      <c r="AJ38" s="27" t="str">
        <f t="shared" si="865"/>
        <v/>
      </c>
      <c r="AK38" s="27" t="str">
        <f t="shared" si="865"/>
        <v/>
      </c>
      <c r="AL38" s="27" t="str">
        <f t="shared" si="865"/>
        <v/>
      </c>
      <c r="AM38" s="27" t="str">
        <f t="shared" si="865"/>
        <v/>
      </c>
      <c r="AN38" s="27" t="str">
        <f t="shared" si="865"/>
        <v/>
      </c>
      <c r="AO38" s="27" t="str">
        <f t="shared" si="865"/>
        <v/>
      </c>
      <c r="AP38" s="27" t="str">
        <f t="shared" si="865"/>
        <v/>
      </c>
      <c r="AQ38" s="27" t="str">
        <f t="shared" si="865"/>
        <v/>
      </c>
      <c r="AR38" s="27" t="str">
        <f t="shared" si="865"/>
        <v/>
      </c>
      <c r="AS38" s="27" t="str">
        <f t="shared" si="865"/>
        <v/>
      </c>
      <c r="AT38" s="27" t="str">
        <f t="shared" si="865"/>
        <v/>
      </c>
      <c r="AU38" s="27" t="str">
        <f t="shared" si="865"/>
        <v/>
      </c>
      <c r="AV38" s="27" t="str">
        <f t="shared" ref="AS38:BC38" si="866">IF(AV37="","",IF(AV37=0,"",AV37/(AV34*100)))</f>
        <v/>
      </c>
      <c r="AW38" s="27" t="str">
        <f t="shared" si="866"/>
        <v/>
      </c>
      <c r="AX38" s="27" t="str">
        <f t="shared" si="866"/>
        <v/>
      </c>
      <c r="AY38" s="27" t="str">
        <f t="shared" si="866"/>
        <v/>
      </c>
      <c r="AZ38" s="27" t="str">
        <f t="shared" si="866"/>
        <v/>
      </c>
      <c r="BA38" s="27" t="str">
        <f t="shared" si="866"/>
        <v/>
      </c>
      <c r="BB38" s="27" t="str">
        <f t="shared" si="866"/>
        <v/>
      </c>
      <c r="BC38" s="27" t="str">
        <f t="shared" si="866"/>
        <v/>
      </c>
    </row>
    <row r="39" spans="1:55" ht="11.25" customHeight="1" x14ac:dyDescent="0.2">
      <c r="A39" s="28" t="s">
        <v>1</v>
      </c>
      <c r="B39" s="29" t="s">
        <v>2</v>
      </c>
      <c r="C39" s="129">
        <v>22220</v>
      </c>
      <c r="D39" s="16">
        <f t="shared" ref="D39:D40" si="867">IF(D$3="","",C39)</f>
        <v>22220</v>
      </c>
      <c r="E39" s="16">
        <f t="shared" ref="E39:E40" si="868">IF(E$3="","",D39)</f>
        <v>22220</v>
      </c>
      <c r="F39" s="16">
        <v>22301</v>
      </c>
      <c r="G39" s="196">
        <f t="shared" ref="G39:G40" si="869">IF(G$3="","",F39)</f>
        <v>22301</v>
      </c>
      <c r="H39" s="16">
        <f t="shared" ref="H39:H40" si="870">IF(H$3="","",G39)</f>
        <v>22301</v>
      </c>
      <c r="I39" s="16">
        <v>22382</v>
      </c>
      <c r="J39" s="196">
        <f t="shared" ref="J39:J40" si="871">IF(J$3="","",I39)</f>
        <v>22382</v>
      </c>
      <c r="K39" s="16">
        <f t="shared" ref="K39:K40" si="872">IF(K$3="","",J39)</f>
        <v>22382</v>
      </c>
      <c r="L39" s="16">
        <f t="shared" ref="L39:L40" si="873">IF(L$3="","",K39)</f>
        <v>22382</v>
      </c>
      <c r="M39" s="16">
        <f t="shared" ref="M39:M40" si="874">IF(M$3="","",L39)</f>
        <v>22382</v>
      </c>
      <c r="N39" s="196" t="str">
        <f t="shared" ref="N39:N40" si="875">IF(N$3="","",M39)</f>
        <v/>
      </c>
      <c r="O39" s="16" t="str">
        <f t="shared" ref="O39:O40" si="876">IF(O$3="","",N39)</f>
        <v/>
      </c>
      <c r="P39" s="16" t="str">
        <f t="shared" ref="P39:P40" si="877">IF(P$3="","",O39)</f>
        <v/>
      </c>
      <c r="Q39" s="16" t="str">
        <f t="shared" ref="Q39:Q40" si="878">IF(Q$3="","",P39)</f>
        <v/>
      </c>
      <c r="R39" s="16" t="str">
        <f t="shared" ref="R39:R40" si="879">IF(R$3="","",Q39)</f>
        <v/>
      </c>
      <c r="S39" s="16" t="str">
        <f t="shared" ref="S39:S40" si="880">IF(S$3="","",R39)</f>
        <v/>
      </c>
      <c r="T39" s="16" t="str">
        <f t="shared" ref="T39:T40" si="881">IF(T$3="","",S39)</f>
        <v/>
      </c>
      <c r="U39" s="16" t="str">
        <f t="shared" ref="U39:U40" si="882">IF(U$3="","",T39)</f>
        <v/>
      </c>
      <c r="V39" s="16" t="str">
        <f t="shared" ref="V39:V40" si="883">IF(V$3="","",U39)</f>
        <v/>
      </c>
      <c r="W39" s="16" t="str">
        <f t="shared" ref="W39:W40" si="884">IF(W$3="","",V39)</f>
        <v/>
      </c>
      <c r="X39" s="16" t="str">
        <f t="shared" ref="X39:X40" si="885">IF(X$3="","",W39)</f>
        <v/>
      </c>
      <c r="Y39" s="16" t="str">
        <f t="shared" ref="Y39:Y40" si="886">IF(Y$3="","",X39)</f>
        <v/>
      </c>
      <c r="Z39" s="16" t="str">
        <f t="shared" ref="Z39:Z40" si="887">IF(Z$3="","",Y39)</f>
        <v/>
      </c>
      <c r="AA39" s="16" t="str">
        <f t="shared" ref="AA39:AA40" si="888">IF(AA$3="","",Z39)</f>
        <v/>
      </c>
      <c r="AB39" s="16" t="str">
        <f t="shared" ref="AB39:AB40" si="889">IF(AB$3="","",AA39)</f>
        <v/>
      </c>
      <c r="AC39" s="16" t="str">
        <f t="shared" ref="AC39:AC40" si="890">IF(AC$3="","",AB39)</f>
        <v/>
      </c>
      <c r="AD39" s="16" t="str">
        <f t="shared" ref="AD39:AD40" si="891">IF(AD$3="","",AC39)</f>
        <v/>
      </c>
      <c r="AE39" s="16" t="str">
        <f t="shared" ref="AE39:AE40" si="892">IF(AE$3="","",AD39)</f>
        <v/>
      </c>
      <c r="AF39" s="16" t="str">
        <f t="shared" ref="AF39:AF40" si="893">IF(AF$3="","",AE39)</f>
        <v/>
      </c>
      <c r="AG39" s="16" t="str">
        <f t="shared" ref="AG39:AG40" si="894">IF(AG$3="","",AF39)</f>
        <v/>
      </c>
      <c r="AH39" s="16" t="str">
        <f t="shared" ref="AH39:AH40" si="895">IF(AH$3="","",AG39)</f>
        <v/>
      </c>
      <c r="AI39" s="16" t="str">
        <f t="shared" ref="AI39:AI40" si="896">IF(AI$3="","",AH39)</f>
        <v/>
      </c>
      <c r="AJ39" s="16" t="str">
        <f t="shared" ref="AJ39:AJ40" si="897">IF(AJ$3="","",AI39)</f>
        <v/>
      </c>
      <c r="AK39" s="16" t="str">
        <f t="shared" ref="AK39:AK40" si="898">IF(AK$3="","",AJ39)</f>
        <v/>
      </c>
      <c r="AL39" s="16" t="str">
        <f t="shared" ref="AL39:AL40" si="899">IF(AL$3="","",AK39)</f>
        <v/>
      </c>
      <c r="AM39" s="16" t="str">
        <f t="shared" ref="AM39:AM40" si="900">IF(AM$3="","",AL39)</f>
        <v/>
      </c>
      <c r="AN39" s="16" t="str">
        <f t="shared" ref="AN39:AN40" si="901">IF(AN$3="","",AM39)</f>
        <v/>
      </c>
      <c r="AO39" s="16" t="str">
        <f t="shared" ref="AO39:AO40" si="902">IF(AO$3="","",AN39)</f>
        <v/>
      </c>
      <c r="AP39" s="16" t="str">
        <f t="shared" ref="AP39:AP40" si="903">IF(AP$3="","",AO39)</f>
        <v/>
      </c>
      <c r="AQ39" s="16" t="str">
        <f t="shared" ref="AQ39:AQ40" si="904">IF(AQ$3="","",AP39)</f>
        <v/>
      </c>
      <c r="AR39" s="16" t="str">
        <f t="shared" ref="AR39:AR40" si="905">IF(AR$3="","",AQ39)</f>
        <v/>
      </c>
      <c r="AS39" s="16" t="str">
        <f t="shared" ref="AS39:AS40" si="906">IF(AS$3="","",AR39)</f>
        <v/>
      </c>
      <c r="AT39" s="16" t="str">
        <f t="shared" ref="AT39:AT40" si="907">IF(AT$3="","",AS39)</f>
        <v/>
      </c>
      <c r="AU39" s="16" t="str">
        <f t="shared" ref="AU39:AU40" si="908">IF(AU$3="","",AT39)</f>
        <v/>
      </c>
      <c r="AV39" s="16" t="str">
        <f t="shared" ref="AS39:BC39" si="909">IF(AV$3="","",AU39)</f>
        <v/>
      </c>
      <c r="AW39" s="16" t="str">
        <f t="shared" si="909"/>
        <v/>
      </c>
      <c r="AX39" s="16" t="str">
        <f t="shared" si="909"/>
        <v/>
      </c>
      <c r="AY39" s="16" t="str">
        <f t="shared" si="909"/>
        <v/>
      </c>
      <c r="AZ39" s="16" t="str">
        <f t="shared" si="909"/>
        <v/>
      </c>
      <c r="BA39" s="16" t="str">
        <f t="shared" si="909"/>
        <v/>
      </c>
      <c r="BB39" s="16" t="str">
        <f t="shared" si="909"/>
        <v/>
      </c>
      <c r="BC39" s="16" t="str">
        <f t="shared" si="909"/>
        <v/>
      </c>
    </row>
    <row r="40" spans="1:55" ht="11.25" customHeight="1" x14ac:dyDescent="0.2">
      <c r="A40" s="10" t="s">
        <v>19</v>
      </c>
      <c r="B40" s="11" t="s">
        <v>4</v>
      </c>
      <c r="C40" s="123">
        <v>1045</v>
      </c>
      <c r="D40" s="12">
        <f t="shared" si="867"/>
        <v>1045</v>
      </c>
      <c r="E40" s="12">
        <f t="shared" si="868"/>
        <v>1045</v>
      </c>
      <c r="F40" s="12">
        <v>1052</v>
      </c>
      <c r="G40" s="195">
        <f t="shared" si="869"/>
        <v>1052</v>
      </c>
      <c r="H40" s="12">
        <f t="shared" si="870"/>
        <v>1052</v>
      </c>
      <c r="I40" s="12">
        <v>1055</v>
      </c>
      <c r="J40" s="195">
        <f t="shared" si="871"/>
        <v>1055</v>
      </c>
      <c r="K40" s="12">
        <f t="shared" si="872"/>
        <v>1055</v>
      </c>
      <c r="L40" s="12">
        <f t="shared" si="873"/>
        <v>1055</v>
      </c>
      <c r="M40" s="12">
        <f t="shared" si="874"/>
        <v>1055</v>
      </c>
      <c r="N40" s="195" t="str">
        <f t="shared" si="875"/>
        <v/>
      </c>
      <c r="O40" s="12" t="str">
        <f t="shared" si="876"/>
        <v/>
      </c>
      <c r="P40" s="12" t="str">
        <f t="shared" si="877"/>
        <v/>
      </c>
      <c r="Q40" s="12" t="str">
        <f t="shared" si="878"/>
        <v/>
      </c>
      <c r="R40" s="12" t="str">
        <f t="shared" si="879"/>
        <v/>
      </c>
      <c r="S40" s="12" t="str">
        <f t="shared" si="880"/>
        <v/>
      </c>
      <c r="T40" s="12" t="str">
        <f t="shared" si="881"/>
        <v/>
      </c>
      <c r="U40" s="12" t="str">
        <f t="shared" si="882"/>
        <v/>
      </c>
      <c r="V40" s="12" t="str">
        <f t="shared" si="883"/>
        <v/>
      </c>
      <c r="W40" s="12" t="str">
        <f t="shared" si="884"/>
        <v/>
      </c>
      <c r="X40" s="12" t="str">
        <f t="shared" si="885"/>
        <v/>
      </c>
      <c r="Y40" s="12" t="str">
        <f t="shared" si="886"/>
        <v/>
      </c>
      <c r="Z40" s="12" t="str">
        <f t="shared" si="887"/>
        <v/>
      </c>
      <c r="AA40" s="12" t="str">
        <f t="shared" si="888"/>
        <v/>
      </c>
      <c r="AB40" s="12" t="str">
        <f t="shared" si="889"/>
        <v/>
      </c>
      <c r="AC40" s="12" t="str">
        <f t="shared" si="890"/>
        <v/>
      </c>
      <c r="AD40" s="12" t="str">
        <f t="shared" si="891"/>
        <v/>
      </c>
      <c r="AE40" s="12" t="str">
        <f t="shared" si="892"/>
        <v/>
      </c>
      <c r="AF40" s="12" t="str">
        <f t="shared" si="893"/>
        <v/>
      </c>
      <c r="AG40" s="12" t="str">
        <f t="shared" si="894"/>
        <v/>
      </c>
      <c r="AH40" s="12" t="str">
        <f t="shared" si="895"/>
        <v/>
      </c>
      <c r="AI40" s="12" t="str">
        <f t="shared" si="896"/>
        <v/>
      </c>
      <c r="AJ40" s="12" t="str">
        <f t="shared" si="897"/>
        <v/>
      </c>
      <c r="AK40" s="12" t="str">
        <f t="shared" si="898"/>
        <v/>
      </c>
      <c r="AL40" s="12" t="str">
        <f t="shared" si="899"/>
        <v/>
      </c>
      <c r="AM40" s="12" t="str">
        <f t="shared" si="900"/>
        <v/>
      </c>
      <c r="AN40" s="12" t="str">
        <f t="shared" si="901"/>
        <v/>
      </c>
      <c r="AO40" s="12" t="str">
        <f t="shared" si="902"/>
        <v/>
      </c>
      <c r="AP40" s="12" t="str">
        <f t="shared" si="903"/>
        <v/>
      </c>
      <c r="AQ40" s="12" t="str">
        <f t="shared" si="904"/>
        <v/>
      </c>
      <c r="AR40" s="12" t="str">
        <f t="shared" si="905"/>
        <v/>
      </c>
      <c r="AS40" s="12" t="str">
        <f t="shared" si="906"/>
        <v/>
      </c>
      <c r="AT40" s="12" t="str">
        <f t="shared" si="907"/>
        <v/>
      </c>
      <c r="AU40" s="12" t="str">
        <f t="shared" si="908"/>
        <v/>
      </c>
      <c r="AV40" s="12" t="str">
        <f t="shared" ref="AS40:BC40" si="910">IF(AV$3="","",AU40)</f>
        <v/>
      </c>
      <c r="AW40" s="12" t="str">
        <f t="shared" si="910"/>
        <v/>
      </c>
      <c r="AX40" s="12" t="str">
        <f t="shared" si="910"/>
        <v/>
      </c>
      <c r="AY40" s="12" t="str">
        <f t="shared" si="910"/>
        <v/>
      </c>
      <c r="AZ40" s="12" t="str">
        <f t="shared" si="910"/>
        <v/>
      </c>
      <c r="BA40" s="12" t="str">
        <f t="shared" si="910"/>
        <v/>
      </c>
      <c r="BB40" s="12" t="str">
        <f t="shared" si="910"/>
        <v/>
      </c>
      <c r="BC40" s="12" t="str">
        <f t="shared" si="910"/>
        <v/>
      </c>
    </row>
    <row r="41" spans="1:55" ht="11.25" customHeight="1" x14ac:dyDescent="0.25">
      <c r="A41" s="24">
        <v>3</v>
      </c>
      <c r="B41" s="11" t="s">
        <v>5</v>
      </c>
      <c r="C41" s="123">
        <v>67</v>
      </c>
      <c r="D41" s="12">
        <f t="shared" ref="D41" si="911">IF(D39="","",(C41+C42))</f>
        <v>67</v>
      </c>
      <c r="E41" s="12">
        <f t="shared" ref="E41" si="912">IF(E39="","",(D41+D42))</f>
        <v>67</v>
      </c>
      <c r="F41" s="12">
        <v>60</v>
      </c>
      <c r="G41" s="195">
        <f t="shared" ref="G41" si="913">IF(G39="","",(F41+F42))</f>
        <v>60</v>
      </c>
      <c r="H41" s="12">
        <f t="shared" ref="H41" si="914">IF(H39="","",(G41+G42))</f>
        <v>60</v>
      </c>
      <c r="I41" s="12">
        <v>57</v>
      </c>
      <c r="J41" s="195">
        <f t="shared" ref="J41" si="915">IF(J39="","",(I41+I42))</f>
        <v>57</v>
      </c>
      <c r="K41" s="12">
        <f t="shared" ref="K41" si="916">IF(K39="","",(J41+J42))</f>
        <v>57</v>
      </c>
      <c r="L41" s="12">
        <f t="shared" ref="L41" si="917">IF(L39="","",(K41+K42))</f>
        <v>57</v>
      </c>
      <c r="M41" s="12">
        <f t="shared" ref="M41" si="918">IF(M39="","",(L41+L42))</f>
        <v>57</v>
      </c>
      <c r="N41" s="195" t="str">
        <f t="shared" ref="N41" si="919">IF(N39="","",(M41+M42))</f>
        <v/>
      </c>
      <c r="O41" s="12" t="str">
        <f t="shared" ref="O41" si="920">IF(O39="","",(N41+N42))</f>
        <v/>
      </c>
      <c r="P41" s="12" t="str">
        <f t="shared" ref="P41" si="921">IF(P39="","",(O41+O42))</f>
        <v/>
      </c>
      <c r="Q41" s="12" t="str">
        <f t="shared" ref="Q41" si="922">IF(Q39="","",(P41+P42))</f>
        <v/>
      </c>
      <c r="R41" s="12" t="str">
        <f t="shared" ref="R41" si="923">IF(R39="","",(Q41+Q42))</f>
        <v/>
      </c>
      <c r="S41" s="12" t="str">
        <f t="shared" ref="S41" si="924">IF(S39="","",(R41+R42))</f>
        <v/>
      </c>
      <c r="T41" s="12" t="str">
        <f t="shared" ref="T41" si="925">IF(T39="","",(S41+S42))</f>
        <v/>
      </c>
      <c r="U41" s="12" t="str">
        <f t="shared" ref="U41" si="926">IF(U39="","",(T41+T42))</f>
        <v/>
      </c>
      <c r="V41" s="12" t="str">
        <f t="shared" ref="V41" si="927">IF(V39="","",(U41+U42))</f>
        <v/>
      </c>
      <c r="W41" s="12" t="str">
        <f t="shared" ref="W41" si="928">IF(W39="","",(V41+V42))</f>
        <v/>
      </c>
      <c r="X41" s="12" t="str">
        <f t="shared" ref="X41" si="929">IF(X39="","",(W41+W42))</f>
        <v/>
      </c>
      <c r="Y41" s="12" t="str">
        <f t="shared" ref="Y41" si="930">IF(Y39="","",(X41+X42))</f>
        <v/>
      </c>
      <c r="Z41" s="12" t="str">
        <f t="shared" ref="Z41" si="931">IF(Z39="","",(Y41+Y42))</f>
        <v/>
      </c>
      <c r="AA41" s="12" t="str">
        <f t="shared" ref="AA41" si="932">IF(AA39="","",(Z41+Z42))</f>
        <v/>
      </c>
      <c r="AB41" s="12" t="str">
        <f t="shared" ref="AB41" si="933">IF(AB39="","",(AA41+AA42))</f>
        <v/>
      </c>
      <c r="AC41" s="12" t="str">
        <f t="shared" ref="AC41" si="934">IF(AC39="","",(AB41+AB42))</f>
        <v/>
      </c>
      <c r="AD41" s="12" t="str">
        <f t="shared" ref="AD41" si="935">IF(AD39="","",(AC41+AC42))</f>
        <v/>
      </c>
      <c r="AE41" s="12" t="str">
        <f t="shared" ref="AE41" si="936">IF(AE39="","",(AD41+AD42))</f>
        <v/>
      </c>
      <c r="AF41" s="12" t="str">
        <f t="shared" ref="AF41" si="937">IF(AF39="","",(AE41+AE42))</f>
        <v/>
      </c>
      <c r="AG41" s="12" t="str">
        <f t="shared" ref="AG41" si="938">IF(AG39="","",(AF41+AF42))</f>
        <v/>
      </c>
      <c r="AH41" s="12" t="str">
        <f t="shared" ref="AH41" si="939">IF(AH39="","",(AG41+AG42))</f>
        <v/>
      </c>
      <c r="AI41" s="12" t="str">
        <f t="shared" ref="AI41" si="940">IF(AI39="","",(AH41+AH42))</f>
        <v/>
      </c>
      <c r="AJ41" s="12" t="str">
        <f t="shared" ref="AJ41" si="941">IF(AJ39="","",(AI41+AI42))</f>
        <v/>
      </c>
      <c r="AK41" s="12" t="str">
        <f t="shared" ref="AK41" si="942">IF(AK39="","",(AJ41+AJ42))</f>
        <v/>
      </c>
      <c r="AL41" s="12" t="str">
        <f t="shared" ref="AL41" si="943">IF(AL39="","",(AK41+AK42))</f>
        <v/>
      </c>
      <c r="AM41" s="12" t="str">
        <f t="shared" ref="AM41" si="944">IF(AM39="","",(AL41+AL42))</f>
        <v/>
      </c>
      <c r="AN41" s="12" t="str">
        <f t="shared" ref="AN41" si="945">IF(AN39="","",(AM41+AM42))</f>
        <v/>
      </c>
      <c r="AO41" s="12" t="str">
        <f t="shared" ref="AO41" si="946">IF(AO39="","",(AN41+AN42))</f>
        <v/>
      </c>
      <c r="AP41" s="12" t="str">
        <f t="shared" ref="AP41" si="947">IF(AP39="","",(AO41+AO42))</f>
        <v/>
      </c>
      <c r="AQ41" s="12" t="str">
        <f t="shared" ref="AQ41" si="948">IF(AQ39="","",(AP41+AP42))</f>
        <v/>
      </c>
      <c r="AR41" s="12" t="str">
        <f t="shared" ref="AR41" si="949">IF(AR39="","",(AQ41+AQ42))</f>
        <v/>
      </c>
      <c r="AS41" s="12" t="str">
        <f t="shared" ref="AS41" si="950">IF(AS39="","",(AR41+AR42))</f>
        <v/>
      </c>
      <c r="AT41" s="12" t="str">
        <f t="shared" ref="AT41" si="951">IF(AT39="","",(AS41+AS42))</f>
        <v/>
      </c>
      <c r="AU41" s="12" t="str">
        <f t="shared" ref="AU41" si="952">IF(AU39="","",(AT41+AT42))</f>
        <v/>
      </c>
      <c r="AV41" s="12" t="str">
        <f t="shared" ref="AS41:BC41" si="953">IF(AV39="","",(AU41+AU42))</f>
        <v/>
      </c>
      <c r="AW41" s="12" t="str">
        <f t="shared" si="953"/>
        <v/>
      </c>
      <c r="AX41" s="12" t="str">
        <f t="shared" si="953"/>
        <v/>
      </c>
      <c r="AY41" s="12" t="str">
        <f t="shared" si="953"/>
        <v/>
      </c>
      <c r="AZ41" s="12" t="str">
        <f t="shared" si="953"/>
        <v/>
      </c>
      <c r="BA41" s="12" t="str">
        <f t="shared" si="953"/>
        <v/>
      </c>
      <c r="BB41" s="12" t="str">
        <f t="shared" si="953"/>
        <v/>
      </c>
      <c r="BC41" s="12" t="str">
        <f t="shared" si="953"/>
        <v/>
      </c>
    </row>
    <row r="42" spans="1:55" ht="11.25" customHeight="1" x14ac:dyDescent="0.2">
      <c r="A42" s="14"/>
      <c r="B42" s="11" t="s">
        <v>6</v>
      </c>
      <c r="C42" s="123"/>
      <c r="D42" s="12"/>
      <c r="E42" s="12"/>
      <c r="F42" s="12"/>
      <c r="G42" s="195"/>
      <c r="H42" s="12"/>
      <c r="I42" s="12"/>
      <c r="J42" s="195"/>
      <c r="K42" s="12"/>
      <c r="L42" s="12"/>
      <c r="M42" s="12"/>
      <c r="N42" s="195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</row>
    <row r="43" spans="1:55" ht="11.25" customHeight="1" x14ac:dyDescent="0.2">
      <c r="A43" s="15"/>
      <c r="B43" s="11" t="s">
        <v>8</v>
      </c>
      <c r="C43" s="129">
        <v>240</v>
      </c>
      <c r="D43" s="16">
        <f t="shared" ref="D43" si="954">IF(D39="","",C43)</f>
        <v>240</v>
      </c>
      <c r="E43" s="16">
        <f t="shared" ref="E43" si="955">IF(E39="","",D43)</f>
        <v>240</v>
      </c>
      <c r="F43" s="16">
        <f t="shared" ref="F43" si="956">IF(F39="","",E43)</f>
        <v>240</v>
      </c>
      <c r="G43" s="196">
        <f t="shared" ref="G43" si="957">IF(G39="","",F43)</f>
        <v>240</v>
      </c>
      <c r="H43" s="16">
        <f t="shared" ref="H43" si="958">IF(H39="","",G43)</f>
        <v>240</v>
      </c>
      <c r="I43" s="16">
        <f t="shared" ref="I43" si="959">IF(I39="","",H43)</f>
        <v>240</v>
      </c>
      <c r="J43" s="196">
        <f t="shared" ref="J43" si="960">IF(J39="","",I43)</f>
        <v>240</v>
      </c>
      <c r="K43" s="16">
        <f t="shared" ref="K43" si="961">IF(K39="","",J43)</f>
        <v>240</v>
      </c>
      <c r="L43" s="16">
        <f t="shared" ref="L43" si="962">IF(L39="","",K43)</f>
        <v>240</v>
      </c>
      <c r="M43" s="16">
        <f t="shared" ref="M43" si="963">IF(M39="","",L43)</f>
        <v>240</v>
      </c>
      <c r="N43" s="196" t="str">
        <f t="shared" ref="N43" si="964">IF(N39="","",M43)</f>
        <v/>
      </c>
      <c r="O43" s="16" t="str">
        <f t="shared" ref="O43" si="965">IF(O39="","",N43)</f>
        <v/>
      </c>
      <c r="P43" s="16" t="str">
        <f t="shared" ref="P43" si="966">IF(P39="","",O43)</f>
        <v/>
      </c>
      <c r="Q43" s="16" t="str">
        <f t="shared" ref="Q43" si="967">IF(Q39="","",P43)</f>
        <v/>
      </c>
      <c r="R43" s="16" t="str">
        <f t="shared" ref="R43" si="968">IF(R39="","",Q43)</f>
        <v/>
      </c>
      <c r="S43" s="16" t="str">
        <f t="shared" ref="S43" si="969">IF(S39="","",R43)</f>
        <v/>
      </c>
      <c r="T43" s="16" t="str">
        <f t="shared" ref="T43" si="970">IF(T39="","",S43)</f>
        <v/>
      </c>
      <c r="U43" s="16" t="str">
        <f t="shared" ref="U43" si="971">IF(U39="","",T43)</f>
        <v/>
      </c>
      <c r="V43" s="16" t="str">
        <f t="shared" ref="V43" si="972">IF(V39="","",U43)</f>
        <v/>
      </c>
      <c r="W43" s="16" t="str">
        <f t="shared" ref="W43" si="973">IF(W39="","",V43)</f>
        <v/>
      </c>
      <c r="X43" s="16" t="str">
        <f t="shared" ref="X43" si="974">IF(X39="","",W43)</f>
        <v/>
      </c>
      <c r="Y43" s="16" t="str">
        <f t="shared" ref="Y43" si="975">IF(Y39="","",X43)</f>
        <v/>
      </c>
      <c r="Z43" s="16" t="str">
        <f t="shared" ref="Z43" si="976">IF(Z39="","",Y43)</f>
        <v/>
      </c>
      <c r="AA43" s="16" t="str">
        <f t="shared" ref="AA43" si="977">IF(AA39="","",Z43)</f>
        <v/>
      </c>
      <c r="AB43" s="16" t="str">
        <f t="shared" ref="AB43" si="978">IF(AB39="","",AA43)</f>
        <v/>
      </c>
      <c r="AC43" s="16" t="str">
        <f t="shared" ref="AC43" si="979">IF(AC39="","",AB43)</f>
        <v/>
      </c>
      <c r="AD43" s="16" t="str">
        <f t="shared" ref="AD43" si="980">IF(AD39="","",AC43)</f>
        <v/>
      </c>
      <c r="AE43" s="16" t="str">
        <f t="shared" ref="AE43" si="981">IF(AE39="","",AD43)</f>
        <v/>
      </c>
      <c r="AF43" s="16" t="str">
        <f t="shared" ref="AF43" si="982">IF(AF39="","",AE43)</f>
        <v/>
      </c>
      <c r="AG43" s="16" t="str">
        <f t="shared" ref="AG43" si="983">IF(AG39="","",AF43)</f>
        <v/>
      </c>
      <c r="AH43" s="16" t="str">
        <f t="shared" ref="AH43" si="984">IF(AH39="","",AG43)</f>
        <v/>
      </c>
      <c r="AI43" s="16" t="str">
        <f t="shared" ref="AI43" si="985">IF(AI39="","",AH43)</f>
        <v/>
      </c>
      <c r="AJ43" s="16" t="str">
        <f t="shared" ref="AJ43" si="986">IF(AJ39="","",AI43)</f>
        <v/>
      </c>
      <c r="AK43" s="16" t="str">
        <f t="shared" ref="AK43" si="987">IF(AK39="","",AJ43)</f>
        <v/>
      </c>
      <c r="AL43" s="16" t="str">
        <f t="shared" ref="AL43" si="988">IF(AL39="","",AK43)</f>
        <v/>
      </c>
      <c r="AM43" s="16" t="str">
        <f t="shared" ref="AM43" si="989">IF(AM39="","",AL43)</f>
        <v/>
      </c>
      <c r="AN43" s="16" t="str">
        <f t="shared" ref="AN43" si="990">IF(AN39="","",AM43)</f>
        <v/>
      </c>
      <c r="AO43" s="16" t="str">
        <f t="shared" ref="AO43" si="991">IF(AO39="","",AN43)</f>
        <v/>
      </c>
      <c r="AP43" s="16" t="str">
        <f t="shared" ref="AP43" si="992">IF(AP39="","",AO43)</f>
        <v/>
      </c>
      <c r="AQ43" s="16" t="str">
        <f t="shared" ref="AQ43" si="993">IF(AQ39="","",AP43)</f>
        <v/>
      </c>
      <c r="AR43" s="16" t="str">
        <f t="shared" ref="AR43" si="994">IF(AR39="","",AQ43)</f>
        <v/>
      </c>
      <c r="AS43" s="16" t="str">
        <f t="shared" ref="AS43" si="995">IF(AS39="","",AR43)</f>
        <v/>
      </c>
      <c r="AT43" s="16" t="str">
        <f t="shared" ref="AT43" si="996">IF(AT39="","",AS43)</f>
        <v/>
      </c>
      <c r="AU43" s="16" t="str">
        <f t="shared" ref="AU43" si="997">IF(AU39="","",AT43)</f>
        <v/>
      </c>
      <c r="AV43" s="16" t="str">
        <f t="shared" ref="AS43:BC43" si="998">IF(AV39="","",AU43)</f>
        <v/>
      </c>
      <c r="AW43" s="16" t="str">
        <f t="shared" si="998"/>
        <v/>
      </c>
      <c r="AX43" s="16" t="str">
        <f t="shared" si="998"/>
        <v/>
      </c>
      <c r="AY43" s="16" t="str">
        <f t="shared" si="998"/>
        <v/>
      </c>
      <c r="AZ43" s="16" t="str">
        <f t="shared" si="998"/>
        <v/>
      </c>
      <c r="BA43" s="16" t="str">
        <f t="shared" si="998"/>
        <v/>
      </c>
      <c r="BB43" s="16" t="str">
        <f t="shared" si="998"/>
        <v/>
      </c>
      <c r="BC43" s="16" t="str">
        <f t="shared" si="998"/>
        <v/>
      </c>
    </row>
    <row r="44" spans="1:55" ht="11.25" customHeight="1" x14ac:dyDescent="0.2">
      <c r="A44" s="14" t="s">
        <v>9</v>
      </c>
      <c r="B44" s="17" t="s">
        <v>10</v>
      </c>
      <c r="C44" s="133" t="s">
        <v>231</v>
      </c>
      <c r="D44" s="18" t="str">
        <f t="shared" ref="D44" si="999">IF(D39="","",C44)</f>
        <v>トロミスクイーズ</v>
      </c>
      <c r="E44" s="18" t="str">
        <f t="shared" ref="E44" si="1000">IF(E39="","",D44)</f>
        <v>トロミスクイーズ</v>
      </c>
      <c r="F44" s="18" t="str">
        <f t="shared" ref="F44" si="1001">IF(F39="","",E44)</f>
        <v>トロミスクイーズ</v>
      </c>
      <c r="G44" s="197" t="str">
        <f t="shared" ref="G44" si="1002">IF(G39="","",F44)</f>
        <v>トロミスクイーズ</v>
      </c>
      <c r="H44" s="18" t="str">
        <f t="shared" ref="H44" si="1003">IF(H39="","",G44)</f>
        <v>トロミスクイーズ</v>
      </c>
      <c r="I44" s="18" t="str">
        <f t="shared" ref="I44" si="1004">IF(I39="","",H44)</f>
        <v>トロミスクイーズ</v>
      </c>
      <c r="J44" s="197" t="str">
        <f t="shared" ref="J44" si="1005">IF(J39="","",I44)</f>
        <v>トロミスクイーズ</v>
      </c>
      <c r="K44" s="18" t="str">
        <f t="shared" ref="K44" si="1006">IF(K39="","",J44)</f>
        <v>トロミスクイーズ</v>
      </c>
      <c r="L44" s="18" t="str">
        <f t="shared" ref="L44" si="1007">IF(L39="","",K44)</f>
        <v>トロミスクイーズ</v>
      </c>
      <c r="M44" s="18" t="str">
        <f t="shared" ref="M44" si="1008">IF(M39="","",L44)</f>
        <v>トロミスクイーズ</v>
      </c>
      <c r="N44" s="197" t="str">
        <f t="shared" ref="N44" si="1009">IF(N39="","",M44)</f>
        <v/>
      </c>
      <c r="O44" s="18" t="str">
        <f t="shared" ref="O44" si="1010">IF(O39="","",N44)</f>
        <v/>
      </c>
      <c r="P44" s="18" t="str">
        <f t="shared" ref="P44" si="1011">IF(P39="","",O44)</f>
        <v/>
      </c>
      <c r="Q44" s="18" t="str">
        <f t="shared" ref="Q44" si="1012">IF(Q39="","",P44)</f>
        <v/>
      </c>
      <c r="R44" s="18" t="str">
        <f t="shared" ref="R44" si="1013">IF(R39="","",Q44)</f>
        <v/>
      </c>
      <c r="S44" s="18" t="str">
        <f t="shared" ref="S44" si="1014">IF(S39="","",R44)</f>
        <v/>
      </c>
      <c r="T44" s="18" t="str">
        <f t="shared" ref="T44" si="1015">IF(T39="","",S44)</f>
        <v/>
      </c>
      <c r="U44" s="18" t="str">
        <f t="shared" ref="U44" si="1016">IF(U39="","",T44)</f>
        <v/>
      </c>
      <c r="V44" s="18" t="str">
        <f t="shared" ref="V44" si="1017">IF(V39="","",U44)</f>
        <v/>
      </c>
      <c r="W44" s="18" t="str">
        <f t="shared" ref="W44" si="1018">IF(W39="","",V44)</f>
        <v/>
      </c>
      <c r="X44" s="18" t="str">
        <f t="shared" ref="X44" si="1019">IF(X39="","",W44)</f>
        <v/>
      </c>
      <c r="Y44" s="18" t="str">
        <f t="shared" ref="Y44" si="1020">IF(Y39="","",X44)</f>
        <v/>
      </c>
      <c r="Z44" s="18" t="str">
        <f t="shared" ref="Z44" si="1021">IF(Z39="","",Y44)</f>
        <v/>
      </c>
      <c r="AA44" s="18" t="str">
        <f t="shared" ref="AA44" si="1022">IF(AA39="","",Z44)</f>
        <v/>
      </c>
      <c r="AB44" s="18" t="str">
        <f t="shared" ref="AB44" si="1023">IF(AB39="","",AA44)</f>
        <v/>
      </c>
      <c r="AC44" s="18" t="str">
        <f t="shared" ref="AC44" si="1024">IF(AC39="","",AB44)</f>
        <v/>
      </c>
      <c r="AD44" s="18" t="str">
        <f t="shared" ref="AD44" si="1025">IF(AD39="","",AC44)</f>
        <v/>
      </c>
      <c r="AE44" s="18" t="str">
        <f t="shared" ref="AE44" si="1026">IF(AE39="","",AD44)</f>
        <v/>
      </c>
      <c r="AF44" s="18" t="str">
        <f t="shared" ref="AF44" si="1027">IF(AF39="","",AE44)</f>
        <v/>
      </c>
      <c r="AG44" s="18" t="str">
        <f t="shared" ref="AG44" si="1028">IF(AG39="","",AF44)</f>
        <v/>
      </c>
      <c r="AH44" s="18" t="str">
        <f t="shared" ref="AH44" si="1029">IF(AH39="","",AG44)</f>
        <v/>
      </c>
      <c r="AI44" s="18" t="str">
        <f t="shared" ref="AI44" si="1030">IF(AI39="","",AH44)</f>
        <v/>
      </c>
      <c r="AJ44" s="18" t="str">
        <f t="shared" ref="AJ44" si="1031">IF(AJ39="","",AI44)</f>
        <v/>
      </c>
      <c r="AK44" s="18" t="str">
        <f t="shared" ref="AK44" si="1032">IF(AK39="","",AJ44)</f>
        <v/>
      </c>
      <c r="AL44" s="18" t="str">
        <f t="shared" ref="AL44" si="1033">IF(AL39="","",AK44)</f>
        <v/>
      </c>
      <c r="AM44" s="18" t="str">
        <f t="shared" ref="AM44" si="1034">IF(AM39="","",AL44)</f>
        <v/>
      </c>
      <c r="AN44" s="18" t="str">
        <f t="shared" ref="AN44" si="1035">IF(AN39="","",AM44)</f>
        <v/>
      </c>
      <c r="AO44" s="18" t="str">
        <f t="shared" ref="AO44" si="1036">IF(AO39="","",AN44)</f>
        <v/>
      </c>
      <c r="AP44" s="18" t="str">
        <f t="shared" ref="AP44" si="1037">IF(AP39="","",AO44)</f>
        <v/>
      </c>
      <c r="AQ44" s="18" t="str">
        <f t="shared" ref="AQ44" si="1038">IF(AQ39="","",AP44)</f>
        <v/>
      </c>
      <c r="AR44" s="18" t="str">
        <f t="shared" ref="AR44" si="1039">IF(AR39="","",AQ44)</f>
        <v/>
      </c>
      <c r="AS44" s="18" t="str">
        <f t="shared" ref="AS44" si="1040">IF(AS39="","",AR44)</f>
        <v/>
      </c>
      <c r="AT44" s="18" t="str">
        <f t="shared" ref="AT44" si="1041">IF(AT39="","",AS44)</f>
        <v/>
      </c>
      <c r="AU44" s="18" t="str">
        <f t="shared" ref="AU44" si="1042">IF(AU39="","",AT44)</f>
        <v/>
      </c>
      <c r="AV44" s="18" t="str">
        <f t="shared" ref="AS44:BC44" si="1043">IF(AV39="","",AU44)</f>
        <v/>
      </c>
      <c r="AW44" s="18" t="str">
        <f t="shared" si="1043"/>
        <v/>
      </c>
      <c r="AX44" s="18" t="str">
        <f t="shared" si="1043"/>
        <v/>
      </c>
      <c r="AY44" s="18" t="str">
        <f t="shared" si="1043"/>
        <v/>
      </c>
      <c r="AZ44" s="18" t="str">
        <f t="shared" si="1043"/>
        <v/>
      </c>
      <c r="BA44" s="18" t="str">
        <f t="shared" si="1043"/>
        <v/>
      </c>
      <c r="BB44" s="18" t="str">
        <f t="shared" si="1043"/>
        <v/>
      </c>
      <c r="BC44" s="18" t="str">
        <f t="shared" si="1043"/>
        <v/>
      </c>
    </row>
    <row r="45" spans="1:55" ht="11.25" customHeight="1" x14ac:dyDescent="0.2">
      <c r="A45" s="15">
        <f>AVERAGE(C46:AS46)*30*100</f>
        <v>44181.818181818184</v>
      </c>
      <c r="B45" s="11" t="s">
        <v>12</v>
      </c>
      <c r="C45" s="123"/>
      <c r="D45" s="12"/>
      <c r="E45" s="12"/>
      <c r="F45" s="12"/>
      <c r="G45" s="195"/>
      <c r="H45" s="12"/>
      <c r="I45" s="12"/>
      <c r="J45" s="195"/>
      <c r="K45" s="12"/>
      <c r="L45" s="12"/>
      <c r="M45" s="12"/>
      <c r="N45" s="195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</row>
    <row r="46" spans="1:55" ht="11.25" customHeight="1" x14ac:dyDescent="0.2">
      <c r="A46" s="15">
        <f t="shared" ref="A46:A49" si="1044">SUM(C46:AS46)</f>
        <v>162</v>
      </c>
      <c r="B46" s="19" t="s">
        <v>13</v>
      </c>
      <c r="C46" s="123">
        <v>0</v>
      </c>
      <c r="D46" s="20">
        <f t="shared" ref="D46:D47" si="1045">IF(D39="","",D39-C39)</f>
        <v>0</v>
      </c>
      <c r="E46" s="20">
        <f t="shared" ref="E46:E47" si="1046">IF(E39="","",E39-D39)</f>
        <v>0</v>
      </c>
      <c r="F46" s="20">
        <f t="shared" ref="F46:F47" si="1047">IF(F39="","",F39-E39)</f>
        <v>81</v>
      </c>
      <c r="G46" s="195">
        <f t="shared" ref="G46:G47" si="1048">IF(G39="","",G39-F39)</f>
        <v>0</v>
      </c>
      <c r="H46" s="20">
        <f t="shared" ref="H46:H47" si="1049">IF(H39="","",H39-G39)</f>
        <v>0</v>
      </c>
      <c r="I46" s="20">
        <f t="shared" ref="I46:I47" si="1050">IF(I39="","",I39-H39)</f>
        <v>81</v>
      </c>
      <c r="J46" s="195">
        <f t="shared" ref="J46:J47" si="1051">IF(J39="","",J39-I39)</f>
        <v>0</v>
      </c>
      <c r="K46" s="20">
        <f t="shared" ref="K46:K47" si="1052">IF(K39="","",K39-J39)</f>
        <v>0</v>
      </c>
      <c r="L46" s="20">
        <f t="shared" ref="L46:L47" si="1053">IF(L39="","",L39-K39)</f>
        <v>0</v>
      </c>
      <c r="M46" s="20">
        <f t="shared" ref="M46:M47" si="1054">IF(M39="","",M39-L39)</f>
        <v>0</v>
      </c>
      <c r="N46" s="195" t="str">
        <f t="shared" ref="N46:N47" si="1055">IF(N39="","",N39-M39)</f>
        <v/>
      </c>
      <c r="O46" s="20" t="str">
        <f t="shared" ref="O46:O47" si="1056">IF(O39="","",O39-N39)</f>
        <v/>
      </c>
      <c r="P46" s="20" t="str">
        <f t="shared" ref="P46:P47" si="1057">IF(P39="","",P39-O39)</f>
        <v/>
      </c>
      <c r="Q46" s="20" t="str">
        <f t="shared" ref="Q46:Q47" si="1058">IF(Q39="","",Q39-P39)</f>
        <v/>
      </c>
      <c r="R46" s="20" t="str">
        <f t="shared" ref="R46:R47" si="1059">IF(R39="","",R39-Q39)</f>
        <v/>
      </c>
      <c r="S46" s="20" t="str">
        <f t="shared" ref="S46:S47" si="1060">IF(S39="","",S39-R39)</f>
        <v/>
      </c>
      <c r="T46" s="20" t="str">
        <f t="shared" ref="T46:T47" si="1061">IF(T39="","",T39-S39)</f>
        <v/>
      </c>
      <c r="U46" s="20" t="str">
        <f t="shared" ref="U46:U47" si="1062">IF(U39="","",U39-T39)</f>
        <v/>
      </c>
      <c r="V46" s="20" t="str">
        <f t="shared" ref="V46:V47" si="1063">IF(V39="","",V39-U39)</f>
        <v/>
      </c>
      <c r="W46" s="20" t="str">
        <f t="shared" ref="W46:W47" si="1064">IF(W39="","",W39-V39)</f>
        <v/>
      </c>
      <c r="X46" s="20" t="str">
        <f t="shared" ref="X46:X47" si="1065">IF(X39="","",X39-W39)</f>
        <v/>
      </c>
      <c r="Y46" s="20" t="str">
        <f t="shared" ref="Y46:Y47" si="1066">IF(Y39="","",Y39-X39)</f>
        <v/>
      </c>
      <c r="Z46" s="20" t="str">
        <f t="shared" ref="Z46:Z47" si="1067">IF(Z39="","",Z39-Y39)</f>
        <v/>
      </c>
      <c r="AA46" s="20" t="str">
        <f t="shared" ref="AA46:AA47" si="1068">IF(AA39="","",AA39-Z39)</f>
        <v/>
      </c>
      <c r="AB46" s="20" t="str">
        <f t="shared" ref="AB46:AB47" si="1069">IF(AB39="","",AB39-AA39)</f>
        <v/>
      </c>
      <c r="AC46" s="20" t="str">
        <f t="shared" ref="AC46:AC47" si="1070">IF(AC39="","",AC39-AB39)</f>
        <v/>
      </c>
      <c r="AD46" s="20" t="str">
        <f t="shared" ref="AD46:AD47" si="1071">IF(AD39="","",AD39-AC39)</f>
        <v/>
      </c>
      <c r="AE46" s="20" t="str">
        <f t="shared" ref="AE46:AE47" si="1072">IF(AE39="","",AE39-AD39)</f>
        <v/>
      </c>
      <c r="AF46" s="20" t="str">
        <f t="shared" ref="AF46:AF47" si="1073">IF(AF39="","",AF39-AE39)</f>
        <v/>
      </c>
      <c r="AG46" s="20" t="str">
        <f t="shared" ref="AG46:AG47" si="1074">IF(AG39="","",AG39-AF39)</f>
        <v/>
      </c>
      <c r="AH46" s="20" t="str">
        <f t="shared" ref="AH46:AH47" si="1075">IF(AH39="","",AH39-AG39)</f>
        <v/>
      </c>
      <c r="AI46" s="20" t="str">
        <f t="shared" ref="AI46:AI47" si="1076">IF(AI39="","",AI39-AH39)</f>
        <v/>
      </c>
      <c r="AJ46" s="20" t="str">
        <f t="shared" ref="AJ46:AJ47" si="1077">IF(AJ39="","",AJ39-AI39)</f>
        <v/>
      </c>
      <c r="AK46" s="20" t="str">
        <f t="shared" ref="AK46:AK47" si="1078">IF(AK39="","",AK39-AJ39)</f>
        <v/>
      </c>
      <c r="AL46" s="20" t="str">
        <f t="shared" ref="AL46:AL47" si="1079">IF(AL39="","",AL39-AK39)</f>
        <v/>
      </c>
      <c r="AM46" s="20" t="str">
        <f t="shared" ref="AM46:AM47" si="1080">IF(AM39="","",AM39-AL39)</f>
        <v/>
      </c>
      <c r="AN46" s="20" t="str">
        <f t="shared" ref="AN46:AN47" si="1081">IF(AN39="","",AN39-AM39)</f>
        <v/>
      </c>
      <c r="AO46" s="20" t="str">
        <f t="shared" ref="AO46:AO47" si="1082">IF(AO39="","",AO39-AN39)</f>
        <v/>
      </c>
      <c r="AP46" s="20" t="str">
        <f t="shared" ref="AP46:AP47" si="1083">IF(AP39="","",AP39-AO39)</f>
        <v/>
      </c>
      <c r="AQ46" s="20" t="str">
        <f t="shared" ref="AQ46:AQ47" si="1084">IF(AQ39="","",AQ39-AP39)</f>
        <v/>
      </c>
      <c r="AR46" s="20" t="str">
        <f t="shared" ref="AR46:AR47" si="1085">IF(AR39="","",AR39-AQ39)</f>
        <v/>
      </c>
      <c r="AS46" s="20" t="str">
        <f t="shared" ref="AS46:AS47" si="1086">IF(AS39="","",AS39-AR39)</f>
        <v/>
      </c>
      <c r="AT46" s="20" t="str">
        <f t="shared" ref="AT46:AT47" si="1087">IF(AT39="","",AT39-AS39)</f>
        <v/>
      </c>
      <c r="AU46" s="20" t="str">
        <f t="shared" ref="AU46:AU47" si="1088">IF(AU39="","",AU39-AT39)</f>
        <v/>
      </c>
      <c r="AV46" s="20" t="str">
        <f t="shared" ref="AS46:BC46" si="1089">IF(AV39="","",AV39-AU39)</f>
        <v/>
      </c>
      <c r="AW46" s="20" t="str">
        <f t="shared" si="1089"/>
        <v/>
      </c>
      <c r="AX46" s="20" t="str">
        <f t="shared" si="1089"/>
        <v/>
      </c>
      <c r="AY46" s="20" t="str">
        <f t="shared" si="1089"/>
        <v/>
      </c>
      <c r="AZ46" s="20" t="str">
        <f t="shared" si="1089"/>
        <v/>
      </c>
      <c r="BA46" s="20" t="str">
        <f t="shared" si="1089"/>
        <v/>
      </c>
      <c r="BB46" s="20" t="str">
        <f t="shared" si="1089"/>
        <v/>
      </c>
      <c r="BC46" s="20" t="str">
        <f t="shared" si="1089"/>
        <v/>
      </c>
    </row>
    <row r="47" spans="1:55" ht="11.25" customHeight="1" x14ac:dyDescent="0.2">
      <c r="A47" s="15">
        <f t="shared" si="1044"/>
        <v>10</v>
      </c>
      <c r="B47" s="19" t="s">
        <v>14</v>
      </c>
      <c r="C47" s="123">
        <v>0</v>
      </c>
      <c r="D47" s="20">
        <f t="shared" si="1045"/>
        <v>0</v>
      </c>
      <c r="E47" s="20">
        <f t="shared" si="1046"/>
        <v>0</v>
      </c>
      <c r="F47" s="20">
        <f t="shared" si="1047"/>
        <v>7</v>
      </c>
      <c r="G47" s="195">
        <f t="shared" si="1048"/>
        <v>0</v>
      </c>
      <c r="H47" s="20">
        <f t="shared" si="1049"/>
        <v>0</v>
      </c>
      <c r="I47" s="20">
        <f t="shared" si="1050"/>
        <v>3</v>
      </c>
      <c r="J47" s="195">
        <f t="shared" si="1051"/>
        <v>0</v>
      </c>
      <c r="K47" s="20">
        <f t="shared" si="1052"/>
        <v>0</v>
      </c>
      <c r="L47" s="20">
        <f t="shared" si="1053"/>
        <v>0</v>
      </c>
      <c r="M47" s="20">
        <f t="shared" si="1054"/>
        <v>0</v>
      </c>
      <c r="N47" s="195" t="str">
        <f t="shared" si="1055"/>
        <v/>
      </c>
      <c r="O47" s="20" t="str">
        <f t="shared" si="1056"/>
        <v/>
      </c>
      <c r="P47" s="20" t="str">
        <f t="shared" si="1057"/>
        <v/>
      </c>
      <c r="Q47" s="20" t="str">
        <f t="shared" si="1058"/>
        <v/>
      </c>
      <c r="R47" s="20" t="str">
        <f t="shared" si="1059"/>
        <v/>
      </c>
      <c r="S47" s="20" t="str">
        <f t="shared" si="1060"/>
        <v/>
      </c>
      <c r="T47" s="20" t="str">
        <f t="shared" si="1061"/>
        <v/>
      </c>
      <c r="U47" s="20" t="str">
        <f t="shared" si="1062"/>
        <v/>
      </c>
      <c r="V47" s="20" t="str">
        <f t="shared" si="1063"/>
        <v/>
      </c>
      <c r="W47" s="20" t="str">
        <f t="shared" si="1064"/>
        <v/>
      </c>
      <c r="X47" s="20" t="str">
        <f t="shared" si="1065"/>
        <v/>
      </c>
      <c r="Y47" s="20" t="str">
        <f t="shared" si="1066"/>
        <v/>
      </c>
      <c r="Z47" s="20" t="str">
        <f t="shared" si="1067"/>
        <v/>
      </c>
      <c r="AA47" s="20" t="str">
        <f t="shared" si="1068"/>
        <v/>
      </c>
      <c r="AB47" s="20" t="str">
        <f t="shared" si="1069"/>
        <v/>
      </c>
      <c r="AC47" s="20" t="str">
        <f t="shared" si="1070"/>
        <v/>
      </c>
      <c r="AD47" s="20" t="str">
        <f t="shared" si="1071"/>
        <v/>
      </c>
      <c r="AE47" s="20" t="str">
        <f t="shared" si="1072"/>
        <v/>
      </c>
      <c r="AF47" s="20" t="str">
        <f t="shared" si="1073"/>
        <v/>
      </c>
      <c r="AG47" s="20" t="str">
        <f t="shared" si="1074"/>
        <v/>
      </c>
      <c r="AH47" s="20" t="str">
        <f t="shared" si="1075"/>
        <v/>
      </c>
      <c r="AI47" s="20" t="str">
        <f t="shared" si="1076"/>
        <v/>
      </c>
      <c r="AJ47" s="20" t="str">
        <f t="shared" si="1077"/>
        <v/>
      </c>
      <c r="AK47" s="20" t="str">
        <f t="shared" si="1078"/>
        <v/>
      </c>
      <c r="AL47" s="20" t="str">
        <f t="shared" si="1079"/>
        <v/>
      </c>
      <c r="AM47" s="20" t="str">
        <f t="shared" si="1080"/>
        <v/>
      </c>
      <c r="AN47" s="20" t="str">
        <f t="shared" si="1081"/>
        <v/>
      </c>
      <c r="AO47" s="20" t="str">
        <f t="shared" si="1082"/>
        <v/>
      </c>
      <c r="AP47" s="20" t="str">
        <f t="shared" si="1083"/>
        <v/>
      </c>
      <c r="AQ47" s="20" t="str">
        <f t="shared" si="1084"/>
        <v/>
      </c>
      <c r="AR47" s="20" t="str">
        <f t="shared" si="1085"/>
        <v/>
      </c>
      <c r="AS47" s="20" t="str">
        <f t="shared" si="1086"/>
        <v/>
      </c>
      <c r="AT47" s="20" t="str">
        <f t="shared" si="1087"/>
        <v/>
      </c>
      <c r="AU47" s="20" t="str">
        <f t="shared" si="1088"/>
        <v/>
      </c>
      <c r="AV47" s="20" t="str">
        <f t="shared" ref="AS47:BC47" si="1090">IF(AV40="","",AV40-AU40)</f>
        <v/>
      </c>
      <c r="AW47" s="20" t="str">
        <f t="shared" si="1090"/>
        <v/>
      </c>
      <c r="AX47" s="20" t="str">
        <f t="shared" si="1090"/>
        <v/>
      </c>
      <c r="AY47" s="20" t="str">
        <f t="shared" si="1090"/>
        <v/>
      </c>
      <c r="AZ47" s="20" t="str">
        <f t="shared" si="1090"/>
        <v/>
      </c>
      <c r="BA47" s="20" t="str">
        <f t="shared" si="1090"/>
        <v/>
      </c>
      <c r="BB47" s="20" t="str">
        <f t="shared" si="1090"/>
        <v/>
      </c>
      <c r="BC47" s="20" t="str">
        <f t="shared" si="1090"/>
        <v/>
      </c>
    </row>
    <row r="48" spans="1:55" ht="11.25" customHeight="1" x14ac:dyDescent="0.2">
      <c r="A48" s="15">
        <f t="shared" si="1044"/>
        <v>10</v>
      </c>
      <c r="B48" s="19" t="s">
        <v>15</v>
      </c>
      <c r="C48" s="123">
        <v>0</v>
      </c>
      <c r="D48" s="20">
        <f t="shared" ref="D48" si="1091">IF(D41="","",C41+C42-D41)</f>
        <v>0</v>
      </c>
      <c r="E48" s="20">
        <f t="shared" ref="E48" si="1092">IF(E41="","",D41+D42-E41)</f>
        <v>0</v>
      </c>
      <c r="F48" s="20">
        <f t="shared" ref="F48" si="1093">IF(F41="","",E41+E42-F41)</f>
        <v>7</v>
      </c>
      <c r="G48" s="195">
        <f t="shared" ref="G48" si="1094">IF(G41="","",F41+F42-G41)</f>
        <v>0</v>
      </c>
      <c r="H48" s="20">
        <f t="shared" ref="H48" si="1095">IF(H41="","",G41+G42-H41)</f>
        <v>0</v>
      </c>
      <c r="I48" s="20">
        <f t="shared" ref="I48" si="1096">IF(I41="","",H41+H42-I41)</f>
        <v>3</v>
      </c>
      <c r="J48" s="195">
        <f t="shared" ref="J48" si="1097">IF(J41="","",I41+I42-J41)</f>
        <v>0</v>
      </c>
      <c r="K48" s="20">
        <f t="shared" ref="K48" si="1098">IF(K41="","",J41+J42-K41)</f>
        <v>0</v>
      </c>
      <c r="L48" s="20">
        <f t="shared" ref="L48" si="1099">IF(L41="","",K41+K42-L41)</f>
        <v>0</v>
      </c>
      <c r="M48" s="20">
        <f t="shared" ref="M48" si="1100">IF(M41="","",L41+L42-M41)</f>
        <v>0</v>
      </c>
      <c r="N48" s="195" t="str">
        <f t="shared" ref="N48" si="1101">IF(N41="","",M41+M42-N41)</f>
        <v/>
      </c>
      <c r="O48" s="20" t="str">
        <f t="shared" ref="O48" si="1102">IF(O41="","",N41+N42-O41)</f>
        <v/>
      </c>
      <c r="P48" s="20" t="str">
        <f t="shared" ref="P48" si="1103">IF(P41="","",O41+O42-P41)</f>
        <v/>
      </c>
      <c r="Q48" s="20" t="str">
        <f t="shared" ref="Q48" si="1104">IF(Q41="","",P41+P42-Q41)</f>
        <v/>
      </c>
      <c r="R48" s="20" t="str">
        <f t="shared" ref="R48" si="1105">IF(R41="","",Q41+Q42-R41)</f>
        <v/>
      </c>
      <c r="S48" s="20" t="str">
        <f t="shared" ref="S48" si="1106">IF(S41="","",R41+R42-S41)</f>
        <v/>
      </c>
      <c r="T48" s="20" t="str">
        <f t="shared" ref="T48" si="1107">IF(T41="","",S41+S42-T41)</f>
        <v/>
      </c>
      <c r="U48" s="20" t="str">
        <f t="shared" ref="U48" si="1108">IF(U41="","",T41+T42-U41)</f>
        <v/>
      </c>
      <c r="V48" s="20" t="str">
        <f t="shared" ref="V48" si="1109">IF(V41="","",U41+U42-V41)</f>
        <v/>
      </c>
      <c r="W48" s="20" t="str">
        <f t="shared" ref="W48" si="1110">IF(W41="","",V41+V42-W41)</f>
        <v/>
      </c>
      <c r="X48" s="20" t="str">
        <f t="shared" ref="X48" si="1111">IF(X41="","",W41+W42-X41)</f>
        <v/>
      </c>
      <c r="Y48" s="20" t="str">
        <f t="shared" ref="Y48" si="1112">IF(Y41="","",X41+X42-Y41)</f>
        <v/>
      </c>
      <c r="Z48" s="20" t="str">
        <f t="shared" ref="Z48" si="1113">IF(Z41="","",Y41+Y42-Z41)</f>
        <v/>
      </c>
      <c r="AA48" s="20" t="str">
        <f t="shared" ref="AA48" si="1114">IF(AA41="","",Z41+Z42-AA41)</f>
        <v/>
      </c>
      <c r="AB48" s="20" t="str">
        <f t="shared" ref="AB48" si="1115">IF(AB41="","",AA41+AA42-AB41)</f>
        <v/>
      </c>
      <c r="AC48" s="20" t="str">
        <f t="shared" ref="AC48" si="1116">IF(AC41="","",AB41+AB42-AC41)</f>
        <v/>
      </c>
      <c r="AD48" s="20" t="str">
        <f t="shared" ref="AD48" si="1117">IF(AD41="","",AC41+AC42-AD41)</f>
        <v/>
      </c>
      <c r="AE48" s="20" t="str">
        <f t="shared" ref="AE48" si="1118">IF(AE41="","",AD41+AD42-AE41)</f>
        <v/>
      </c>
      <c r="AF48" s="20" t="str">
        <f t="shared" ref="AF48" si="1119">IF(AF41="","",AE41+AE42-AF41)</f>
        <v/>
      </c>
      <c r="AG48" s="20" t="str">
        <f t="shared" ref="AG48" si="1120">IF(AG41="","",AF41+AF42-AG41)</f>
        <v/>
      </c>
      <c r="AH48" s="20" t="str">
        <f t="shared" ref="AH48" si="1121">IF(AH41="","",AG41+AG42-AH41)</f>
        <v/>
      </c>
      <c r="AI48" s="20" t="str">
        <f t="shared" ref="AI48" si="1122">IF(AI41="","",AH41+AH42-AI41)</f>
        <v/>
      </c>
      <c r="AJ48" s="20" t="str">
        <f t="shared" ref="AJ48" si="1123">IF(AJ41="","",AI41+AI42-AJ41)</f>
        <v/>
      </c>
      <c r="AK48" s="20" t="str">
        <f t="shared" ref="AK48" si="1124">IF(AK41="","",AJ41+AJ42-AK41)</f>
        <v/>
      </c>
      <c r="AL48" s="20" t="str">
        <f t="shared" ref="AL48" si="1125">IF(AL41="","",AK41+AK42-AL41)</f>
        <v/>
      </c>
      <c r="AM48" s="20" t="str">
        <f t="shared" ref="AM48" si="1126">IF(AM41="","",AL41+AL42-AM41)</f>
        <v/>
      </c>
      <c r="AN48" s="20" t="str">
        <f t="shared" ref="AN48" si="1127">IF(AN41="","",AM41+AM42-AN41)</f>
        <v/>
      </c>
      <c r="AO48" s="20" t="str">
        <f t="shared" ref="AO48" si="1128">IF(AO41="","",AN41+AN42-AO41)</f>
        <v/>
      </c>
      <c r="AP48" s="20" t="str">
        <f t="shared" ref="AP48" si="1129">IF(AP41="","",AO41+AO42-AP41)</f>
        <v/>
      </c>
      <c r="AQ48" s="20" t="str">
        <f t="shared" ref="AQ48" si="1130">IF(AQ41="","",AP41+AP42-AQ41)</f>
        <v/>
      </c>
      <c r="AR48" s="20" t="str">
        <f t="shared" ref="AR48" si="1131">IF(AR41="","",AQ41+AQ42-AR41)</f>
        <v/>
      </c>
      <c r="AS48" s="20" t="str">
        <f t="shared" ref="AS48" si="1132">IF(AS41="","",AR41+AR42-AS41)</f>
        <v/>
      </c>
      <c r="AT48" s="20" t="str">
        <f t="shared" ref="AT48" si="1133">IF(AT41="","",AS41+AS42-AT41)</f>
        <v/>
      </c>
      <c r="AU48" s="20" t="str">
        <f t="shared" ref="AU48" si="1134">IF(AU41="","",AT41+AT42-AU41)</f>
        <v/>
      </c>
      <c r="AV48" s="20" t="str">
        <f t="shared" ref="AS48:BC48" si="1135">IF(AV41="","",AU41+AU42-AV41)</f>
        <v/>
      </c>
      <c r="AW48" s="20" t="str">
        <f t="shared" si="1135"/>
        <v/>
      </c>
      <c r="AX48" s="20" t="str">
        <f t="shared" si="1135"/>
        <v/>
      </c>
      <c r="AY48" s="20" t="str">
        <f t="shared" si="1135"/>
        <v/>
      </c>
      <c r="AZ48" s="20" t="str">
        <f t="shared" si="1135"/>
        <v/>
      </c>
      <c r="BA48" s="20" t="str">
        <f t="shared" si="1135"/>
        <v/>
      </c>
      <c r="BB48" s="20" t="str">
        <f t="shared" si="1135"/>
        <v/>
      </c>
      <c r="BC48" s="20" t="str">
        <f t="shared" si="1135"/>
        <v/>
      </c>
    </row>
    <row r="49" spans="1:55" ht="11.25" customHeight="1" x14ac:dyDescent="0.2">
      <c r="A49" s="15">
        <f t="shared" si="1044"/>
        <v>2400</v>
      </c>
      <c r="B49" s="19" t="s">
        <v>16</v>
      </c>
      <c r="C49" s="123">
        <v>0</v>
      </c>
      <c r="D49" s="20">
        <f t="shared" ref="D49:AU49" si="1136">IF(D39="","",D48*D43)</f>
        <v>0</v>
      </c>
      <c r="E49" s="20">
        <f t="shared" si="1136"/>
        <v>0</v>
      </c>
      <c r="F49" s="20">
        <f t="shared" si="1136"/>
        <v>1680</v>
      </c>
      <c r="G49" s="195">
        <f t="shared" si="1136"/>
        <v>0</v>
      </c>
      <c r="H49" s="20">
        <f t="shared" si="1136"/>
        <v>0</v>
      </c>
      <c r="I49" s="20">
        <f t="shared" si="1136"/>
        <v>720</v>
      </c>
      <c r="J49" s="195">
        <f t="shared" si="1136"/>
        <v>0</v>
      </c>
      <c r="K49" s="20">
        <f t="shared" si="1136"/>
        <v>0</v>
      </c>
      <c r="L49" s="20">
        <f t="shared" si="1136"/>
        <v>0</v>
      </c>
      <c r="M49" s="20">
        <f t="shared" si="1136"/>
        <v>0</v>
      </c>
      <c r="N49" s="195" t="str">
        <f t="shared" si="1136"/>
        <v/>
      </c>
      <c r="O49" s="20" t="str">
        <f t="shared" si="1136"/>
        <v/>
      </c>
      <c r="P49" s="20" t="str">
        <f t="shared" si="1136"/>
        <v/>
      </c>
      <c r="Q49" s="20" t="str">
        <f t="shared" si="1136"/>
        <v/>
      </c>
      <c r="R49" s="20" t="str">
        <f t="shared" si="1136"/>
        <v/>
      </c>
      <c r="S49" s="20" t="str">
        <f t="shared" si="1136"/>
        <v/>
      </c>
      <c r="T49" s="20" t="str">
        <f t="shared" si="1136"/>
        <v/>
      </c>
      <c r="U49" s="20" t="str">
        <f t="shared" si="1136"/>
        <v/>
      </c>
      <c r="V49" s="20" t="str">
        <f t="shared" si="1136"/>
        <v/>
      </c>
      <c r="W49" s="20" t="str">
        <f t="shared" si="1136"/>
        <v/>
      </c>
      <c r="X49" s="20" t="str">
        <f t="shared" si="1136"/>
        <v/>
      </c>
      <c r="Y49" s="20" t="str">
        <f t="shared" si="1136"/>
        <v/>
      </c>
      <c r="Z49" s="20" t="str">
        <f t="shared" si="1136"/>
        <v/>
      </c>
      <c r="AA49" s="20" t="str">
        <f t="shared" si="1136"/>
        <v/>
      </c>
      <c r="AB49" s="20" t="str">
        <f t="shared" si="1136"/>
        <v/>
      </c>
      <c r="AC49" s="20" t="str">
        <f t="shared" si="1136"/>
        <v/>
      </c>
      <c r="AD49" s="20" t="str">
        <f t="shared" si="1136"/>
        <v/>
      </c>
      <c r="AE49" s="20" t="str">
        <f t="shared" si="1136"/>
        <v/>
      </c>
      <c r="AF49" s="20" t="str">
        <f t="shared" si="1136"/>
        <v/>
      </c>
      <c r="AG49" s="20" t="str">
        <f t="shared" si="1136"/>
        <v/>
      </c>
      <c r="AH49" s="20" t="str">
        <f t="shared" si="1136"/>
        <v/>
      </c>
      <c r="AI49" s="20" t="str">
        <f t="shared" si="1136"/>
        <v/>
      </c>
      <c r="AJ49" s="20" t="str">
        <f t="shared" si="1136"/>
        <v/>
      </c>
      <c r="AK49" s="20" t="str">
        <f t="shared" si="1136"/>
        <v/>
      </c>
      <c r="AL49" s="20" t="str">
        <f t="shared" si="1136"/>
        <v/>
      </c>
      <c r="AM49" s="20" t="str">
        <f t="shared" si="1136"/>
        <v/>
      </c>
      <c r="AN49" s="20" t="str">
        <f t="shared" si="1136"/>
        <v/>
      </c>
      <c r="AO49" s="20" t="str">
        <f t="shared" si="1136"/>
        <v/>
      </c>
      <c r="AP49" s="20" t="str">
        <f t="shared" si="1136"/>
        <v/>
      </c>
      <c r="AQ49" s="20" t="str">
        <f t="shared" si="1136"/>
        <v/>
      </c>
      <c r="AR49" s="20" t="str">
        <f t="shared" si="1136"/>
        <v/>
      </c>
      <c r="AS49" s="20" t="str">
        <f t="shared" si="1136"/>
        <v/>
      </c>
      <c r="AT49" s="20" t="str">
        <f t="shared" si="1136"/>
        <v/>
      </c>
      <c r="AU49" s="20" t="str">
        <f t="shared" si="1136"/>
        <v/>
      </c>
      <c r="AV49" s="20" t="str">
        <f t="shared" ref="AS49:BC49" si="1137">IF(AV39="","",AV48*AV43)</f>
        <v/>
      </c>
      <c r="AW49" s="20" t="str">
        <f t="shared" si="1137"/>
        <v/>
      </c>
      <c r="AX49" s="20" t="str">
        <f t="shared" si="1137"/>
        <v/>
      </c>
      <c r="AY49" s="20" t="str">
        <f t="shared" si="1137"/>
        <v/>
      </c>
      <c r="AZ49" s="20" t="str">
        <f t="shared" si="1137"/>
        <v/>
      </c>
      <c r="BA49" s="20" t="str">
        <f t="shared" si="1137"/>
        <v/>
      </c>
      <c r="BB49" s="20" t="str">
        <f t="shared" si="1137"/>
        <v/>
      </c>
      <c r="BC49" s="20" t="str">
        <f t="shared" si="1137"/>
        <v/>
      </c>
    </row>
    <row r="50" spans="1:55" ht="11.25" customHeight="1" x14ac:dyDescent="0.2">
      <c r="A50" s="21">
        <f>IF(A49="","",A49/(A46*100))</f>
        <v>0.14814814814814814</v>
      </c>
      <c r="B50" s="19" t="s">
        <v>17</v>
      </c>
      <c r="C50" s="146" t="s">
        <v>18</v>
      </c>
      <c r="D50" s="27" t="str">
        <f t="shared" ref="D50:AU50" si="1138">IF(D49="","",IF(D49=0,"",D49/(D46*100)))</f>
        <v/>
      </c>
      <c r="E50" s="27" t="str">
        <f t="shared" si="1138"/>
        <v/>
      </c>
      <c r="F50" s="27">
        <f t="shared" si="1138"/>
        <v>0.2074074074074074</v>
      </c>
      <c r="G50" s="199" t="str">
        <f t="shared" si="1138"/>
        <v/>
      </c>
      <c r="H50" s="27" t="str">
        <f t="shared" si="1138"/>
        <v/>
      </c>
      <c r="I50" s="27">
        <f t="shared" si="1138"/>
        <v>8.8888888888888892E-2</v>
      </c>
      <c r="J50" s="199" t="str">
        <f t="shared" si="1138"/>
        <v/>
      </c>
      <c r="K50" s="27" t="str">
        <f t="shared" si="1138"/>
        <v/>
      </c>
      <c r="L50" s="27" t="str">
        <f t="shared" si="1138"/>
        <v/>
      </c>
      <c r="M50" s="27" t="str">
        <f t="shared" si="1138"/>
        <v/>
      </c>
      <c r="N50" s="199" t="str">
        <f t="shared" si="1138"/>
        <v/>
      </c>
      <c r="O50" s="27" t="str">
        <f t="shared" si="1138"/>
        <v/>
      </c>
      <c r="P50" s="27" t="str">
        <f t="shared" si="1138"/>
        <v/>
      </c>
      <c r="Q50" s="27" t="str">
        <f t="shared" si="1138"/>
        <v/>
      </c>
      <c r="R50" s="27" t="str">
        <f t="shared" si="1138"/>
        <v/>
      </c>
      <c r="S50" s="27" t="str">
        <f t="shared" si="1138"/>
        <v/>
      </c>
      <c r="T50" s="27" t="str">
        <f t="shared" si="1138"/>
        <v/>
      </c>
      <c r="U50" s="27" t="str">
        <f t="shared" si="1138"/>
        <v/>
      </c>
      <c r="V50" s="27" t="str">
        <f t="shared" si="1138"/>
        <v/>
      </c>
      <c r="W50" s="27" t="str">
        <f t="shared" si="1138"/>
        <v/>
      </c>
      <c r="X50" s="27" t="str">
        <f t="shared" si="1138"/>
        <v/>
      </c>
      <c r="Y50" s="27" t="str">
        <f t="shared" si="1138"/>
        <v/>
      </c>
      <c r="Z50" s="27" t="str">
        <f t="shared" si="1138"/>
        <v/>
      </c>
      <c r="AA50" s="27" t="str">
        <f t="shared" si="1138"/>
        <v/>
      </c>
      <c r="AB50" s="27" t="str">
        <f t="shared" si="1138"/>
        <v/>
      </c>
      <c r="AC50" s="27" t="str">
        <f t="shared" si="1138"/>
        <v/>
      </c>
      <c r="AD50" s="27" t="str">
        <f t="shared" si="1138"/>
        <v/>
      </c>
      <c r="AE50" s="27" t="str">
        <f t="shared" si="1138"/>
        <v/>
      </c>
      <c r="AF50" s="27" t="str">
        <f t="shared" si="1138"/>
        <v/>
      </c>
      <c r="AG50" s="27" t="str">
        <f t="shared" si="1138"/>
        <v/>
      </c>
      <c r="AH50" s="27" t="str">
        <f t="shared" si="1138"/>
        <v/>
      </c>
      <c r="AI50" s="27" t="str">
        <f t="shared" si="1138"/>
        <v/>
      </c>
      <c r="AJ50" s="27" t="str">
        <f t="shared" si="1138"/>
        <v/>
      </c>
      <c r="AK50" s="27" t="str">
        <f t="shared" si="1138"/>
        <v/>
      </c>
      <c r="AL50" s="27" t="str">
        <f t="shared" si="1138"/>
        <v/>
      </c>
      <c r="AM50" s="27" t="str">
        <f t="shared" si="1138"/>
        <v/>
      </c>
      <c r="AN50" s="27" t="str">
        <f t="shared" si="1138"/>
        <v/>
      </c>
      <c r="AO50" s="27" t="str">
        <f t="shared" si="1138"/>
        <v/>
      </c>
      <c r="AP50" s="27" t="str">
        <f t="shared" si="1138"/>
        <v/>
      </c>
      <c r="AQ50" s="27" t="str">
        <f t="shared" si="1138"/>
        <v/>
      </c>
      <c r="AR50" s="27" t="str">
        <f t="shared" si="1138"/>
        <v/>
      </c>
      <c r="AS50" s="27" t="str">
        <f t="shared" si="1138"/>
        <v/>
      </c>
      <c r="AT50" s="27" t="str">
        <f t="shared" si="1138"/>
        <v/>
      </c>
      <c r="AU50" s="27" t="str">
        <f t="shared" si="1138"/>
        <v/>
      </c>
      <c r="AV50" s="27" t="str">
        <f t="shared" ref="AS50:BC50" si="1139">IF(AV49="","",IF(AV49=0,"",AV49/(AV46*100)))</f>
        <v/>
      </c>
      <c r="AW50" s="27" t="str">
        <f t="shared" si="1139"/>
        <v/>
      </c>
      <c r="AX50" s="27" t="str">
        <f t="shared" si="1139"/>
        <v/>
      </c>
      <c r="AY50" s="27" t="str">
        <f t="shared" si="1139"/>
        <v/>
      </c>
      <c r="AZ50" s="27" t="str">
        <f t="shared" si="1139"/>
        <v/>
      </c>
      <c r="BA50" s="27" t="str">
        <f t="shared" si="1139"/>
        <v/>
      </c>
      <c r="BB50" s="27" t="str">
        <f t="shared" si="1139"/>
        <v/>
      </c>
      <c r="BC50" s="27" t="str">
        <f t="shared" si="1139"/>
        <v/>
      </c>
    </row>
    <row r="51" spans="1:55" ht="11.25" customHeight="1" x14ac:dyDescent="0.2">
      <c r="A51" s="28" t="s">
        <v>1</v>
      </c>
      <c r="B51" s="29" t="s">
        <v>2</v>
      </c>
      <c r="C51" s="129">
        <v>18777</v>
      </c>
      <c r="D51" s="16">
        <f t="shared" ref="D51:D52" si="1140">IF(D$3="","",C51)</f>
        <v>18777</v>
      </c>
      <c r="E51" s="16">
        <f t="shared" ref="E51:E52" si="1141">IF(E$3="","",D51)</f>
        <v>18777</v>
      </c>
      <c r="F51" s="16">
        <v>18863</v>
      </c>
      <c r="G51" s="196">
        <f t="shared" ref="G51:G52" si="1142">IF(G$3="","",F51)</f>
        <v>18863</v>
      </c>
      <c r="H51" s="16">
        <f t="shared" ref="H51:H52" si="1143">IF(H$3="","",G51)</f>
        <v>18863</v>
      </c>
      <c r="I51" s="16">
        <v>18898</v>
      </c>
      <c r="J51" s="196">
        <f t="shared" ref="J51:J52" si="1144">IF(J$3="","",I51)</f>
        <v>18898</v>
      </c>
      <c r="K51" s="16">
        <f t="shared" ref="K51:K52" si="1145">IF(K$3="","",J51)</f>
        <v>18898</v>
      </c>
      <c r="L51" s="16">
        <f t="shared" ref="L51:L52" si="1146">IF(L$3="","",K51)</f>
        <v>18898</v>
      </c>
      <c r="M51" s="16">
        <f t="shared" ref="M51:M52" si="1147">IF(M$3="","",L51)</f>
        <v>18898</v>
      </c>
      <c r="N51" s="196" t="str">
        <f t="shared" ref="N51:N52" si="1148">IF(N$3="","",M51)</f>
        <v/>
      </c>
      <c r="O51" s="16" t="str">
        <f t="shared" ref="O51:O52" si="1149">IF(O$3="","",N51)</f>
        <v/>
      </c>
      <c r="P51" s="16" t="str">
        <f t="shared" ref="P51:P52" si="1150">IF(P$3="","",O51)</f>
        <v/>
      </c>
      <c r="Q51" s="16" t="str">
        <f t="shared" ref="Q51:Q52" si="1151">IF(Q$3="","",P51)</f>
        <v/>
      </c>
      <c r="R51" s="16" t="str">
        <f t="shared" ref="R51:R52" si="1152">IF(R$3="","",Q51)</f>
        <v/>
      </c>
      <c r="S51" s="16" t="str">
        <f t="shared" ref="S51:S52" si="1153">IF(S$3="","",R51)</f>
        <v/>
      </c>
      <c r="T51" s="16" t="str">
        <f t="shared" ref="T51:T52" si="1154">IF(T$3="","",S51)</f>
        <v/>
      </c>
      <c r="U51" s="16" t="str">
        <f t="shared" ref="U51:U52" si="1155">IF(U$3="","",T51)</f>
        <v/>
      </c>
      <c r="V51" s="16" t="str">
        <f t="shared" ref="V51:V52" si="1156">IF(V$3="","",U51)</f>
        <v/>
      </c>
      <c r="W51" s="16" t="str">
        <f t="shared" ref="W51:W52" si="1157">IF(W$3="","",V51)</f>
        <v/>
      </c>
      <c r="X51" s="16" t="str">
        <f t="shared" ref="X51:X52" si="1158">IF(X$3="","",W51)</f>
        <v/>
      </c>
      <c r="Y51" s="16" t="str">
        <f t="shared" ref="Y51:Y52" si="1159">IF(Y$3="","",X51)</f>
        <v/>
      </c>
      <c r="Z51" s="16" t="str">
        <f t="shared" ref="Z51:Z52" si="1160">IF(Z$3="","",Y51)</f>
        <v/>
      </c>
      <c r="AA51" s="16" t="str">
        <f t="shared" ref="AA51:AA52" si="1161">IF(AA$3="","",Z51)</f>
        <v/>
      </c>
      <c r="AB51" s="16" t="str">
        <f t="shared" ref="AB51:AB52" si="1162">IF(AB$3="","",AA51)</f>
        <v/>
      </c>
      <c r="AC51" s="16" t="str">
        <f t="shared" ref="AC51:AC52" si="1163">IF(AC$3="","",AB51)</f>
        <v/>
      </c>
      <c r="AD51" s="16" t="str">
        <f t="shared" ref="AD51:AD52" si="1164">IF(AD$3="","",AC51)</f>
        <v/>
      </c>
      <c r="AE51" s="16" t="str">
        <f t="shared" ref="AE51:AE52" si="1165">IF(AE$3="","",AD51)</f>
        <v/>
      </c>
      <c r="AF51" s="16" t="str">
        <f t="shared" ref="AF51:AF52" si="1166">IF(AF$3="","",AE51)</f>
        <v/>
      </c>
      <c r="AG51" s="16" t="str">
        <f t="shared" ref="AG51:AG52" si="1167">IF(AG$3="","",AF51)</f>
        <v/>
      </c>
      <c r="AH51" s="16" t="str">
        <f t="shared" ref="AH51:AH52" si="1168">IF(AH$3="","",AG51)</f>
        <v/>
      </c>
      <c r="AI51" s="16" t="str">
        <f t="shared" ref="AI51:AI52" si="1169">IF(AI$3="","",AH51)</f>
        <v/>
      </c>
      <c r="AJ51" s="16" t="str">
        <f t="shared" ref="AJ51:AJ52" si="1170">IF(AJ$3="","",AI51)</f>
        <v/>
      </c>
      <c r="AK51" s="16" t="str">
        <f t="shared" ref="AK51:AK52" si="1171">IF(AK$3="","",AJ51)</f>
        <v/>
      </c>
      <c r="AL51" s="16" t="str">
        <f t="shared" ref="AL51:AL52" si="1172">IF(AL$3="","",AK51)</f>
        <v/>
      </c>
      <c r="AM51" s="16" t="str">
        <f t="shared" ref="AM51:AM52" si="1173">IF(AM$3="","",AL51)</f>
        <v/>
      </c>
      <c r="AN51" s="16" t="str">
        <f t="shared" ref="AN51:AN52" si="1174">IF(AN$3="","",AM51)</f>
        <v/>
      </c>
      <c r="AO51" s="16" t="str">
        <f t="shared" ref="AO51:AO52" si="1175">IF(AO$3="","",AN51)</f>
        <v/>
      </c>
      <c r="AP51" s="16" t="str">
        <f t="shared" ref="AP51:AP52" si="1176">IF(AP$3="","",AO51)</f>
        <v/>
      </c>
      <c r="AQ51" s="16" t="str">
        <f t="shared" ref="AQ51:AQ52" si="1177">IF(AQ$3="","",AP51)</f>
        <v/>
      </c>
      <c r="AR51" s="16" t="str">
        <f t="shared" ref="AR51:AR52" si="1178">IF(AR$3="","",AQ51)</f>
        <v/>
      </c>
      <c r="AS51" s="16" t="str">
        <f t="shared" ref="AS51:AS52" si="1179">IF(AS$3="","",AR51)</f>
        <v/>
      </c>
      <c r="AT51" s="16" t="str">
        <f t="shared" ref="AT51:AT52" si="1180">IF(AT$3="","",AS51)</f>
        <v/>
      </c>
      <c r="AU51" s="16" t="str">
        <f t="shared" ref="AU51:AU52" si="1181">IF(AU$3="","",AT51)</f>
        <v/>
      </c>
      <c r="AV51" s="16" t="str">
        <f t="shared" ref="AS51:BC51" si="1182">IF(AV$3="","",AU51)</f>
        <v/>
      </c>
      <c r="AW51" s="16" t="str">
        <f t="shared" si="1182"/>
        <v/>
      </c>
      <c r="AX51" s="16" t="str">
        <f t="shared" si="1182"/>
        <v/>
      </c>
      <c r="AY51" s="16" t="str">
        <f t="shared" si="1182"/>
        <v/>
      </c>
      <c r="AZ51" s="16" t="str">
        <f t="shared" si="1182"/>
        <v/>
      </c>
      <c r="BA51" s="16" t="str">
        <f t="shared" si="1182"/>
        <v/>
      </c>
      <c r="BB51" s="16" t="str">
        <f t="shared" si="1182"/>
        <v/>
      </c>
      <c r="BC51" s="16" t="str">
        <f t="shared" si="1182"/>
        <v/>
      </c>
    </row>
    <row r="52" spans="1:55" ht="11.25" customHeight="1" x14ac:dyDescent="0.2">
      <c r="A52" s="10" t="s">
        <v>19</v>
      </c>
      <c r="B52" s="11" t="s">
        <v>4</v>
      </c>
      <c r="C52" s="123">
        <v>1685</v>
      </c>
      <c r="D52" s="12">
        <f t="shared" si="1140"/>
        <v>1685</v>
      </c>
      <c r="E52" s="12">
        <f t="shared" si="1141"/>
        <v>1685</v>
      </c>
      <c r="F52" s="12">
        <v>1689</v>
      </c>
      <c r="G52" s="195">
        <f t="shared" si="1142"/>
        <v>1689</v>
      </c>
      <c r="H52" s="12">
        <f t="shared" si="1143"/>
        <v>1689</v>
      </c>
      <c r="I52" s="12">
        <v>1690</v>
      </c>
      <c r="J52" s="195">
        <f t="shared" si="1144"/>
        <v>1690</v>
      </c>
      <c r="K52" s="12">
        <f t="shared" si="1145"/>
        <v>1690</v>
      </c>
      <c r="L52" s="12">
        <f t="shared" si="1146"/>
        <v>1690</v>
      </c>
      <c r="M52" s="12">
        <f t="shared" si="1147"/>
        <v>1690</v>
      </c>
      <c r="N52" s="195" t="str">
        <f t="shared" si="1148"/>
        <v/>
      </c>
      <c r="O52" s="12" t="str">
        <f t="shared" si="1149"/>
        <v/>
      </c>
      <c r="P52" s="12" t="str">
        <f t="shared" si="1150"/>
        <v/>
      </c>
      <c r="Q52" s="12" t="str">
        <f t="shared" si="1151"/>
        <v/>
      </c>
      <c r="R52" s="12" t="str">
        <f t="shared" si="1152"/>
        <v/>
      </c>
      <c r="S52" s="12" t="str">
        <f t="shared" si="1153"/>
        <v/>
      </c>
      <c r="T52" s="12" t="str">
        <f t="shared" si="1154"/>
        <v/>
      </c>
      <c r="U52" s="12" t="str">
        <f t="shared" si="1155"/>
        <v/>
      </c>
      <c r="V52" s="12" t="str">
        <f t="shared" si="1156"/>
        <v/>
      </c>
      <c r="W52" s="12" t="str">
        <f t="shared" si="1157"/>
        <v/>
      </c>
      <c r="X52" s="12" t="str">
        <f t="shared" si="1158"/>
        <v/>
      </c>
      <c r="Y52" s="12" t="str">
        <f t="shared" si="1159"/>
        <v/>
      </c>
      <c r="Z52" s="12" t="str">
        <f t="shared" si="1160"/>
        <v/>
      </c>
      <c r="AA52" s="12" t="str">
        <f t="shared" si="1161"/>
        <v/>
      </c>
      <c r="AB52" s="12" t="str">
        <f t="shared" si="1162"/>
        <v/>
      </c>
      <c r="AC52" s="12" t="str">
        <f t="shared" si="1163"/>
        <v/>
      </c>
      <c r="AD52" s="12" t="str">
        <f t="shared" si="1164"/>
        <v/>
      </c>
      <c r="AE52" s="12" t="str">
        <f t="shared" si="1165"/>
        <v/>
      </c>
      <c r="AF52" s="12" t="str">
        <f t="shared" si="1166"/>
        <v/>
      </c>
      <c r="AG52" s="12" t="str">
        <f t="shared" si="1167"/>
        <v/>
      </c>
      <c r="AH52" s="12" t="str">
        <f t="shared" si="1168"/>
        <v/>
      </c>
      <c r="AI52" s="12" t="str">
        <f t="shared" si="1169"/>
        <v/>
      </c>
      <c r="AJ52" s="12" t="str">
        <f t="shared" si="1170"/>
        <v/>
      </c>
      <c r="AK52" s="12" t="str">
        <f t="shared" si="1171"/>
        <v/>
      </c>
      <c r="AL52" s="12" t="str">
        <f t="shared" si="1172"/>
        <v/>
      </c>
      <c r="AM52" s="12" t="str">
        <f t="shared" si="1173"/>
        <v/>
      </c>
      <c r="AN52" s="12" t="str">
        <f t="shared" si="1174"/>
        <v/>
      </c>
      <c r="AO52" s="12" t="str">
        <f t="shared" si="1175"/>
        <v/>
      </c>
      <c r="AP52" s="12" t="str">
        <f t="shared" si="1176"/>
        <v/>
      </c>
      <c r="AQ52" s="12" t="str">
        <f t="shared" si="1177"/>
        <v/>
      </c>
      <c r="AR52" s="12" t="str">
        <f t="shared" si="1178"/>
        <v/>
      </c>
      <c r="AS52" s="12" t="str">
        <f t="shared" si="1179"/>
        <v/>
      </c>
      <c r="AT52" s="12" t="str">
        <f t="shared" si="1180"/>
        <v/>
      </c>
      <c r="AU52" s="12" t="str">
        <f t="shared" si="1181"/>
        <v/>
      </c>
      <c r="AV52" s="12" t="str">
        <f t="shared" ref="AS52:BC52" si="1183">IF(AV$3="","",AU52)</f>
        <v/>
      </c>
      <c r="AW52" s="12" t="str">
        <f t="shared" si="1183"/>
        <v/>
      </c>
      <c r="AX52" s="12" t="str">
        <f t="shared" si="1183"/>
        <v/>
      </c>
      <c r="AY52" s="12" t="str">
        <f t="shared" si="1183"/>
        <v/>
      </c>
      <c r="AZ52" s="12" t="str">
        <f t="shared" si="1183"/>
        <v/>
      </c>
      <c r="BA52" s="12" t="str">
        <f t="shared" si="1183"/>
        <v/>
      </c>
      <c r="BB52" s="12" t="str">
        <f t="shared" si="1183"/>
        <v/>
      </c>
      <c r="BC52" s="12" t="str">
        <f t="shared" si="1183"/>
        <v/>
      </c>
    </row>
    <row r="53" spans="1:55" ht="11.25" customHeight="1" x14ac:dyDescent="0.25">
      <c r="A53" s="24">
        <v>4</v>
      </c>
      <c r="B53" s="11" t="s">
        <v>5</v>
      </c>
      <c r="C53" s="123">
        <v>21</v>
      </c>
      <c r="D53" s="12">
        <f t="shared" ref="D53" si="1184">IF(D51="","",(C53+C54))</f>
        <v>21</v>
      </c>
      <c r="E53" s="12">
        <f t="shared" ref="E53" si="1185">IF(E51="","",(D53+D54))</f>
        <v>21</v>
      </c>
      <c r="F53" s="12">
        <v>17</v>
      </c>
      <c r="G53" s="195">
        <f t="shared" ref="G53" si="1186">IF(G51="","",(F53+F54))</f>
        <v>17</v>
      </c>
      <c r="H53" s="12">
        <f t="shared" ref="H53" si="1187">IF(H51="","",(G53+G54))</f>
        <v>17</v>
      </c>
      <c r="I53" s="12">
        <f t="shared" ref="I53" si="1188">IF(I51="","",(H53+H54))</f>
        <v>17</v>
      </c>
      <c r="J53" s="195">
        <f t="shared" ref="J53" si="1189">IF(J51="","",(I53+I54))</f>
        <v>37</v>
      </c>
      <c r="K53" s="12">
        <f t="shared" ref="K53" si="1190">IF(K51="","",(J53+J54))</f>
        <v>37</v>
      </c>
      <c r="L53" s="12">
        <f t="shared" ref="L53" si="1191">IF(L51="","",(K53+K54))</f>
        <v>37</v>
      </c>
      <c r="M53" s="12">
        <f t="shared" ref="M53" si="1192">IF(M51="","",(L53+L54))</f>
        <v>37</v>
      </c>
      <c r="N53" s="195" t="str">
        <f t="shared" ref="N53" si="1193">IF(N51="","",(M53+M54))</f>
        <v/>
      </c>
      <c r="O53" s="12" t="str">
        <f t="shared" ref="O53" si="1194">IF(O51="","",(N53+N54))</f>
        <v/>
      </c>
      <c r="P53" s="12" t="str">
        <f t="shared" ref="P53" si="1195">IF(P51="","",(O53+O54))</f>
        <v/>
      </c>
      <c r="Q53" s="12" t="str">
        <f t="shared" ref="Q53" si="1196">IF(Q51="","",(P53+P54))</f>
        <v/>
      </c>
      <c r="R53" s="12" t="str">
        <f t="shared" ref="R53" si="1197">IF(R51="","",(Q53+Q54))</f>
        <v/>
      </c>
      <c r="S53" s="12" t="str">
        <f t="shared" ref="S53" si="1198">IF(S51="","",(R53+R54))</f>
        <v/>
      </c>
      <c r="T53" s="12" t="str">
        <f t="shared" ref="T53" si="1199">IF(T51="","",(S53+S54))</f>
        <v/>
      </c>
      <c r="U53" s="12" t="str">
        <f t="shared" ref="U53" si="1200">IF(U51="","",(T53+T54))</f>
        <v/>
      </c>
      <c r="V53" s="12" t="str">
        <f t="shared" ref="V53" si="1201">IF(V51="","",(U53+U54))</f>
        <v/>
      </c>
      <c r="W53" s="12" t="str">
        <f t="shared" ref="W53" si="1202">IF(W51="","",(V53+V54))</f>
        <v/>
      </c>
      <c r="X53" s="12" t="str">
        <f t="shared" ref="X53" si="1203">IF(X51="","",(W53+W54))</f>
        <v/>
      </c>
      <c r="Y53" s="12" t="str">
        <f t="shared" ref="Y53" si="1204">IF(Y51="","",(X53+X54))</f>
        <v/>
      </c>
      <c r="Z53" s="12" t="str">
        <f t="shared" ref="Z53" si="1205">IF(Z51="","",(Y53+Y54))</f>
        <v/>
      </c>
      <c r="AA53" s="12" t="str">
        <f t="shared" ref="AA53" si="1206">IF(AA51="","",(Z53+Z54))</f>
        <v/>
      </c>
      <c r="AB53" s="12" t="str">
        <f t="shared" ref="AB53" si="1207">IF(AB51="","",(AA53+AA54))</f>
        <v/>
      </c>
      <c r="AC53" s="12" t="str">
        <f t="shared" ref="AC53" si="1208">IF(AC51="","",(AB53+AB54))</f>
        <v/>
      </c>
      <c r="AD53" s="12" t="str">
        <f t="shared" ref="AD53" si="1209">IF(AD51="","",(AC53+AC54))</f>
        <v/>
      </c>
      <c r="AE53" s="12" t="str">
        <f t="shared" ref="AE53" si="1210">IF(AE51="","",(AD53+AD54))</f>
        <v/>
      </c>
      <c r="AF53" s="12" t="str">
        <f t="shared" ref="AF53" si="1211">IF(AF51="","",(AE53+AE54))</f>
        <v/>
      </c>
      <c r="AG53" s="12" t="str">
        <f t="shared" ref="AG53" si="1212">IF(AG51="","",(AF53+AF54))</f>
        <v/>
      </c>
      <c r="AH53" s="12" t="str">
        <f t="shared" ref="AH53" si="1213">IF(AH51="","",(AG53+AG54))</f>
        <v/>
      </c>
      <c r="AI53" s="12" t="str">
        <f t="shared" ref="AI53" si="1214">IF(AI51="","",(AH53+AH54))</f>
        <v/>
      </c>
      <c r="AJ53" s="12" t="str">
        <f t="shared" ref="AJ53" si="1215">IF(AJ51="","",(AI53+AI54))</f>
        <v/>
      </c>
      <c r="AK53" s="12" t="str">
        <f t="shared" ref="AK53" si="1216">IF(AK51="","",(AJ53+AJ54))</f>
        <v/>
      </c>
      <c r="AL53" s="12" t="str">
        <f t="shared" ref="AL53" si="1217">IF(AL51="","",(AK53+AK54))</f>
        <v/>
      </c>
      <c r="AM53" s="12" t="str">
        <f t="shared" ref="AM53" si="1218">IF(AM51="","",(AL53+AL54))</f>
        <v/>
      </c>
      <c r="AN53" s="12" t="str">
        <f t="shared" ref="AN53" si="1219">IF(AN51="","",(AM53+AM54))</f>
        <v/>
      </c>
      <c r="AO53" s="12" t="str">
        <f t="shared" ref="AO53" si="1220">IF(AO51="","",(AN53+AN54))</f>
        <v/>
      </c>
      <c r="AP53" s="12" t="str">
        <f t="shared" ref="AP53" si="1221">IF(AP51="","",(AO53+AO54))</f>
        <v/>
      </c>
      <c r="AQ53" s="12" t="str">
        <f t="shared" ref="AQ53" si="1222">IF(AQ51="","",(AP53+AP54))</f>
        <v/>
      </c>
      <c r="AR53" s="12" t="str">
        <f t="shared" ref="AR53" si="1223">IF(AR51="","",(AQ53+AQ54))</f>
        <v/>
      </c>
      <c r="AS53" s="12" t="str">
        <f t="shared" ref="AS53" si="1224">IF(AS51="","",(AR53+AR54))</f>
        <v/>
      </c>
      <c r="AT53" s="12" t="str">
        <f t="shared" ref="AT53" si="1225">IF(AT51="","",(AS53+AS54))</f>
        <v/>
      </c>
      <c r="AU53" s="12" t="str">
        <f t="shared" ref="AU53" si="1226">IF(AU51="","",(AT53+AT54))</f>
        <v/>
      </c>
      <c r="AV53" s="12" t="str">
        <f t="shared" ref="AS53:BC53" si="1227">IF(AV51="","",(AU53+AU54))</f>
        <v/>
      </c>
      <c r="AW53" s="12" t="str">
        <f t="shared" si="1227"/>
        <v/>
      </c>
      <c r="AX53" s="12" t="str">
        <f t="shared" si="1227"/>
        <v/>
      </c>
      <c r="AY53" s="12" t="str">
        <f t="shared" si="1227"/>
        <v/>
      </c>
      <c r="AZ53" s="12" t="str">
        <f t="shared" si="1227"/>
        <v/>
      </c>
      <c r="BA53" s="12" t="str">
        <f t="shared" si="1227"/>
        <v/>
      </c>
      <c r="BB53" s="12" t="str">
        <f t="shared" si="1227"/>
        <v/>
      </c>
      <c r="BC53" s="12" t="str">
        <f t="shared" si="1227"/>
        <v/>
      </c>
    </row>
    <row r="54" spans="1:55" ht="11.25" customHeight="1" x14ac:dyDescent="0.2">
      <c r="A54" s="14"/>
      <c r="B54" s="11" t="s">
        <v>6</v>
      </c>
      <c r="C54" s="123"/>
      <c r="D54" s="12"/>
      <c r="E54" s="12"/>
      <c r="F54" s="12"/>
      <c r="G54" s="195"/>
      <c r="H54" s="12"/>
      <c r="I54" s="12">
        <v>20</v>
      </c>
      <c r="J54" s="195"/>
      <c r="K54" s="12"/>
      <c r="L54" s="12"/>
      <c r="M54" s="12"/>
      <c r="N54" s="195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</row>
    <row r="55" spans="1:55" ht="11.25" customHeight="1" x14ac:dyDescent="0.2">
      <c r="A55" s="15"/>
      <c r="B55" s="11" t="s">
        <v>8</v>
      </c>
      <c r="C55" s="129">
        <v>240</v>
      </c>
      <c r="D55" s="16">
        <f t="shared" ref="D55" si="1228">IF(D51="","",C55)</f>
        <v>240</v>
      </c>
      <c r="E55" s="16">
        <f t="shared" ref="E55" si="1229">IF(E51="","",D55)</f>
        <v>240</v>
      </c>
      <c r="F55" s="16">
        <f t="shared" ref="F55" si="1230">IF(F51="","",E55)</f>
        <v>240</v>
      </c>
      <c r="G55" s="196">
        <f t="shared" ref="G55" si="1231">IF(G51="","",F55)</f>
        <v>240</v>
      </c>
      <c r="H55" s="16">
        <f t="shared" ref="H55" si="1232">IF(H51="","",G55)</f>
        <v>240</v>
      </c>
      <c r="I55" s="16">
        <f t="shared" ref="I55" si="1233">IF(I51="","",H55)</f>
        <v>240</v>
      </c>
      <c r="J55" s="196">
        <f t="shared" ref="J55" si="1234">IF(J51="","",I55)</f>
        <v>240</v>
      </c>
      <c r="K55" s="16">
        <f t="shared" ref="K55" si="1235">IF(K51="","",J55)</f>
        <v>240</v>
      </c>
      <c r="L55" s="16">
        <f t="shared" ref="L55" si="1236">IF(L51="","",K55)</f>
        <v>240</v>
      </c>
      <c r="M55" s="16">
        <f t="shared" ref="M55" si="1237">IF(M51="","",L55)</f>
        <v>240</v>
      </c>
      <c r="N55" s="196" t="str">
        <f t="shared" ref="N55" si="1238">IF(N51="","",M55)</f>
        <v/>
      </c>
      <c r="O55" s="16" t="str">
        <f t="shared" ref="O55" si="1239">IF(O51="","",N55)</f>
        <v/>
      </c>
      <c r="P55" s="16" t="str">
        <f t="shared" ref="P55" si="1240">IF(P51="","",O55)</f>
        <v/>
      </c>
      <c r="Q55" s="16" t="str">
        <f t="shared" ref="Q55" si="1241">IF(Q51="","",P55)</f>
        <v/>
      </c>
      <c r="R55" s="16" t="str">
        <f t="shared" ref="R55" si="1242">IF(R51="","",Q55)</f>
        <v/>
      </c>
      <c r="S55" s="16" t="str">
        <f t="shared" ref="S55" si="1243">IF(S51="","",R55)</f>
        <v/>
      </c>
      <c r="T55" s="16" t="str">
        <f t="shared" ref="T55" si="1244">IF(T51="","",S55)</f>
        <v/>
      </c>
      <c r="U55" s="16" t="str">
        <f t="shared" ref="U55" si="1245">IF(U51="","",T55)</f>
        <v/>
      </c>
      <c r="V55" s="16" t="str">
        <f t="shared" ref="V55" si="1246">IF(V51="","",U55)</f>
        <v/>
      </c>
      <c r="W55" s="16" t="str">
        <f t="shared" ref="W55" si="1247">IF(W51="","",V55)</f>
        <v/>
      </c>
      <c r="X55" s="16" t="str">
        <f t="shared" ref="X55" si="1248">IF(X51="","",W55)</f>
        <v/>
      </c>
      <c r="Y55" s="16" t="str">
        <f t="shared" ref="Y55" si="1249">IF(Y51="","",X55)</f>
        <v/>
      </c>
      <c r="Z55" s="16" t="str">
        <f t="shared" ref="Z55" si="1250">IF(Z51="","",Y55)</f>
        <v/>
      </c>
      <c r="AA55" s="16" t="str">
        <f t="shared" ref="AA55" si="1251">IF(AA51="","",Z55)</f>
        <v/>
      </c>
      <c r="AB55" s="16" t="str">
        <f t="shared" ref="AB55" si="1252">IF(AB51="","",AA55)</f>
        <v/>
      </c>
      <c r="AC55" s="16" t="str">
        <f t="shared" ref="AC55" si="1253">IF(AC51="","",AB55)</f>
        <v/>
      </c>
      <c r="AD55" s="16" t="str">
        <f t="shared" ref="AD55" si="1254">IF(AD51="","",AC55)</f>
        <v/>
      </c>
      <c r="AE55" s="16" t="str">
        <f t="shared" ref="AE55" si="1255">IF(AE51="","",AD55)</f>
        <v/>
      </c>
      <c r="AF55" s="16" t="str">
        <f t="shared" ref="AF55" si="1256">IF(AF51="","",AE55)</f>
        <v/>
      </c>
      <c r="AG55" s="16" t="str">
        <f t="shared" ref="AG55" si="1257">IF(AG51="","",AF55)</f>
        <v/>
      </c>
      <c r="AH55" s="16" t="str">
        <f t="shared" ref="AH55" si="1258">IF(AH51="","",AG55)</f>
        <v/>
      </c>
      <c r="AI55" s="16" t="str">
        <f t="shared" ref="AI55" si="1259">IF(AI51="","",AH55)</f>
        <v/>
      </c>
      <c r="AJ55" s="16" t="str">
        <f t="shared" ref="AJ55" si="1260">IF(AJ51="","",AI55)</f>
        <v/>
      </c>
      <c r="AK55" s="16" t="str">
        <f t="shared" ref="AK55" si="1261">IF(AK51="","",AJ55)</f>
        <v/>
      </c>
      <c r="AL55" s="16" t="str">
        <f t="shared" ref="AL55" si="1262">IF(AL51="","",AK55)</f>
        <v/>
      </c>
      <c r="AM55" s="16" t="str">
        <f t="shared" ref="AM55" si="1263">IF(AM51="","",AL55)</f>
        <v/>
      </c>
      <c r="AN55" s="16" t="str">
        <f t="shared" ref="AN55" si="1264">IF(AN51="","",AM55)</f>
        <v/>
      </c>
      <c r="AO55" s="16" t="str">
        <f t="shared" ref="AO55" si="1265">IF(AO51="","",AN55)</f>
        <v/>
      </c>
      <c r="AP55" s="16" t="str">
        <f t="shared" ref="AP55" si="1266">IF(AP51="","",AO55)</f>
        <v/>
      </c>
      <c r="AQ55" s="16" t="str">
        <f t="shared" ref="AQ55" si="1267">IF(AQ51="","",AP55)</f>
        <v/>
      </c>
      <c r="AR55" s="16" t="str">
        <f t="shared" ref="AR55" si="1268">IF(AR51="","",AQ55)</f>
        <v/>
      </c>
      <c r="AS55" s="16" t="str">
        <f t="shared" ref="AS55" si="1269">IF(AS51="","",AR55)</f>
        <v/>
      </c>
      <c r="AT55" s="16" t="str">
        <f t="shared" ref="AT55" si="1270">IF(AT51="","",AS55)</f>
        <v/>
      </c>
      <c r="AU55" s="16" t="str">
        <f t="shared" ref="AU55" si="1271">IF(AU51="","",AT55)</f>
        <v/>
      </c>
      <c r="AV55" s="16" t="str">
        <f t="shared" ref="AS55:BC55" si="1272">IF(AV51="","",AU55)</f>
        <v/>
      </c>
      <c r="AW55" s="16" t="str">
        <f t="shared" si="1272"/>
        <v/>
      </c>
      <c r="AX55" s="16" t="str">
        <f t="shared" si="1272"/>
        <v/>
      </c>
      <c r="AY55" s="16" t="str">
        <f t="shared" si="1272"/>
        <v/>
      </c>
      <c r="AZ55" s="16" t="str">
        <f t="shared" si="1272"/>
        <v/>
      </c>
      <c r="BA55" s="16" t="str">
        <f t="shared" si="1272"/>
        <v/>
      </c>
      <c r="BB55" s="16" t="str">
        <f t="shared" si="1272"/>
        <v/>
      </c>
      <c r="BC55" s="16" t="str">
        <f t="shared" si="1272"/>
        <v/>
      </c>
    </row>
    <row r="56" spans="1:55" ht="11.25" customHeight="1" x14ac:dyDescent="0.2">
      <c r="A56" s="14" t="s">
        <v>9</v>
      </c>
      <c r="B56" s="17" t="s">
        <v>10</v>
      </c>
      <c r="C56" s="133" t="s">
        <v>262</v>
      </c>
      <c r="D56" s="18" t="str">
        <f t="shared" ref="D56" si="1273">IF(D51="","",C56)</f>
        <v>レインボーバター</v>
      </c>
      <c r="E56" s="18" t="str">
        <f t="shared" ref="E56" si="1274">IF(E51="","",D56)</f>
        <v>レインボーバター</v>
      </c>
      <c r="F56" s="18" t="str">
        <f t="shared" ref="F56" si="1275">IF(F51="","",E56)</f>
        <v>レインボーバター</v>
      </c>
      <c r="G56" s="197" t="str">
        <f t="shared" ref="G56" si="1276">IF(G51="","",F56)</f>
        <v>レインボーバター</v>
      </c>
      <c r="H56" s="18" t="str">
        <f t="shared" ref="H56" si="1277">IF(H51="","",G56)</f>
        <v>レインボーバター</v>
      </c>
      <c r="I56" s="18" t="str">
        <f t="shared" ref="I56" si="1278">IF(I51="","",H56)</f>
        <v>レインボーバター</v>
      </c>
      <c r="J56" s="197" t="str">
        <f t="shared" ref="J56" si="1279">IF(J51="","",I56)</f>
        <v>レインボーバター</v>
      </c>
      <c r="K56" s="18" t="str">
        <f t="shared" ref="K56" si="1280">IF(K51="","",J56)</f>
        <v>レインボーバター</v>
      </c>
      <c r="L56" s="18" t="str">
        <f t="shared" ref="L56" si="1281">IF(L51="","",K56)</f>
        <v>レインボーバター</v>
      </c>
      <c r="M56" s="18" t="str">
        <f t="shared" ref="M56" si="1282">IF(M51="","",L56)</f>
        <v>レインボーバター</v>
      </c>
      <c r="N56" s="197" t="str">
        <f t="shared" ref="N56" si="1283">IF(N51="","",M56)</f>
        <v/>
      </c>
      <c r="O56" s="18" t="str">
        <f t="shared" ref="O56" si="1284">IF(O51="","",N56)</f>
        <v/>
      </c>
      <c r="P56" s="18" t="str">
        <f t="shared" ref="P56" si="1285">IF(P51="","",O56)</f>
        <v/>
      </c>
      <c r="Q56" s="18" t="str">
        <f t="shared" ref="Q56" si="1286">IF(Q51="","",P56)</f>
        <v/>
      </c>
      <c r="R56" s="18" t="str">
        <f t="shared" ref="R56" si="1287">IF(R51="","",Q56)</f>
        <v/>
      </c>
      <c r="S56" s="18" t="str">
        <f t="shared" ref="S56" si="1288">IF(S51="","",R56)</f>
        <v/>
      </c>
      <c r="T56" s="18" t="str">
        <f t="shared" ref="T56" si="1289">IF(T51="","",S56)</f>
        <v/>
      </c>
      <c r="U56" s="18" t="str">
        <f t="shared" ref="U56" si="1290">IF(U51="","",T56)</f>
        <v/>
      </c>
      <c r="V56" s="18" t="str">
        <f t="shared" ref="V56" si="1291">IF(V51="","",U56)</f>
        <v/>
      </c>
      <c r="W56" s="18" t="str">
        <f t="shared" ref="W56" si="1292">IF(W51="","",V56)</f>
        <v/>
      </c>
      <c r="X56" s="18" t="str">
        <f t="shared" ref="X56" si="1293">IF(X51="","",W56)</f>
        <v/>
      </c>
      <c r="Y56" s="18" t="str">
        <f t="shared" ref="Y56" si="1294">IF(Y51="","",X56)</f>
        <v/>
      </c>
      <c r="Z56" s="18" t="str">
        <f t="shared" ref="Z56" si="1295">IF(Z51="","",Y56)</f>
        <v/>
      </c>
      <c r="AA56" s="18" t="str">
        <f t="shared" ref="AA56" si="1296">IF(AA51="","",Z56)</f>
        <v/>
      </c>
      <c r="AB56" s="18" t="str">
        <f t="shared" ref="AB56" si="1297">IF(AB51="","",AA56)</f>
        <v/>
      </c>
      <c r="AC56" s="18" t="str">
        <f t="shared" ref="AC56" si="1298">IF(AC51="","",AB56)</f>
        <v/>
      </c>
      <c r="AD56" s="18" t="str">
        <f t="shared" ref="AD56" si="1299">IF(AD51="","",AC56)</f>
        <v/>
      </c>
      <c r="AE56" s="18" t="str">
        <f t="shared" ref="AE56" si="1300">IF(AE51="","",AD56)</f>
        <v/>
      </c>
      <c r="AF56" s="18" t="str">
        <f t="shared" ref="AF56" si="1301">IF(AF51="","",AE56)</f>
        <v/>
      </c>
      <c r="AG56" s="18" t="str">
        <f t="shared" ref="AG56" si="1302">IF(AG51="","",AF56)</f>
        <v/>
      </c>
      <c r="AH56" s="18" t="str">
        <f t="shared" ref="AH56" si="1303">IF(AH51="","",AG56)</f>
        <v/>
      </c>
      <c r="AI56" s="18" t="str">
        <f t="shared" ref="AI56" si="1304">IF(AI51="","",AH56)</f>
        <v/>
      </c>
      <c r="AJ56" s="18" t="str">
        <f t="shared" ref="AJ56" si="1305">IF(AJ51="","",AI56)</f>
        <v/>
      </c>
      <c r="AK56" s="18" t="str">
        <f t="shared" ref="AK56" si="1306">IF(AK51="","",AJ56)</f>
        <v/>
      </c>
      <c r="AL56" s="18" t="str">
        <f t="shared" ref="AL56" si="1307">IF(AL51="","",AK56)</f>
        <v/>
      </c>
      <c r="AM56" s="18" t="str">
        <f t="shared" ref="AM56" si="1308">IF(AM51="","",AL56)</f>
        <v/>
      </c>
      <c r="AN56" s="18" t="str">
        <f t="shared" ref="AN56" si="1309">IF(AN51="","",AM56)</f>
        <v/>
      </c>
      <c r="AO56" s="18" t="str">
        <f t="shared" ref="AO56" si="1310">IF(AO51="","",AN56)</f>
        <v/>
      </c>
      <c r="AP56" s="18" t="str">
        <f t="shared" ref="AP56" si="1311">IF(AP51="","",AO56)</f>
        <v/>
      </c>
      <c r="AQ56" s="18" t="str">
        <f t="shared" ref="AQ56" si="1312">IF(AQ51="","",AP56)</f>
        <v/>
      </c>
      <c r="AR56" s="18" t="str">
        <f t="shared" ref="AR56" si="1313">IF(AR51="","",AQ56)</f>
        <v/>
      </c>
      <c r="AS56" s="18" t="str">
        <f t="shared" ref="AS56" si="1314">IF(AS51="","",AR56)</f>
        <v/>
      </c>
      <c r="AT56" s="18" t="str">
        <f t="shared" ref="AT56" si="1315">IF(AT51="","",AS56)</f>
        <v/>
      </c>
      <c r="AU56" s="18" t="str">
        <f t="shared" ref="AU56" si="1316">IF(AU51="","",AT56)</f>
        <v/>
      </c>
      <c r="AV56" s="18" t="str">
        <f t="shared" ref="AS56:BC56" si="1317">IF(AV51="","",AU56)</f>
        <v/>
      </c>
      <c r="AW56" s="18" t="str">
        <f t="shared" si="1317"/>
        <v/>
      </c>
      <c r="AX56" s="18" t="str">
        <f t="shared" si="1317"/>
        <v/>
      </c>
      <c r="AY56" s="18" t="str">
        <f t="shared" si="1317"/>
        <v/>
      </c>
      <c r="AZ56" s="18" t="str">
        <f t="shared" si="1317"/>
        <v/>
      </c>
      <c r="BA56" s="18" t="str">
        <f t="shared" si="1317"/>
        <v/>
      </c>
      <c r="BB56" s="18" t="str">
        <f t="shared" si="1317"/>
        <v/>
      </c>
      <c r="BC56" s="18" t="str">
        <f t="shared" si="1317"/>
        <v/>
      </c>
    </row>
    <row r="57" spans="1:55" ht="11.25" customHeight="1" x14ac:dyDescent="0.2">
      <c r="A57" s="15">
        <f>AVERAGE(C58:AS58)*30*100</f>
        <v>33000</v>
      </c>
      <c r="B57" s="11" t="s">
        <v>12</v>
      </c>
      <c r="C57" s="123"/>
      <c r="D57" s="12"/>
      <c r="E57" s="12"/>
      <c r="F57" s="12"/>
      <c r="G57" s="195"/>
      <c r="H57" s="12"/>
      <c r="I57" s="12"/>
      <c r="J57" s="195"/>
      <c r="K57" s="12"/>
      <c r="L57" s="12"/>
      <c r="M57" s="12"/>
      <c r="N57" s="195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</row>
    <row r="58" spans="1:55" ht="11.25" customHeight="1" x14ac:dyDescent="0.2">
      <c r="A58" s="15">
        <f t="shared" ref="A58:A61" si="1318">SUM(C58:AS58)</f>
        <v>121</v>
      </c>
      <c r="B58" s="19" t="s">
        <v>13</v>
      </c>
      <c r="C58" s="123">
        <v>0</v>
      </c>
      <c r="D58" s="20">
        <f t="shared" ref="D58:D59" si="1319">IF(D51="","",D51-C51)</f>
        <v>0</v>
      </c>
      <c r="E58" s="20">
        <f t="shared" ref="E58:E59" si="1320">IF(E51="","",E51-D51)</f>
        <v>0</v>
      </c>
      <c r="F58" s="20">
        <f t="shared" ref="F58:F59" si="1321">IF(F51="","",F51-E51)</f>
        <v>86</v>
      </c>
      <c r="G58" s="195">
        <f t="shared" ref="G58:G59" si="1322">IF(G51="","",G51-F51)</f>
        <v>0</v>
      </c>
      <c r="H58" s="20">
        <f t="shared" ref="H58:H59" si="1323">IF(H51="","",H51-G51)</f>
        <v>0</v>
      </c>
      <c r="I58" s="20">
        <f t="shared" ref="I58:I59" si="1324">IF(I51="","",I51-H51)</f>
        <v>35</v>
      </c>
      <c r="J58" s="195">
        <f t="shared" ref="J58:J59" si="1325">IF(J51="","",J51-I51)</f>
        <v>0</v>
      </c>
      <c r="K58" s="20">
        <f t="shared" ref="K58:K59" si="1326">IF(K51="","",K51-J51)</f>
        <v>0</v>
      </c>
      <c r="L58" s="20">
        <f t="shared" ref="L58:L59" si="1327">IF(L51="","",L51-K51)</f>
        <v>0</v>
      </c>
      <c r="M58" s="20">
        <f t="shared" ref="M58:M59" si="1328">IF(M51="","",M51-L51)</f>
        <v>0</v>
      </c>
      <c r="N58" s="195" t="str">
        <f t="shared" ref="N58:N59" si="1329">IF(N51="","",N51-M51)</f>
        <v/>
      </c>
      <c r="O58" s="20" t="str">
        <f t="shared" ref="O58:O59" si="1330">IF(O51="","",O51-N51)</f>
        <v/>
      </c>
      <c r="P58" s="20" t="str">
        <f t="shared" ref="P58:P59" si="1331">IF(P51="","",P51-O51)</f>
        <v/>
      </c>
      <c r="Q58" s="20" t="str">
        <f t="shared" ref="Q58:Q59" si="1332">IF(Q51="","",Q51-P51)</f>
        <v/>
      </c>
      <c r="R58" s="20" t="str">
        <f t="shared" ref="R58:R59" si="1333">IF(R51="","",R51-Q51)</f>
        <v/>
      </c>
      <c r="S58" s="20" t="str">
        <f t="shared" ref="S58:S59" si="1334">IF(S51="","",S51-R51)</f>
        <v/>
      </c>
      <c r="T58" s="20" t="str">
        <f t="shared" ref="T58:T59" si="1335">IF(T51="","",T51-S51)</f>
        <v/>
      </c>
      <c r="U58" s="20" t="str">
        <f t="shared" ref="U58:U59" si="1336">IF(U51="","",U51-T51)</f>
        <v/>
      </c>
      <c r="V58" s="20" t="str">
        <f t="shared" ref="V58:V59" si="1337">IF(V51="","",V51-U51)</f>
        <v/>
      </c>
      <c r="W58" s="20" t="str">
        <f t="shared" ref="W58:W59" si="1338">IF(W51="","",W51-V51)</f>
        <v/>
      </c>
      <c r="X58" s="20" t="str">
        <f t="shared" ref="X58:X59" si="1339">IF(X51="","",X51-W51)</f>
        <v/>
      </c>
      <c r="Y58" s="20" t="str">
        <f t="shared" ref="Y58:Y59" si="1340">IF(Y51="","",Y51-X51)</f>
        <v/>
      </c>
      <c r="Z58" s="20" t="str">
        <f t="shared" ref="Z58:Z59" si="1341">IF(Z51="","",Z51-Y51)</f>
        <v/>
      </c>
      <c r="AA58" s="20" t="str">
        <f t="shared" ref="AA58:AA59" si="1342">IF(AA51="","",AA51-Z51)</f>
        <v/>
      </c>
      <c r="AB58" s="20" t="str">
        <f t="shared" ref="AB58:AB59" si="1343">IF(AB51="","",AB51-AA51)</f>
        <v/>
      </c>
      <c r="AC58" s="20" t="str">
        <f t="shared" ref="AC58:AC59" si="1344">IF(AC51="","",AC51-AB51)</f>
        <v/>
      </c>
      <c r="AD58" s="20" t="str">
        <f t="shared" ref="AD58:AD59" si="1345">IF(AD51="","",AD51-AC51)</f>
        <v/>
      </c>
      <c r="AE58" s="20" t="str">
        <f t="shared" ref="AE58:AE59" si="1346">IF(AE51="","",AE51-AD51)</f>
        <v/>
      </c>
      <c r="AF58" s="20" t="str">
        <f t="shared" ref="AF58:AF59" si="1347">IF(AF51="","",AF51-AE51)</f>
        <v/>
      </c>
      <c r="AG58" s="20" t="str">
        <f t="shared" ref="AG58:AG59" si="1348">IF(AG51="","",AG51-AF51)</f>
        <v/>
      </c>
      <c r="AH58" s="20" t="str">
        <f t="shared" ref="AH58:AH59" si="1349">IF(AH51="","",AH51-AG51)</f>
        <v/>
      </c>
      <c r="AI58" s="20" t="str">
        <f t="shared" ref="AI58:AI59" si="1350">IF(AI51="","",AI51-AH51)</f>
        <v/>
      </c>
      <c r="AJ58" s="20" t="str">
        <f t="shared" ref="AJ58:AJ59" si="1351">IF(AJ51="","",AJ51-AI51)</f>
        <v/>
      </c>
      <c r="AK58" s="20" t="str">
        <f t="shared" ref="AK58:AK59" si="1352">IF(AK51="","",AK51-AJ51)</f>
        <v/>
      </c>
      <c r="AL58" s="20" t="str">
        <f t="shared" ref="AL58:AL59" si="1353">IF(AL51="","",AL51-AK51)</f>
        <v/>
      </c>
      <c r="AM58" s="20" t="str">
        <f t="shared" ref="AM58:AM59" si="1354">IF(AM51="","",AM51-AL51)</f>
        <v/>
      </c>
      <c r="AN58" s="20" t="str">
        <f t="shared" ref="AN58:AN59" si="1355">IF(AN51="","",AN51-AM51)</f>
        <v/>
      </c>
      <c r="AO58" s="20" t="str">
        <f t="shared" ref="AO58:AO59" si="1356">IF(AO51="","",AO51-AN51)</f>
        <v/>
      </c>
      <c r="AP58" s="20" t="str">
        <f t="shared" ref="AP58:AP59" si="1357">IF(AP51="","",AP51-AO51)</f>
        <v/>
      </c>
      <c r="AQ58" s="20" t="str">
        <f t="shared" ref="AQ58:AQ59" si="1358">IF(AQ51="","",AQ51-AP51)</f>
        <v/>
      </c>
      <c r="AR58" s="20" t="str">
        <f t="shared" ref="AR58:AR59" si="1359">IF(AR51="","",AR51-AQ51)</f>
        <v/>
      </c>
      <c r="AS58" s="20" t="str">
        <f t="shared" ref="AS58:AS59" si="1360">IF(AS51="","",AS51-AR51)</f>
        <v/>
      </c>
      <c r="AT58" s="20" t="str">
        <f t="shared" ref="AT58:AT59" si="1361">IF(AT51="","",AT51-AS51)</f>
        <v/>
      </c>
      <c r="AU58" s="20" t="str">
        <f t="shared" ref="AU58:AU59" si="1362">IF(AU51="","",AU51-AT51)</f>
        <v/>
      </c>
      <c r="AV58" s="20" t="str">
        <f t="shared" ref="AS58:BC58" si="1363">IF(AV51="","",AV51-AU51)</f>
        <v/>
      </c>
      <c r="AW58" s="20" t="str">
        <f t="shared" si="1363"/>
        <v/>
      </c>
      <c r="AX58" s="20" t="str">
        <f t="shared" si="1363"/>
        <v/>
      </c>
      <c r="AY58" s="20" t="str">
        <f t="shared" si="1363"/>
        <v/>
      </c>
      <c r="AZ58" s="20" t="str">
        <f t="shared" si="1363"/>
        <v/>
      </c>
      <c r="BA58" s="20" t="str">
        <f t="shared" si="1363"/>
        <v/>
      </c>
      <c r="BB58" s="20" t="str">
        <f t="shared" si="1363"/>
        <v/>
      </c>
      <c r="BC58" s="20" t="str">
        <f t="shared" si="1363"/>
        <v/>
      </c>
    </row>
    <row r="59" spans="1:55" ht="11.25" customHeight="1" x14ac:dyDescent="0.2">
      <c r="A59" s="15">
        <f t="shared" si="1318"/>
        <v>5</v>
      </c>
      <c r="B59" s="19" t="s">
        <v>14</v>
      </c>
      <c r="C59" s="123">
        <v>0</v>
      </c>
      <c r="D59" s="20">
        <f t="shared" si="1319"/>
        <v>0</v>
      </c>
      <c r="E59" s="20">
        <f t="shared" si="1320"/>
        <v>0</v>
      </c>
      <c r="F59" s="20">
        <f t="shared" si="1321"/>
        <v>4</v>
      </c>
      <c r="G59" s="195">
        <f t="shared" si="1322"/>
        <v>0</v>
      </c>
      <c r="H59" s="20">
        <f t="shared" si="1323"/>
        <v>0</v>
      </c>
      <c r="I59" s="20">
        <f t="shared" si="1324"/>
        <v>1</v>
      </c>
      <c r="J59" s="195">
        <f t="shared" si="1325"/>
        <v>0</v>
      </c>
      <c r="K59" s="20">
        <f t="shared" si="1326"/>
        <v>0</v>
      </c>
      <c r="L59" s="20">
        <f t="shared" si="1327"/>
        <v>0</v>
      </c>
      <c r="M59" s="20">
        <f t="shared" si="1328"/>
        <v>0</v>
      </c>
      <c r="N59" s="195" t="str">
        <f t="shared" si="1329"/>
        <v/>
      </c>
      <c r="O59" s="20" t="str">
        <f t="shared" si="1330"/>
        <v/>
      </c>
      <c r="P59" s="20" t="str">
        <f t="shared" si="1331"/>
        <v/>
      </c>
      <c r="Q59" s="20" t="str">
        <f t="shared" si="1332"/>
        <v/>
      </c>
      <c r="R59" s="20" t="str">
        <f t="shared" si="1333"/>
        <v/>
      </c>
      <c r="S59" s="20" t="str">
        <f t="shared" si="1334"/>
        <v/>
      </c>
      <c r="T59" s="20" t="str">
        <f t="shared" si="1335"/>
        <v/>
      </c>
      <c r="U59" s="20" t="str">
        <f t="shared" si="1336"/>
        <v/>
      </c>
      <c r="V59" s="20" t="str">
        <f t="shared" si="1337"/>
        <v/>
      </c>
      <c r="W59" s="20" t="str">
        <f t="shared" si="1338"/>
        <v/>
      </c>
      <c r="X59" s="20" t="str">
        <f t="shared" si="1339"/>
        <v/>
      </c>
      <c r="Y59" s="20" t="str">
        <f t="shared" si="1340"/>
        <v/>
      </c>
      <c r="Z59" s="20" t="str">
        <f t="shared" si="1341"/>
        <v/>
      </c>
      <c r="AA59" s="20" t="str">
        <f t="shared" si="1342"/>
        <v/>
      </c>
      <c r="AB59" s="20" t="str">
        <f t="shared" si="1343"/>
        <v/>
      </c>
      <c r="AC59" s="20" t="str">
        <f t="shared" si="1344"/>
        <v/>
      </c>
      <c r="AD59" s="20" t="str">
        <f t="shared" si="1345"/>
        <v/>
      </c>
      <c r="AE59" s="20" t="str">
        <f t="shared" si="1346"/>
        <v/>
      </c>
      <c r="AF59" s="20" t="str">
        <f t="shared" si="1347"/>
        <v/>
      </c>
      <c r="AG59" s="20" t="str">
        <f t="shared" si="1348"/>
        <v/>
      </c>
      <c r="AH59" s="20" t="str">
        <f t="shared" si="1349"/>
        <v/>
      </c>
      <c r="AI59" s="20" t="str">
        <f t="shared" si="1350"/>
        <v/>
      </c>
      <c r="AJ59" s="20" t="str">
        <f t="shared" si="1351"/>
        <v/>
      </c>
      <c r="AK59" s="20" t="str">
        <f t="shared" si="1352"/>
        <v/>
      </c>
      <c r="AL59" s="20" t="str">
        <f t="shared" si="1353"/>
        <v/>
      </c>
      <c r="AM59" s="20" t="str">
        <f t="shared" si="1354"/>
        <v/>
      </c>
      <c r="AN59" s="20" t="str">
        <f t="shared" si="1355"/>
        <v/>
      </c>
      <c r="AO59" s="20" t="str">
        <f t="shared" si="1356"/>
        <v/>
      </c>
      <c r="AP59" s="20" t="str">
        <f t="shared" si="1357"/>
        <v/>
      </c>
      <c r="AQ59" s="20" t="str">
        <f t="shared" si="1358"/>
        <v/>
      </c>
      <c r="AR59" s="20" t="str">
        <f t="shared" si="1359"/>
        <v/>
      </c>
      <c r="AS59" s="20" t="str">
        <f t="shared" si="1360"/>
        <v/>
      </c>
      <c r="AT59" s="20" t="str">
        <f t="shared" si="1361"/>
        <v/>
      </c>
      <c r="AU59" s="20" t="str">
        <f t="shared" si="1362"/>
        <v/>
      </c>
      <c r="AV59" s="20" t="str">
        <f t="shared" ref="AS59:BC59" si="1364">IF(AV52="","",AV52-AU52)</f>
        <v/>
      </c>
      <c r="AW59" s="20" t="str">
        <f t="shared" si="1364"/>
        <v/>
      </c>
      <c r="AX59" s="20" t="str">
        <f t="shared" si="1364"/>
        <v/>
      </c>
      <c r="AY59" s="20" t="str">
        <f t="shared" si="1364"/>
        <v/>
      </c>
      <c r="AZ59" s="20" t="str">
        <f t="shared" si="1364"/>
        <v/>
      </c>
      <c r="BA59" s="20" t="str">
        <f t="shared" si="1364"/>
        <v/>
      </c>
      <c r="BB59" s="20" t="str">
        <f t="shared" si="1364"/>
        <v/>
      </c>
      <c r="BC59" s="20" t="str">
        <f t="shared" si="1364"/>
        <v/>
      </c>
    </row>
    <row r="60" spans="1:55" ht="11.25" customHeight="1" x14ac:dyDescent="0.2">
      <c r="A60" s="15">
        <f t="shared" si="1318"/>
        <v>4</v>
      </c>
      <c r="B60" s="19" t="s">
        <v>15</v>
      </c>
      <c r="C60" s="123">
        <v>0</v>
      </c>
      <c r="D60" s="20">
        <f t="shared" ref="D60" si="1365">IF(D53="","",C53+C54-D53)</f>
        <v>0</v>
      </c>
      <c r="E60" s="20">
        <f t="shared" ref="E60" si="1366">IF(E53="","",D53+D54-E53)</f>
        <v>0</v>
      </c>
      <c r="F60" s="20">
        <f t="shared" ref="F60" si="1367">IF(F53="","",E53+E54-F53)</f>
        <v>4</v>
      </c>
      <c r="G60" s="195">
        <f t="shared" ref="G60" si="1368">IF(G53="","",F53+F54-G53)</f>
        <v>0</v>
      </c>
      <c r="H60" s="20">
        <f t="shared" ref="H60" si="1369">IF(H53="","",G53+G54-H53)</f>
        <v>0</v>
      </c>
      <c r="I60" s="20">
        <f t="shared" ref="I60" si="1370">IF(I53="","",H53+H54-I53)</f>
        <v>0</v>
      </c>
      <c r="J60" s="195">
        <f t="shared" ref="J60" si="1371">IF(J53="","",I53+I54-J53)</f>
        <v>0</v>
      </c>
      <c r="K60" s="20">
        <f t="shared" ref="K60" si="1372">IF(K53="","",J53+J54-K53)</f>
        <v>0</v>
      </c>
      <c r="L60" s="20">
        <f t="shared" ref="L60" si="1373">IF(L53="","",K53+K54-L53)</f>
        <v>0</v>
      </c>
      <c r="M60" s="20">
        <f t="shared" ref="M60" si="1374">IF(M53="","",L53+L54-M53)</f>
        <v>0</v>
      </c>
      <c r="N60" s="195" t="str">
        <f t="shared" ref="N60" si="1375">IF(N53="","",M53+M54-N53)</f>
        <v/>
      </c>
      <c r="O60" s="20" t="str">
        <f t="shared" ref="O60" si="1376">IF(O53="","",N53+N54-O53)</f>
        <v/>
      </c>
      <c r="P60" s="20" t="str">
        <f t="shared" ref="P60" si="1377">IF(P53="","",O53+O54-P53)</f>
        <v/>
      </c>
      <c r="Q60" s="20" t="str">
        <f t="shared" ref="Q60" si="1378">IF(Q53="","",P53+P54-Q53)</f>
        <v/>
      </c>
      <c r="R60" s="20" t="str">
        <f t="shared" ref="R60" si="1379">IF(R53="","",Q53+Q54-R53)</f>
        <v/>
      </c>
      <c r="S60" s="20" t="str">
        <f t="shared" ref="S60" si="1380">IF(S53="","",R53+R54-S53)</f>
        <v/>
      </c>
      <c r="T60" s="20" t="str">
        <f t="shared" ref="T60" si="1381">IF(T53="","",S53+S54-T53)</f>
        <v/>
      </c>
      <c r="U60" s="20" t="str">
        <f t="shared" ref="U60" si="1382">IF(U53="","",T53+T54-U53)</f>
        <v/>
      </c>
      <c r="V60" s="20" t="str">
        <f t="shared" ref="V60" si="1383">IF(V53="","",U53+U54-V53)</f>
        <v/>
      </c>
      <c r="W60" s="20" t="str">
        <f t="shared" ref="W60" si="1384">IF(W53="","",V53+V54-W53)</f>
        <v/>
      </c>
      <c r="X60" s="20" t="str">
        <f t="shared" ref="X60" si="1385">IF(X53="","",W53+W54-X53)</f>
        <v/>
      </c>
      <c r="Y60" s="20" t="str">
        <f t="shared" ref="Y60" si="1386">IF(Y53="","",X53+X54-Y53)</f>
        <v/>
      </c>
      <c r="Z60" s="20" t="str">
        <f t="shared" ref="Z60" si="1387">IF(Z53="","",Y53+Y54-Z53)</f>
        <v/>
      </c>
      <c r="AA60" s="20" t="str">
        <f t="shared" ref="AA60" si="1388">IF(AA53="","",Z53+Z54-AA53)</f>
        <v/>
      </c>
      <c r="AB60" s="20" t="str">
        <f t="shared" ref="AB60" si="1389">IF(AB53="","",AA53+AA54-AB53)</f>
        <v/>
      </c>
      <c r="AC60" s="20" t="str">
        <f t="shared" ref="AC60" si="1390">IF(AC53="","",AB53+AB54-AC53)</f>
        <v/>
      </c>
      <c r="AD60" s="20" t="str">
        <f t="shared" ref="AD60" si="1391">IF(AD53="","",AC53+AC54-AD53)</f>
        <v/>
      </c>
      <c r="AE60" s="20" t="str">
        <f t="shared" ref="AE60" si="1392">IF(AE53="","",AD53+AD54-AE53)</f>
        <v/>
      </c>
      <c r="AF60" s="20" t="str">
        <f t="shared" ref="AF60" si="1393">IF(AF53="","",AE53+AE54-AF53)</f>
        <v/>
      </c>
      <c r="AG60" s="20" t="str">
        <f t="shared" ref="AG60" si="1394">IF(AG53="","",AF53+AF54-AG53)</f>
        <v/>
      </c>
      <c r="AH60" s="20" t="str">
        <f t="shared" ref="AH60" si="1395">IF(AH53="","",AG53+AG54-AH53)</f>
        <v/>
      </c>
      <c r="AI60" s="20" t="str">
        <f t="shared" ref="AI60" si="1396">IF(AI53="","",AH53+AH54-AI53)</f>
        <v/>
      </c>
      <c r="AJ60" s="20" t="str">
        <f t="shared" ref="AJ60" si="1397">IF(AJ53="","",AI53+AI54-AJ53)</f>
        <v/>
      </c>
      <c r="AK60" s="20" t="str">
        <f t="shared" ref="AK60" si="1398">IF(AK53="","",AJ53+AJ54-AK53)</f>
        <v/>
      </c>
      <c r="AL60" s="20" t="str">
        <f t="shared" ref="AL60" si="1399">IF(AL53="","",AK53+AK54-AL53)</f>
        <v/>
      </c>
      <c r="AM60" s="20" t="str">
        <f t="shared" ref="AM60" si="1400">IF(AM53="","",AL53+AL54-AM53)</f>
        <v/>
      </c>
      <c r="AN60" s="20" t="str">
        <f t="shared" ref="AN60" si="1401">IF(AN53="","",AM53+AM54-AN53)</f>
        <v/>
      </c>
      <c r="AO60" s="20" t="str">
        <f t="shared" ref="AO60" si="1402">IF(AO53="","",AN53+AN54-AO53)</f>
        <v/>
      </c>
      <c r="AP60" s="20" t="str">
        <f t="shared" ref="AP60" si="1403">IF(AP53="","",AO53+AO54-AP53)</f>
        <v/>
      </c>
      <c r="AQ60" s="20" t="str">
        <f t="shared" ref="AQ60" si="1404">IF(AQ53="","",AP53+AP54-AQ53)</f>
        <v/>
      </c>
      <c r="AR60" s="20" t="str">
        <f t="shared" ref="AR60" si="1405">IF(AR53="","",AQ53+AQ54-AR53)</f>
        <v/>
      </c>
      <c r="AS60" s="20" t="str">
        <f t="shared" ref="AS60" si="1406">IF(AS53="","",AR53+AR54-AS53)</f>
        <v/>
      </c>
      <c r="AT60" s="20" t="str">
        <f t="shared" ref="AT60" si="1407">IF(AT53="","",AS53+AS54-AT53)</f>
        <v/>
      </c>
      <c r="AU60" s="20" t="str">
        <f t="shared" ref="AU60" si="1408">IF(AU53="","",AT53+AT54-AU53)</f>
        <v/>
      </c>
      <c r="AV60" s="20" t="str">
        <f t="shared" ref="AS60:BC60" si="1409">IF(AV53="","",AU53+AU54-AV53)</f>
        <v/>
      </c>
      <c r="AW60" s="20" t="str">
        <f t="shared" si="1409"/>
        <v/>
      </c>
      <c r="AX60" s="20" t="str">
        <f t="shared" si="1409"/>
        <v/>
      </c>
      <c r="AY60" s="20" t="str">
        <f t="shared" si="1409"/>
        <v/>
      </c>
      <c r="AZ60" s="20" t="str">
        <f t="shared" si="1409"/>
        <v/>
      </c>
      <c r="BA60" s="20" t="str">
        <f t="shared" si="1409"/>
        <v/>
      </c>
      <c r="BB60" s="20" t="str">
        <f t="shared" si="1409"/>
        <v/>
      </c>
      <c r="BC60" s="20" t="str">
        <f t="shared" si="1409"/>
        <v/>
      </c>
    </row>
    <row r="61" spans="1:55" ht="11.25" customHeight="1" x14ac:dyDescent="0.2">
      <c r="A61" s="15">
        <f t="shared" si="1318"/>
        <v>960</v>
      </c>
      <c r="B61" s="19" t="s">
        <v>16</v>
      </c>
      <c r="C61" s="123">
        <v>0</v>
      </c>
      <c r="D61" s="20">
        <f t="shared" ref="D61:AU61" si="1410">IF(D51="","",D60*D55)</f>
        <v>0</v>
      </c>
      <c r="E61" s="20">
        <f t="shared" si="1410"/>
        <v>0</v>
      </c>
      <c r="F61" s="20">
        <f t="shared" si="1410"/>
        <v>960</v>
      </c>
      <c r="G61" s="195">
        <f t="shared" si="1410"/>
        <v>0</v>
      </c>
      <c r="H61" s="20">
        <f t="shared" si="1410"/>
        <v>0</v>
      </c>
      <c r="I61" s="20">
        <f t="shared" si="1410"/>
        <v>0</v>
      </c>
      <c r="J61" s="195">
        <f t="shared" si="1410"/>
        <v>0</v>
      </c>
      <c r="K61" s="20">
        <f t="shared" si="1410"/>
        <v>0</v>
      </c>
      <c r="L61" s="20">
        <f t="shared" si="1410"/>
        <v>0</v>
      </c>
      <c r="M61" s="20">
        <f t="shared" si="1410"/>
        <v>0</v>
      </c>
      <c r="N61" s="195" t="str">
        <f t="shared" si="1410"/>
        <v/>
      </c>
      <c r="O61" s="20" t="str">
        <f t="shared" si="1410"/>
        <v/>
      </c>
      <c r="P61" s="20" t="str">
        <f t="shared" si="1410"/>
        <v/>
      </c>
      <c r="Q61" s="20" t="str">
        <f t="shared" si="1410"/>
        <v/>
      </c>
      <c r="R61" s="20" t="str">
        <f t="shared" si="1410"/>
        <v/>
      </c>
      <c r="S61" s="20" t="str">
        <f t="shared" si="1410"/>
        <v/>
      </c>
      <c r="T61" s="20" t="str">
        <f t="shared" si="1410"/>
        <v/>
      </c>
      <c r="U61" s="20" t="str">
        <f t="shared" si="1410"/>
        <v/>
      </c>
      <c r="V61" s="20" t="str">
        <f t="shared" si="1410"/>
        <v/>
      </c>
      <c r="W61" s="20" t="str">
        <f t="shared" si="1410"/>
        <v/>
      </c>
      <c r="X61" s="20" t="str">
        <f t="shared" si="1410"/>
        <v/>
      </c>
      <c r="Y61" s="20" t="str">
        <f t="shared" si="1410"/>
        <v/>
      </c>
      <c r="Z61" s="20" t="str">
        <f t="shared" si="1410"/>
        <v/>
      </c>
      <c r="AA61" s="20" t="str">
        <f t="shared" si="1410"/>
        <v/>
      </c>
      <c r="AB61" s="20" t="str">
        <f t="shared" si="1410"/>
        <v/>
      </c>
      <c r="AC61" s="20" t="str">
        <f t="shared" si="1410"/>
        <v/>
      </c>
      <c r="AD61" s="20" t="str">
        <f t="shared" si="1410"/>
        <v/>
      </c>
      <c r="AE61" s="20" t="str">
        <f t="shared" si="1410"/>
        <v/>
      </c>
      <c r="AF61" s="20" t="str">
        <f t="shared" si="1410"/>
        <v/>
      </c>
      <c r="AG61" s="20" t="str">
        <f t="shared" si="1410"/>
        <v/>
      </c>
      <c r="AH61" s="20" t="str">
        <f t="shared" si="1410"/>
        <v/>
      </c>
      <c r="AI61" s="20" t="str">
        <f t="shared" si="1410"/>
        <v/>
      </c>
      <c r="AJ61" s="20" t="str">
        <f t="shared" si="1410"/>
        <v/>
      </c>
      <c r="AK61" s="20" t="str">
        <f t="shared" si="1410"/>
        <v/>
      </c>
      <c r="AL61" s="20" t="str">
        <f t="shared" si="1410"/>
        <v/>
      </c>
      <c r="AM61" s="20" t="str">
        <f t="shared" si="1410"/>
        <v/>
      </c>
      <c r="AN61" s="20" t="str">
        <f t="shared" si="1410"/>
        <v/>
      </c>
      <c r="AO61" s="20" t="str">
        <f t="shared" si="1410"/>
        <v/>
      </c>
      <c r="AP61" s="20" t="str">
        <f t="shared" si="1410"/>
        <v/>
      </c>
      <c r="AQ61" s="20" t="str">
        <f t="shared" si="1410"/>
        <v/>
      </c>
      <c r="AR61" s="20" t="str">
        <f t="shared" si="1410"/>
        <v/>
      </c>
      <c r="AS61" s="20" t="str">
        <f t="shared" si="1410"/>
        <v/>
      </c>
      <c r="AT61" s="20" t="str">
        <f t="shared" si="1410"/>
        <v/>
      </c>
      <c r="AU61" s="20" t="str">
        <f t="shared" si="1410"/>
        <v/>
      </c>
      <c r="AV61" s="20" t="str">
        <f t="shared" ref="AS61:BC61" si="1411">IF(AV51="","",AV60*AV55)</f>
        <v/>
      </c>
      <c r="AW61" s="20" t="str">
        <f t="shared" si="1411"/>
        <v/>
      </c>
      <c r="AX61" s="20" t="str">
        <f t="shared" si="1411"/>
        <v/>
      </c>
      <c r="AY61" s="20" t="str">
        <f t="shared" si="1411"/>
        <v/>
      </c>
      <c r="AZ61" s="20" t="str">
        <f t="shared" si="1411"/>
        <v/>
      </c>
      <c r="BA61" s="20" t="str">
        <f t="shared" si="1411"/>
        <v/>
      </c>
      <c r="BB61" s="20" t="str">
        <f t="shared" si="1411"/>
        <v/>
      </c>
      <c r="BC61" s="20" t="str">
        <f t="shared" si="1411"/>
        <v/>
      </c>
    </row>
    <row r="62" spans="1:55" ht="11.25" customHeight="1" thickBot="1" x14ac:dyDescent="0.25">
      <c r="A62" s="21">
        <f>IF(A61="","",A61/(A58*100))</f>
        <v>7.9338842975206617E-2</v>
      </c>
      <c r="B62" s="22" t="s">
        <v>17</v>
      </c>
      <c r="C62" s="140" t="s">
        <v>18</v>
      </c>
      <c r="D62" s="23" t="str">
        <f t="shared" ref="D62:AU62" si="1412">IF(D61="","",IF(D61=0,"",D61/(D58*100)))</f>
        <v/>
      </c>
      <c r="E62" s="23" t="str">
        <f t="shared" si="1412"/>
        <v/>
      </c>
      <c r="F62" s="23">
        <f t="shared" si="1412"/>
        <v>0.11162790697674418</v>
      </c>
      <c r="G62" s="198" t="str">
        <f t="shared" si="1412"/>
        <v/>
      </c>
      <c r="H62" s="23" t="str">
        <f t="shared" si="1412"/>
        <v/>
      </c>
      <c r="I62" s="23" t="str">
        <f t="shared" si="1412"/>
        <v/>
      </c>
      <c r="J62" s="198" t="str">
        <f t="shared" si="1412"/>
        <v/>
      </c>
      <c r="K62" s="23" t="str">
        <f t="shared" si="1412"/>
        <v/>
      </c>
      <c r="L62" s="23" t="str">
        <f t="shared" si="1412"/>
        <v/>
      </c>
      <c r="M62" s="23" t="str">
        <f t="shared" si="1412"/>
        <v/>
      </c>
      <c r="N62" s="198" t="str">
        <f t="shared" si="1412"/>
        <v/>
      </c>
      <c r="O62" s="23" t="str">
        <f t="shared" si="1412"/>
        <v/>
      </c>
      <c r="P62" s="23" t="str">
        <f t="shared" si="1412"/>
        <v/>
      </c>
      <c r="Q62" s="23" t="str">
        <f t="shared" si="1412"/>
        <v/>
      </c>
      <c r="R62" s="23" t="str">
        <f t="shared" si="1412"/>
        <v/>
      </c>
      <c r="S62" s="23" t="str">
        <f t="shared" si="1412"/>
        <v/>
      </c>
      <c r="T62" s="23" t="str">
        <f t="shared" si="1412"/>
        <v/>
      </c>
      <c r="U62" s="23" t="str">
        <f t="shared" si="1412"/>
        <v/>
      </c>
      <c r="V62" s="23" t="str">
        <f t="shared" si="1412"/>
        <v/>
      </c>
      <c r="W62" s="23" t="str">
        <f t="shared" si="1412"/>
        <v/>
      </c>
      <c r="X62" s="23" t="str">
        <f t="shared" si="1412"/>
        <v/>
      </c>
      <c r="Y62" s="23" t="str">
        <f t="shared" si="1412"/>
        <v/>
      </c>
      <c r="Z62" s="23" t="str">
        <f t="shared" si="1412"/>
        <v/>
      </c>
      <c r="AA62" s="23" t="str">
        <f t="shared" si="1412"/>
        <v/>
      </c>
      <c r="AB62" s="23" t="str">
        <f t="shared" si="1412"/>
        <v/>
      </c>
      <c r="AC62" s="23" t="str">
        <f t="shared" si="1412"/>
        <v/>
      </c>
      <c r="AD62" s="23" t="str">
        <f t="shared" si="1412"/>
        <v/>
      </c>
      <c r="AE62" s="23" t="str">
        <f t="shared" si="1412"/>
        <v/>
      </c>
      <c r="AF62" s="23" t="str">
        <f t="shared" si="1412"/>
        <v/>
      </c>
      <c r="AG62" s="23" t="str">
        <f t="shared" si="1412"/>
        <v/>
      </c>
      <c r="AH62" s="23" t="str">
        <f t="shared" si="1412"/>
        <v/>
      </c>
      <c r="AI62" s="23" t="str">
        <f t="shared" si="1412"/>
        <v/>
      </c>
      <c r="AJ62" s="23" t="str">
        <f t="shared" si="1412"/>
        <v/>
      </c>
      <c r="AK62" s="23" t="str">
        <f t="shared" si="1412"/>
        <v/>
      </c>
      <c r="AL62" s="23" t="str">
        <f t="shared" si="1412"/>
        <v/>
      </c>
      <c r="AM62" s="23" t="str">
        <f t="shared" si="1412"/>
        <v/>
      </c>
      <c r="AN62" s="23" t="str">
        <f t="shared" si="1412"/>
        <v/>
      </c>
      <c r="AO62" s="23" t="str">
        <f t="shared" si="1412"/>
        <v/>
      </c>
      <c r="AP62" s="23" t="str">
        <f t="shared" si="1412"/>
        <v/>
      </c>
      <c r="AQ62" s="23" t="str">
        <f t="shared" si="1412"/>
        <v/>
      </c>
      <c r="AR62" s="23" t="str">
        <f t="shared" si="1412"/>
        <v/>
      </c>
      <c r="AS62" s="23" t="str">
        <f t="shared" si="1412"/>
        <v/>
      </c>
      <c r="AT62" s="23" t="str">
        <f t="shared" si="1412"/>
        <v/>
      </c>
      <c r="AU62" s="23" t="str">
        <f t="shared" si="1412"/>
        <v/>
      </c>
      <c r="AV62" s="23" t="str">
        <f t="shared" ref="AS62:BC62" si="1413">IF(AV61="","",IF(AV61=0,"",AV61/(AV58*100)))</f>
        <v/>
      </c>
      <c r="AW62" s="23" t="str">
        <f t="shared" si="1413"/>
        <v/>
      </c>
      <c r="AX62" s="23" t="str">
        <f t="shared" si="1413"/>
        <v/>
      </c>
      <c r="AY62" s="23" t="str">
        <f t="shared" si="1413"/>
        <v/>
      </c>
      <c r="AZ62" s="23" t="str">
        <f t="shared" si="1413"/>
        <v/>
      </c>
      <c r="BA62" s="23" t="str">
        <f t="shared" si="1413"/>
        <v/>
      </c>
      <c r="BB62" s="23" t="str">
        <f t="shared" si="1413"/>
        <v/>
      </c>
      <c r="BC62" s="23" t="str">
        <f t="shared" si="1413"/>
        <v/>
      </c>
    </row>
    <row r="63" spans="1:55" ht="11.25" customHeight="1" x14ac:dyDescent="0.2">
      <c r="A63" s="7" t="s">
        <v>1</v>
      </c>
      <c r="B63" s="8" t="s">
        <v>2</v>
      </c>
      <c r="C63" s="118">
        <v>24397</v>
      </c>
      <c r="D63" s="9">
        <f t="shared" ref="D63:D64" si="1414">IF(D$3="","",C63)</f>
        <v>24397</v>
      </c>
      <c r="E63" s="9">
        <f t="shared" ref="E63:E64" si="1415">IF(E$3="","",D63)</f>
        <v>24397</v>
      </c>
      <c r="F63" s="9">
        <v>24432</v>
      </c>
      <c r="G63" s="194">
        <f t="shared" ref="G63:G64" si="1416">IF(G$3="","",F63)</f>
        <v>24432</v>
      </c>
      <c r="H63" s="9">
        <f t="shared" ref="H63:H64" si="1417">IF(H$3="","",G63)</f>
        <v>24432</v>
      </c>
      <c r="I63" s="9">
        <v>24496</v>
      </c>
      <c r="J63" s="194">
        <f t="shared" ref="J63:J64" si="1418">IF(J$3="","",I63)</f>
        <v>24496</v>
      </c>
      <c r="K63" s="9">
        <f t="shared" ref="K63:K64" si="1419">IF(K$3="","",J63)</f>
        <v>24496</v>
      </c>
      <c r="L63" s="9">
        <f t="shared" ref="L63:L64" si="1420">IF(L$3="","",K63)</f>
        <v>24496</v>
      </c>
      <c r="M63" s="9">
        <f t="shared" ref="M63:M64" si="1421">IF(M$3="","",L63)</f>
        <v>24496</v>
      </c>
      <c r="N63" s="194" t="str">
        <f t="shared" ref="N63:N64" si="1422">IF(N$3="","",M63)</f>
        <v/>
      </c>
      <c r="O63" s="9" t="str">
        <f t="shared" ref="O63:O64" si="1423">IF(O$3="","",N63)</f>
        <v/>
      </c>
      <c r="P63" s="9" t="str">
        <f t="shared" ref="P63:P64" si="1424">IF(P$3="","",O63)</f>
        <v/>
      </c>
      <c r="Q63" s="9" t="str">
        <f t="shared" ref="Q63:Q64" si="1425">IF(Q$3="","",P63)</f>
        <v/>
      </c>
      <c r="R63" s="9" t="str">
        <f t="shared" ref="R63:R64" si="1426">IF(R$3="","",Q63)</f>
        <v/>
      </c>
      <c r="S63" s="9" t="str">
        <f t="shared" ref="S63:S64" si="1427">IF(S$3="","",R63)</f>
        <v/>
      </c>
      <c r="T63" s="9" t="str">
        <f t="shared" ref="T63:T64" si="1428">IF(T$3="","",S63)</f>
        <v/>
      </c>
      <c r="U63" s="9" t="str">
        <f t="shared" ref="U63:U64" si="1429">IF(U$3="","",T63)</f>
        <v/>
      </c>
      <c r="V63" s="9" t="str">
        <f t="shared" ref="V63:V64" si="1430">IF(V$3="","",U63)</f>
        <v/>
      </c>
      <c r="W63" s="9" t="str">
        <f t="shared" ref="W63:W64" si="1431">IF(W$3="","",V63)</f>
        <v/>
      </c>
      <c r="X63" s="9" t="str">
        <f t="shared" ref="X63:X64" si="1432">IF(X$3="","",W63)</f>
        <v/>
      </c>
      <c r="Y63" s="9" t="str">
        <f t="shared" ref="Y63:Y64" si="1433">IF(Y$3="","",X63)</f>
        <v/>
      </c>
      <c r="Z63" s="9" t="str">
        <f t="shared" ref="Z63:Z64" si="1434">IF(Z$3="","",Y63)</f>
        <v/>
      </c>
      <c r="AA63" s="9" t="str">
        <f t="shared" ref="AA63:AA64" si="1435">IF(AA$3="","",Z63)</f>
        <v/>
      </c>
      <c r="AB63" s="9" t="str">
        <f t="shared" ref="AB63:AB64" si="1436">IF(AB$3="","",AA63)</f>
        <v/>
      </c>
      <c r="AC63" s="9" t="str">
        <f t="shared" ref="AC63:AC64" si="1437">IF(AC$3="","",AB63)</f>
        <v/>
      </c>
      <c r="AD63" s="9" t="str">
        <f t="shared" ref="AD63:AD64" si="1438">IF(AD$3="","",AC63)</f>
        <v/>
      </c>
      <c r="AE63" s="9" t="str">
        <f t="shared" ref="AE63:AE64" si="1439">IF(AE$3="","",AD63)</f>
        <v/>
      </c>
      <c r="AF63" s="9" t="str">
        <f t="shared" ref="AF63:AF64" si="1440">IF(AF$3="","",AE63)</f>
        <v/>
      </c>
      <c r="AG63" s="9" t="str">
        <f t="shared" ref="AG63:AG64" si="1441">IF(AG$3="","",AF63)</f>
        <v/>
      </c>
      <c r="AH63" s="9" t="str">
        <f t="shared" ref="AH63:AH64" si="1442">IF(AH$3="","",AG63)</f>
        <v/>
      </c>
      <c r="AI63" s="9" t="str">
        <f t="shared" ref="AI63:AI64" si="1443">IF(AI$3="","",AH63)</f>
        <v/>
      </c>
      <c r="AJ63" s="9" t="str">
        <f t="shared" ref="AJ63:AJ64" si="1444">IF(AJ$3="","",AI63)</f>
        <v/>
      </c>
      <c r="AK63" s="9" t="str">
        <f t="shared" ref="AK63:AK64" si="1445">IF(AK$3="","",AJ63)</f>
        <v/>
      </c>
      <c r="AL63" s="9" t="str">
        <f t="shared" ref="AL63:AL64" si="1446">IF(AL$3="","",AK63)</f>
        <v/>
      </c>
      <c r="AM63" s="9" t="str">
        <f t="shared" ref="AM63:AM64" si="1447">IF(AM$3="","",AL63)</f>
        <v/>
      </c>
      <c r="AN63" s="9" t="str">
        <f t="shared" ref="AN63:AN64" si="1448">IF(AN$3="","",AM63)</f>
        <v/>
      </c>
      <c r="AO63" s="9" t="str">
        <f t="shared" ref="AO63:AO64" si="1449">IF(AO$3="","",AN63)</f>
        <v/>
      </c>
      <c r="AP63" s="9" t="str">
        <f t="shared" ref="AP63:AP64" si="1450">IF(AP$3="","",AO63)</f>
        <v/>
      </c>
      <c r="AQ63" s="9" t="str">
        <f t="shared" ref="AQ63:AQ64" si="1451">IF(AQ$3="","",AP63)</f>
        <v/>
      </c>
      <c r="AR63" s="9" t="str">
        <f t="shared" ref="AR63:AR64" si="1452">IF(AR$3="","",AQ63)</f>
        <v/>
      </c>
      <c r="AS63" s="9" t="str">
        <f t="shared" ref="AS63:AS64" si="1453">IF(AS$3="","",AR63)</f>
        <v/>
      </c>
      <c r="AT63" s="9" t="str">
        <f t="shared" ref="AT63:AT64" si="1454">IF(AT$3="","",AS63)</f>
        <v/>
      </c>
      <c r="AU63" s="9" t="str">
        <f t="shared" ref="AU63:AU64" si="1455">IF(AU$3="","",AT63)</f>
        <v/>
      </c>
      <c r="AV63" s="9" t="str">
        <f t="shared" ref="AS63:BC63" si="1456">IF(AV$3="","",AU63)</f>
        <v/>
      </c>
      <c r="AW63" s="9" t="str">
        <f t="shared" si="1456"/>
        <v/>
      </c>
      <c r="AX63" s="9" t="str">
        <f t="shared" si="1456"/>
        <v/>
      </c>
      <c r="AY63" s="9" t="str">
        <f t="shared" si="1456"/>
        <v/>
      </c>
      <c r="AZ63" s="9" t="str">
        <f t="shared" si="1456"/>
        <v/>
      </c>
      <c r="BA63" s="9" t="str">
        <f t="shared" si="1456"/>
        <v/>
      </c>
      <c r="BB63" s="9" t="str">
        <f t="shared" si="1456"/>
        <v/>
      </c>
      <c r="BC63" s="9" t="str">
        <f t="shared" si="1456"/>
        <v/>
      </c>
    </row>
    <row r="64" spans="1:55" ht="11.25" customHeight="1" x14ac:dyDescent="0.2">
      <c r="A64" s="10" t="s">
        <v>29</v>
      </c>
      <c r="B64" s="11" t="s">
        <v>4</v>
      </c>
      <c r="C64" s="123">
        <v>1268</v>
      </c>
      <c r="D64" s="12">
        <f t="shared" si="1414"/>
        <v>1268</v>
      </c>
      <c r="E64" s="12">
        <f t="shared" si="1415"/>
        <v>1268</v>
      </c>
      <c r="F64" s="12">
        <v>1276</v>
      </c>
      <c r="G64" s="195">
        <f t="shared" si="1416"/>
        <v>1276</v>
      </c>
      <c r="H64" s="12">
        <f t="shared" si="1417"/>
        <v>1276</v>
      </c>
      <c r="I64" s="12">
        <v>1282</v>
      </c>
      <c r="J64" s="195">
        <f t="shared" si="1418"/>
        <v>1282</v>
      </c>
      <c r="K64" s="12">
        <f t="shared" si="1419"/>
        <v>1282</v>
      </c>
      <c r="L64" s="12">
        <f t="shared" si="1420"/>
        <v>1282</v>
      </c>
      <c r="M64" s="12">
        <f t="shared" si="1421"/>
        <v>1282</v>
      </c>
      <c r="N64" s="195" t="str">
        <f t="shared" si="1422"/>
        <v/>
      </c>
      <c r="O64" s="12" t="str">
        <f t="shared" si="1423"/>
        <v/>
      </c>
      <c r="P64" s="12" t="str">
        <f t="shared" si="1424"/>
        <v/>
      </c>
      <c r="Q64" s="12" t="str">
        <f t="shared" si="1425"/>
        <v/>
      </c>
      <c r="R64" s="12" t="str">
        <f t="shared" si="1426"/>
        <v/>
      </c>
      <c r="S64" s="12" t="str">
        <f t="shared" si="1427"/>
        <v/>
      </c>
      <c r="T64" s="12" t="str">
        <f t="shared" si="1428"/>
        <v/>
      </c>
      <c r="U64" s="12" t="str">
        <f t="shared" si="1429"/>
        <v/>
      </c>
      <c r="V64" s="12" t="str">
        <f t="shared" si="1430"/>
        <v/>
      </c>
      <c r="W64" s="12" t="str">
        <f t="shared" si="1431"/>
        <v/>
      </c>
      <c r="X64" s="12" t="str">
        <f t="shared" si="1432"/>
        <v/>
      </c>
      <c r="Y64" s="12" t="str">
        <f t="shared" si="1433"/>
        <v/>
      </c>
      <c r="Z64" s="12" t="str">
        <f t="shared" si="1434"/>
        <v/>
      </c>
      <c r="AA64" s="12" t="str">
        <f t="shared" si="1435"/>
        <v/>
      </c>
      <c r="AB64" s="12" t="str">
        <f t="shared" si="1436"/>
        <v/>
      </c>
      <c r="AC64" s="12" t="str">
        <f t="shared" si="1437"/>
        <v/>
      </c>
      <c r="AD64" s="12" t="str">
        <f t="shared" si="1438"/>
        <v/>
      </c>
      <c r="AE64" s="12" t="str">
        <f t="shared" si="1439"/>
        <v/>
      </c>
      <c r="AF64" s="12" t="str">
        <f t="shared" si="1440"/>
        <v/>
      </c>
      <c r="AG64" s="12" t="str">
        <f t="shared" si="1441"/>
        <v/>
      </c>
      <c r="AH64" s="12" t="str">
        <f t="shared" si="1442"/>
        <v/>
      </c>
      <c r="AI64" s="12" t="str">
        <f t="shared" si="1443"/>
        <v/>
      </c>
      <c r="AJ64" s="12" t="str">
        <f t="shared" si="1444"/>
        <v/>
      </c>
      <c r="AK64" s="12" t="str">
        <f t="shared" si="1445"/>
        <v/>
      </c>
      <c r="AL64" s="12" t="str">
        <f t="shared" si="1446"/>
        <v/>
      </c>
      <c r="AM64" s="12" t="str">
        <f t="shared" si="1447"/>
        <v/>
      </c>
      <c r="AN64" s="12" t="str">
        <f t="shared" si="1448"/>
        <v/>
      </c>
      <c r="AO64" s="12" t="str">
        <f t="shared" si="1449"/>
        <v/>
      </c>
      <c r="AP64" s="12" t="str">
        <f t="shared" si="1450"/>
        <v/>
      </c>
      <c r="AQ64" s="12" t="str">
        <f t="shared" si="1451"/>
        <v/>
      </c>
      <c r="AR64" s="12" t="str">
        <f t="shared" si="1452"/>
        <v/>
      </c>
      <c r="AS64" s="12" t="str">
        <f t="shared" si="1453"/>
        <v/>
      </c>
      <c r="AT64" s="12" t="str">
        <f t="shared" si="1454"/>
        <v/>
      </c>
      <c r="AU64" s="12" t="str">
        <f t="shared" si="1455"/>
        <v/>
      </c>
      <c r="AV64" s="12" t="str">
        <f t="shared" ref="AS64:BC64" si="1457">IF(AV$3="","",AU64)</f>
        <v/>
      </c>
      <c r="AW64" s="12" t="str">
        <f t="shared" si="1457"/>
        <v/>
      </c>
      <c r="AX64" s="12" t="str">
        <f t="shared" si="1457"/>
        <v/>
      </c>
      <c r="AY64" s="12" t="str">
        <f t="shared" si="1457"/>
        <v/>
      </c>
      <c r="AZ64" s="12" t="str">
        <f t="shared" si="1457"/>
        <v/>
      </c>
      <c r="BA64" s="12" t="str">
        <f t="shared" si="1457"/>
        <v/>
      </c>
      <c r="BB64" s="12" t="str">
        <f t="shared" si="1457"/>
        <v/>
      </c>
      <c r="BC64" s="12" t="str">
        <f t="shared" si="1457"/>
        <v/>
      </c>
    </row>
    <row r="65" spans="1:55" ht="11.25" customHeight="1" x14ac:dyDescent="0.25">
      <c r="A65" s="24">
        <v>1</v>
      </c>
      <c r="B65" s="11" t="s">
        <v>5</v>
      </c>
      <c r="C65" s="123">
        <v>18</v>
      </c>
      <c r="D65" s="12">
        <f t="shared" ref="D65" si="1458">IF(D63="","",(C65+C66))</f>
        <v>18</v>
      </c>
      <c r="E65" s="12">
        <f t="shared" ref="E65" si="1459">IF(E63="","",(D65+D66))</f>
        <v>18</v>
      </c>
      <c r="F65" s="12">
        <v>10</v>
      </c>
      <c r="G65" s="195">
        <f t="shared" ref="G65" si="1460">IF(G63="","",(F65+F66))</f>
        <v>10</v>
      </c>
      <c r="H65" s="12">
        <f t="shared" ref="H65" si="1461">IF(H63="","",(G65+G66))</f>
        <v>10</v>
      </c>
      <c r="I65" s="12">
        <v>4</v>
      </c>
      <c r="J65" s="195">
        <f t="shared" ref="J65" si="1462">IF(J63="","",(I65+I66))</f>
        <v>14</v>
      </c>
      <c r="K65" s="12">
        <f t="shared" ref="K65" si="1463">IF(K63="","",(J65+J66))</f>
        <v>14</v>
      </c>
      <c r="L65" s="12">
        <f t="shared" ref="L65" si="1464">IF(L63="","",(K65+K66))</f>
        <v>14</v>
      </c>
      <c r="M65" s="12">
        <f t="shared" ref="M65" si="1465">IF(M63="","",(L65+L66))</f>
        <v>14</v>
      </c>
      <c r="N65" s="195" t="str">
        <f t="shared" ref="N65" si="1466">IF(N63="","",(M65+M66))</f>
        <v/>
      </c>
      <c r="O65" s="12" t="str">
        <f t="shared" ref="O65" si="1467">IF(O63="","",(N65+N66))</f>
        <v/>
      </c>
      <c r="P65" s="12" t="str">
        <f t="shared" ref="P65" si="1468">IF(P63="","",(O65+O66))</f>
        <v/>
      </c>
      <c r="Q65" s="12" t="str">
        <f t="shared" ref="Q65" si="1469">IF(Q63="","",(P65+P66))</f>
        <v/>
      </c>
      <c r="R65" s="12" t="str">
        <f t="shared" ref="R65" si="1470">IF(R63="","",(Q65+Q66))</f>
        <v/>
      </c>
      <c r="S65" s="12" t="str">
        <f t="shared" ref="S65" si="1471">IF(S63="","",(R65+R66))</f>
        <v/>
      </c>
      <c r="T65" s="12" t="str">
        <f t="shared" ref="T65" si="1472">IF(T63="","",(S65+S66))</f>
        <v/>
      </c>
      <c r="U65" s="12" t="str">
        <f t="shared" ref="U65" si="1473">IF(U63="","",(T65+T66))</f>
        <v/>
      </c>
      <c r="V65" s="12" t="str">
        <f t="shared" ref="V65" si="1474">IF(V63="","",(U65+U66))</f>
        <v/>
      </c>
      <c r="W65" s="12" t="str">
        <f t="shared" ref="W65" si="1475">IF(W63="","",(V65+V66))</f>
        <v/>
      </c>
      <c r="X65" s="12" t="str">
        <f t="shared" ref="X65" si="1476">IF(X63="","",(W65+W66))</f>
        <v/>
      </c>
      <c r="Y65" s="12" t="str">
        <f t="shared" ref="Y65" si="1477">IF(Y63="","",(X65+X66))</f>
        <v/>
      </c>
      <c r="Z65" s="12" t="str">
        <f t="shared" ref="Z65" si="1478">IF(Z63="","",(Y65+Y66))</f>
        <v/>
      </c>
      <c r="AA65" s="12" t="str">
        <f t="shared" ref="AA65" si="1479">IF(AA63="","",(Z65+Z66))</f>
        <v/>
      </c>
      <c r="AB65" s="12" t="str">
        <f t="shared" ref="AB65" si="1480">IF(AB63="","",(AA65+AA66))</f>
        <v/>
      </c>
      <c r="AC65" s="12" t="str">
        <f t="shared" ref="AC65" si="1481">IF(AC63="","",(AB65+AB66))</f>
        <v/>
      </c>
      <c r="AD65" s="12" t="str">
        <f t="shared" ref="AD65" si="1482">IF(AD63="","",(AC65+AC66))</f>
        <v/>
      </c>
      <c r="AE65" s="12" t="str">
        <f t="shared" ref="AE65" si="1483">IF(AE63="","",(AD65+AD66))</f>
        <v/>
      </c>
      <c r="AF65" s="12" t="str">
        <f t="shared" ref="AF65" si="1484">IF(AF63="","",(AE65+AE66))</f>
        <v/>
      </c>
      <c r="AG65" s="12" t="str">
        <f t="shared" ref="AG65" si="1485">IF(AG63="","",(AF65+AF66))</f>
        <v/>
      </c>
      <c r="AH65" s="12" t="str">
        <f t="shared" ref="AH65" si="1486">IF(AH63="","",(AG65+AG66))</f>
        <v/>
      </c>
      <c r="AI65" s="12" t="str">
        <f t="shared" ref="AI65" si="1487">IF(AI63="","",(AH65+AH66))</f>
        <v/>
      </c>
      <c r="AJ65" s="12" t="str">
        <f t="shared" ref="AJ65" si="1488">IF(AJ63="","",(AI65+AI66))</f>
        <v/>
      </c>
      <c r="AK65" s="12" t="str">
        <f t="shared" ref="AK65" si="1489">IF(AK63="","",(AJ65+AJ66))</f>
        <v/>
      </c>
      <c r="AL65" s="12" t="str">
        <f t="shared" ref="AL65" si="1490">IF(AL63="","",(AK65+AK66))</f>
        <v/>
      </c>
      <c r="AM65" s="12" t="str">
        <f t="shared" ref="AM65" si="1491">IF(AM63="","",(AL65+AL66))</f>
        <v/>
      </c>
      <c r="AN65" s="12" t="str">
        <f t="shared" ref="AN65" si="1492">IF(AN63="","",(AM65+AM66))</f>
        <v/>
      </c>
      <c r="AO65" s="12" t="str">
        <f t="shared" ref="AO65" si="1493">IF(AO63="","",(AN65+AN66))</f>
        <v/>
      </c>
      <c r="AP65" s="12" t="str">
        <f t="shared" ref="AP65" si="1494">IF(AP63="","",(AO65+AO66))</f>
        <v/>
      </c>
      <c r="AQ65" s="12" t="str">
        <f t="shared" ref="AQ65" si="1495">IF(AQ63="","",(AP65+AP66))</f>
        <v/>
      </c>
      <c r="AR65" s="12" t="str">
        <f t="shared" ref="AR65" si="1496">IF(AR63="","",(AQ65+AQ66))</f>
        <v/>
      </c>
      <c r="AS65" s="12" t="str">
        <f t="shared" ref="AS65" si="1497">IF(AS63="","",(AR65+AR66))</f>
        <v/>
      </c>
      <c r="AT65" s="12" t="str">
        <f t="shared" ref="AT65" si="1498">IF(AT63="","",(AS65+AS66))</f>
        <v/>
      </c>
      <c r="AU65" s="12" t="str">
        <f t="shared" ref="AU65" si="1499">IF(AU63="","",(AT65+AT66))</f>
        <v/>
      </c>
      <c r="AV65" s="12" t="str">
        <f t="shared" ref="AS65:BC65" si="1500">IF(AV63="","",(AU65+AU66))</f>
        <v/>
      </c>
      <c r="AW65" s="12" t="str">
        <f t="shared" si="1500"/>
        <v/>
      </c>
      <c r="AX65" s="12" t="str">
        <f t="shared" si="1500"/>
        <v/>
      </c>
      <c r="AY65" s="12" t="str">
        <f t="shared" si="1500"/>
        <v/>
      </c>
      <c r="AZ65" s="12" t="str">
        <f t="shared" si="1500"/>
        <v/>
      </c>
      <c r="BA65" s="12" t="str">
        <f t="shared" si="1500"/>
        <v/>
      </c>
      <c r="BB65" s="12" t="str">
        <f t="shared" si="1500"/>
        <v/>
      </c>
      <c r="BC65" s="12" t="str">
        <f t="shared" si="1500"/>
        <v/>
      </c>
    </row>
    <row r="66" spans="1:55" ht="11.25" customHeight="1" x14ac:dyDescent="0.25">
      <c r="A66" s="25" t="s">
        <v>20</v>
      </c>
      <c r="B66" s="11" t="s">
        <v>6</v>
      </c>
      <c r="C66" s="123"/>
      <c r="D66" s="12"/>
      <c r="E66" s="12"/>
      <c r="F66" s="12"/>
      <c r="G66" s="195"/>
      <c r="H66" s="12"/>
      <c r="I66" s="12">
        <v>10</v>
      </c>
      <c r="J66" s="195"/>
      <c r="K66" s="12"/>
      <c r="L66" s="12"/>
      <c r="M66" s="12"/>
      <c r="N66" s="195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</row>
    <row r="67" spans="1:55" ht="11.25" customHeight="1" x14ac:dyDescent="0.25">
      <c r="A67" s="26">
        <f>+(A70+A82+A94+A106)*100</f>
        <v>59700</v>
      </c>
      <c r="B67" s="11" t="s">
        <v>8</v>
      </c>
      <c r="C67" s="129">
        <v>560</v>
      </c>
      <c r="D67" s="16">
        <f t="shared" ref="D67" si="1501">IF(D63="","",C67)</f>
        <v>560</v>
      </c>
      <c r="E67" s="16">
        <f t="shared" ref="E67" si="1502">IF(E63="","",D67)</f>
        <v>560</v>
      </c>
      <c r="F67" s="16">
        <f t="shared" ref="F67" si="1503">IF(F63="","",E67)</f>
        <v>560</v>
      </c>
      <c r="G67" s="196">
        <f t="shared" ref="G67" si="1504">IF(G63="","",F67)</f>
        <v>560</v>
      </c>
      <c r="H67" s="16">
        <f t="shared" ref="H67" si="1505">IF(H63="","",G67)</f>
        <v>560</v>
      </c>
      <c r="I67" s="16">
        <f t="shared" ref="I67" si="1506">IF(I63="","",H67)</f>
        <v>560</v>
      </c>
      <c r="J67" s="196">
        <f t="shared" ref="J67" si="1507">IF(J63="","",I67)</f>
        <v>560</v>
      </c>
      <c r="K67" s="16">
        <f t="shared" ref="K67" si="1508">IF(K63="","",J67)</f>
        <v>560</v>
      </c>
      <c r="L67" s="16">
        <f t="shared" ref="L67" si="1509">IF(L63="","",K67)</f>
        <v>560</v>
      </c>
      <c r="M67" s="16">
        <f t="shared" ref="M67" si="1510">IF(M63="","",L67)</f>
        <v>560</v>
      </c>
      <c r="N67" s="196" t="str">
        <f t="shared" ref="N67" si="1511">IF(N63="","",M67)</f>
        <v/>
      </c>
      <c r="O67" s="16" t="str">
        <f t="shared" ref="O67" si="1512">IF(O63="","",N67)</f>
        <v/>
      </c>
      <c r="P67" s="16" t="str">
        <f t="shared" ref="P67" si="1513">IF(P63="","",O67)</f>
        <v/>
      </c>
      <c r="Q67" s="16" t="str">
        <f t="shared" ref="Q67" si="1514">IF(Q63="","",P67)</f>
        <v/>
      </c>
      <c r="R67" s="16" t="str">
        <f t="shared" ref="R67" si="1515">IF(R63="","",Q67)</f>
        <v/>
      </c>
      <c r="S67" s="16" t="str">
        <f t="shared" ref="S67" si="1516">IF(S63="","",R67)</f>
        <v/>
      </c>
      <c r="T67" s="16" t="str">
        <f t="shared" ref="T67" si="1517">IF(T63="","",S67)</f>
        <v/>
      </c>
      <c r="U67" s="16" t="str">
        <f t="shared" ref="U67" si="1518">IF(U63="","",T67)</f>
        <v/>
      </c>
      <c r="V67" s="16" t="str">
        <f t="shared" ref="V67" si="1519">IF(V63="","",U67)</f>
        <v/>
      </c>
      <c r="W67" s="16" t="str">
        <f t="shared" ref="W67" si="1520">IF(W63="","",V67)</f>
        <v/>
      </c>
      <c r="X67" s="16" t="str">
        <f t="shared" ref="X67" si="1521">IF(X63="","",W67)</f>
        <v/>
      </c>
      <c r="Y67" s="16" t="str">
        <f t="shared" ref="Y67" si="1522">IF(Y63="","",X67)</f>
        <v/>
      </c>
      <c r="Z67" s="16" t="str">
        <f t="shared" ref="Z67" si="1523">IF(Z63="","",Y67)</f>
        <v/>
      </c>
      <c r="AA67" s="16" t="str">
        <f t="shared" ref="AA67" si="1524">IF(AA63="","",Z67)</f>
        <v/>
      </c>
      <c r="AB67" s="16" t="str">
        <f t="shared" ref="AB67" si="1525">IF(AB63="","",AA67)</f>
        <v/>
      </c>
      <c r="AC67" s="16" t="str">
        <f t="shared" ref="AC67" si="1526">IF(AC63="","",AB67)</f>
        <v/>
      </c>
      <c r="AD67" s="16" t="str">
        <f t="shared" ref="AD67" si="1527">IF(AD63="","",AC67)</f>
        <v/>
      </c>
      <c r="AE67" s="16" t="str">
        <f t="shared" ref="AE67" si="1528">IF(AE63="","",AD67)</f>
        <v/>
      </c>
      <c r="AF67" s="16" t="str">
        <f t="shared" ref="AF67" si="1529">IF(AF63="","",AE67)</f>
        <v/>
      </c>
      <c r="AG67" s="16" t="str">
        <f t="shared" ref="AG67" si="1530">IF(AG63="","",AF67)</f>
        <v/>
      </c>
      <c r="AH67" s="16" t="str">
        <f t="shared" ref="AH67" si="1531">IF(AH63="","",AG67)</f>
        <v/>
      </c>
      <c r="AI67" s="16" t="str">
        <f t="shared" ref="AI67" si="1532">IF(AI63="","",AH67)</f>
        <v/>
      </c>
      <c r="AJ67" s="16" t="str">
        <f t="shared" ref="AJ67" si="1533">IF(AJ63="","",AI67)</f>
        <v/>
      </c>
      <c r="AK67" s="16" t="str">
        <f t="shared" ref="AK67" si="1534">IF(AK63="","",AJ67)</f>
        <v/>
      </c>
      <c r="AL67" s="16" t="str">
        <f t="shared" ref="AL67" si="1535">IF(AL63="","",AK67)</f>
        <v/>
      </c>
      <c r="AM67" s="16" t="str">
        <f t="shared" ref="AM67" si="1536">IF(AM63="","",AL67)</f>
        <v/>
      </c>
      <c r="AN67" s="16" t="str">
        <f t="shared" ref="AN67" si="1537">IF(AN63="","",AM67)</f>
        <v/>
      </c>
      <c r="AO67" s="16" t="str">
        <f t="shared" ref="AO67" si="1538">IF(AO63="","",AN67)</f>
        <v/>
      </c>
      <c r="AP67" s="16" t="str">
        <f t="shared" ref="AP67" si="1539">IF(AP63="","",AO67)</f>
        <v/>
      </c>
      <c r="AQ67" s="16" t="str">
        <f t="shared" ref="AQ67" si="1540">IF(AQ63="","",AP67)</f>
        <v/>
      </c>
      <c r="AR67" s="16" t="str">
        <f t="shared" ref="AR67" si="1541">IF(AR63="","",AQ67)</f>
        <v/>
      </c>
      <c r="AS67" s="16" t="str">
        <f t="shared" ref="AS67" si="1542">IF(AS63="","",AR67)</f>
        <v/>
      </c>
      <c r="AT67" s="16" t="str">
        <f t="shared" ref="AT67" si="1543">IF(AT63="","",AS67)</f>
        <v/>
      </c>
      <c r="AU67" s="16" t="str">
        <f t="shared" ref="AU67" si="1544">IF(AU63="","",AT67)</f>
        <v/>
      </c>
      <c r="AV67" s="16" t="str">
        <f t="shared" ref="AS67:BC67" si="1545">IF(AV63="","",AU67)</f>
        <v/>
      </c>
      <c r="AW67" s="16" t="str">
        <f t="shared" si="1545"/>
        <v/>
      </c>
      <c r="AX67" s="16" t="str">
        <f t="shared" si="1545"/>
        <v/>
      </c>
      <c r="AY67" s="16" t="str">
        <f t="shared" si="1545"/>
        <v/>
      </c>
      <c r="AZ67" s="16" t="str">
        <f t="shared" si="1545"/>
        <v/>
      </c>
      <c r="BA67" s="16" t="str">
        <f t="shared" si="1545"/>
        <v/>
      </c>
      <c r="BB67" s="16" t="str">
        <f t="shared" si="1545"/>
        <v/>
      </c>
      <c r="BC67" s="16" t="str">
        <f t="shared" si="1545"/>
        <v/>
      </c>
    </row>
    <row r="68" spans="1:55" ht="11.25" customHeight="1" x14ac:dyDescent="0.2">
      <c r="A68" s="14" t="s">
        <v>9</v>
      </c>
      <c r="B68" s="17" t="s">
        <v>10</v>
      </c>
      <c r="C68" s="133" t="s">
        <v>265</v>
      </c>
      <c r="D68" s="18" t="str">
        <f t="shared" ref="D68" si="1546">IF(D63="","",C68)</f>
        <v>おかしなたまごっち</v>
      </c>
      <c r="E68" s="18" t="str">
        <f t="shared" ref="E68" si="1547">IF(E63="","",D68)</f>
        <v>おかしなたまごっち</v>
      </c>
      <c r="F68" s="18" t="str">
        <f t="shared" ref="F68" si="1548">IF(F63="","",E68)</f>
        <v>おかしなたまごっち</v>
      </c>
      <c r="G68" s="197" t="str">
        <f t="shared" ref="G68" si="1549">IF(G63="","",F68)</f>
        <v>おかしなたまごっち</v>
      </c>
      <c r="H68" s="18" t="str">
        <f t="shared" ref="H68" si="1550">IF(H63="","",G68)</f>
        <v>おかしなたまごっち</v>
      </c>
      <c r="I68" s="18" t="str">
        <f t="shared" ref="I68" si="1551">IF(I63="","",H68)</f>
        <v>おかしなたまごっち</v>
      </c>
      <c r="J68" s="197" t="str">
        <f t="shared" ref="J68" si="1552">IF(J63="","",I68)</f>
        <v>おかしなたまごっち</v>
      </c>
      <c r="K68" s="18" t="str">
        <f t="shared" ref="K68" si="1553">IF(K63="","",J68)</f>
        <v>おかしなたまごっち</v>
      </c>
      <c r="L68" s="18" t="str">
        <f t="shared" ref="L68" si="1554">IF(L63="","",K68)</f>
        <v>おかしなたまごっち</v>
      </c>
      <c r="M68" s="18" t="str">
        <f t="shared" ref="M68" si="1555">IF(M63="","",L68)</f>
        <v>おかしなたまごっち</v>
      </c>
      <c r="N68" s="197" t="str">
        <f t="shared" ref="N68" si="1556">IF(N63="","",M68)</f>
        <v/>
      </c>
      <c r="O68" s="18" t="str">
        <f t="shared" ref="O68" si="1557">IF(O63="","",N68)</f>
        <v/>
      </c>
      <c r="P68" s="18" t="str">
        <f t="shared" ref="P68" si="1558">IF(P63="","",O68)</f>
        <v/>
      </c>
      <c r="Q68" s="18" t="str">
        <f t="shared" ref="Q68" si="1559">IF(Q63="","",P68)</f>
        <v/>
      </c>
      <c r="R68" s="18" t="str">
        <f t="shared" ref="R68" si="1560">IF(R63="","",Q68)</f>
        <v/>
      </c>
      <c r="S68" s="18" t="str">
        <f t="shared" ref="S68" si="1561">IF(S63="","",R68)</f>
        <v/>
      </c>
      <c r="T68" s="18" t="str">
        <f t="shared" ref="T68" si="1562">IF(T63="","",S68)</f>
        <v/>
      </c>
      <c r="U68" s="18" t="str">
        <f t="shared" ref="U68" si="1563">IF(U63="","",T68)</f>
        <v/>
      </c>
      <c r="V68" s="18" t="str">
        <f t="shared" ref="V68" si="1564">IF(V63="","",U68)</f>
        <v/>
      </c>
      <c r="W68" s="18" t="str">
        <f t="shared" ref="W68" si="1565">IF(W63="","",V68)</f>
        <v/>
      </c>
      <c r="X68" s="18" t="str">
        <f t="shared" ref="X68" si="1566">IF(X63="","",W68)</f>
        <v/>
      </c>
      <c r="Y68" s="18" t="str">
        <f t="shared" ref="Y68" si="1567">IF(Y63="","",X68)</f>
        <v/>
      </c>
      <c r="Z68" s="18" t="str">
        <f t="shared" ref="Z68" si="1568">IF(Z63="","",Y68)</f>
        <v/>
      </c>
      <c r="AA68" s="18" t="str">
        <f t="shared" ref="AA68" si="1569">IF(AA63="","",Z68)</f>
        <v/>
      </c>
      <c r="AB68" s="18" t="str">
        <f t="shared" ref="AB68" si="1570">IF(AB63="","",AA68)</f>
        <v/>
      </c>
      <c r="AC68" s="18" t="str">
        <f t="shared" ref="AC68" si="1571">IF(AC63="","",AB68)</f>
        <v/>
      </c>
      <c r="AD68" s="18" t="str">
        <f t="shared" ref="AD68" si="1572">IF(AD63="","",AC68)</f>
        <v/>
      </c>
      <c r="AE68" s="18" t="str">
        <f t="shared" ref="AE68" si="1573">IF(AE63="","",AD68)</f>
        <v/>
      </c>
      <c r="AF68" s="18" t="str">
        <f t="shared" ref="AF68" si="1574">IF(AF63="","",AE68)</f>
        <v/>
      </c>
      <c r="AG68" s="18" t="str">
        <f t="shared" ref="AG68" si="1575">IF(AG63="","",AF68)</f>
        <v/>
      </c>
      <c r="AH68" s="18" t="str">
        <f t="shared" ref="AH68" si="1576">IF(AH63="","",AG68)</f>
        <v/>
      </c>
      <c r="AI68" s="18" t="str">
        <f t="shared" ref="AI68" si="1577">IF(AI63="","",AH68)</f>
        <v/>
      </c>
      <c r="AJ68" s="18" t="str">
        <f t="shared" ref="AJ68" si="1578">IF(AJ63="","",AI68)</f>
        <v/>
      </c>
      <c r="AK68" s="18" t="str">
        <f t="shared" ref="AK68" si="1579">IF(AK63="","",AJ68)</f>
        <v/>
      </c>
      <c r="AL68" s="18" t="str">
        <f t="shared" ref="AL68" si="1580">IF(AL63="","",AK68)</f>
        <v/>
      </c>
      <c r="AM68" s="18" t="str">
        <f t="shared" ref="AM68" si="1581">IF(AM63="","",AL68)</f>
        <v/>
      </c>
      <c r="AN68" s="18" t="str">
        <f t="shared" ref="AN68" si="1582">IF(AN63="","",AM68)</f>
        <v/>
      </c>
      <c r="AO68" s="18" t="str">
        <f t="shared" ref="AO68" si="1583">IF(AO63="","",AN68)</f>
        <v/>
      </c>
      <c r="AP68" s="18" t="str">
        <f t="shared" ref="AP68" si="1584">IF(AP63="","",AO68)</f>
        <v/>
      </c>
      <c r="AQ68" s="18" t="str">
        <f t="shared" ref="AQ68" si="1585">IF(AQ63="","",AP68)</f>
        <v/>
      </c>
      <c r="AR68" s="18" t="str">
        <f t="shared" ref="AR68" si="1586">IF(AR63="","",AQ68)</f>
        <v/>
      </c>
      <c r="AS68" s="18" t="str">
        <f t="shared" ref="AS68" si="1587">IF(AS63="","",AR68)</f>
        <v/>
      </c>
      <c r="AT68" s="18" t="str">
        <f t="shared" ref="AT68" si="1588">IF(AT63="","",AS68)</f>
        <v/>
      </c>
      <c r="AU68" s="18" t="str">
        <f t="shared" ref="AU68" si="1589">IF(AU63="","",AT68)</f>
        <v/>
      </c>
      <c r="AV68" s="18" t="str">
        <f t="shared" ref="AS68:BC68" si="1590">IF(AV63="","",AU68)</f>
        <v/>
      </c>
      <c r="AW68" s="18" t="str">
        <f t="shared" si="1590"/>
        <v/>
      </c>
      <c r="AX68" s="18" t="str">
        <f t="shared" si="1590"/>
        <v/>
      </c>
      <c r="AY68" s="18" t="str">
        <f t="shared" si="1590"/>
        <v/>
      </c>
      <c r="AZ68" s="18" t="str">
        <f t="shared" si="1590"/>
        <v/>
      </c>
      <c r="BA68" s="18" t="str">
        <f t="shared" si="1590"/>
        <v/>
      </c>
      <c r="BB68" s="18" t="str">
        <f t="shared" si="1590"/>
        <v/>
      </c>
      <c r="BC68" s="18" t="str">
        <f t="shared" si="1590"/>
        <v/>
      </c>
    </row>
    <row r="69" spans="1:55" ht="11.25" customHeight="1" x14ac:dyDescent="0.2">
      <c r="A69" s="15">
        <f>AVERAGE(C70:AS70)*30*100</f>
        <v>27000</v>
      </c>
      <c r="B69" s="11" t="s">
        <v>12</v>
      </c>
      <c r="C69" s="123" t="s">
        <v>261</v>
      </c>
      <c r="D69" s="12"/>
      <c r="E69" s="12"/>
      <c r="F69" s="12"/>
      <c r="G69" s="195" t="s">
        <v>209</v>
      </c>
      <c r="H69" s="12"/>
      <c r="I69" s="12"/>
      <c r="J69" s="195" t="s">
        <v>209</v>
      </c>
      <c r="K69" s="12"/>
      <c r="L69" s="12"/>
      <c r="M69" s="12"/>
      <c r="N69" s="195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</row>
    <row r="70" spans="1:55" ht="11.25" customHeight="1" x14ac:dyDescent="0.2">
      <c r="A70" s="15">
        <f t="shared" ref="A70:A73" si="1591">SUM(C70:AS70)</f>
        <v>99</v>
      </c>
      <c r="B70" s="19" t="s">
        <v>13</v>
      </c>
      <c r="C70" s="123">
        <v>0</v>
      </c>
      <c r="D70" s="20">
        <f t="shared" ref="D70:D71" si="1592">IF(D63="","",D63-C63)</f>
        <v>0</v>
      </c>
      <c r="E70" s="20">
        <f t="shared" ref="E70:E71" si="1593">IF(E63="","",E63-D63)</f>
        <v>0</v>
      </c>
      <c r="F70" s="20">
        <f t="shared" ref="F70:F71" si="1594">IF(F63="","",F63-E63)</f>
        <v>35</v>
      </c>
      <c r="G70" s="195">
        <f t="shared" ref="G70:G71" si="1595">IF(G63="","",G63-F63)</f>
        <v>0</v>
      </c>
      <c r="H70" s="20">
        <f t="shared" ref="H70:H71" si="1596">IF(H63="","",H63-G63)</f>
        <v>0</v>
      </c>
      <c r="I70" s="20">
        <f t="shared" ref="I70:I71" si="1597">IF(I63="","",I63-H63)</f>
        <v>64</v>
      </c>
      <c r="J70" s="195">
        <f t="shared" ref="J70:J71" si="1598">IF(J63="","",J63-I63)</f>
        <v>0</v>
      </c>
      <c r="K70" s="20">
        <f t="shared" ref="K70:K71" si="1599">IF(K63="","",K63-J63)</f>
        <v>0</v>
      </c>
      <c r="L70" s="20">
        <f t="shared" ref="L70:L71" si="1600">IF(L63="","",L63-K63)</f>
        <v>0</v>
      </c>
      <c r="M70" s="20">
        <f t="shared" ref="M70:M71" si="1601">IF(M63="","",M63-L63)</f>
        <v>0</v>
      </c>
      <c r="N70" s="195" t="str">
        <f t="shared" ref="N70:N71" si="1602">IF(N63="","",N63-M63)</f>
        <v/>
      </c>
      <c r="O70" s="20" t="str">
        <f t="shared" ref="O70:O71" si="1603">IF(O63="","",O63-N63)</f>
        <v/>
      </c>
      <c r="P70" s="20" t="str">
        <f t="shared" ref="P70:P71" si="1604">IF(P63="","",P63-O63)</f>
        <v/>
      </c>
      <c r="Q70" s="20" t="str">
        <f t="shared" ref="Q70:Q71" si="1605">IF(Q63="","",Q63-P63)</f>
        <v/>
      </c>
      <c r="R70" s="20" t="str">
        <f t="shared" ref="R70:R71" si="1606">IF(R63="","",R63-Q63)</f>
        <v/>
      </c>
      <c r="S70" s="20" t="str">
        <f t="shared" ref="S70:S71" si="1607">IF(S63="","",S63-R63)</f>
        <v/>
      </c>
      <c r="T70" s="20" t="str">
        <f t="shared" ref="T70:T71" si="1608">IF(T63="","",T63-S63)</f>
        <v/>
      </c>
      <c r="U70" s="20" t="str">
        <f t="shared" ref="U70:U71" si="1609">IF(U63="","",U63-T63)</f>
        <v/>
      </c>
      <c r="V70" s="20" t="str">
        <f t="shared" ref="V70:V71" si="1610">IF(V63="","",V63-U63)</f>
        <v/>
      </c>
      <c r="W70" s="20" t="str">
        <f t="shared" ref="W70:W71" si="1611">IF(W63="","",W63-V63)</f>
        <v/>
      </c>
      <c r="X70" s="20" t="str">
        <f t="shared" ref="X70:X71" si="1612">IF(X63="","",X63-W63)</f>
        <v/>
      </c>
      <c r="Y70" s="20" t="str">
        <f t="shared" ref="Y70:Y71" si="1613">IF(Y63="","",Y63-X63)</f>
        <v/>
      </c>
      <c r="Z70" s="20" t="str">
        <f t="shared" ref="Z70:Z71" si="1614">IF(Z63="","",Z63-Y63)</f>
        <v/>
      </c>
      <c r="AA70" s="20" t="str">
        <f t="shared" ref="AA70:AA71" si="1615">IF(AA63="","",AA63-Z63)</f>
        <v/>
      </c>
      <c r="AB70" s="20" t="str">
        <f t="shared" ref="AB70:AB71" si="1616">IF(AB63="","",AB63-AA63)</f>
        <v/>
      </c>
      <c r="AC70" s="20" t="str">
        <f t="shared" ref="AC70:AC71" si="1617">IF(AC63="","",AC63-AB63)</f>
        <v/>
      </c>
      <c r="AD70" s="20" t="str">
        <f t="shared" ref="AD70:AD71" si="1618">IF(AD63="","",AD63-AC63)</f>
        <v/>
      </c>
      <c r="AE70" s="20" t="str">
        <f t="shared" ref="AE70:AE71" si="1619">IF(AE63="","",AE63-AD63)</f>
        <v/>
      </c>
      <c r="AF70" s="20" t="str">
        <f t="shared" ref="AF70:AF71" si="1620">IF(AF63="","",AF63-AE63)</f>
        <v/>
      </c>
      <c r="AG70" s="20" t="str">
        <f t="shared" ref="AG70:AG71" si="1621">IF(AG63="","",AG63-AF63)</f>
        <v/>
      </c>
      <c r="AH70" s="20" t="str">
        <f t="shared" ref="AH70:AH71" si="1622">IF(AH63="","",AH63-AG63)</f>
        <v/>
      </c>
      <c r="AI70" s="20" t="str">
        <f t="shared" ref="AI70:AI71" si="1623">IF(AI63="","",AI63-AH63)</f>
        <v/>
      </c>
      <c r="AJ70" s="20" t="str">
        <f t="shared" ref="AJ70:AJ71" si="1624">IF(AJ63="","",AJ63-AI63)</f>
        <v/>
      </c>
      <c r="AK70" s="20" t="str">
        <f t="shared" ref="AK70:AK71" si="1625">IF(AK63="","",AK63-AJ63)</f>
        <v/>
      </c>
      <c r="AL70" s="20" t="str">
        <f t="shared" ref="AL70:AL71" si="1626">IF(AL63="","",AL63-AK63)</f>
        <v/>
      </c>
      <c r="AM70" s="20" t="str">
        <f t="shared" ref="AM70:AM71" si="1627">IF(AM63="","",AM63-AL63)</f>
        <v/>
      </c>
      <c r="AN70" s="20" t="str">
        <f t="shared" ref="AN70:AN71" si="1628">IF(AN63="","",AN63-AM63)</f>
        <v/>
      </c>
      <c r="AO70" s="20" t="str">
        <f t="shared" ref="AO70:AO71" si="1629">IF(AO63="","",AO63-AN63)</f>
        <v/>
      </c>
      <c r="AP70" s="20" t="str">
        <f t="shared" ref="AP70:AP71" si="1630">IF(AP63="","",AP63-AO63)</f>
        <v/>
      </c>
      <c r="AQ70" s="20" t="str">
        <f t="shared" ref="AQ70:AQ71" si="1631">IF(AQ63="","",AQ63-AP63)</f>
        <v/>
      </c>
      <c r="AR70" s="20" t="str">
        <f t="shared" ref="AR70:AR71" si="1632">IF(AR63="","",AR63-AQ63)</f>
        <v/>
      </c>
      <c r="AS70" s="20" t="str">
        <f t="shared" ref="AS70:AS71" si="1633">IF(AS63="","",AS63-AR63)</f>
        <v/>
      </c>
      <c r="AT70" s="20" t="str">
        <f t="shared" ref="AT70:AT71" si="1634">IF(AT63="","",AT63-AS63)</f>
        <v/>
      </c>
      <c r="AU70" s="20" t="str">
        <f t="shared" ref="AU70:AU71" si="1635">IF(AU63="","",AU63-AT63)</f>
        <v/>
      </c>
      <c r="AV70" s="20" t="str">
        <f t="shared" ref="AS70:BC70" si="1636">IF(AV63="","",AV63-AU63)</f>
        <v/>
      </c>
      <c r="AW70" s="20" t="str">
        <f t="shared" si="1636"/>
        <v/>
      </c>
      <c r="AX70" s="20" t="str">
        <f t="shared" si="1636"/>
        <v/>
      </c>
      <c r="AY70" s="20" t="str">
        <f t="shared" si="1636"/>
        <v/>
      </c>
      <c r="AZ70" s="20" t="str">
        <f t="shared" si="1636"/>
        <v/>
      </c>
      <c r="BA70" s="20" t="str">
        <f t="shared" si="1636"/>
        <v/>
      </c>
      <c r="BB70" s="20" t="str">
        <f t="shared" si="1636"/>
        <v/>
      </c>
      <c r="BC70" s="20" t="str">
        <f t="shared" si="1636"/>
        <v/>
      </c>
    </row>
    <row r="71" spans="1:55" ht="11.25" customHeight="1" x14ac:dyDescent="0.2">
      <c r="A71" s="15">
        <f t="shared" si="1591"/>
        <v>14</v>
      </c>
      <c r="B71" s="19" t="s">
        <v>14</v>
      </c>
      <c r="C71" s="123">
        <v>0</v>
      </c>
      <c r="D71" s="20">
        <f t="shared" si="1592"/>
        <v>0</v>
      </c>
      <c r="E71" s="20">
        <f t="shared" si="1593"/>
        <v>0</v>
      </c>
      <c r="F71" s="20">
        <f t="shared" si="1594"/>
        <v>8</v>
      </c>
      <c r="G71" s="195">
        <f t="shared" si="1595"/>
        <v>0</v>
      </c>
      <c r="H71" s="20">
        <f t="shared" si="1596"/>
        <v>0</v>
      </c>
      <c r="I71" s="20">
        <f t="shared" si="1597"/>
        <v>6</v>
      </c>
      <c r="J71" s="195">
        <f t="shared" si="1598"/>
        <v>0</v>
      </c>
      <c r="K71" s="20">
        <f t="shared" si="1599"/>
        <v>0</v>
      </c>
      <c r="L71" s="20">
        <f t="shared" si="1600"/>
        <v>0</v>
      </c>
      <c r="M71" s="20">
        <f t="shared" si="1601"/>
        <v>0</v>
      </c>
      <c r="N71" s="195" t="str">
        <f t="shared" si="1602"/>
        <v/>
      </c>
      <c r="O71" s="20" t="str">
        <f t="shared" si="1603"/>
        <v/>
      </c>
      <c r="P71" s="20" t="str">
        <f t="shared" si="1604"/>
        <v/>
      </c>
      <c r="Q71" s="20" t="str">
        <f t="shared" si="1605"/>
        <v/>
      </c>
      <c r="R71" s="20" t="str">
        <f t="shared" si="1606"/>
        <v/>
      </c>
      <c r="S71" s="20" t="str">
        <f t="shared" si="1607"/>
        <v/>
      </c>
      <c r="T71" s="20" t="str">
        <f t="shared" si="1608"/>
        <v/>
      </c>
      <c r="U71" s="20" t="str">
        <f t="shared" si="1609"/>
        <v/>
      </c>
      <c r="V71" s="20" t="str">
        <f t="shared" si="1610"/>
        <v/>
      </c>
      <c r="W71" s="20" t="str">
        <f t="shared" si="1611"/>
        <v/>
      </c>
      <c r="X71" s="20" t="str">
        <f t="shared" si="1612"/>
        <v/>
      </c>
      <c r="Y71" s="20" t="str">
        <f t="shared" si="1613"/>
        <v/>
      </c>
      <c r="Z71" s="20" t="str">
        <f t="shared" si="1614"/>
        <v/>
      </c>
      <c r="AA71" s="20" t="str">
        <f t="shared" si="1615"/>
        <v/>
      </c>
      <c r="AB71" s="20" t="str">
        <f t="shared" si="1616"/>
        <v/>
      </c>
      <c r="AC71" s="20" t="str">
        <f t="shared" si="1617"/>
        <v/>
      </c>
      <c r="AD71" s="20" t="str">
        <f t="shared" si="1618"/>
        <v/>
      </c>
      <c r="AE71" s="20" t="str">
        <f t="shared" si="1619"/>
        <v/>
      </c>
      <c r="AF71" s="20" t="str">
        <f t="shared" si="1620"/>
        <v/>
      </c>
      <c r="AG71" s="20" t="str">
        <f t="shared" si="1621"/>
        <v/>
      </c>
      <c r="AH71" s="20" t="str">
        <f t="shared" si="1622"/>
        <v/>
      </c>
      <c r="AI71" s="20" t="str">
        <f t="shared" si="1623"/>
        <v/>
      </c>
      <c r="AJ71" s="20" t="str">
        <f t="shared" si="1624"/>
        <v/>
      </c>
      <c r="AK71" s="20" t="str">
        <f t="shared" si="1625"/>
        <v/>
      </c>
      <c r="AL71" s="20" t="str">
        <f t="shared" si="1626"/>
        <v/>
      </c>
      <c r="AM71" s="20" t="str">
        <f t="shared" si="1627"/>
        <v/>
      </c>
      <c r="AN71" s="20" t="str">
        <f t="shared" si="1628"/>
        <v/>
      </c>
      <c r="AO71" s="20" t="str">
        <f t="shared" si="1629"/>
        <v/>
      </c>
      <c r="AP71" s="20" t="str">
        <f t="shared" si="1630"/>
        <v/>
      </c>
      <c r="AQ71" s="20" t="str">
        <f t="shared" si="1631"/>
        <v/>
      </c>
      <c r="AR71" s="20" t="str">
        <f t="shared" si="1632"/>
        <v/>
      </c>
      <c r="AS71" s="20" t="str">
        <f t="shared" si="1633"/>
        <v/>
      </c>
      <c r="AT71" s="20" t="str">
        <f t="shared" si="1634"/>
        <v/>
      </c>
      <c r="AU71" s="20" t="str">
        <f t="shared" si="1635"/>
        <v/>
      </c>
      <c r="AV71" s="20" t="str">
        <f t="shared" ref="AS71:BC71" si="1637">IF(AV64="","",AV64-AU64)</f>
        <v/>
      </c>
      <c r="AW71" s="20" t="str">
        <f t="shared" si="1637"/>
        <v/>
      </c>
      <c r="AX71" s="20" t="str">
        <f t="shared" si="1637"/>
        <v/>
      </c>
      <c r="AY71" s="20" t="str">
        <f t="shared" si="1637"/>
        <v/>
      </c>
      <c r="AZ71" s="20" t="str">
        <f t="shared" si="1637"/>
        <v/>
      </c>
      <c r="BA71" s="20" t="str">
        <f t="shared" si="1637"/>
        <v/>
      </c>
      <c r="BB71" s="20" t="str">
        <f t="shared" si="1637"/>
        <v/>
      </c>
      <c r="BC71" s="20" t="str">
        <f t="shared" si="1637"/>
        <v/>
      </c>
    </row>
    <row r="72" spans="1:55" ht="11.25" customHeight="1" x14ac:dyDescent="0.2">
      <c r="A72" s="15">
        <f t="shared" si="1591"/>
        <v>14</v>
      </c>
      <c r="B72" s="19" t="s">
        <v>15</v>
      </c>
      <c r="C72" s="123">
        <v>0</v>
      </c>
      <c r="D72" s="20">
        <f t="shared" ref="D72" si="1638">IF(D65="","",C65+C66-D65)</f>
        <v>0</v>
      </c>
      <c r="E72" s="20">
        <f t="shared" ref="E72" si="1639">IF(E65="","",D65+D66-E65)</f>
        <v>0</v>
      </c>
      <c r="F72" s="20">
        <f t="shared" ref="F72" si="1640">IF(F65="","",E65+E66-F65)</f>
        <v>8</v>
      </c>
      <c r="G72" s="195">
        <f t="shared" ref="G72" si="1641">IF(G65="","",F65+F66-G65)</f>
        <v>0</v>
      </c>
      <c r="H72" s="20">
        <f t="shared" ref="H72" si="1642">IF(H65="","",G65+G66-H65)</f>
        <v>0</v>
      </c>
      <c r="I72" s="20">
        <f t="shared" ref="I72" si="1643">IF(I65="","",H65+H66-I65)</f>
        <v>6</v>
      </c>
      <c r="J72" s="195">
        <f t="shared" ref="J72" si="1644">IF(J65="","",I65+I66-J65)</f>
        <v>0</v>
      </c>
      <c r="K72" s="20">
        <f t="shared" ref="K72" si="1645">IF(K65="","",J65+J66-K65)</f>
        <v>0</v>
      </c>
      <c r="L72" s="20">
        <f t="shared" ref="L72" si="1646">IF(L65="","",K65+K66-L65)</f>
        <v>0</v>
      </c>
      <c r="M72" s="20">
        <f t="shared" ref="M72" si="1647">IF(M65="","",L65+L66-M65)</f>
        <v>0</v>
      </c>
      <c r="N72" s="195" t="str">
        <f t="shared" ref="N72" si="1648">IF(N65="","",M65+M66-N65)</f>
        <v/>
      </c>
      <c r="O72" s="20" t="str">
        <f t="shared" ref="O72" si="1649">IF(O65="","",N65+N66-O65)</f>
        <v/>
      </c>
      <c r="P72" s="20" t="str">
        <f t="shared" ref="P72" si="1650">IF(P65="","",O65+O66-P65)</f>
        <v/>
      </c>
      <c r="Q72" s="20" t="str">
        <f t="shared" ref="Q72" si="1651">IF(Q65="","",P65+P66-Q65)</f>
        <v/>
      </c>
      <c r="R72" s="20" t="str">
        <f t="shared" ref="R72" si="1652">IF(R65="","",Q65+Q66-R65)</f>
        <v/>
      </c>
      <c r="S72" s="20" t="str">
        <f t="shared" ref="S72" si="1653">IF(S65="","",R65+R66-S65)</f>
        <v/>
      </c>
      <c r="T72" s="20" t="str">
        <f t="shared" ref="T72" si="1654">IF(T65="","",S65+S66-T65)</f>
        <v/>
      </c>
      <c r="U72" s="20" t="str">
        <f t="shared" ref="U72" si="1655">IF(U65="","",T65+T66-U65)</f>
        <v/>
      </c>
      <c r="V72" s="20" t="str">
        <f t="shared" ref="V72" si="1656">IF(V65="","",U65+U66-V65)</f>
        <v/>
      </c>
      <c r="W72" s="20" t="str">
        <f t="shared" ref="W72" si="1657">IF(W65="","",V65+V66-W65)</f>
        <v/>
      </c>
      <c r="X72" s="20" t="str">
        <f t="shared" ref="X72" si="1658">IF(X65="","",W65+W66-X65)</f>
        <v/>
      </c>
      <c r="Y72" s="20" t="str">
        <f t="shared" ref="Y72" si="1659">IF(Y65="","",X65+X66-Y65)</f>
        <v/>
      </c>
      <c r="Z72" s="20" t="str">
        <f t="shared" ref="Z72" si="1660">IF(Z65="","",Y65+Y66-Z65)</f>
        <v/>
      </c>
      <c r="AA72" s="20" t="str">
        <f t="shared" ref="AA72" si="1661">IF(AA65="","",Z65+Z66-AA65)</f>
        <v/>
      </c>
      <c r="AB72" s="20" t="str">
        <f t="shared" ref="AB72" si="1662">IF(AB65="","",AA65+AA66-AB65)</f>
        <v/>
      </c>
      <c r="AC72" s="20" t="str">
        <f t="shared" ref="AC72" si="1663">IF(AC65="","",AB65+AB66-AC65)</f>
        <v/>
      </c>
      <c r="AD72" s="20" t="str">
        <f t="shared" ref="AD72" si="1664">IF(AD65="","",AC65+AC66-AD65)</f>
        <v/>
      </c>
      <c r="AE72" s="20" t="str">
        <f t="shared" ref="AE72" si="1665">IF(AE65="","",AD65+AD66-AE65)</f>
        <v/>
      </c>
      <c r="AF72" s="20" t="str">
        <f t="shared" ref="AF72" si="1666">IF(AF65="","",AE65+AE66-AF65)</f>
        <v/>
      </c>
      <c r="AG72" s="20" t="str">
        <f t="shared" ref="AG72" si="1667">IF(AG65="","",AF65+AF66-AG65)</f>
        <v/>
      </c>
      <c r="AH72" s="20" t="str">
        <f t="shared" ref="AH72" si="1668">IF(AH65="","",AG65+AG66-AH65)</f>
        <v/>
      </c>
      <c r="AI72" s="20" t="str">
        <f t="shared" ref="AI72" si="1669">IF(AI65="","",AH65+AH66-AI65)</f>
        <v/>
      </c>
      <c r="AJ72" s="20" t="str">
        <f t="shared" ref="AJ72" si="1670">IF(AJ65="","",AI65+AI66-AJ65)</f>
        <v/>
      </c>
      <c r="AK72" s="20" t="str">
        <f t="shared" ref="AK72" si="1671">IF(AK65="","",AJ65+AJ66-AK65)</f>
        <v/>
      </c>
      <c r="AL72" s="20" t="str">
        <f t="shared" ref="AL72" si="1672">IF(AL65="","",AK65+AK66-AL65)</f>
        <v/>
      </c>
      <c r="AM72" s="20" t="str">
        <f t="shared" ref="AM72" si="1673">IF(AM65="","",AL65+AL66-AM65)</f>
        <v/>
      </c>
      <c r="AN72" s="20" t="str">
        <f t="shared" ref="AN72" si="1674">IF(AN65="","",AM65+AM66-AN65)</f>
        <v/>
      </c>
      <c r="AO72" s="20" t="str">
        <f t="shared" ref="AO72" si="1675">IF(AO65="","",AN65+AN66-AO65)</f>
        <v/>
      </c>
      <c r="AP72" s="20" t="str">
        <f t="shared" ref="AP72" si="1676">IF(AP65="","",AO65+AO66-AP65)</f>
        <v/>
      </c>
      <c r="AQ72" s="20" t="str">
        <f t="shared" ref="AQ72" si="1677">IF(AQ65="","",AP65+AP66-AQ65)</f>
        <v/>
      </c>
      <c r="AR72" s="20" t="str">
        <f t="shared" ref="AR72" si="1678">IF(AR65="","",AQ65+AQ66-AR65)</f>
        <v/>
      </c>
      <c r="AS72" s="20" t="str">
        <f t="shared" ref="AS72" si="1679">IF(AS65="","",AR65+AR66-AS65)</f>
        <v/>
      </c>
      <c r="AT72" s="20" t="str">
        <f t="shared" ref="AT72" si="1680">IF(AT65="","",AS65+AS66-AT65)</f>
        <v/>
      </c>
      <c r="AU72" s="20" t="str">
        <f t="shared" ref="AU72" si="1681">IF(AU65="","",AT65+AT66-AU65)</f>
        <v/>
      </c>
      <c r="AV72" s="20" t="str">
        <f t="shared" ref="AS72:BC72" si="1682">IF(AV65="","",AU65+AU66-AV65)</f>
        <v/>
      </c>
      <c r="AW72" s="20" t="str">
        <f t="shared" si="1682"/>
        <v/>
      </c>
      <c r="AX72" s="20" t="str">
        <f t="shared" si="1682"/>
        <v/>
      </c>
      <c r="AY72" s="20" t="str">
        <f t="shared" si="1682"/>
        <v/>
      </c>
      <c r="AZ72" s="20" t="str">
        <f t="shared" si="1682"/>
        <v/>
      </c>
      <c r="BA72" s="20" t="str">
        <f t="shared" si="1682"/>
        <v/>
      </c>
      <c r="BB72" s="20" t="str">
        <f t="shared" si="1682"/>
        <v/>
      </c>
      <c r="BC72" s="20" t="str">
        <f t="shared" si="1682"/>
        <v/>
      </c>
    </row>
    <row r="73" spans="1:55" ht="11.25" customHeight="1" x14ac:dyDescent="0.2">
      <c r="A73" s="15">
        <f t="shared" si="1591"/>
        <v>7840</v>
      </c>
      <c r="B73" s="19" t="s">
        <v>16</v>
      </c>
      <c r="C73" s="123">
        <v>0</v>
      </c>
      <c r="D73" s="20">
        <f t="shared" ref="D73:AU73" si="1683">IF(D63="","",D72*D67)</f>
        <v>0</v>
      </c>
      <c r="E73" s="20">
        <f t="shared" si="1683"/>
        <v>0</v>
      </c>
      <c r="F73" s="20">
        <f t="shared" si="1683"/>
        <v>4480</v>
      </c>
      <c r="G73" s="195">
        <f t="shared" si="1683"/>
        <v>0</v>
      </c>
      <c r="H73" s="20">
        <f t="shared" si="1683"/>
        <v>0</v>
      </c>
      <c r="I73" s="20">
        <f t="shared" si="1683"/>
        <v>3360</v>
      </c>
      <c r="J73" s="195">
        <f t="shared" si="1683"/>
        <v>0</v>
      </c>
      <c r="K73" s="20">
        <f t="shared" si="1683"/>
        <v>0</v>
      </c>
      <c r="L73" s="20">
        <f t="shared" si="1683"/>
        <v>0</v>
      </c>
      <c r="M73" s="20">
        <f t="shared" si="1683"/>
        <v>0</v>
      </c>
      <c r="N73" s="195" t="str">
        <f t="shared" si="1683"/>
        <v/>
      </c>
      <c r="O73" s="20" t="str">
        <f t="shared" si="1683"/>
        <v/>
      </c>
      <c r="P73" s="20" t="str">
        <f t="shared" si="1683"/>
        <v/>
      </c>
      <c r="Q73" s="20" t="str">
        <f t="shared" si="1683"/>
        <v/>
      </c>
      <c r="R73" s="20" t="str">
        <f t="shared" si="1683"/>
        <v/>
      </c>
      <c r="S73" s="20" t="str">
        <f t="shared" si="1683"/>
        <v/>
      </c>
      <c r="T73" s="20" t="str">
        <f t="shared" si="1683"/>
        <v/>
      </c>
      <c r="U73" s="20" t="str">
        <f t="shared" si="1683"/>
        <v/>
      </c>
      <c r="V73" s="20" t="str">
        <f t="shared" si="1683"/>
        <v/>
      </c>
      <c r="W73" s="20" t="str">
        <f t="shared" si="1683"/>
        <v/>
      </c>
      <c r="X73" s="20" t="str">
        <f t="shared" si="1683"/>
        <v/>
      </c>
      <c r="Y73" s="20" t="str">
        <f t="shared" si="1683"/>
        <v/>
      </c>
      <c r="Z73" s="20" t="str">
        <f t="shared" si="1683"/>
        <v/>
      </c>
      <c r="AA73" s="20" t="str">
        <f t="shared" si="1683"/>
        <v/>
      </c>
      <c r="AB73" s="20" t="str">
        <f t="shared" si="1683"/>
        <v/>
      </c>
      <c r="AC73" s="20" t="str">
        <f t="shared" si="1683"/>
        <v/>
      </c>
      <c r="AD73" s="20" t="str">
        <f t="shared" si="1683"/>
        <v/>
      </c>
      <c r="AE73" s="20" t="str">
        <f t="shared" si="1683"/>
        <v/>
      </c>
      <c r="AF73" s="20" t="str">
        <f t="shared" si="1683"/>
        <v/>
      </c>
      <c r="AG73" s="20" t="str">
        <f t="shared" si="1683"/>
        <v/>
      </c>
      <c r="AH73" s="20" t="str">
        <f t="shared" si="1683"/>
        <v/>
      </c>
      <c r="AI73" s="20" t="str">
        <f t="shared" si="1683"/>
        <v/>
      </c>
      <c r="AJ73" s="20" t="str">
        <f t="shared" si="1683"/>
        <v/>
      </c>
      <c r="AK73" s="20" t="str">
        <f t="shared" si="1683"/>
        <v/>
      </c>
      <c r="AL73" s="20" t="str">
        <f t="shared" si="1683"/>
        <v/>
      </c>
      <c r="AM73" s="20" t="str">
        <f t="shared" si="1683"/>
        <v/>
      </c>
      <c r="AN73" s="20" t="str">
        <f t="shared" si="1683"/>
        <v/>
      </c>
      <c r="AO73" s="20" t="str">
        <f t="shared" si="1683"/>
        <v/>
      </c>
      <c r="AP73" s="20" t="str">
        <f t="shared" si="1683"/>
        <v/>
      </c>
      <c r="AQ73" s="20" t="str">
        <f t="shared" si="1683"/>
        <v/>
      </c>
      <c r="AR73" s="20" t="str">
        <f t="shared" si="1683"/>
        <v/>
      </c>
      <c r="AS73" s="20" t="str">
        <f t="shared" si="1683"/>
        <v/>
      </c>
      <c r="AT73" s="20" t="str">
        <f t="shared" si="1683"/>
        <v/>
      </c>
      <c r="AU73" s="20" t="str">
        <f t="shared" si="1683"/>
        <v/>
      </c>
      <c r="AV73" s="20" t="str">
        <f t="shared" ref="AS73:BC73" si="1684">IF(AV63="","",AV72*AV67)</f>
        <v/>
      </c>
      <c r="AW73" s="20" t="str">
        <f t="shared" si="1684"/>
        <v/>
      </c>
      <c r="AX73" s="20" t="str">
        <f t="shared" si="1684"/>
        <v/>
      </c>
      <c r="AY73" s="20" t="str">
        <f t="shared" si="1684"/>
        <v/>
      </c>
      <c r="AZ73" s="20" t="str">
        <f t="shared" si="1684"/>
        <v/>
      </c>
      <c r="BA73" s="20" t="str">
        <f t="shared" si="1684"/>
        <v/>
      </c>
      <c r="BB73" s="20" t="str">
        <f t="shared" si="1684"/>
        <v/>
      </c>
      <c r="BC73" s="20" t="str">
        <f t="shared" si="1684"/>
        <v/>
      </c>
    </row>
    <row r="74" spans="1:55" ht="11.25" customHeight="1" x14ac:dyDescent="0.2">
      <c r="A74" s="21">
        <f>IF(A73="","",A73/(A70*100))</f>
        <v>0.79191919191919191</v>
      </c>
      <c r="B74" s="19" t="s">
        <v>17</v>
      </c>
      <c r="C74" s="146" t="s">
        <v>18</v>
      </c>
      <c r="D74" s="27" t="str">
        <f t="shared" ref="D74:AU74" si="1685">IF(D73="","",IF(D73=0,"",D73/(D70*100)))</f>
        <v/>
      </c>
      <c r="E74" s="27" t="str">
        <f t="shared" si="1685"/>
        <v/>
      </c>
      <c r="F74" s="27">
        <f t="shared" si="1685"/>
        <v>1.28</v>
      </c>
      <c r="G74" s="199" t="str">
        <f t="shared" si="1685"/>
        <v/>
      </c>
      <c r="H74" s="27" t="str">
        <f t="shared" si="1685"/>
        <v/>
      </c>
      <c r="I74" s="27">
        <f t="shared" si="1685"/>
        <v>0.52500000000000002</v>
      </c>
      <c r="J74" s="199" t="str">
        <f t="shared" si="1685"/>
        <v/>
      </c>
      <c r="K74" s="27" t="str">
        <f t="shared" si="1685"/>
        <v/>
      </c>
      <c r="L74" s="27" t="str">
        <f t="shared" si="1685"/>
        <v/>
      </c>
      <c r="M74" s="27" t="str">
        <f t="shared" si="1685"/>
        <v/>
      </c>
      <c r="N74" s="199" t="str">
        <f t="shared" si="1685"/>
        <v/>
      </c>
      <c r="O74" s="27" t="str">
        <f t="shared" si="1685"/>
        <v/>
      </c>
      <c r="P74" s="27" t="str">
        <f t="shared" si="1685"/>
        <v/>
      </c>
      <c r="Q74" s="27" t="str">
        <f t="shared" si="1685"/>
        <v/>
      </c>
      <c r="R74" s="27" t="str">
        <f t="shared" si="1685"/>
        <v/>
      </c>
      <c r="S74" s="27" t="str">
        <f t="shared" si="1685"/>
        <v/>
      </c>
      <c r="T74" s="27" t="str">
        <f t="shared" si="1685"/>
        <v/>
      </c>
      <c r="U74" s="27" t="str">
        <f t="shared" si="1685"/>
        <v/>
      </c>
      <c r="V74" s="27" t="str">
        <f t="shared" si="1685"/>
        <v/>
      </c>
      <c r="W74" s="27" t="str">
        <f t="shared" si="1685"/>
        <v/>
      </c>
      <c r="X74" s="27" t="str">
        <f t="shared" si="1685"/>
        <v/>
      </c>
      <c r="Y74" s="27" t="str">
        <f t="shared" si="1685"/>
        <v/>
      </c>
      <c r="Z74" s="27" t="str">
        <f t="shared" si="1685"/>
        <v/>
      </c>
      <c r="AA74" s="27" t="str">
        <f t="shared" si="1685"/>
        <v/>
      </c>
      <c r="AB74" s="27" t="str">
        <f t="shared" si="1685"/>
        <v/>
      </c>
      <c r="AC74" s="27" t="str">
        <f t="shared" si="1685"/>
        <v/>
      </c>
      <c r="AD74" s="27" t="str">
        <f t="shared" si="1685"/>
        <v/>
      </c>
      <c r="AE74" s="27" t="str">
        <f t="shared" si="1685"/>
        <v/>
      </c>
      <c r="AF74" s="27" t="str">
        <f t="shared" si="1685"/>
        <v/>
      </c>
      <c r="AG74" s="27" t="str">
        <f t="shared" si="1685"/>
        <v/>
      </c>
      <c r="AH74" s="27" t="str">
        <f t="shared" si="1685"/>
        <v/>
      </c>
      <c r="AI74" s="27" t="str">
        <f t="shared" si="1685"/>
        <v/>
      </c>
      <c r="AJ74" s="27" t="str">
        <f t="shared" si="1685"/>
        <v/>
      </c>
      <c r="AK74" s="27" t="str">
        <f t="shared" si="1685"/>
        <v/>
      </c>
      <c r="AL74" s="27" t="str">
        <f t="shared" si="1685"/>
        <v/>
      </c>
      <c r="AM74" s="27" t="str">
        <f t="shared" si="1685"/>
        <v/>
      </c>
      <c r="AN74" s="27" t="str">
        <f t="shared" si="1685"/>
        <v/>
      </c>
      <c r="AO74" s="27" t="str">
        <f t="shared" si="1685"/>
        <v/>
      </c>
      <c r="AP74" s="27" t="str">
        <f t="shared" si="1685"/>
        <v/>
      </c>
      <c r="AQ74" s="27" t="str">
        <f t="shared" si="1685"/>
        <v/>
      </c>
      <c r="AR74" s="27" t="str">
        <f t="shared" si="1685"/>
        <v/>
      </c>
      <c r="AS74" s="27" t="str">
        <f t="shared" si="1685"/>
        <v/>
      </c>
      <c r="AT74" s="27" t="str">
        <f t="shared" si="1685"/>
        <v/>
      </c>
      <c r="AU74" s="27" t="str">
        <f t="shared" si="1685"/>
        <v/>
      </c>
      <c r="AV74" s="27" t="str">
        <f t="shared" ref="AS74:BC74" si="1686">IF(AV73="","",IF(AV73=0,"",AV73/(AV70*100)))</f>
        <v/>
      </c>
      <c r="AW74" s="27" t="str">
        <f t="shared" si="1686"/>
        <v/>
      </c>
      <c r="AX74" s="27" t="str">
        <f t="shared" si="1686"/>
        <v/>
      </c>
      <c r="AY74" s="27" t="str">
        <f t="shared" si="1686"/>
        <v/>
      </c>
      <c r="AZ74" s="27" t="str">
        <f t="shared" si="1686"/>
        <v/>
      </c>
      <c r="BA74" s="27" t="str">
        <f t="shared" si="1686"/>
        <v/>
      </c>
      <c r="BB74" s="27" t="str">
        <f t="shared" si="1686"/>
        <v/>
      </c>
      <c r="BC74" s="27" t="str">
        <f t="shared" si="1686"/>
        <v/>
      </c>
    </row>
    <row r="75" spans="1:55" ht="11.25" customHeight="1" x14ac:dyDescent="0.2">
      <c r="A75" s="28" t="s">
        <v>1</v>
      </c>
      <c r="B75" s="29" t="s">
        <v>2</v>
      </c>
      <c r="C75" s="129">
        <v>19552</v>
      </c>
      <c r="D75" s="16">
        <f t="shared" ref="D75:D76" si="1687">IF(D$3="","",C75)</f>
        <v>19552</v>
      </c>
      <c r="E75" s="16">
        <f t="shared" ref="E75:E76" si="1688">IF(E$3="","",D75)</f>
        <v>19552</v>
      </c>
      <c r="F75" s="16">
        <v>19684</v>
      </c>
      <c r="G75" s="196">
        <f t="shared" ref="G75:G76" si="1689">IF(G$3="","",F75)</f>
        <v>19684</v>
      </c>
      <c r="H75" s="16">
        <f t="shared" ref="H75:H76" si="1690">IF(H$3="","",G75)</f>
        <v>19684</v>
      </c>
      <c r="I75" s="16">
        <v>19761</v>
      </c>
      <c r="J75" s="196">
        <f t="shared" ref="J75:J76" si="1691">IF(J$3="","",I75)</f>
        <v>19761</v>
      </c>
      <c r="K75" s="16">
        <f t="shared" ref="K75:K76" si="1692">IF(K$3="","",J75)</f>
        <v>19761</v>
      </c>
      <c r="L75" s="16">
        <f t="shared" ref="L75:L76" si="1693">IF(L$3="","",K75)</f>
        <v>19761</v>
      </c>
      <c r="M75" s="16">
        <f t="shared" ref="M75:M76" si="1694">IF(M$3="","",L75)</f>
        <v>19761</v>
      </c>
      <c r="N75" s="196" t="str">
        <f t="shared" ref="N75:N76" si="1695">IF(N$3="","",M75)</f>
        <v/>
      </c>
      <c r="O75" s="16" t="str">
        <f t="shared" ref="O75:O76" si="1696">IF(O$3="","",N75)</f>
        <v/>
      </c>
      <c r="P75" s="16" t="str">
        <f t="shared" ref="P75:P76" si="1697">IF(P$3="","",O75)</f>
        <v/>
      </c>
      <c r="Q75" s="16" t="str">
        <f t="shared" ref="Q75:Q76" si="1698">IF(Q$3="","",P75)</f>
        <v/>
      </c>
      <c r="R75" s="16" t="str">
        <f t="shared" ref="R75:R76" si="1699">IF(R$3="","",Q75)</f>
        <v/>
      </c>
      <c r="S75" s="16" t="str">
        <f t="shared" ref="S75:S76" si="1700">IF(S$3="","",R75)</f>
        <v/>
      </c>
      <c r="T75" s="16" t="str">
        <f t="shared" ref="T75:T76" si="1701">IF(T$3="","",S75)</f>
        <v/>
      </c>
      <c r="U75" s="16" t="str">
        <f t="shared" ref="U75:U76" si="1702">IF(U$3="","",T75)</f>
        <v/>
      </c>
      <c r="V75" s="16" t="str">
        <f t="shared" ref="V75:V76" si="1703">IF(V$3="","",U75)</f>
        <v/>
      </c>
      <c r="W75" s="16" t="str">
        <f t="shared" ref="W75:W76" si="1704">IF(W$3="","",V75)</f>
        <v/>
      </c>
      <c r="X75" s="16" t="str">
        <f t="shared" ref="X75:X76" si="1705">IF(X$3="","",W75)</f>
        <v/>
      </c>
      <c r="Y75" s="16" t="str">
        <f t="shared" ref="Y75:Y76" si="1706">IF(Y$3="","",X75)</f>
        <v/>
      </c>
      <c r="Z75" s="16" t="str">
        <f t="shared" ref="Z75:Z76" si="1707">IF(Z$3="","",Y75)</f>
        <v/>
      </c>
      <c r="AA75" s="16" t="str">
        <f t="shared" ref="AA75:AA76" si="1708">IF(AA$3="","",Z75)</f>
        <v/>
      </c>
      <c r="AB75" s="16" t="str">
        <f t="shared" ref="AB75:AB76" si="1709">IF(AB$3="","",AA75)</f>
        <v/>
      </c>
      <c r="AC75" s="16" t="str">
        <f t="shared" ref="AC75:AC76" si="1710">IF(AC$3="","",AB75)</f>
        <v/>
      </c>
      <c r="AD75" s="16" t="str">
        <f t="shared" ref="AD75:AD76" si="1711">IF(AD$3="","",AC75)</f>
        <v/>
      </c>
      <c r="AE75" s="16" t="str">
        <f t="shared" ref="AE75:AE76" si="1712">IF(AE$3="","",AD75)</f>
        <v/>
      </c>
      <c r="AF75" s="16" t="str">
        <f t="shared" ref="AF75:AF76" si="1713">IF(AF$3="","",AE75)</f>
        <v/>
      </c>
      <c r="AG75" s="16" t="str">
        <f t="shared" ref="AG75:AG76" si="1714">IF(AG$3="","",AF75)</f>
        <v/>
      </c>
      <c r="AH75" s="16" t="str">
        <f t="shared" ref="AH75:AH76" si="1715">IF(AH$3="","",AG75)</f>
        <v/>
      </c>
      <c r="AI75" s="16" t="str">
        <f t="shared" ref="AI75:AI76" si="1716">IF(AI$3="","",AH75)</f>
        <v/>
      </c>
      <c r="AJ75" s="16" t="str">
        <f t="shared" ref="AJ75:AJ76" si="1717">IF(AJ$3="","",AI75)</f>
        <v/>
      </c>
      <c r="AK75" s="16" t="str">
        <f t="shared" ref="AK75:AK76" si="1718">IF(AK$3="","",AJ75)</f>
        <v/>
      </c>
      <c r="AL75" s="16" t="str">
        <f t="shared" ref="AL75:AL76" si="1719">IF(AL$3="","",AK75)</f>
        <v/>
      </c>
      <c r="AM75" s="16" t="str">
        <f t="shared" ref="AM75:AM76" si="1720">IF(AM$3="","",AL75)</f>
        <v/>
      </c>
      <c r="AN75" s="16" t="str">
        <f t="shared" ref="AN75:AN76" si="1721">IF(AN$3="","",AM75)</f>
        <v/>
      </c>
      <c r="AO75" s="16" t="str">
        <f t="shared" ref="AO75:AO76" si="1722">IF(AO$3="","",AN75)</f>
        <v/>
      </c>
      <c r="AP75" s="16" t="str">
        <f t="shared" ref="AP75:AP76" si="1723">IF(AP$3="","",AO75)</f>
        <v/>
      </c>
      <c r="AQ75" s="16" t="str">
        <f t="shared" ref="AQ75:AQ76" si="1724">IF(AQ$3="","",AP75)</f>
        <v/>
      </c>
      <c r="AR75" s="16" t="str">
        <f t="shared" ref="AR75:AR76" si="1725">IF(AR$3="","",AQ75)</f>
        <v/>
      </c>
      <c r="AS75" s="16" t="str">
        <f t="shared" ref="AS75:AS76" si="1726">IF(AS$3="","",AR75)</f>
        <v/>
      </c>
      <c r="AT75" s="16" t="str">
        <f t="shared" ref="AT75:AT76" si="1727">IF(AT$3="","",AS75)</f>
        <v/>
      </c>
      <c r="AU75" s="16" t="str">
        <f t="shared" ref="AU75:AU76" si="1728">IF(AU$3="","",AT75)</f>
        <v/>
      </c>
      <c r="AV75" s="16" t="str">
        <f t="shared" ref="AS75:BC75" si="1729">IF(AV$3="","",AU75)</f>
        <v/>
      </c>
      <c r="AW75" s="16" t="str">
        <f t="shared" si="1729"/>
        <v/>
      </c>
      <c r="AX75" s="16" t="str">
        <f t="shared" si="1729"/>
        <v/>
      </c>
      <c r="AY75" s="16" t="str">
        <f t="shared" si="1729"/>
        <v/>
      </c>
      <c r="AZ75" s="16" t="str">
        <f t="shared" si="1729"/>
        <v/>
      </c>
      <c r="BA75" s="16" t="str">
        <f t="shared" si="1729"/>
        <v/>
      </c>
      <c r="BB75" s="16" t="str">
        <f t="shared" si="1729"/>
        <v/>
      </c>
      <c r="BC75" s="16" t="str">
        <f t="shared" si="1729"/>
        <v/>
      </c>
    </row>
    <row r="76" spans="1:55" ht="11.25" customHeight="1" x14ac:dyDescent="0.2">
      <c r="A76" s="10" t="s">
        <v>29</v>
      </c>
      <c r="B76" s="11" t="s">
        <v>4</v>
      </c>
      <c r="C76" s="123">
        <v>1240</v>
      </c>
      <c r="D76" s="12">
        <f t="shared" si="1687"/>
        <v>1240</v>
      </c>
      <c r="E76" s="12">
        <f t="shared" si="1688"/>
        <v>1240</v>
      </c>
      <c r="F76" s="12">
        <v>1248</v>
      </c>
      <c r="G76" s="195">
        <f t="shared" si="1689"/>
        <v>1248</v>
      </c>
      <c r="H76" s="12">
        <f t="shared" si="1690"/>
        <v>1248</v>
      </c>
      <c r="I76" s="12">
        <v>1254</v>
      </c>
      <c r="J76" s="195">
        <f t="shared" si="1691"/>
        <v>1254</v>
      </c>
      <c r="K76" s="12">
        <f t="shared" si="1692"/>
        <v>1254</v>
      </c>
      <c r="L76" s="12">
        <f t="shared" si="1693"/>
        <v>1254</v>
      </c>
      <c r="M76" s="12">
        <f t="shared" si="1694"/>
        <v>1254</v>
      </c>
      <c r="N76" s="195" t="str">
        <f t="shared" si="1695"/>
        <v/>
      </c>
      <c r="O76" s="12" t="str">
        <f t="shared" si="1696"/>
        <v/>
      </c>
      <c r="P76" s="12" t="str">
        <f t="shared" si="1697"/>
        <v/>
      </c>
      <c r="Q76" s="12" t="str">
        <f t="shared" si="1698"/>
        <v/>
      </c>
      <c r="R76" s="12" t="str">
        <f t="shared" si="1699"/>
        <v/>
      </c>
      <c r="S76" s="12" t="str">
        <f t="shared" si="1700"/>
        <v/>
      </c>
      <c r="T76" s="12" t="str">
        <f t="shared" si="1701"/>
        <v/>
      </c>
      <c r="U76" s="12" t="str">
        <f t="shared" si="1702"/>
        <v/>
      </c>
      <c r="V76" s="12" t="str">
        <f t="shared" si="1703"/>
        <v/>
      </c>
      <c r="W76" s="12" t="str">
        <f t="shared" si="1704"/>
        <v/>
      </c>
      <c r="X76" s="12" t="str">
        <f t="shared" si="1705"/>
        <v/>
      </c>
      <c r="Y76" s="12" t="str">
        <f t="shared" si="1706"/>
        <v/>
      </c>
      <c r="Z76" s="12" t="str">
        <f t="shared" si="1707"/>
        <v/>
      </c>
      <c r="AA76" s="12" t="str">
        <f t="shared" si="1708"/>
        <v/>
      </c>
      <c r="AB76" s="12" t="str">
        <f t="shared" si="1709"/>
        <v/>
      </c>
      <c r="AC76" s="12" t="str">
        <f t="shared" si="1710"/>
        <v/>
      </c>
      <c r="AD76" s="12" t="str">
        <f t="shared" si="1711"/>
        <v/>
      </c>
      <c r="AE76" s="12" t="str">
        <f t="shared" si="1712"/>
        <v/>
      </c>
      <c r="AF76" s="12" t="str">
        <f t="shared" si="1713"/>
        <v/>
      </c>
      <c r="AG76" s="12" t="str">
        <f t="shared" si="1714"/>
        <v/>
      </c>
      <c r="AH76" s="12" t="str">
        <f t="shared" si="1715"/>
        <v/>
      </c>
      <c r="AI76" s="12" t="str">
        <f t="shared" si="1716"/>
        <v/>
      </c>
      <c r="AJ76" s="12" t="str">
        <f t="shared" si="1717"/>
        <v/>
      </c>
      <c r="AK76" s="12" t="str">
        <f t="shared" si="1718"/>
        <v/>
      </c>
      <c r="AL76" s="12" t="str">
        <f t="shared" si="1719"/>
        <v/>
      </c>
      <c r="AM76" s="12" t="str">
        <f t="shared" si="1720"/>
        <v/>
      </c>
      <c r="AN76" s="12" t="str">
        <f t="shared" si="1721"/>
        <v/>
      </c>
      <c r="AO76" s="12" t="str">
        <f t="shared" si="1722"/>
        <v/>
      </c>
      <c r="AP76" s="12" t="str">
        <f t="shared" si="1723"/>
        <v/>
      </c>
      <c r="AQ76" s="12" t="str">
        <f t="shared" si="1724"/>
        <v/>
      </c>
      <c r="AR76" s="12" t="str">
        <f t="shared" si="1725"/>
        <v/>
      </c>
      <c r="AS76" s="12" t="str">
        <f t="shared" si="1726"/>
        <v/>
      </c>
      <c r="AT76" s="12" t="str">
        <f t="shared" si="1727"/>
        <v/>
      </c>
      <c r="AU76" s="12" t="str">
        <f t="shared" si="1728"/>
        <v/>
      </c>
      <c r="AV76" s="12" t="str">
        <f t="shared" ref="AS76:BC76" si="1730">IF(AV$3="","",AU76)</f>
        <v/>
      </c>
      <c r="AW76" s="12" t="str">
        <f t="shared" si="1730"/>
        <v/>
      </c>
      <c r="AX76" s="12" t="str">
        <f t="shared" si="1730"/>
        <v/>
      </c>
      <c r="AY76" s="12" t="str">
        <f t="shared" si="1730"/>
        <v/>
      </c>
      <c r="AZ76" s="12" t="str">
        <f t="shared" si="1730"/>
        <v/>
      </c>
      <c r="BA76" s="12" t="str">
        <f t="shared" si="1730"/>
        <v/>
      </c>
      <c r="BB76" s="12" t="str">
        <f t="shared" si="1730"/>
        <v/>
      </c>
      <c r="BC76" s="12" t="str">
        <f t="shared" si="1730"/>
        <v/>
      </c>
    </row>
    <row r="77" spans="1:55" ht="11.25" customHeight="1" x14ac:dyDescent="0.25">
      <c r="A77" s="24">
        <v>2</v>
      </c>
      <c r="B77" s="11" t="s">
        <v>5</v>
      </c>
      <c r="C77" s="123">
        <v>19</v>
      </c>
      <c r="D77" s="12">
        <f t="shared" ref="D77" si="1731">IF(D75="","",(C77+C78))</f>
        <v>19</v>
      </c>
      <c r="E77" s="12">
        <f t="shared" ref="E77" si="1732">IF(E75="","",(D77+D78))</f>
        <v>19</v>
      </c>
      <c r="F77" s="12">
        <v>16</v>
      </c>
      <c r="G77" s="195">
        <f t="shared" ref="G77" si="1733">IF(G75="","",(F77+F78))</f>
        <v>19</v>
      </c>
      <c r="H77" s="12">
        <f t="shared" ref="H77" si="1734">IF(H75="","",(G77+G78))</f>
        <v>19</v>
      </c>
      <c r="I77" s="12">
        <v>17</v>
      </c>
      <c r="J77" s="195">
        <f t="shared" ref="J77" si="1735">IF(J75="","",(I77+I78))</f>
        <v>20</v>
      </c>
      <c r="K77" s="12">
        <f t="shared" ref="K77" si="1736">IF(K75="","",(J77+J78))</f>
        <v>20</v>
      </c>
      <c r="L77" s="12">
        <f t="shared" ref="L77" si="1737">IF(L75="","",(K77+K78))</f>
        <v>20</v>
      </c>
      <c r="M77" s="12">
        <f t="shared" ref="M77" si="1738">IF(M75="","",(L77+L78))</f>
        <v>20</v>
      </c>
      <c r="N77" s="195" t="str">
        <f t="shared" ref="N77" si="1739">IF(N75="","",(M77+M78))</f>
        <v/>
      </c>
      <c r="O77" s="12" t="str">
        <f t="shared" ref="O77" si="1740">IF(O75="","",(N77+N78))</f>
        <v/>
      </c>
      <c r="P77" s="12" t="str">
        <f t="shared" ref="P77" si="1741">IF(P75="","",(O77+O78))</f>
        <v/>
      </c>
      <c r="Q77" s="12" t="str">
        <f t="shared" ref="Q77" si="1742">IF(Q75="","",(P77+P78))</f>
        <v/>
      </c>
      <c r="R77" s="12" t="str">
        <f t="shared" ref="R77" si="1743">IF(R75="","",(Q77+Q78))</f>
        <v/>
      </c>
      <c r="S77" s="12" t="str">
        <f t="shared" ref="S77" si="1744">IF(S75="","",(R77+R78))</f>
        <v/>
      </c>
      <c r="T77" s="12" t="str">
        <f t="shared" ref="T77" si="1745">IF(T75="","",(S77+S78))</f>
        <v/>
      </c>
      <c r="U77" s="12" t="str">
        <f t="shared" ref="U77" si="1746">IF(U75="","",(T77+T78))</f>
        <v/>
      </c>
      <c r="V77" s="12" t="str">
        <f t="shared" ref="V77" si="1747">IF(V75="","",(U77+U78))</f>
        <v/>
      </c>
      <c r="W77" s="12" t="str">
        <f t="shared" ref="W77" si="1748">IF(W75="","",(V77+V78))</f>
        <v/>
      </c>
      <c r="X77" s="12" t="str">
        <f t="shared" ref="X77" si="1749">IF(X75="","",(W77+W78))</f>
        <v/>
      </c>
      <c r="Y77" s="12" t="str">
        <f t="shared" ref="Y77" si="1750">IF(Y75="","",(X77+X78))</f>
        <v/>
      </c>
      <c r="Z77" s="12" t="str">
        <f t="shared" ref="Z77" si="1751">IF(Z75="","",(Y77+Y78))</f>
        <v/>
      </c>
      <c r="AA77" s="12" t="str">
        <f t="shared" ref="AA77" si="1752">IF(AA75="","",(Z77+Z78))</f>
        <v/>
      </c>
      <c r="AB77" s="12" t="str">
        <f t="shared" ref="AB77" si="1753">IF(AB75="","",(AA77+AA78))</f>
        <v/>
      </c>
      <c r="AC77" s="12" t="str">
        <f t="shared" ref="AC77" si="1754">IF(AC75="","",(AB77+AB78))</f>
        <v/>
      </c>
      <c r="AD77" s="12" t="str">
        <f t="shared" ref="AD77" si="1755">IF(AD75="","",(AC77+AC78))</f>
        <v/>
      </c>
      <c r="AE77" s="12" t="str">
        <f t="shared" ref="AE77" si="1756">IF(AE75="","",(AD77+AD78))</f>
        <v/>
      </c>
      <c r="AF77" s="12" t="str">
        <f t="shared" ref="AF77" si="1757">IF(AF75="","",(AE77+AE78))</f>
        <v/>
      </c>
      <c r="AG77" s="12" t="str">
        <f t="shared" ref="AG77" si="1758">IF(AG75="","",(AF77+AF78))</f>
        <v/>
      </c>
      <c r="AH77" s="12" t="str">
        <f t="shared" ref="AH77" si="1759">IF(AH75="","",(AG77+AG78))</f>
        <v/>
      </c>
      <c r="AI77" s="12" t="str">
        <f t="shared" ref="AI77" si="1760">IF(AI75="","",(AH77+AH78))</f>
        <v/>
      </c>
      <c r="AJ77" s="12" t="str">
        <f t="shared" ref="AJ77" si="1761">IF(AJ75="","",(AI77+AI78))</f>
        <v/>
      </c>
      <c r="AK77" s="12" t="str">
        <f t="shared" ref="AK77" si="1762">IF(AK75="","",(AJ77+AJ78))</f>
        <v/>
      </c>
      <c r="AL77" s="12" t="str">
        <f t="shared" ref="AL77" si="1763">IF(AL75="","",(AK77+AK78))</f>
        <v/>
      </c>
      <c r="AM77" s="12" t="str">
        <f t="shared" ref="AM77" si="1764">IF(AM75="","",(AL77+AL78))</f>
        <v/>
      </c>
      <c r="AN77" s="12" t="str">
        <f t="shared" ref="AN77" si="1765">IF(AN75="","",(AM77+AM78))</f>
        <v/>
      </c>
      <c r="AO77" s="12" t="str">
        <f t="shared" ref="AO77" si="1766">IF(AO75="","",(AN77+AN78))</f>
        <v/>
      </c>
      <c r="AP77" s="12" t="str">
        <f t="shared" ref="AP77" si="1767">IF(AP75="","",(AO77+AO78))</f>
        <v/>
      </c>
      <c r="AQ77" s="12" t="str">
        <f t="shared" ref="AQ77" si="1768">IF(AQ75="","",(AP77+AP78))</f>
        <v/>
      </c>
      <c r="AR77" s="12" t="str">
        <f t="shared" ref="AR77" si="1769">IF(AR75="","",(AQ77+AQ78))</f>
        <v/>
      </c>
      <c r="AS77" s="12" t="str">
        <f t="shared" ref="AS77" si="1770">IF(AS75="","",(AR77+AR78))</f>
        <v/>
      </c>
      <c r="AT77" s="12" t="str">
        <f t="shared" ref="AT77" si="1771">IF(AT75="","",(AS77+AS78))</f>
        <v/>
      </c>
      <c r="AU77" s="12" t="str">
        <f t="shared" ref="AU77" si="1772">IF(AU75="","",(AT77+AT78))</f>
        <v/>
      </c>
      <c r="AV77" s="12" t="str">
        <f t="shared" ref="AS77:BC77" si="1773">IF(AV75="","",(AU77+AU78))</f>
        <v/>
      </c>
      <c r="AW77" s="12" t="str">
        <f t="shared" si="1773"/>
        <v/>
      </c>
      <c r="AX77" s="12" t="str">
        <f t="shared" si="1773"/>
        <v/>
      </c>
      <c r="AY77" s="12" t="str">
        <f t="shared" si="1773"/>
        <v/>
      </c>
      <c r="AZ77" s="12" t="str">
        <f t="shared" si="1773"/>
        <v/>
      </c>
      <c r="BA77" s="12" t="str">
        <f t="shared" si="1773"/>
        <v/>
      </c>
      <c r="BB77" s="12" t="str">
        <f t="shared" si="1773"/>
        <v/>
      </c>
      <c r="BC77" s="12" t="str">
        <f t="shared" si="1773"/>
        <v/>
      </c>
    </row>
    <row r="78" spans="1:55" ht="11.25" customHeight="1" x14ac:dyDescent="0.2">
      <c r="A78" s="14"/>
      <c r="B78" s="11" t="s">
        <v>6</v>
      </c>
      <c r="C78" s="123"/>
      <c r="D78" s="12"/>
      <c r="E78" s="12"/>
      <c r="F78" s="12">
        <v>3</v>
      </c>
      <c r="G78" s="195"/>
      <c r="H78" s="12"/>
      <c r="I78" s="12">
        <v>3</v>
      </c>
      <c r="J78" s="195"/>
      <c r="K78" s="12"/>
      <c r="L78" s="12"/>
      <c r="M78" s="12"/>
      <c r="N78" s="195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</row>
    <row r="79" spans="1:55" ht="11.25" customHeight="1" x14ac:dyDescent="0.2">
      <c r="A79" s="15"/>
      <c r="B79" s="11" t="s">
        <v>8</v>
      </c>
      <c r="C79" s="129">
        <v>880</v>
      </c>
      <c r="D79" s="16">
        <f t="shared" ref="D79" si="1774">IF(D75="","",C79)</f>
        <v>880</v>
      </c>
      <c r="E79" s="16">
        <f t="shared" ref="E79" si="1775">IF(E75="","",D79)</f>
        <v>880</v>
      </c>
      <c r="F79" s="16">
        <f t="shared" ref="F79" si="1776">IF(F75="","",E79)</f>
        <v>880</v>
      </c>
      <c r="G79" s="196">
        <f t="shared" ref="G79" si="1777">IF(G75="","",F79)</f>
        <v>880</v>
      </c>
      <c r="H79" s="16">
        <f t="shared" ref="H79" si="1778">IF(H75="","",G79)</f>
        <v>880</v>
      </c>
      <c r="I79" s="16">
        <f t="shared" ref="I79" si="1779">IF(I75="","",H79)</f>
        <v>880</v>
      </c>
      <c r="J79" s="196">
        <f t="shared" ref="J79" si="1780">IF(J75="","",I79)</f>
        <v>880</v>
      </c>
      <c r="K79" s="16">
        <f t="shared" ref="K79" si="1781">IF(K75="","",J79)</f>
        <v>880</v>
      </c>
      <c r="L79" s="16">
        <f t="shared" ref="L79" si="1782">IF(L75="","",K79)</f>
        <v>880</v>
      </c>
      <c r="M79" s="16">
        <f t="shared" ref="M79" si="1783">IF(M75="","",L79)</f>
        <v>880</v>
      </c>
      <c r="N79" s="196" t="str">
        <f t="shared" ref="N79" si="1784">IF(N75="","",M79)</f>
        <v/>
      </c>
      <c r="O79" s="16" t="str">
        <f t="shared" ref="O79" si="1785">IF(O75="","",N79)</f>
        <v/>
      </c>
      <c r="P79" s="16" t="str">
        <f t="shared" ref="P79" si="1786">IF(P75="","",O79)</f>
        <v/>
      </c>
      <c r="Q79" s="16" t="str">
        <f t="shared" ref="Q79" si="1787">IF(Q75="","",P79)</f>
        <v/>
      </c>
      <c r="R79" s="16" t="str">
        <f t="shared" ref="R79" si="1788">IF(R75="","",Q79)</f>
        <v/>
      </c>
      <c r="S79" s="16" t="str">
        <f t="shared" ref="S79" si="1789">IF(S75="","",R79)</f>
        <v/>
      </c>
      <c r="T79" s="16" t="str">
        <f t="shared" ref="T79" si="1790">IF(T75="","",S79)</f>
        <v/>
      </c>
      <c r="U79" s="16" t="str">
        <f t="shared" ref="U79" si="1791">IF(U75="","",T79)</f>
        <v/>
      </c>
      <c r="V79" s="16" t="str">
        <f t="shared" ref="V79" si="1792">IF(V75="","",U79)</f>
        <v/>
      </c>
      <c r="W79" s="16" t="str">
        <f t="shared" ref="W79" si="1793">IF(W75="","",V79)</f>
        <v/>
      </c>
      <c r="X79" s="16" t="str">
        <f t="shared" ref="X79" si="1794">IF(X75="","",W79)</f>
        <v/>
      </c>
      <c r="Y79" s="16" t="str">
        <f t="shared" ref="Y79" si="1795">IF(Y75="","",X79)</f>
        <v/>
      </c>
      <c r="Z79" s="16" t="str">
        <f t="shared" ref="Z79" si="1796">IF(Z75="","",Y79)</f>
        <v/>
      </c>
      <c r="AA79" s="16" t="str">
        <f t="shared" ref="AA79" si="1797">IF(AA75="","",Z79)</f>
        <v/>
      </c>
      <c r="AB79" s="16" t="str">
        <f t="shared" ref="AB79" si="1798">IF(AB75="","",AA79)</f>
        <v/>
      </c>
      <c r="AC79" s="16" t="str">
        <f t="shared" ref="AC79" si="1799">IF(AC75="","",AB79)</f>
        <v/>
      </c>
      <c r="AD79" s="16" t="str">
        <f t="shared" ref="AD79" si="1800">IF(AD75="","",AC79)</f>
        <v/>
      </c>
      <c r="AE79" s="16" t="str">
        <f t="shared" ref="AE79" si="1801">IF(AE75="","",AD79)</f>
        <v/>
      </c>
      <c r="AF79" s="16" t="str">
        <f t="shared" ref="AF79" si="1802">IF(AF75="","",AE79)</f>
        <v/>
      </c>
      <c r="AG79" s="16" t="str">
        <f t="shared" ref="AG79" si="1803">IF(AG75="","",AF79)</f>
        <v/>
      </c>
      <c r="AH79" s="16" t="str">
        <f t="shared" ref="AH79" si="1804">IF(AH75="","",AG79)</f>
        <v/>
      </c>
      <c r="AI79" s="16" t="str">
        <f t="shared" ref="AI79" si="1805">IF(AI75="","",AH79)</f>
        <v/>
      </c>
      <c r="AJ79" s="16" t="str">
        <f t="shared" ref="AJ79" si="1806">IF(AJ75="","",AI79)</f>
        <v/>
      </c>
      <c r="AK79" s="16" t="str">
        <f t="shared" ref="AK79" si="1807">IF(AK75="","",AJ79)</f>
        <v/>
      </c>
      <c r="AL79" s="16" t="str">
        <f t="shared" ref="AL79" si="1808">IF(AL75="","",AK79)</f>
        <v/>
      </c>
      <c r="AM79" s="16" t="str">
        <f t="shared" ref="AM79" si="1809">IF(AM75="","",AL79)</f>
        <v/>
      </c>
      <c r="AN79" s="16" t="str">
        <f t="shared" ref="AN79" si="1810">IF(AN75="","",AM79)</f>
        <v/>
      </c>
      <c r="AO79" s="16" t="str">
        <f t="shared" ref="AO79" si="1811">IF(AO75="","",AN79)</f>
        <v/>
      </c>
      <c r="AP79" s="16" t="str">
        <f t="shared" ref="AP79" si="1812">IF(AP75="","",AO79)</f>
        <v/>
      </c>
      <c r="AQ79" s="16" t="str">
        <f t="shared" ref="AQ79" si="1813">IF(AQ75="","",AP79)</f>
        <v/>
      </c>
      <c r="AR79" s="16" t="str">
        <f t="shared" ref="AR79" si="1814">IF(AR75="","",AQ79)</f>
        <v/>
      </c>
      <c r="AS79" s="16" t="str">
        <f t="shared" ref="AS79" si="1815">IF(AS75="","",AR79)</f>
        <v/>
      </c>
      <c r="AT79" s="16" t="str">
        <f t="shared" ref="AT79" si="1816">IF(AT75="","",AS79)</f>
        <v/>
      </c>
      <c r="AU79" s="16" t="str">
        <f t="shared" ref="AU79" si="1817">IF(AU75="","",AT79)</f>
        <v/>
      </c>
      <c r="AV79" s="16" t="str">
        <f t="shared" ref="AS79:BC79" si="1818">IF(AV75="","",AU79)</f>
        <v/>
      </c>
      <c r="AW79" s="16" t="str">
        <f t="shared" si="1818"/>
        <v/>
      </c>
      <c r="AX79" s="16" t="str">
        <f t="shared" si="1818"/>
        <v/>
      </c>
      <c r="AY79" s="16" t="str">
        <f t="shared" si="1818"/>
        <v/>
      </c>
      <c r="AZ79" s="16" t="str">
        <f t="shared" si="1818"/>
        <v/>
      </c>
      <c r="BA79" s="16" t="str">
        <f t="shared" si="1818"/>
        <v/>
      </c>
      <c r="BB79" s="16" t="str">
        <f t="shared" si="1818"/>
        <v/>
      </c>
      <c r="BC79" s="16" t="str">
        <f t="shared" si="1818"/>
        <v/>
      </c>
    </row>
    <row r="80" spans="1:55" ht="11.25" customHeight="1" x14ac:dyDescent="0.2">
      <c r="A80" s="14" t="s">
        <v>9</v>
      </c>
      <c r="B80" s="17" t="s">
        <v>10</v>
      </c>
      <c r="C80" s="133" t="s">
        <v>228</v>
      </c>
      <c r="D80" s="18" t="str">
        <f t="shared" ref="D80" si="1819">IF(D75="","",C80)</f>
        <v>ベアブリック</v>
      </c>
      <c r="E80" s="18" t="str">
        <f t="shared" ref="E80" si="1820">IF(E75="","",D80)</f>
        <v>ベアブリック</v>
      </c>
      <c r="F80" s="18" t="str">
        <f t="shared" ref="F80" si="1821">IF(F75="","",E80)</f>
        <v>ベアブリック</v>
      </c>
      <c r="G80" s="197" t="str">
        <f t="shared" ref="G80" si="1822">IF(G75="","",F80)</f>
        <v>ベアブリック</v>
      </c>
      <c r="H80" s="18" t="str">
        <f t="shared" ref="H80" si="1823">IF(H75="","",G80)</f>
        <v>ベアブリック</v>
      </c>
      <c r="I80" s="18" t="str">
        <f t="shared" ref="I80" si="1824">IF(I75="","",H80)</f>
        <v>ベアブリック</v>
      </c>
      <c r="J80" s="197" t="str">
        <f t="shared" ref="J80" si="1825">IF(J75="","",I80)</f>
        <v>ベアブリック</v>
      </c>
      <c r="K80" s="18" t="str">
        <f t="shared" ref="K80" si="1826">IF(K75="","",J80)</f>
        <v>ベアブリック</v>
      </c>
      <c r="L80" s="18" t="str">
        <f t="shared" ref="L80" si="1827">IF(L75="","",K80)</f>
        <v>ベアブリック</v>
      </c>
      <c r="M80" s="18" t="str">
        <f t="shared" ref="M80" si="1828">IF(M75="","",L80)</f>
        <v>ベアブリック</v>
      </c>
      <c r="N80" s="197" t="str">
        <f t="shared" ref="N80" si="1829">IF(N75="","",M80)</f>
        <v/>
      </c>
      <c r="O80" s="18" t="str">
        <f t="shared" ref="O80" si="1830">IF(O75="","",N80)</f>
        <v/>
      </c>
      <c r="P80" s="18" t="str">
        <f t="shared" ref="P80" si="1831">IF(P75="","",O80)</f>
        <v/>
      </c>
      <c r="Q80" s="18" t="str">
        <f t="shared" ref="Q80" si="1832">IF(Q75="","",P80)</f>
        <v/>
      </c>
      <c r="R80" s="18" t="str">
        <f t="shared" ref="R80" si="1833">IF(R75="","",Q80)</f>
        <v/>
      </c>
      <c r="S80" s="18" t="str">
        <f t="shared" ref="S80" si="1834">IF(S75="","",R80)</f>
        <v/>
      </c>
      <c r="T80" s="18" t="str">
        <f t="shared" ref="T80" si="1835">IF(T75="","",S80)</f>
        <v/>
      </c>
      <c r="U80" s="18" t="str">
        <f t="shared" ref="U80" si="1836">IF(U75="","",T80)</f>
        <v/>
      </c>
      <c r="V80" s="18" t="str">
        <f t="shared" ref="V80" si="1837">IF(V75="","",U80)</f>
        <v/>
      </c>
      <c r="W80" s="18" t="str">
        <f t="shared" ref="W80" si="1838">IF(W75="","",V80)</f>
        <v/>
      </c>
      <c r="X80" s="18" t="str">
        <f t="shared" ref="X80" si="1839">IF(X75="","",W80)</f>
        <v/>
      </c>
      <c r="Y80" s="18" t="str">
        <f t="shared" ref="Y80" si="1840">IF(Y75="","",X80)</f>
        <v/>
      </c>
      <c r="Z80" s="18" t="str">
        <f t="shared" ref="Z80" si="1841">IF(Z75="","",Y80)</f>
        <v/>
      </c>
      <c r="AA80" s="18" t="str">
        <f t="shared" ref="AA80" si="1842">IF(AA75="","",Z80)</f>
        <v/>
      </c>
      <c r="AB80" s="18" t="str">
        <f t="shared" ref="AB80" si="1843">IF(AB75="","",AA80)</f>
        <v/>
      </c>
      <c r="AC80" s="18" t="str">
        <f t="shared" ref="AC80" si="1844">IF(AC75="","",AB80)</f>
        <v/>
      </c>
      <c r="AD80" s="18" t="str">
        <f t="shared" ref="AD80" si="1845">IF(AD75="","",AC80)</f>
        <v/>
      </c>
      <c r="AE80" s="18" t="str">
        <f t="shared" ref="AE80" si="1846">IF(AE75="","",AD80)</f>
        <v/>
      </c>
      <c r="AF80" s="18" t="str">
        <f t="shared" ref="AF80" si="1847">IF(AF75="","",AE80)</f>
        <v/>
      </c>
      <c r="AG80" s="18" t="str">
        <f t="shared" ref="AG80" si="1848">IF(AG75="","",AF80)</f>
        <v/>
      </c>
      <c r="AH80" s="18" t="str">
        <f t="shared" ref="AH80" si="1849">IF(AH75="","",AG80)</f>
        <v/>
      </c>
      <c r="AI80" s="18" t="str">
        <f t="shared" ref="AI80" si="1850">IF(AI75="","",AH80)</f>
        <v/>
      </c>
      <c r="AJ80" s="18" t="str">
        <f t="shared" ref="AJ80" si="1851">IF(AJ75="","",AI80)</f>
        <v/>
      </c>
      <c r="AK80" s="18" t="str">
        <f t="shared" ref="AK80" si="1852">IF(AK75="","",AJ80)</f>
        <v/>
      </c>
      <c r="AL80" s="18" t="str">
        <f t="shared" ref="AL80" si="1853">IF(AL75="","",AK80)</f>
        <v/>
      </c>
      <c r="AM80" s="18" t="str">
        <f t="shared" ref="AM80" si="1854">IF(AM75="","",AL80)</f>
        <v/>
      </c>
      <c r="AN80" s="18" t="str">
        <f t="shared" ref="AN80" si="1855">IF(AN75="","",AM80)</f>
        <v/>
      </c>
      <c r="AO80" s="18" t="str">
        <f t="shared" ref="AO80" si="1856">IF(AO75="","",AN80)</f>
        <v/>
      </c>
      <c r="AP80" s="18" t="str">
        <f t="shared" ref="AP80" si="1857">IF(AP75="","",AO80)</f>
        <v/>
      </c>
      <c r="AQ80" s="18" t="str">
        <f t="shared" ref="AQ80" si="1858">IF(AQ75="","",AP80)</f>
        <v/>
      </c>
      <c r="AR80" s="18" t="str">
        <f t="shared" ref="AR80" si="1859">IF(AR75="","",AQ80)</f>
        <v/>
      </c>
      <c r="AS80" s="18" t="str">
        <f t="shared" ref="AS80" si="1860">IF(AS75="","",AR80)</f>
        <v/>
      </c>
      <c r="AT80" s="18" t="str">
        <f t="shared" ref="AT80" si="1861">IF(AT75="","",AS80)</f>
        <v/>
      </c>
      <c r="AU80" s="18" t="str">
        <f t="shared" ref="AU80" si="1862">IF(AU75="","",AT80)</f>
        <v/>
      </c>
      <c r="AV80" s="18" t="str">
        <f t="shared" ref="AS80:BC80" si="1863">IF(AV75="","",AU80)</f>
        <v/>
      </c>
      <c r="AW80" s="18" t="str">
        <f t="shared" si="1863"/>
        <v/>
      </c>
      <c r="AX80" s="18" t="str">
        <f t="shared" si="1863"/>
        <v/>
      </c>
      <c r="AY80" s="18" t="str">
        <f t="shared" si="1863"/>
        <v/>
      </c>
      <c r="AZ80" s="18" t="str">
        <f t="shared" si="1863"/>
        <v/>
      </c>
      <c r="BA80" s="18" t="str">
        <f t="shared" si="1863"/>
        <v/>
      </c>
      <c r="BB80" s="18" t="str">
        <f t="shared" si="1863"/>
        <v/>
      </c>
      <c r="BC80" s="18" t="str">
        <f t="shared" si="1863"/>
        <v/>
      </c>
    </row>
    <row r="81" spans="1:55" ht="11.25" customHeight="1" x14ac:dyDescent="0.2">
      <c r="A81" s="15">
        <f>AVERAGE(C82:AS82)*30*100</f>
        <v>57000</v>
      </c>
      <c r="B81" s="11" t="s">
        <v>12</v>
      </c>
      <c r="C81" s="123"/>
      <c r="D81" s="12"/>
      <c r="E81" s="12"/>
      <c r="F81" s="12"/>
      <c r="G81" s="195"/>
      <c r="H81" s="12"/>
      <c r="I81" s="12"/>
      <c r="J81" s="195"/>
      <c r="K81" s="12"/>
      <c r="L81" s="12"/>
      <c r="M81" s="12"/>
      <c r="N81" s="195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</row>
    <row r="82" spans="1:55" ht="11.25" customHeight="1" x14ac:dyDescent="0.2">
      <c r="A82" s="15">
        <f t="shared" ref="A82:A85" si="1864">SUM(C82:AS82)</f>
        <v>209</v>
      </c>
      <c r="B82" s="19" t="s">
        <v>13</v>
      </c>
      <c r="C82" s="123">
        <v>0</v>
      </c>
      <c r="D82" s="20">
        <f t="shared" ref="D82:D83" si="1865">IF(D75="","",D75-C75)</f>
        <v>0</v>
      </c>
      <c r="E82" s="20">
        <f t="shared" ref="E82:E83" si="1866">IF(E75="","",E75-D75)</f>
        <v>0</v>
      </c>
      <c r="F82" s="20">
        <f t="shared" ref="F82:F83" si="1867">IF(F75="","",F75-E75)</f>
        <v>132</v>
      </c>
      <c r="G82" s="195">
        <f t="shared" ref="G82:G83" si="1868">IF(G75="","",G75-F75)</f>
        <v>0</v>
      </c>
      <c r="H82" s="20">
        <f t="shared" ref="H82:H83" si="1869">IF(H75="","",H75-G75)</f>
        <v>0</v>
      </c>
      <c r="I82" s="20">
        <f t="shared" ref="I82:I83" si="1870">IF(I75="","",I75-H75)</f>
        <v>77</v>
      </c>
      <c r="J82" s="195">
        <f t="shared" ref="J82:J83" si="1871">IF(J75="","",J75-I75)</f>
        <v>0</v>
      </c>
      <c r="K82" s="20">
        <f t="shared" ref="K82:K83" si="1872">IF(K75="","",K75-J75)</f>
        <v>0</v>
      </c>
      <c r="L82" s="20">
        <f t="shared" ref="L82:L83" si="1873">IF(L75="","",L75-K75)</f>
        <v>0</v>
      </c>
      <c r="M82" s="20">
        <f t="shared" ref="M82:M83" si="1874">IF(M75="","",M75-L75)</f>
        <v>0</v>
      </c>
      <c r="N82" s="195" t="str">
        <f t="shared" ref="N82:N83" si="1875">IF(N75="","",N75-M75)</f>
        <v/>
      </c>
      <c r="O82" s="20" t="str">
        <f t="shared" ref="O82:O83" si="1876">IF(O75="","",O75-N75)</f>
        <v/>
      </c>
      <c r="P82" s="20" t="str">
        <f t="shared" ref="P82:P83" si="1877">IF(P75="","",P75-O75)</f>
        <v/>
      </c>
      <c r="Q82" s="20" t="str">
        <f t="shared" ref="Q82:Q83" si="1878">IF(Q75="","",Q75-P75)</f>
        <v/>
      </c>
      <c r="R82" s="20" t="str">
        <f t="shared" ref="R82:R83" si="1879">IF(R75="","",R75-Q75)</f>
        <v/>
      </c>
      <c r="S82" s="20" t="str">
        <f t="shared" ref="S82:S83" si="1880">IF(S75="","",S75-R75)</f>
        <v/>
      </c>
      <c r="T82" s="20" t="str">
        <f t="shared" ref="T82:T83" si="1881">IF(T75="","",T75-S75)</f>
        <v/>
      </c>
      <c r="U82" s="20" t="str">
        <f t="shared" ref="U82:U83" si="1882">IF(U75="","",U75-T75)</f>
        <v/>
      </c>
      <c r="V82" s="20" t="str">
        <f t="shared" ref="V82:V83" si="1883">IF(V75="","",V75-U75)</f>
        <v/>
      </c>
      <c r="W82" s="20" t="str">
        <f t="shared" ref="W82:W83" si="1884">IF(W75="","",W75-V75)</f>
        <v/>
      </c>
      <c r="X82" s="20" t="str">
        <f t="shared" ref="X82:X83" si="1885">IF(X75="","",X75-W75)</f>
        <v/>
      </c>
      <c r="Y82" s="20" t="str">
        <f t="shared" ref="Y82:Y83" si="1886">IF(Y75="","",Y75-X75)</f>
        <v/>
      </c>
      <c r="Z82" s="20" t="str">
        <f t="shared" ref="Z82:Z83" si="1887">IF(Z75="","",Z75-Y75)</f>
        <v/>
      </c>
      <c r="AA82" s="20" t="str">
        <f t="shared" ref="AA82:AA83" si="1888">IF(AA75="","",AA75-Z75)</f>
        <v/>
      </c>
      <c r="AB82" s="20" t="str">
        <f t="shared" ref="AB82:AB83" si="1889">IF(AB75="","",AB75-AA75)</f>
        <v/>
      </c>
      <c r="AC82" s="20" t="str">
        <f t="shared" ref="AC82:AC83" si="1890">IF(AC75="","",AC75-AB75)</f>
        <v/>
      </c>
      <c r="AD82" s="20" t="str">
        <f t="shared" ref="AD82:AD83" si="1891">IF(AD75="","",AD75-AC75)</f>
        <v/>
      </c>
      <c r="AE82" s="20" t="str">
        <f t="shared" ref="AE82:AE83" si="1892">IF(AE75="","",AE75-AD75)</f>
        <v/>
      </c>
      <c r="AF82" s="20" t="str">
        <f t="shared" ref="AF82:AF83" si="1893">IF(AF75="","",AF75-AE75)</f>
        <v/>
      </c>
      <c r="AG82" s="20" t="str">
        <f t="shared" ref="AG82:AG83" si="1894">IF(AG75="","",AG75-AF75)</f>
        <v/>
      </c>
      <c r="AH82" s="20" t="str">
        <f t="shared" ref="AH82:AH83" si="1895">IF(AH75="","",AH75-AG75)</f>
        <v/>
      </c>
      <c r="AI82" s="20" t="str">
        <f t="shared" ref="AI82:AI83" si="1896">IF(AI75="","",AI75-AH75)</f>
        <v/>
      </c>
      <c r="AJ82" s="20" t="str">
        <f t="shared" ref="AJ82:AJ83" si="1897">IF(AJ75="","",AJ75-AI75)</f>
        <v/>
      </c>
      <c r="AK82" s="20" t="str">
        <f t="shared" ref="AK82:AK83" si="1898">IF(AK75="","",AK75-AJ75)</f>
        <v/>
      </c>
      <c r="AL82" s="20" t="str">
        <f t="shared" ref="AL82:AL83" si="1899">IF(AL75="","",AL75-AK75)</f>
        <v/>
      </c>
      <c r="AM82" s="20" t="str">
        <f t="shared" ref="AM82:AM83" si="1900">IF(AM75="","",AM75-AL75)</f>
        <v/>
      </c>
      <c r="AN82" s="20" t="str">
        <f t="shared" ref="AN82:AN83" si="1901">IF(AN75="","",AN75-AM75)</f>
        <v/>
      </c>
      <c r="AO82" s="20" t="str">
        <f t="shared" ref="AO82:AO83" si="1902">IF(AO75="","",AO75-AN75)</f>
        <v/>
      </c>
      <c r="AP82" s="20" t="str">
        <f t="shared" ref="AP82:AP83" si="1903">IF(AP75="","",AP75-AO75)</f>
        <v/>
      </c>
      <c r="AQ82" s="20" t="str">
        <f t="shared" ref="AQ82:AQ83" si="1904">IF(AQ75="","",AQ75-AP75)</f>
        <v/>
      </c>
      <c r="AR82" s="20" t="str">
        <f t="shared" ref="AR82:AR83" si="1905">IF(AR75="","",AR75-AQ75)</f>
        <v/>
      </c>
      <c r="AS82" s="20" t="str">
        <f t="shared" ref="AS82:AS83" si="1906">IF(AS75="","",AS75-AR75)</f>
        <v/>
      </c>
      <c r="AT82" s="20" t="str">
        <f t="shared" ref="AT82:AT83" si="1907">IF(AT75="","",AT75-AS75)</f>
        <v/>
      </c>
      <c r="AU82" s="20" t="str">
        <f t="shared" ref="AU82:AU83" si="1908">IF(AU75="","",AU75-AT75)</f>
        <v/>
      </c>
      <c r="AV82" s="20" t="str">
        <f t="shared" ref="AS82:BC82" si="1909">IF(AV75="","",AV75-AU75)</f>
        <v/>
      </c>
      <c r="AW82" s="20" t="str">
        <f t="shared" si="1909"/>
        <v/>
      </c>
      <c r="AX82" s="20" t="str">
        <f t="shared" si="1909"/>
        <v/>
      </c>
      <c r="AY82" s="20" t="str">
        <f t="shared" si="1909"/>
        <v/>
      </c>
      <c r="AZ82" s="20" t="str">
        <f t="shared" si="1909"/>
        <v/>
      </c>
      <c r="BA82" s="20" t="str">
        <f t="shared" si="1909"/>
        <v/>
      </c>
      <c r="BB82" s="20" t="str">
        <f t="shared" si="1909"/>
        <v/>
      </c>
      <c r="BC82" s="20" t="str">
        <f t="shared" si="1909"/>
        <v/>
      </c>
    </row>
    <row r="83" spans="1:55" ht="11.25" customHeight="1" x14ac:dyDescent="0.2">
      <c r="A83" s="15">
        <f t="shared" si="1864"/>
        <v>14</v>
      </c>
      <c r="B83" s="19" t="s">
        <v>14</v>
      </c>
      <c r="C83" s="123">
        <v>0</v>
      </c>
      <c r="D83" s="20">
        <f t="shared" si="1865"/>
        <v>0</v>
      </c>
      <c r="E83" s="20">
        <f t="shared" si="1866"/>
        <v>0</v>
      </c>
      <c r="F83" s="20">
        <f t="shared" si="1867"/>
        <v>8</v>
      </c>
      <c r="G83" s="195">
        <f t="shared" si="1868"/>
        <v>0</v>
      </c>
      <c r="H83" s="20">
        <f t="shared" si="1869"/>
        <v>0</v>
      </c>
      <c r="I83" s="20">
        <f t="shared" si="1870"/>
        <v>6</v>
      </c>
      <c r="J83" s="195">
        <f t="shared" si="1871"/>
        <v>0</v>
      </c>
      <c r="K83" s="20">
        <f t="shared" si="1872"/>
        <v>0</v>
      </c>
      <c r="L83" s="20">
        <f t="shared" si="1873"/>
        <v>0</v>
      </c>
      <c r="M83" s="20">
        <f t="shared" si="1874"/>
        <v>0</v>
      </c>
      <c r="N83" s="195" t="str">
        <f t="shared" si="1875"/>
        <v/>
      </c>
      <c r="O83" s="20" t="str">
        <f t="shared" si="1876"/>
        <v/>
      </c>
      <c r="P83" s="20" t="str">
        <f t="shared" si="1877"/>
        <v/>
      </c>
      <c r="Q83" s="20" t="str">
        <f t="shared" si="1878"/>
        <v/>
      </c>
      <c r="R83" s="20" t="str">
        <f t="shared" si="1879"/>
        <v/>
      </c>
      <c r="S83" s="20" t="str">
        <f t="shared" si="1880"/>
        <v/>
      </c>
      <c r="T83" s="20" t="str">
        <f t="shared" si="1881"/>
        <v/>
      </c>
      <c r="U83" s="20" t="str">
        <f t="shared" si="1882"/>
        <v/>
      </c>
      <c r="V83" s="20" t="str">
        <f t="shared" si="1883"/>
        <v/>
      </c>
      <c r="W83" s="20" t="str">
        <f t="shared" si="1884"/>
        <v/>
      </c>
      <c r="X83" s="20" t="str">
        <f t="shared" si="1885"/>
        <v/>
      </c>
      <c r="Y83" s="20" t="str">
        <f t="shared" si="1886"/>
        <v/>
      </c>
      <c r="Z83" s="20" t="str">
        <f t="shared" si="1887"/>
        <v/>
      </c>
      <c r="AA83" s="20" t="str">
        <f t="shared" si="1888"/>
        <v/>
      </c>
      <c r="AB83" s="20" t="str">
        <f t="shared" si="1889"/>
        <v/>
      </c>
      <c r="AC83" s="20" t="str">
        <f t="shared" si="1890"/>
        <v/>
      </c>
      <c r="AD83" s="20" t="str">
        <f t="shared" si="1891"/>
        <v/>
      </c>
      <c r="AE83" s="20" t="str">
        <f t="shared" si="1892"/>
        <v/>
      </c>
      <c r="AF83" s="20" t="str">
        <f t="shared" si="1893"/>
        <v/>
      </c>
      <c r="AG83" s="20" t="str">
        <f t="shared" si="1894"/>
        <v/>
      </c>
      <c r="AH83" s="20" t="str">
        <f t="shared" si="1895"/>
        <v/>
      </c>
      <c r="AI83" s="20" t="str">
        <f t="shared" si="1896"/>
        <v/>
      </c>
      <c r="AJ83" s="20" t="str">
        <f t="shared" si="1897"/>
        <v/>
      </c>
      <c r="AK83" s="20" t="str">
        <f t="shared" si="1898"/>
        <v/>
      </c>
      <c r="AL83" s="20" t="str">
        <f t="shared" si="1899"/>
        <v/>
      </c>
      <c r="AM83" s="20" t="str">
        <f t="shared" si="1900"/>
        <v/>
      </c>
      <c r="AN83" s="20" t="str">
        <f t="shared" si="1901"/>
        <v/>
      </c>
      <c r="AO83" s="20" t="str">
        <f t="shared" si="1902"/>
        <v/>
      </c>
      <c r="AP83" s="20" t="str">
        <f t="shared" si="1903"/>
        <v/>
      </c>
      <c r="AQ83" s="20" t="str">
        <f t="shared" si="1904"/>
        <v/>
      </c>
      <c r="AR83" s="20" t="str">
        <f t="shared" si="1905"/>
        <v/>
      </c>
      <c r="AS83" s="20" t="str">
        <f t="shared" si="1906"/>
        <v/>
      </c>
      <c r="AT83" s="20" t="str">
        <f t="shared" si="1907"/>
        <v/>
      </c>
      <c r="AU83" s="20" t="str">
        <f t="shared" si="1908"/>
        <v/>
      </c>
      <c r="AV83" s="20" t="str">
        <f t="shared" ref="AS83:BC83" si="1910">IF(AV76="","",AV76-AU76)</f>
        <v/>
      </c>
      <c r="AW83" s="20" t="str">
        <f t="shared" si="1910"/>
        <v/>
      </c>
      <c r="AX83" s="20" t="str">
        <f t="shared" si="1910"/>
        <v/>
      </c>
      <c r="AY83" s="20" t="str">
        <f t="shared" si="1910"/>
        <v/>
      </c>
      <c r="AZ83" s="20" t="str">
        <f t="shared" si="1910"/>
        <v/>
      </c>
      <c r="BA83" s="20" t="str">
        <f t="shared" si="1910"/>
        <v/>
      </c>
      <c r="BB83" s="20" t="str">
        <f t="shared" si="1910"/>
        <v/>
      </c>
      <c r="BC83" s="20" t="str">
        <f t="shared" si="1910"/>
        <v/>
      </c>
    </row>
    <row r="84" spans="1:55" ht="11.25" customHeight="1" x14ac:dyDescent="0.2">
      <c r="A84" s="15">
        <f t="shared" si="1864"/>
        <v>5</v>
      </c>
      <c r="B84" s="19" t="s">
        <v>15</v>
      </c>
      <c r="C84" s="123">
        <v>0</v>
      </c>
      <c r="D84" s="20">
        <f t="shared" ref="D84" si="1911">IF(D77="","",C77+C78-D77)</f>
        <v>0</v>
      </c>
      <c r="E84" s="20">
        <f t="shared" ref="E84" si="1912">IF(E77="","",D77+D78-E77)</f>
        <v>0</v>
      </c>
      <c r="F84" s="20">
        <f t="shared" ref="F84" si="1913">IF(F77="","",E77+E78-F77)</f>
        <v>3</v>
      </c>
      <c r="G84" s="195">
        <f t="shared" ref="G84" si="1914">IF(G77="","",F77+F78-G77)</f>
        <v>0</v>
      </c>
      <c r="H84" s="20">
        <f t="shared" ref="H84" si="1915">IF(H77="","",G77+G78-H77)</f>
        <v>0</v>
      </c>
      <c r="I84" s="20">
        <f t="shared" ref="I84" si="1916">IF(I77="","",H77+H78-I77)</f>
        <v>2</v>
      </c>
      <c r="J84" s="195">
        <f t="shared" ref="J84" si="1917">IF(J77="","",I77+I78-J77)</f>
        <v>0</v>
      </c>
      <c r="K84" s="20">
        <f t="shared" ref="K84" si="1918">IF(K77="","",J77+J78-K77)</f>
        <v>0</v>
      </c>
      <c r="L84" s="20">
        <f t="shared" ref="L84" si="1919">IF(L77="","",K77+K78-L77)</f>
        <v>0</v>
      </c>
      <c r="M84" s="20">
        <f t="shared" ref="M84" si="1920">IF(M77="","",L77+L78-M77)</f>
        <v>0</v>
      </c>
      <c r="N84" s="195" t="str">
        <f t="shared" ref="N84" si="1921">IF(N77="","",M77+M78-N77)</f>
        <v/>
      </c>
      <c r="O84" s="20" t="str">
        <f t="shared" ref="O84" si="1922">IF(O77="","",N77+N78-O77)</f>
        <v/>
      </c>
      <c r="P84" s="20" t="str">
        <f t="shared" ref="P84" si="1923">IF(P77="","",O77+O78-P77)</f>
        <v/>
      </c>
      <c r="Q84" s="20" t="str">
        <f t="shared" ref="Q84" si="1924">IF(Q77="","",P77+P78-Q77)</f>
        <v/>
      </c>
      <c r="R84" s="20" t="str">
        <f t="shared" ref="R84" si="1925">IF(R77="","",Q77+Q78-R77)</f>
        <v/>
      </c>
      <c r="S84" s="20" t="str">
        <f t="shared" ref="S84" si="1926">IF(S77="","",R77+R78-S77)</f>
        <v/>
      </c>
      <c r="T84" s="20" t="str">
        <f t="shared" ref="T84" si="1927">IF(T77="","",S77+S78-T77)</f>
        <v/>
      </c>
      <c r="U84" s="20" t="str">
        <f t="shared" ref="U84" si="1928">IF(U77="","",T77+T78-U77)</f>
        <v/>
      </c>
      <c r="V84" s="20" t="str">
        <f t="shared" ref="V84" si="1929">IF(V77="","",U77+U78-V77)</f>
        <v/>
      </c>
      <c r="W84" s="20" t="str">
        <f t="shared" ref="W84" si="1930">IF(W77="","",V77+V78-W77)</f>
        <v/>
      </c>
      <c r="X84" s="20" t="str">
        <f t="shared" ref="X84" si="1931">IF(X77="","",W77+W78-X77)</f>
        <v/>
      </c>
      <c r="Y84" s="20" t="str">
        <f t="shared" ref="Y84" si="1932">IF(Y77="","",X77+X78-Y77)</f>
        <v/>
      </c>
      <c r="Z84" s="20" t="str">
        <f t="shared" ref="Z84" si="1933">IF(Z77="","",Y77+Y78-Z77)</f>
        <v/>
      </c>
      <c r="AA84" s="20" t="str">
        <f t="shared" ref="AA84" si="1934">IF(AA77="","",Z77+Z78-AA77)</f>
        <v/>
      </c>
      <c r="AB84" s="20" t="str">
        <f t="shared" ref="AB84" si="1935">IF(AB77="","",AA77+AA78-AB77)</f>
        <v/>
      </c>
      <c r="AC84" s="20" t="str">
        <f t="shared" ref="AC84" si="1936">IF(AC77="","",AB77+AB78-AC77)</f>
        <v/>
      </c>
      <c r="AD84" s="20" t="str">
        <f t="shared" ref="AD84" si="1937">IF(AD77="","",AC77+AC78-AD77)</f>
        <v/>
      </c>
      <c r="AE84" s="20" t="str">
        <f t="shared" ref="AE84" si="1938">IF(AE77="","",AD77+AD78-AE77)</f>
        <v/>
      </c>
      <c r="AF84" s="20" t="str">
        <f t="shared" ref="AF84" si="1939">IF(AF77="","",AE77+AE78-AF77)</f>
        <v/>
      </c>
      <c r="AG84" s="20" t="str">
        <f t="shared" ref="AG84" si="1940">IF(AG77="","",AF77+AF78-AG77)</f>
        <v/>
      </c>
      <c r="AH84" s="20" t="str">
        <f t="shared" ref="AH84" si="1941">IF(AH77="","",AG77+AG78-AH77)</f>
        <v/>
      </c>
      <c r="AI84" s="20" t="str">
        <f t="shared" ref="AI84" si="1942">IF(AI77="","",AH77+AH78-AI77)</f>
        <v/>
      </c>
      <c r="AJ84" s="20" t="str">
        <f t="shared" ref="AJ84" si="1943">IF(AJ77="","",AI77+AI78-AJ77)</f>
        <v/>
      </c>
      <c r="AK84" s="20" t="str">
        <f t="shared" ref="AK84" si="1944">IF(AK77="","",AJ77+AJ78-AK77)</f>
        <v/>
      </c>
      <c r="AL84" s="20" t="str">
        <f t="shared" ref="AL84" si="1945">IF(AL77="","",AK77+AK78-AL77)</f>
        <v/>
      </c>
      <c r="AM84" s="20" t="str">
        <f t="shared" ref="AM84" si="1946">IF(AM77="","",AL77+AL78-AM77)</f>
        <v/>
      </c>
      <c r="AN84" s="20" t="str">
        <f t="shared" ref="AN84" si="1947">IF(AN77="","",AM77+AM78-AN77)</f>
        <v/>
      </c>
      <c r="AO84" s="20" t="str">
        <f t="shared" ref="AO84" si="1948">IF(AO77="","",AN77+AN78-AO77)</f>
        <v/>
      </c>
      <c r="AP84" s="20" t="str">
        <f t="shared" ref="AP84" si="1949">IF(AP77="","",AO77+AO78-AP77)</f>
        <v/>
      </c>
      <c r="AQ84" s="20" t="str">
        <f t="shared" ref="AQ84" si="1950">IF(AQ77="","",AP77+AP78-AQ77)</f>
        <v/>
      </c>
      <c r="AR84" s="20" t="str">
        <f t="shared" ref="AR84" si="1951">IF(AR77="","",AQ77+AQ78-AR77)</f>
        <v/>
      </c>
      <c r="AS84" s="20" t="str">
        <f t="shared" ref="AS84" si="1952">IF(AS77="","",AR77+AR78-AS77)</f>
        <v/>
      </c>
      <c r="AT84" s="20" t="str">
        <f t="shared" ref="AT84" si="1953">IF(AT77="","",AS77+AS78-AT77)</f>
        <v/>
      </c>
      <c r="AU84" s="20" t="str">
        <f t="shared" ref="AU84" si="1954">IF(AU77="","",AT77+AT78-AU77)</f>
        <v/>
      </c>
      <c r="AV84" s="20" t="str">
        <f t="shared" ref="AS84:BC84" si="1955">IF(AV77="","",AU77+AU78-AV77)</f>
        <v/>
      </c>
      <c r="AW84" s="20" t="str">
        <f t="shared" si="1955"/>
        <v/>
      </c>
      <c r="AX84" s="20" t="str">
        <f t="shared" si="1955"/>
        <v/>
      </c>
      <c r="AY84" s="20" t="str">
        <f t="shared" si="1955"/>
        <v/>
      </c>
      <c r="AZ84" s="20" t="str">
        <f t="shared" si="1955"/>
        <v/>
      </c>
      <c r="BA84" s="20" t="str">
        <f t="shared" si="1955"/>
        <v/>
      </c>
      <c r="BB84" s="20" t="str">
        <f t="shared" si="1955"/>
        <v/>
      </c>
      <c r="BC84" s="20" t="str">
        <f t="shared" si="1955"/>
        <v/>
      </c>
    </row>
    <row r="85" spans="1:55" ht="11.25" customHeight="1" x14ac:dyDescent="0.2">
      <c r="A85" s="15">
        <f t="shared" si="1864"/>
        <v>4400</v>
      </c>
      <c r="B85" s="19" t="s">
        <v>16</v>
      </c>
      <c r="C85" s="123">
        <v>0</v>
      </c>
      <c r="D85" s="20">
        <f t="shared" ref="D85:AU85" si="1956">IF(D75="","",D84*D79)</f>
        <v>0</v>
      </c>
      <c r="E85" s="20">
        <f t="shared" si="1956"/>
        <v>0</v>
      </c>
      <c r="F85" s="20">
        <f t="shared" si="1956"/>
        <v>2640</v>
      </c>
      <c r="G85" s="195">
        <f t="shared" si="1956"/>
        <v>0</v>
      </c>
      <c r="H85" s="20">
        <f t="shared" si="1956"/>
        <v>0</v>
      </c>
      <c r="I85" s="20">
        <f t="shared" si="1956"/>
        <v>1760</v>
      </c>
      <c r="J85" s="195">
        <f t="shared" si="1956"/>
        <v>0</v>
      </c>
      <c r="K85" s="20">
        <f t="shared" si="1956"/>
        <v>0</v>
      </c>
      <c r="L85" s="20">
        <f t="shared" si="1956"/>
        <v>0</v>
      </c>
      <c r="M85" s="20">
        <f t="shared" si="1956"/>
        <v>0</v>
      </c>
      <c r="N85" s="195" t="str">
        <f t="shared" si="1956"/>
        <v/>
      </c>
      <c r="O85" s="20" t="str">
        <f t="shared" si="1956"/>
        <v/>
      </c>
      <c r="P85" s="20" t="str">
        <f t="shared" si="1956"/>
        <v/>
      </c>
      <c r="Q85" s="20" t="str">
        <f t="shared" si="1956"/>
        <v/>
      </c>
      <c r="R85" s="20" t="str">
        <f t="shared" si="1956"/>
        <v/>
      </c>
      <c r="S85" s="20" t="str">
        <f t="shared" si="1956"/>
        <v/>
      </c>
      <c r="T85" s="20" t="str">
        <f t="shared" si="1956"/>
        <v/>
      </c>
      <c r="U85" s="20" t="str">
        <f t="shared" si="1956"/>
        <v/>
      </c>
      <c r="V85" s="20" t="str">
        <f t="shared" si="1956"/>
        <v/>
      </c>
      <c r="W85" s="20" t="str">
        <f t="shared" si="1956"/>
        <v/>
      </c>
      <c r="X85" s="20" t="str">
        <f t="shared" si="1956"/>
        <v/>
      </c>
      <c r="Y85" s="20" t="str">
        <f t="shared" si="1956"/>
        <v/>
      </c>
      <c r="Z85" s="20" t="str">
        <f t="shared" si="1956"/>
        <v/>
      </c>
      <c r="AA85" s="20" t="str">
        <f t="shared" si="1956"/>
        <v/>
      </c>
      <c r="AB85" s="20" t="str">
        <f t="shared" si="1956"/>
        <v/>
      </c>
      <c r="AC85" s="20" t="str">
        <f t="shared" si="1956"/>
        <v/>
      </c>
      <c r="AD85" s="20" t="str">
        <f t="shared" si="1956"/>
        <v/>
      </c>
      <c r="AE85" s="20" t="str">
        <f t="shared" si="1956"/>
        <v/>
      </c>
      <c r="AF85" s="20" t="str">
        <f t="shared" si="1956"/>
        <v/>
      </c>
      <c r="AG85" s="20" t="str">
        <f t="shared" si="1956"/>
        <v/>
      </c>
      <c r="AH85" s="20" t="str">
        <f t="shared" si="1956"/>
        <v/>
      </c>
      <c r="AI85" s="20" t="str">
        <f t="shared" si="1956"/>
        <v/>
      </c>
      <c r="AJ85" s="20" t="str">
        <f t="shared" si="1956"/>
        <v/>
      </c>
      <c r="AK85" s="20" t="str">
        <f t="shared" si="1956"/>
        <v/>
      </c>
      <c r="AL85" s="20" t="str">
        <f t="shared" si="1956"/>
        <v/>
      </c>
      <c r="AM85" s="20" t="str">
        <f t="shared" si="1956"/>
        <v/>
      </c>
      <c r="AN85" s="20" t="str">
        <f t="shared" si="1956"/>
        <v/>
      </c>
      <c r="AO85" s="20" t="str">
        <f t="shared" si="1956"/>
        <v/>
      </c>
      <c r="AP85" s="20" t="str">
        <f t="shared" si="1956"/>
        <v/>
      </c>
      <c r="AQ85" s="20" t="str">
        <f t="shared" si="1956"/>
        <v/>
      </c>
      <c r="AR85" s="20" t="str">
        <f t="shared" si="1956"/>
        <v/>
      </c>
      <c r="AS85" s="20" t="str">
        <f t="shared" si="1956"/>
        <v/>
      </c>
      <c r="AT85" s="20" t="str">
        <f t="shared" si="1956"/>
        <v/>
      </c>
      <c r="AU85" s="20" t="str">
        <f t="shared" si="1956"/>
        <v/>
      </c>
      <c r="AV85" s="20" t="str">
        <f t="shared" ref="AS85:BC85" si="1957">IF(AV75="","",AV84*AV79)</f>
        <v/>
      </c>
      <c r="AW85" s="20" t="str">
        <f t="shared" si="1957"/>
        <v/>
      </c>
      <c r="AX85" s="20" t="str">
        <f t="shared" si="1957"/>
        <v/>
      </c>
      <c r="AY85" s="20" t="str">
        <f t="shared" si="1957"/>
        <v/>
      </c>
      <c r="AZ85" s="20" t="str">
        <f t="shared" si="1957"/>
        <v/>
      </c>
      <c r="BA85" s="20" t="str">
        <f t="shared" si="1957"/>
        <v/>
      </c>
      <c r="BB85" s="20" t="str">
        <f t="shared" si="1957"/>
        <v/>
      </c>
      <c r="BC85" s="20" t="str">
        <f t="shared" si="1957"/>
        <v/>
      </c>
    </row>
    <row r="86" spans="1:55" ht="11.25" customHeight="1" x14ac:dyDescent="0.2">
      <c r="A86" s="21">
        <f>IF(A85="","",A85/(A82*100))</f>
        <v>0.21052631578947367</v>
      </c>
      <c r="B86" s="19" t="s">
        <v>17</v>
      </c>
      <c r="C86" s="146" t="s">
        <v>18</v>
      </c>
      <c r="D86" s="27" t="str">
        <f t="shared" ref="D86:AU86" si="1958">IF(D85="","",IF(D85=0,"",D85/(D82*100)))</f>
        <v/>
      </c>
      <c r="E86" s="27" t="str">
        <f t="shared" si="1958"/>
        <v/>
      </c>
      <c r="F86" s="27">
        <f t="shared" si="1958"/>
        <v>0.2</v>
      </c>
      <c r="G86" s="199" t="str">
        <f t="shared" si="1958"/>
        <v/>
      </c>
      <c r="H86" s="27" t="str">
        <f t="shared" si="1958"/>
        <v/>
      </c>
      <c r="I86" s="27">
        <f t="shared" si="1958"/>
        <v>0.22857142857142856</v>
      </c>
      <c r="J86" s="199" t="str">
        <f t="shared" si="1958"/>
        <v/>
      </c>
      <c r="K86" s="27" t="str">
        <f t="shared" si="1958"/>
        <v/>
      </c>
      <c r="L86" s="27" t="str">
        <f t="shared" si="1958"/>
        <v/>
      </c>
      <c r="M86" s="27" t="str">
        <f t="shared" si="1958"/>
        <v/>
      </c>
      <c r="N86" s="199" t="str">
        <f t="shared" si="1958"/>
        <v/>
      </c>
      <c r="O86" s="27" t="str">
        <f t="shared" si="1958"/>
        <v/>
      </c>
      <c r="P86" s="27" t="str">
        <f t="shared" si="1958"/>
        <v/>
      </c>
      <c r="Q86" s="27" t="str">
        <f t="shared" si="1958"/>
        <v/>
      </c>
      <c r="R86" s="27" t="str">
        <f t="shared" si="1958"/>
        <v/>
      </c>
      <c r="S86" s="27" t="str">
        <f t="shared" si="1958"/>
        <v/>
      </c>
      <c r="T86" s="27" t="str">
        <f t="shared" si="1958"/>
        <v/>
      </c>
      <c r="U86" s="27" t="str">
        <f t="shared" si="1958"/>
        <v/>
      </c>
      <c r="V86" s="27" t="str">
        <f t="shared" si="1958"/>
        <v/>
      </c>
      <c r="W86" s="27" t="str">
        <f t="shared" si="1958"/>
        <v/>
      </c>
      <c r="X86" s="27" t="str">
        <f t="shared" si="1958"/>
        <v/>
      </c>
      <c r="Y86" s="27" t="str">
        <f t="shared" si="1958"/>
        <v/>
      </c>
      <c r="Z86" s="27" t="str">
        <f t="shared" si="1958"/>
        <v/>
      </c>
      <c r="AA86" s="27" t="str">
        <f t="shared" si="1958"/>
        <v/>
      </c>
      <c r="AB86" s="27" t="str">
        <f t="shared" si="1958"/>
        <v/>
      </c>
      <c r="AC86" s="27" t="str">
        <f t="shared" si="1958"/>
        <v/>
      </c>
      <c r="AD86" s="27" t="str">
        <f t="shared" si="1958"/>
        <v/>
      </c>
      <c r="AE86" s="27" t="str">
        <f t="shared" si="1958"/>
        <v/>
      </c>
      <c r="AF86" s="27" t="str">
        <f t="shared" si="1958"/>
        <v/>
      </c>
      <c r="AG86" s="27" t="str">
        <f t="shared" si="1958"/>
        <v/>
      </c>
      <c r="AH86" s="27" t="str">
        <f t="shared" si="1958"/>
        <v/>
      </c>
      <c r="AI86" s="27" t="str">
        <f t="shared" si="1958"/>
        <v/>
      </c>
      <c r="AJ86" s="27" t="str">
        <f t="shared" si="1958"/>
        <v/>
      </c>
      <c r="AK86" s="27" t="str">
        <f t="shared" si="1958"/>
        <v/>
      </c>
      <c r="AL86" s="27" t="str">
        <f t="shared" si="1958"/>
        <v/>
      </c>
      <c r="AM86" s="27" t="str">
        <f t="shared" si="1958"/>
        <v/>
      </c>
      <c r="AN86" s="27" t="str">
        <f t="shared" si="1958"/>
        <v/>
      </c>
      <c r="AO86" s="27" t="str">
        <f t="shared" si="1958"/>
        <v/>
      </c>
      <c r="AP86" s="27" t="str">
        <f t="shared" si="1958"/>
        <v/>
      </c>
      <c r="AQ86" s="27" t="str">
        <f t="shared" si="1958"/>
        <v/>
      </c>
      <c r="AR86" s="27" t="str">
        <f t="shared" si="1958"/>
        <v/>
      </c>
      <c r="AS86" s="27" t="str">
        <f t="shared" si="1958"/>
        <v/>
      </c>
      <c r="AT86" s="27" t="str">
        <f t="shared" si="1958"/>
        <v/>
      </c>
      <c r="AU86" s="27" t="str">
        <f t="shared" si="1958"/>
        <v/>
      </c>
      <c r="AV86" s="27" t="str">
        <f t="shared" ref="AS86:BC86" si="1959">IF(AV85="","",IF(AV85=0,"",AV85/(AV82*100)))</f>
        <v/>
      </c>
      <c r="AW86" s="27" t="str">
        <f t="shared" si="1959"/>
        <v/>
      </c>
      <c r="AX86" s="27" t="str">
        <f t="shared" si="1959"/>
        <v/>
      </c>
      <c r="AY86" s="27" t="str">
        <f t="shared" si="1959"/>
        <v/>
      </c>
      <c r="AZ86" s="27" t="str">
        <f t="shared" si="1959"/>
        <v/>
      </c>
      <c r="BA86" s="27" t="str">
        <f t="shared" si="1959"/>
        <v/>
      </c>
      <c r="BB86" s="27" t="str">
        <f t="shared" si="1959"/>
        <v/>
      </c>
      <c r="BC86" s="27" t="str">
        <f t="shared" si="1959"/>
        <v/>
      </c>
    </row>
    <row r="87" spans="1:55" ht="11.25" customHeight="1" x14ac:dyDescent="0.2">
      <c r="A87" s="28" t="s">
        <v>1</v>
      </c>
      <c r="B87" s="29" t="s">
        <v>2</v>
      </c>
      <c r="C87" s="129">
        <v>21267</v>
      </c>
      <c r="D87" s="16">
        <f t="shared" ref="D87:D88" si="1960">IF(D$3="","",C87)</f>
        <v>21267</v>
      </c>
      <c r="E87" s="16">
        <f t="shared" ref="E87:E88" si="1961">IF(E$3="","",D87)</f>
        <v>21267</v>
      </c>
      <c r="F87" s="16">
        <v>21401</v>
      </c>
      <c r="G87" s="196">
        <f t="shared" ref="G87:G88" si="1962">IF(G$3="","",F87)</f>
        <v>21401</v>
      </c>
      <c r="H87" s="16">
        <f t="shared" ref="H87:H88" si="1963">IF(H$3="","",G87)</f>
        <v>21401</v>
      </c>
      <c r="I87" s="16">
        <v>21467</v>
      </c>
      <c r="J87" s="196">
        <f t="shared" ref="J87:J88" si="1964">IF(J$3="","",I87)</f>
        <v>21467</v>
      </c>
      <c r="K87" s="16">
        <f t="shared" ref="K87:K88" si="1965">IF(K$3="","",J87)</f>
        <v>21467</v>
      </c>
      <c r="L87" s="16">
        <f t="shared" ref="L87:L88" si="1966">IF(L$3="","",K87)</f>
        <v>21467</v>
      </c>
      <c r="M87" s="16">
        <f t="shared" ref="M87:M88" si="1967">IF(M$3="","",L87)</f>
        <v>21467</v>
      </c>
      <c r="N87" s="196" t="str">
        <f t="shared" ref="N87:N88" si="1968">IF(N$3="","",M87)</f>
        <v/>
      </c>
      <c r="O87" s="16" t="str">
        <f t="shared" ref="O87:O88" si="1969">IF(O$3="","",N87)</f>
        <v/>
      </c>
      <c r="P87" s="16" t="str">
        <f t="shared" ref="P87:P88" si="1970">IF(P$3="","",O87)</f>
        <v/>
      </c>
      <c r="Q87" s="16" t="str">
        <f t="shared" ref="Q87:Q88" si="1971">IF(Q$3="","",P87)</f>
        <v/>
      </c>
      <c r="R87" s="16" t="str">
        <f t="shared" ref="R87:R88" si="1972">IF(R$3="","",Q87)</f>
        <v/>
      </c>
      <c r="S87" s="16" t="str">
        <f t="shared" ref="S87:S88" si="1973">IF(S$3="","",R87)</f>
        <v/>
      </c>
      <c r="T87" s="16" t="str">
        <f t="shared" ref="T87:T88" si="1974">IF(T$3="","",S87)</f>
        <v/>
      </c>
      <c r="U87" s="16" t="str">
        <f t="shared" ref="U87:U88" si="1975">IF(U$3="","",T87)</f>
        <v/>
      </c>
      <c r="V87" s="16" t="str">
        <f t="shared" ref="V87:V88" si="1976">IF(V$3="","",U87)</f>
        <v/>
      </c>
      <c r="W87" s="16" t="str">
        <f t="shared" ref="W87:W88" si="1977">IF(W$3="","",V87)</f>
        <v/>
      </c>
      <c r="X87" s="16" t="str">
        <f t="shared" ref="X87:X88" si="1978">IF(X$3="","",W87)</f>
        <v/>
      </c>
      <c r="Y87" s="16" t="str">
        <f t="shared" ref="Y87:Y88" si="1979">IF(Y$3="","",X87)</f>
        <v/>
      </c>
      <c r="Z87" s="16" t="str">
        <f t="shared" ref="Z87:Z88" si="1980">IF(Z$3="","",Y87)</f>
        <v/>
      </c>
      <c r="AA87" s="16" t="str">
        <f t="shared" ref="AA87:AA88" si="1981">IF(AA$3="","",Z87)</f>
        <v/>
      </c>
      <c r="AB87" s="16" t="str">
        <f t="shared" ref="AB87:AB88" si="1982">IF(AB$3="","",AA87)</f>
        <v/>
      </c>
      <c r="AC87" s="16" t="str">
        <f t="shared" ref="AC87:AC88" si="1983">IF(AC$3="","",AB87)</f>
        <v/>
      </c>
      <c r="AD87" s="16" t="str">
        <f t="shared" ref="AD87:AD88" si="1984">IF(AD$3="","",AC87)</f>
        <v/>
      </c>
      <c r="AE87" s="16" t="str">
        <f t="shared" ref="AE87:AE88" si="1985">IF(AE$3="","",AD87)</f>
        <v/>
      </c>
      <c r="AF87" s="16" t="str">
        <f t="shared" ref="AF87:AF88" si="1986">IF(AF$3="","",AE87)</f>
        <v/>
      </c>
      <c r="AG87" s="16" t="str">
        <f t="shared" ref="AG87:AG88" si="1987">IF(AG$3="","",AF87)</f>
        <v/>
      </c>
      <c r="AH87" s="16" t="str">
        <f t="shared" ref="AH87:AH88" si="1988">IF(AH$3="","",AG87)</f>
        <v/>
      </c>
      <c r="AI87" s="16" t="str">
        <f t="shared" ref="AI87:AI88" si="1989">IF(AI$3="","",AH87)</f>
        <v/>
      </c>
      <c r="AJ87" s="16" t="str">
        <f t="shared" ref="AJ87:AJ88" si="1990">IF(AJ$3="","",AI87)</f>
        <v/>
      </c>
      <c r="AK87" s="16" t="str">
        <f t="shared" ref="AK87:AK88" si="1991">IF(AK$3="","",AJ87)</f>
        <v/>
      </c>
      <c r="AL87" s="16" t="str">
        <f t="shared" ref="AL87:AL88" si="1992">IF(AL$3="","",AK87)</f>
        <v/>
      </c>
      <c r="AM87" s="16" t="str">
        <f t="shared" ref="AM87:AM88" si="1993">IF(AM$3="","",AL87)</f>
        <v/>
      </c>
      <c r="AN87" s="16" t="str">
        <f t="shared" ref="AN87:AN88" si="1994">IF(AN$3="","",AM87)</f>
        <v/>
      </c>
      <c r="AO87" s="16" t="str">
        <f t="shared" ref="AO87:AO88" si="1995">IF(AO$3="","",AN87)</f>
        <v/>
      </c>
      <c r="AP87" s="16" t="str">
        <f t="shared" ref="AP87:AP88" si="1996">IF(AP$3="","",AO87)</f>
        <v/>
      </c>
      <c r="AQ87" s="16" t="str">
        <f t="shared" ref="AQ87:AQ88" si="1997">IF(AQ$3="","",AP87)</f>
        <v/>
      </c>
      <c r="AR87" s="16" t="str">
        <f t="shared" ref="AR87:AR88" si="1998">IF(AR$3="","",AQ87)</f>
        <v/>
      </c>
      <c r="AS87" s="16" t="str">
        <f t="shared" ref="AS87:AS88" si="1999">IF(AS$3="","",AR87)</f>
        <v/>
      </c>
      <c r="AT87" s="16" t="str">
        <f t="shared" ref="AT87:AT88" si="2000">IF(AT$3="","",AS87)</f>
        <v/>
      </c>
      <c r="AU87" s="16" t="str">
        <f t="shared" ref="AU87:AU88" si="2001">IF(AU$3="","",AT87)</f>
        <v/>
      </c>
      <c r="AV87" s="16" t="str">
        <f t="shared" ref="AS87:BC87" si="2002">IF(AV$3="","",AU87)</f>
        <v/>
      </c>
      <c r="AW87" s="16" t="str">
        <f t="shared" si="2002"/>
        <v/>
      </c>
      <c r="AX87" s="16" t="str">
        <f t="shared" si="2002"/>
        <v/>
      </c>
      <c r="AY87" s="16" t="str">
        <f t="shared" si="2002"/>
        <v/>
      </c>
      <c r="AZ87" s="16" t="str">
        <f t="shared" si="2002"/>
        <v/>
      </c>
      <c r="BA87" s="16" t="str">
        <f t="shared" si="2002"/>
        <v/>
      </c>
      <c r="BB87" s="16" t="str">
        <f t="shared" si="2002"/>
        <v/>
      </c>
      <c r="BC87" s="16" t="str">
        <f t="shared" si="2002"/>
        <v/>
      </c>
    </row>
    <row r="88" spans="1:55" ht="11.25" customHeight="1" x14ac:dyDescent="0.2">
      <c r="A88" s="10" t="s">
        <v>29</v>
      </c>
      <c r="B88" s="11" t="s">
        <v>4</v>
      </c>
      <c r="C88" s="123">
        <v>1709</v>
      </c>
      <c r="D88" s="12">
        <f t="shared" si="1960"/>
        <v>1709</v>
      </c>
      <c r="E88" s="12">
        <f t="shared" si="1961"/>
        <v>1709</v>
      </c>
      <c r="F88" s="12">
        <v>1711</v>
      </c>
      <c r="G88" s="195">
        <f t="shared" si="1962"/>
        <v>1711</v>
      </c>
      <c r="H88" s="12">
        <f t="shared" si="1963"/>
        <v>1711</v>
      </c>
      <c r="I88" s="12">
        <v>1716</v>
      </c>
      <c r="J88" s="195">
        <f t="shared" si="1964"/>
        <v>1716</v>
      </c>
      <c r="K88" s="12">
        <f t="shared" si="1965"/>
        <v>1716</v>
      </c>
      <c r="L88" s="12">
        <f t="shared" si="1966"/>
        <v>1716</v>
      </c>
      <c r="M88" s="12">
        <f t="shared" si="1967"/>
        <v>1716</v>
      </c>
      <c r="N88" s="195" t="str">
        <f t="shared" si="1968"/>
        <v/>
      </c>
      <c r="O88" s="12" t="str">
        <f t="shared" si="1969"/>
        <v/>
      </c>
      <c r="P88" s="12" t="str">
        <f t="shared" si="1970"/>
        <v/>
      </c>
      <c r="Q88" s="12" t="str">
        <f t="shared" si="1971"/>
        <v/>
      </c>
      <c r="R88" s="12" t="str">
        <f t="shared" si="1972"/>
        <v/>
      </c>
      <c r="S88" s="12" t="str">
        <f t="shared" si="1973"/>
        <v/>
      </c>
      <c r="T88" s="12" t="str">
        <f t="shared" si="1974"/>
        <v/>
      </c>
      <c r="U88" s="12" t="str">
        <f t="shared" si="1975"/>
        <v/>
      </c>
      <c r="V88" s="12" t="str">
        <f t="shared" si="1976"/>
        <v/>
      </c>
      <c r="W88" s="12" t="str">
        <f t="shared" si="1977"/>
        <v/>
      </c>
      <c r="X88" s="12" t="str">
        <f t="shared" si="1978"/>
        <v/>
      </c>
      <c r="Y88" s="12" t="str">
        <f t="shared" si="1979"/>
        <v/>
      </c>
      <c r="Z88" s="12" t="str">
        <f t="shared" si="1980"/>
        <v/>
      </c>
      <c r="AA88" s="12" t="str">
        <f t="shared" si="1981"/>
        <v/>
      </c>
      <c r="AB88" s="12" t="str">
        <f t="shared" si="1982"/>
        <v/>
      </c>
      <c r="AC88" s="12" t="str">
        <f t="shared" si="1983"/>
        <v/>
      </c>
      <c r="AD88" s="12" t="str">
        <f t="shared" si="1984"/>
        <v/>
      </c>
      <c r="AE88" s="12" t="str">
        <f t="shared" si="1985"/>
        <v/>
      </c>
      <c r="AF88" s="12" t="str">
        <f t="shared" si="1986"/>
        <v/>
      </c>
      <c r="AG88" s="12" t="str">
        <f t="shared" si="1987"/>
        <v/>
      </c>
      <c r="AH88" s="12" t="str">
        <f t="shared" si="1988"/>
        <v/>
      </c>
      <c r="AI88" s="12" t="str">
        <f t="shared" si="1989"/>
        <v/>
      </c>
      <c r="AJ88" s="12" t="str">
        <f t="shared" si="1990"/>
        <v/>
      </c>
      <c r="AK88" s="12" t="str">
        <f t="shared" si="1991"/>
        <v/>
      </c>
      <c r="AL88" s="12" t="str">
        <f t="shared" si="1992"/>
        <v/>
      </c>
      <c r="AM88" s="12" t="str">
        <f t="shared" si="1993"/>
        <v/>
      </c>
      <c r="AN88" s="12" t="str">
        <f t="shared" si="1994"/>
        <v/>
      </c>
      <c r="AO88" s="12" t="str">
        <f t="shared" si="1995"/>
        <v/>
      </c>
      <c r="AP88" s="12" t="str">
        <f t="shared" si="1996"/>
        <v/>
      </c>
      <c r="AQ88" s="12" t="str">
        <f t="shared" si="1997"/>
        <v/>
      </c>
      <c r="AR88" s="12" t="str">
        <f t="shared" si="1998"/>
        <v/>
      </c>
      <c r="AS88" s="12" t="str">
        <f t="shared" si="1999"/>
        <v/>
      </c>
      <c r="AT88" s="12" t="str">
        <f t="shared" si="2000"/>
        <v/>
      </c>
      <c r="AU88" s="12" t="str">
        <f t="shared" si="2001"/>
        <v/>
      </c>
      <c r="AV88" s="12" t="str">
        <f t="shared" ref="AS88:BC88" si="2003">IF(AV$3="","",AU88)</f>
        <v/>
      </c>
      <c r="AW88" s="12" t="str">
        <f t="shared" si="2003"/>
        <v/>
      </c>
      <c r="AX88" s="12" t="str">
        <f t="shared" si="2003"/>
        <v/>
      </c>
      <c r="AY88" s="12" t="str">
        <f t="shared" si="2003"/>
        <v/>
      </c>
      <c r="AZ88" s="12" t="str">
        <f t="shared" si="2003"/>
        <v/>
      </c>
      <c r="BA88" s="12" t="str">
        <f t="shared" si="2003"/>
        <v/>
      </c>
      <c r="BB88" s="12" t="str">
        <f t="shared" si="2003"/>
        <v/>
      </c>
      <c r="BC88" s="12" t="str">
        <f t="shared" si="2003"/>
        <v/>
      </c>
    </row>
    <row r="89" spans="1:55" ht="11.25" customHeight="1" x14ac:dyDescent="0.25">
      <c r="A89" s="24">
        <v>3</v>
      </c>
      <c r="B89" s="11" t="s">
        <v>5</v>
      </c>
      <c r="C89" s="123">
        <v>14</v>
      </c>
      <c r="D89" s="12">
        <f t="shared" ref="D89" si="2004">IF(D87="","",(C89+C90))</f>
        <v>14</v>
      </c>
      <c r="E89" s="12">
        <f t="shared" ref="E89" si="2005">IF(E87="","",(D89+D90))</f>
        <v>14</v>
      </c>
      <c r="F89" s="12">
        <v>12</v>
      </c>
      <c r="G89" s="195">
        <f t="shared" ref="G89" si="2006">IF(G87="","",(F89+F90))</f>
        <v>14</v>
      </c>
      <c r="H89" s="12">
        <f t="shared" ref="H89" si="2007">IF(H87="","",(G89+G90))</f>
        <v>14</v>
      </c>
      <c r="I89" s="12">
        <v>9</v>
      </c>
      <c r="J89" s="195">
        <f t="shared" ref="J89" si="2008">IF(J87="","",(I89+I90))</f>
        <v>9</v>
      </c>
      <c r="K89" s="12">
        <f t="shared" ref="K89" si="2009">IF(K87="","",(J89+J90))</f>
        <v>9</v>
      </c>
      <c r="L89" s="12">
        <f t="shared" ref="L89" si="2010">IF(L87="","",(K89+K90))</f>
        <v>9</v>
      </c>
      <c r="M89" s="12">
        <f t="shared" ref="M89" si="2011">IF(M87="","",(L89+L90))</f>
        <v>9</v>
      </c>
      <c r="N89" s="195" t="str">
        <f t="shared" ref="N89" si="2012">IF(N87="","",(M89+M90))</f>
        <v/>
      </c>
      <c r="O89" s="12" t="str">
        <f t="shared" ref="O89" si="2013">IF(O87="","",(N89+N90))</f>
        <v/>
      </c>
      <c r="P89" s="12" t="str">
        <f t="shared" ref="P89" si="2014">IF(P87="","",(O89+O90))</f>
        <v/>
      </c>
      <c r="Q89" s="12" t="str">
        <f t="shared" ref="Q89" si="2015">IF(Q87="","",(P89+P90))</f>
        <v/>
      </c>
      <c r="R89" s="12" t="str">
        <f t="shared" ref="R89" si="2016">IF(R87="","",(Q89+Q90))</f>
        <v/>
      </c>
      <c r="S89" s="12" t="str">
        <f t="shared" ref="S89" si="2017">IF(S87="","",(R89+R90))</f>
        <v/>
      </c>
      <c r="T89" s="12" t="str">
        <f t="shared" ref="T89" si="2018">IF(T87="","",(S89+S90))</f>
        <v/>
      </c>
      <c r="U89" s="12" t="str">
        <f t="shared" ref="U89" si="2019">IF(U87="","",(T89+T90))</f>
        <v/>
      </c>
      <c r="V89" s="12" t="str">
        <f t="shared" ref="V89" si="2020">IF(V87="","",(U89+U90))</f>
        <v/>
      </c>
      <c r="W89" s="12" t="str">
        <f t="shared" ref="W89" si="2021">IF(W87="","",(V89+V90))</f>
        <v/>
      </c>
      <c r="X89" s="12" t="str">
        <f t="shared" ref="X89" si="2022">IF(X87="","",(W89+W90))</f>
        <v/>
      </c>
      <c r="Y89" s="12" t="str">
        <f t="shared" ref="Y89" si="2023">IF(Y87="","",(X89+X90))</f>
        <v/>
      </c>
      <c r="Z89" s="12" t="str">
        <f t="shared" ref="Z89" si="2024">IF(Z87="","",(Y89+Y90))</f>
        <v/>
      </c>
      <c r="AA89" s="12" t="str">
        <f t="shared" ref="AA89" si="2025">IF(AA87="","",(Z89+Z90))</f>
        <v/>
      </c>
      <c r="AB89" s="12" t="str">
        <f t="shared" ref="AB89" si="2026">IF(AB87="","",(AA89+AA90))</f>
        <v/>
      </c>
      <c r="AC89" s="12" t="str">
        <f t="shared" ref="AC89" si="2027">IF(AC87="","",(AB89+AB90))</f>
        <v/>
      </c>
      <c r="AD89" s="12" t="str">
        <f t="shared" ref="AD89" si="2028">IF(AD87="","",(AC89+AC90))</f>
        <v/>
      </c>
      <c r="AE89" s="12" t="str">
        <f t="shared" ref="AE89" si="2029">IF(AE87="","",(AD89+AD90))</f>
        <v/>
      </c>
      <c r="AF89" s="12" t="str">
        <f t="shared" ref="AF89" si="2030">IF(AF87="","",(AE89+AE90))</f>
        <v/>
      </c>
      <c r="AG89" s="12" t="str">
        <f t="shared" ref="AG89" si="2031">IF(AG87="","",(AF89+AF90))</f>
        <v/>
      </c>
      <c r="AH89" s="12" t="str">
        <f t="shared" ref="AH89" si="2032">IF(AH87="","",(AG89+AG90))</f>
        <v/>
      </c>
      <c r="AI89" s="12" t="str">
        <f t="shared" ref="AI89" si="2033">IF(AI87="","",(AH89+AH90))</f>
        <v/>
      </c>
      <c r="AJ89" s="12" t="str">
        <f t="shared" ref="AJ89" si="2034">IF(AJ87="","",(AI89+AI90))</f>
        <v/>
      </c>
      <c r="AK89" s="12" t="str">
        <f t="shared" ref="AK89" si="2035">IF(AK87="","",(AJ89+AJ90))</f>
        <v/>
      </c>
      <c r="AL89" s="12" t="str">
        <f t="shared" ref="AL89" si="2036">IF(AL87="","",(AK89+AK90))</f>
        <v/>
      </c>
      <c r="AM89" s="12" t="str">
        <f t="shared" ref="AM89" si="2037">IF(AM87="","",(AL89+AL90))</f>
        <v/>
      </c>
      <c r="AN89" s="12" t="str">
        <f t="shared" ref="AN89" si="2038">IF(AN87="","",(AM89+AM90))</f>
        <v/>
      </c>
      <c r="AO89" s="12" t="str">
        <f t="shared" ref="AO89" si="2039">IF(AO87="","",(AN89+AN90))</f>
        <v/>
      </c>
      <c r="AP89" s="12" t="str">
        <f t="shared" ref="AP89" si="2040">IF(AP87="","",(AO89+AO90))</f>
        <v/>
      </c>
      <c r="AQ89" s="12" t="str">
        <f t="shared" ref="AQ89" si="2041">IF(AQ87="","",(AP89+AP90))</f>
        <v/>
      </c>
      <c r="AR89" s="12" t="str">
        <f t="shared" ref="AR89" si="2042">IF(AR87="","",(AQ89+AQ90))</f>
        <v/>
      </c>
      <c r="AS89" s="12" t="str">
        <f t="shared" ref="AS89" si="2043">IF(AS87="","",(AR89+AR90))</f>
        <v/>
      </c>
      <c r="AT89" s="12" t="str">
        <f t="shared" ref="AT89" si="2044">IF(AT87="","",(AS89+AS90))</f>
        <v/>
      </c>
      <c r="AU89" s="12" t="str">
        <f t="shared" ref="AU89" si="2045">IF(AU87="","",(AT89+AT90))</f>
        <v/>
      </c>
      <c r="AV89" s="12" t="str">
        <f t="shared" ref="AS89:BC89" si="2046">IF(AV87="","",(AU89+AU90))</f>
        <v/>
      </c>
      <c r="AW89" s="12" t="str">
        <f t="shared" si="2046"/>
        <v/>
      </c>
      <c r="AX89" s="12" t="str">
        <f t="shared" si="2046"/>
        <v/>
      </c>
      <c r="AY89" s="12" t="str">
        <f t="shared" si="2046"/>
        <v/>
      </c>
      <c r="AZ89" s="12" t="str">
        <f t="shared" si="2046"/>
        <v/>
      </c>
      <c r="BA89" s="12" t="str">
        <f t="shared" si="2046"/>
        <v/>
      </c>
      <c r="BB89" s="12" t="str">
        <f t="shared" si="2046"/>
        <v/>
      </c>
      <c r="BC89" s="12" t="str">
        <f t="shared" si="2046"/>
        <v/>
      </c>
    </row>
    <row r="90" spans="1:55" ht="11.25" customHeight="1" x14ac:dyDescent="0.2">
      <c r="A90" s="14"/>
      <c r="B90" s="11" t="s">
        <v>6</v>
      </c>
      <c r="C90" s="123"/>
      <c r="D90" s="12"/>
      <c r="E90" s="12"/>
      <c r="F90" s="12">
        <v>2</v>
      </c>
      <c r="G90" s="195"/>
      <c r="H90" s="12"/>
      <c r="I90" s="12"/>
      <c r="J90" s="195"/>
      <c r="K90" s="12"/>
      <c r="L90" s="12"/>
      <c r="M90" s="12"/>
      <c r="N90" s="195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</row>
    <row r="91" spans="1:55" ht="11.25" customHeight="1" x14ac:dyDescent="0.2">
      <c r="A91" s="15"/>
      <c r="B91" s="11" t="s">
        <v>8</v>
      </c>
      <c r="C91" s="129">
        <v>181</v>
      </c>
      <c r="D91" s="16">
        <f t="shared" ref="D91" si="2047">IF(D87="","",C91)</f>
        <v>181</v>
      </c>
      <c r="E91" s="16">
        <f t="shared" ref="E91" si="2048">IF(E87="","",D91)</f>
        <v>181</v>
      </c>
      <c r="F91" s="16">
        <f t="shared" ref="F91" si="2049">IF(F87="","",E91)</f>
        <v>181</v>
      </c>
      <c r="G91" s="196">
        <f t="shared" ref="G91" si="2050">IF(G87="","",F91)</f>
        <v>181</v>
      </c>
      <c r="H91" s="16">
        <f t="shared" ref="H91" si="2051">IF(H87="","",G91)</f>
        <v>181</v>
      </c>
      <c r="I91" s="16">
        <f t="shared" ref="I91" si="2052">IF(I87="","",H91)</f>
        <v>181</v>
      </c>
      <c r="J91" s="196">
        <f t="shared" ref="J91" si="2053">IF(J87="","",I91)</f>
        <v>181</v>
      </c>
      <c r="K91" s="16">
        <f t="shared" ref="K91" si="2054">IF(K87="","",J91)</f>
        <v>181</v>
      </c>
      <c r="L91" s="16">
        <f t="shared" ref="L91" si="2055">IF(L87="","",K91)</f>
        <v>181</v>
      </c>
      <c r="M91" s="16">
        <f t="shared" ref="M91" si="2056">IF(M87="","",L91)</f>
        <v>181</v>
      </c>
      <c r="N91" s="196" t="str">
        <f t="shared" ref="N91" si="2057">IF(N87="","",M91)</f>
        <v/>
      </c>
      <c r="O91" s="16" t="str">
        <f t="shared" ref="O91" si="2058">IF(O87="","",N91)</f>
        <v/>
      </c>
      <c r="P91" s="16" t="str">
        <f t="shared" ref="P91" si="2059">IF(P87="","",O91)</f>
        <v/>
      </c>
      <c r="Q91" s="16" t="str">
        <f t="shared" ref="Q91" si="2060">IF(Q87="","",P91)</f>
        <v/>
      </c>
      <c r="R91" s="16" t="str">
        <f t="shared" ref="R91" si="2061">IF(R87="","",Q91)</f>
        <v/>
      </c>
      <c r="S91" s="16" t="str">
        <f t="shared" ref="S91" si="2062">IF(S87="","",R91)</f>
        <v/>
      </c>
      <c r="T91" s="16" t="str">
        <f t="shared" ref="T91" si="2063">IF(T87="","",S91)</f>
        <v/>
      </c>
      <c r="U91" s="16" t="str">
        <f t="shared" ref="U91" si="2064">IF(U87="","",T91)</f>
        <v/>
      </c>
      <c r="V91" s="16" t="str">
        <f t="shared" ref="V91" si="2065">IF(V87="","",U91)</f>
        <v/>
      </c>
      <c r="W91" s="16" t="str">
        <f t="shared" ref="W91" si="2066">IF(W87="","",V91)</f>
        <v/>
      </c>
      <c r="X91" s="16" t="str">
        <f t="shared" ref="X91" si="2067">IF(X87="","",W91)</f>
        <v/>
      </c>
      <c r="Y91" s="16" t="str">
        <f t="shared" ref="Y91" si="2068">IF(Y87="","",X91)</f>
        <v/>
      </c>
      <c r="Z91" s="16" t="str">
        <f t="shared" ref="Z91" si="2069">IF(Z87="","",Y91)</f>
        <v/>
      </c>
      <c r="AA91" s="16" t="str">
        <f t="shared" ref="AA91" si="2070">IF(AA87="","",Z91)</f>
        <v/>
      </c>
      <c r="AB91" s="16" t="str">
        <f t="shared" ref="AB91" si="2071">IF(AB87="","",AA91)</f>
        <v/>
      </c>
      <c r="AC91" s="16" t="str">
        <f t="shared" ref="AC91" si="2072">IF(AC87="","",AB91)</f>
        <v/>
      </c>
      <c r="AD91" s="16" t="str">
        <f t="shared" ref="AD91" si="2073">IF(AD87="","",AC91)</f>
        <v/>
      </c>
      <c r="AE91" s="16" t="str">
        <f t="shared" ref="AE91" si="2074">IF(AE87="","",AD91)</f>
        <v/>
      </c>
      <c r="AF91" s="16" t="str">
        <f t="shared" ref="AF91" si="2075">IF(AF87="","",AE91)</f>
        <v/>
      </c>
      <c r="AG91" s="16" t="str">
        <f t="shared" ref="AG91" si="2076">IF(AG87="","",AF91)</f>
        <v/>
      </c>
      <c r="AH91" s="16" t="str">
        <f t="shared" ref="AH91" si="2077">IF(AH87="","",AG91)</f>
        <v/>
      </c>
      <c r="AI91" s="16" t="str">
        <f t="shared" ref="AI91" si="2078">IF(AI87="","",AH91)</f>
        <v/>
      </c>
      <c r="AJ91" s="16" t="str">
        <f t="shared" ref="AJ91" si="2079">IF(AJ87="","",AI91)</f>
        <v/>
      </c>
      <c r="AK91" s="16" t="str">
        <f t="shared" ref="AK91" si="2080">IF(AK87="","",AJ91)</f>
        <v/>
      </c>
      <c r="AL91" s="16" t="str">
        <f t="shared" ref="AL91" si="2081">IF(AL87="","",AK91)</f>
        <v/>
      </c>
      <c r="AM91" s="16" t="str">
        <f t="shared" ref="AM91" si="2082">IF(AM87="","",AL91)</f>
        <v/>
      </c>
      <c r="AN91" s="16" t="str">
        <f t="shared" ref="AN91" si="2083">IF(AN87="","",AM91)</f>
        <v/>
      </c>
      <c r="AO91" s="16" t="str">
        <f t="shared" ref="AO91" si="2084">IF(AO87="","",AN91)</f>
        <v/>
      </c>
      <c r="AP91" s="16" t="str">
        <f t="shared" ref="AP91" si="2085">IF(AP87="","",AO91)</f>
        <v/>
      </c>
      <c r="AQ91" s="16" t="str">
        <f t="shared" ref="AQ91" si="2086">IF(AQ87="","",AP91)</f>
        <v/>
      </c>
      <c r="AR91" s="16" t="str">
        <f t="shared" ref="AR91" si="2087">IF(AR87="","",AQ91)</f>
        <v/>
      </c>
      <c r="AS91" s="16" t="str">
        <f t="shared" ref="AS91" si="2088">IF(AS87="","",AR91)</f>
        <v/>
      </c>
      <c r="AT91" s="16" t="str">
        <f t="shared" ref="AT91" si="2089">IF(AT87="","",AS91)</f>
        <v/>
      </c>
      <c r="AU91" s="16" t="str">
        <f t="shared" ref="AU91" si="2090">IF(AU87="","",AT91)</f>
        <v/>
      </c>
      <c r="AV91" s="16" t="str">
        <f t="shared" ref="AS91:BC91" si="2091">IF(AV87="","",AU91)</f>
        <v/>
      </c>
      <c r="AW91" s="16" t="str">
        <f t="shared" si="2091"/>
        <v/>
      </c>
      <c r="AX91" s="16" t="str">
        <f t="shared" si="2091"/>
        <v/>
      </c>
      <c r="AY91" s="16" t="str">
        <f t="shared" si="2091"/>
        <v/>
      </c>
      <c r="AZ91" s="16" t="str">
        <f t="shared" si="2091"/>
        <v/>
      </c>
      <c r="BA91" s="16" t="str">
        <f t="shared" si="2091"/>
        <v/>
      </c>
      <c r="BB91" s="16" t="str">
        <f t="shared" si="2091"/>
        <v/>
      </c>
      <c r="BC91" s="16" t="str">
        <f t="shared" si="2091"/>
        <v/>
      </c>
    </row>
    <row r="92" spans="1:55" ht="11.25" customHeight="1" x14ac:dyDescent="0.2">
      <c r="A92" s="14" t="s">
        <v>9</v>
      </c>
      <c r="B92" s="17" t="s">
        <v>10</v>
      </c>
      <c r="C92" s="133" t="s">
        <v>250</v>
      </c>
      <c r="D92" s="18" t="str">
        <f t="shared" ref="D92" si="2092">IF(D87="","",C92)</f>
        <v>ふわもちミニパンケーキ</v>
      </c>
      <c r="E92" s="18" t="str">
        <f t="shared" ref="E92" si="2093">IF(E87="","",D92)</f>
        <v>ふわもちミニパンケーキ</v>
      </c>
      <c r="F92" s="18" t="str">
        <f t="shared" ref="F92" si="2094">IF(F87="","",E92)</f>
        <v>ふわもちミニパンケーキ</v>
      </c>
      <c r="G92" s="197" t="str">
        <f t="shared" ref="G92" si="2095">IF(G87="","",F92)</f>
        <v>ふわもちミニパンケーキ</v>
      </c>
      <c r="H92" s="18" t="str">
        <f t="shared" ref="H92" si="2096">IF(H87="","",G92)</f>
        <v>ふわもちミニパンケーキ</v>
      </c>
      <c r="I92" s="18" t="str">
        <f t="shared" ref="I92" si="2097">IF(I87="","",H92)</f>
        <v>ふわもちミニパンケーキ</v>
      </c>
      <c r="J92" s="197" t="str">
        <f t="shared" ref="J92" si="2098">IF(J87="","",I92)</f>
        <v>ふわもちミニパンケーキ</v>
      </c>
      <c r="K92" s="18" t="str">
        <f t="shared" ref="K92" si="2099">IF(K87="","",J92)</f>
        <v>ふわもちミニパンケーキ</v>
      </c>
      <c r="L92" s="18" t="str">
        <f t="shared" ref="L92" si="2100">IF(L87="","",K92)</f>
        <v>ふわもちミニパンケーキ</v>
      </c>
      <c r="M92" s="18" t="str">
        <f t="shared" ref="M92" si="2101">IF(M87="","",L92)</f>
        <v>ふわもちミニパンケーキ</v>
      </c>
      <c r="N92" s="197" t="str">
        <f t="shared" ref="N92" si="2102">IF(N87="","",M92)</f>
        <v/>
      </c>
      <c r="O92" s="18" t="str">
        <f t="shared" ref="O92" si="2103">IF(O87="","",N92)</f>
        <v/>
      </c>
      <c r="P92" s="18" t="str">
        <f t="shared" ref="P92" si="2104">IF(P87="","",O92)</f>
        <v/>
      </c>
      <c r="Q92" s="18" t="str">
        <f t="shared" ref="Q92" si="2105">IF(Q87="","",P92)</f>
        <v/>
      </c>
      <c r="R92" s="18" t="str">
        <f t="shared" ref="R92" si="2106">IF(R87="","",Q92)</f>
        <v/>
      </c>
      <c r="S92" s="18" t="str">
        <f t="shared" ref="S92" si="2107">IF(S87="","",R92)</f>
        <v/>
      </c>
      <c r="T92" s="18" t="str">
        <f t="shared" ref="T92" si="2108">IF(T87="","",S92)</f>
        <v/>
      </c>
      <c r="U92" s="18" t="str">
        <f t="shared" ref="U92" si="2109">IF(U87="","",T92)</f>
        <v/>
      </c>
      <c r="V92" s="18" t="str">
        <f t="shared" ref="V92" si="2110">IF(V87="","",U92)</f>
        <v/>
      </c>
      <c r="W92" s="18" t="str">
        <f t="shared" ref="W92" si="2111">IF(W87="","",V92)</f>
        <v/>
      </c>
      <c r="X92" s="18" t="str">
        <f t="shared" ref="X92" si="2112">IF(X87="","",W92)</f>
        <v/>
      </c>
      <c r="Y92" s="18" t="str">
        <f t="shared" ref="Y92" si="2113">IF(Y87="","",X92)</f>
        <v/>
      </c>
      <c r="Z92" s="18" t="str">
        <f t="shared" ref="Z92" si="2114">IF(Z87="","",Y92)</f>
        <v/>
      </c>
      <c r="AA92" s="18" t="str">
        <f t="shared" ref="AA92" si="2115">IF(AA87="","",Z92)</f>
        <v/>
      </c>
      <c r="AB92" s="18" t="str">
        <f t="shared" ref="AB92" si="2116">IF(AB87="","",AA92)</f>
        <v/>
      </c>
      <c r="AC92" s="18" t="str">
        <f t="shared" ref="AC92" si="2117">IF(AC87="","",AB92)</f>
        <v/>
      </c>
      <c r="AD92" s="18" t="str">
        <f t="shared" ref="AD92" si="2118">IF(AD87="","",AC92)</f>
        <v/>
      </c>
      <c r="AE92" s="18" t="str">
        <f t="shared" ref="AE92" si="2119">IF(AE87="","",AD92)</f>
        <v/>
      </c>
      <c r="AF92" s="18" t="str">
        <f t="shared" ref="AF92" si="2120">IF(AF87="","",AE92)</f>
        <v/>
      </c>
      <c r="AG92" s="18" t="str">
        <f t="shared" ref="AG92" si="2121">IF(AG87="","",AF92)</f>
        <v/>
      </c>
      <c r="AH92" s="18" t="str">
        <f t="shared" ref="AH92" si="2122">IF(AH87="","",AG92)</f>
        <v/>
      </c>
      <c r="AI92" s="18" t="str">
        <f t="shared" ref="AI92" si="2123">IF(AI87="","",AH92)</f>
        <v/>
      </c>
      <c r="AJ92" s="18" t="str">
        <f t="shared" ref="AJ92" si="2124">IF(AJ87="","",AI92)</f>
        <v/>
      </c>
      <c r="AK92" s="18" t="str">
        <f t="shared" ref="AK92" si="2125">IF(AK87="","",AJ92)</f>
        <v/>
      </c>
      <c r="AL92" s="18" t="str">
        <f t="shared" ref="AL92" si="2126">IF(AL87="","",AK92)</f>
        <v/>
      </c>
      <c r="AM92" s="18" t="str">
        <f t="shared" ref="AM92" si="2127">IF(AM87="","",AL92)</f>
        <v/>
      </c>
      <c r="AN92" s="18" t="str">
        <f t="shared" ref="AN92" si="2128">IF(AN87="","",AM92)</f>
        <v/>
      </c>
      <c r="AO92" s="18" t="str">
        <f t="shared" ref="AO92" si="2129">IF(AO87="","",AN92)</f>
        <v/>
      </c>
      <c r="AP92" s="18" t="str">
        <f t="shared" ref="AP92" si="2130">IF(AP87="","",AO92)</f>
        <v/>
      </c>
      <c r="AQ92" s="18" t="str">
        <f t="shared" ref="AQ92" si="2131">IF(AQ87="","",AP92)</f>
        <v/>
      </c>
      <c r="AR92" s="18" t="str">
        <f t="shared" ref="AR92" si="2132">IF(AR87="","",AQ92)</f>
        <v/>
      </c>
      <c r="AS92" s="18" t="str">
        <f t="shared" ref="AS92" si="2133">IF(AS87="","",AR92)</f>
        <v/>
      </c>
      <c r="AT92" s="18" t="str">
        <f t="shared" ref="AT92" si="2134">IF(AT87="","",AS92)</f>
        <v/>
      </c>
      <c r="AU92" s="18" t="str">
        <f t="shared" ref="AU92" si="2135">IF(AU87="","",AT92)</f>
        <v/>
      </c>
      <c r="AV92" s="18" t="str">
        <f t="shared" ref="AS92:BC92" si="2136">IF(AV87="","",AU92)</f>
        <v/>
      </c>
      <c r="AW92" s="18" t="str">
        <f t="shared" si="2136"/>
        <v/>
      </c>
      <c r="AX92" s="18" t="str">
        <f t="shared" si="2136"/>
        <v/>
      </c>
      <c r="AY92" s="18" t="str">
        <f t="shared" si="2136"/>
        <v/>
      </c>
      <c r="AZ92" s="18" t="str">
        <f t="shared" si="2136"/>
        <v/>
      </c>
      <c r="BA92" s="18" t="str">
        <f t="shared" si="2136"/>
        <v/>
      </c>
      <c r="BB92" s="18" t="str">
        <f t="shared" si="2136"/>
        <v/>
      </c>
      <c r="BC92" s="18" t="str">
        <f t="shared" si="2136"/>
        <v/>
      </c>
    </row>
    <row r="93" spans="1:55" ht="11.25" customHeight="1" x14ac:dyDescent="0.2">
      <c r="A93" s="15">
        <f>AVERAGE(C94:AS94)*30*100</f>
        <v>54545.454545454551</v>
      </c>
      <c r="B93" s="11" t="s">
        <v>12</v>
      </c>
      <c r="C93" s="123"/>
      <c r="D93" s="12"/>
      <c r="E93" s="12"/>
      <c r="F93" s="12"/>
      <c r="G93" s="195"/>
      <c r="H93" s="12"/>
      <c r="I93" s="12"/>
      <c r="J93" s="195"/>
      <c r="K93" s="12"/>
      <c r="L93" s="12"/>
      <c r="M93" s="12"/>
      <c r="N93" s="195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</row>
    <row r="94" spans="1:55" ht="11.25" customHeight="1" x14ac:dyDescent="0.2">
      <c r="A94" s="15">
        <f t="shared" ref="A94:A97" si="2137">SUM(C94:AS94)</f>
        <v>200</v>
      </c>
      <c r="B94" s="19" t="s">
        <v>13</v>
      </c>
      <c r="C94" s="123">
        <v>0</v>
      </c>
      <c r="D94" s="20">
        <f t="shared" ref="D94:D95" si="2138">IF(D87="","",D87-C87)</f>
        <v>0</v>
      </c>
      <c r="E94" s="20">
        <f t="shared" ref="E94:E95" si="2139">IF(E87="","",E87-D87)</f>
        <v>0</v>
      </c>
      <c r="F94" s="20">
        <f t="shared" ref="F94:F95" si="2140">IF(F87="","",F87-E87)</f>
        <v>134</v>
      </c>
      <c r="G94" s="195">
        <f t="shared" ref="G94:G95" si="2141">IF(G87="","",G87-F87)</f>
        <v>0</v>
      </c>
      <c r="H94" s="20">
        <f t="shared" ref="H94:H95" si="2142">IF(H87="","",H87-G87)</f>
        <v>0</v>
      </c>
      <c r="I94" s="20">
        <f t="shared" ref="I94:I95" si="2143">IF(I87="","",I87-H87)</f>
        <v>66</v>
      </c>
      <c r="J94" s="195">
        <f t="shared" ref="J94:J95" si="2144">IF(J87="","",J87-I87)</f>
        <v>0</v>
      </c>
      <c r="K94" s="20">
        <f t="shared" ref="K94:K95" si="2145">IF(K87="","",K87-J87)</f>
        <v>0</v>
      </c>
      <c r="L94" s="20">
        <f t="shared" ref="L94:L95" si="2146">IF(L87="","",L87-K87)</f>
        <v>0</v>
      </c>
      <c r="M94" s="20">
        <f t="shared" ref="M94:M95" si="2147">IF(M87="","",M87-L87)</f>
        <v>0</v>
      </c>
      <c r="N94" s="195" t="str">
        <f t="shared" ref="N94:N95" si="2148">IF(N87="","",N87-M87)</f>
        <v/>
      </c>
      <c r="O94" s="20" t="str">
        <f t="shared" ref="O94:O95" si="2149">IF(O87="","",O87-N87)</f>
        <v/>
      </c>
      <c r="P94" s="20" t="str">
        <f t="shared" ref="P94:P95" si="2150">IF(P87="","",P87-O87)</f>
        <v/>
      </c>
      <c r="Q94" s="20" t="str">
        <f t="shared" ref="Q94:Q95" si="2151">IF(Q87="","",Q87-P87)</f>
        <v/>
      </c>
      <c r="R94" s="20" t="str">
        <f t="shared" ref="R94:R95" si="2152">IF(R87="","",R87-Q87)</f>
        <v/>
      </c>
      <c r="S94" s="20" t="str">
        <f t="shared" ref="S94:S95" si="2153">IF(S87="","",S87-R87)</f>
        <v/>
      </c>
      <c r="T94" s="20" t="str">
        <f t="shared" ref="T94:T95" si="2154">IF(T87="","",T87-S87)</f>
        <v/>
      </c>
      <c r="U94" s="20" t="str">
        <f t="shared" ref="U94:U95" si="2155">IF(U87="","",U87-T87)</f>
        <v/>
      </c>
      <c r="V94" s="20" t="str">
        <f t="shared" ref="V94:V95" si="2156">IF(V87="","",V87-U87)</f>
        <v/>
      </c>
      <c r="W94" s="20" t="str">
        <f t="shared" ref="W94:W95" si="2157">IF(W87="","",W87-V87)</f>
        <v/>
      </c>
      <c r="X94" s="20" t="str">
        <f t="shared" ref="X94:X95" si="2158">IF(X87="","",X87-W87)</f>
        <v/>
      </c>
      <c r="Y94" s="20" t="str">
        <f t="shared" ref="Y94:Y95" si="2159">IF(Y87="","",Y87-X87)</f>
        <v/>
      </c>
      <c r="Z94" s="20" t="str">
        <f t="shared" ref="Z94:Z95" si="2160">IF(Z87="","",Z87-Y87)</f>
        <v/>
      </c>
      <c r="AA94" s="20" t="str">
        <f t="shared" ref="AA94:AA95" si="2161">IF(AA87="","",AA87-Z87)</f>
        <v/>
      </c>
      <c r="AB94" s="20" t="str">
        <f t="shared" ref="AB94:AB95" si="2162">IF(AB87="","",AB87-AA87)</f>
        <v/>
      </c>
      <c r="AC94" s="20" t="str">
        <f t="shared" ref="AC94:AC95" si="2163">IF(AC87="","",AC87-AB87)</f>
        <v/>
      </c>
      <c r="AD94" s="20" t="str">
        <f t="shared" ref="AD94:AD95" si="2164">IF(AD87="","",AD87-AC87)</f>
        <v/>
      </c>
      <c r="AE94" s="20" t="str">
        <f t="shared" ref="AE94:AE95" si="2165">IF(AE87="","",AE87-AD87)</f>
        <v/>
      </c>
      <c r="AF94" s="20" t="str">
        <f t="shared" ref="AF94:AF95" si="2166">IF(AF87="","",AF87-AE87)</f>
        <v/>
      </c>
      <c r="AG94" s="20" t="str">
        <f t="shared" ref="AG94:AG95" si="2167">IF(AG87="","",AG87-AF87)</f>
        <v/>
      </c>
      <c r="AH94" s="20" t="str">
        <f t="shared" ref="AH94:AH95" si="2168">IF(AH87="","",AH87-AG87)</f>
        <v/>
      </c>
      <c r="AI94" s="20" t="str">
        <f t="shared" ref="AI94:AI95" si="2169">IF(AI87="","",AI87-AH87)</f>
        <v/>
      </c>
      <c r="AJ94" s="20" t="str">
        <f t="shared" ref="AJ94:AJ95" si="2170">IF(AJ87="","",AJ87-AI87)</f>
        <v/>
      </c>
      <c r="AK94" s="20" t="str">
        <f t="shared" ref="AK94:AK95" si="2171">IF(AK87="","",AK87-AJ87)</f>
        <v/>
      </c>
      <c r="AL94" s="20" t="str">
        <f t="shared" ref="AL94:AL95" si="2172">IF(AL87="","",AL87-AK87)</f>
        <v/>
      </c>
      <c r="AM94" s="20" t="str">
        <f t="shared" ref="AM94:AM95" si="2173">IF(AM87="","",AM87-AL87)</f>
        <v/>
      </c>
      <c r="AN94" s="20" t="str">
        <f t="shared" ref="AN94:AN95" si="2174">IF(AN87="","",AN87-AM87)</f>
        <v/>
      </c>
      <c r="AO94" s="20" t="str">
        <f t="shared" ref="AO94:AO95" si="2175">IF(AO87="","",AO87-AN87)</f>
        <v/>
      </c>
      <c r="AP94" s="20" t="str">
        <f t="shared" ref="AP94:AP95" si="2176">IF(AP87="","",AP87-AO87)</f>
        <v/>
      </c>
      <c r="AQ94" s="20" t="str">
        <f t="shared" ref="AQ94:AQ95" si="2177">IF(AQ87="","",AQ87-AP87)</f>
        <v/>
      </c>
      <c r="AR94" s="20" t="str">
        <f t="shared" ref="AR94:AR95" si="2178">IF(AR87="","",AR87-AQ87)</f>
        <v/>
      </c>
      <c r="AS94" s="20" t="str">
        <f t="shared" ref="AS94:AS95" si="2179">IF(AS87="","",AS87-AR87)</f>
        <v/>
      </c>
      <c r="AT94" s="20" t="str">
        <f t="shared" ref="AT94:AT95" si="2180">IF(AT87="","",AT87-AS87)</f>
        <v/>
      </c>
      <c r="AU94" s="20" t="str">
        <f t="shared" ref="AU94:AU95" si="2181">IF(AU87="","",AU87-AT87)</f>
        <v/>
      </c>
      <c r="AV94" s="20" t="str">
        <f t="shared" ref="AS94:BC94" si="2182">IF(AV87="","",AV87-AU87)</f>
        <v/>
      </c>
      <c r="AW94" s="20" t="str">
        <f t="shared" si="2182"/>
        <v/>
      </c>
      <c r="AX94" s="20" t="str">
        <f t="shared" si="2182"/>
        <v/>
      </c>
      <c r="AY94" s="20" t="str">
        <f t="shared" si="2182"/>
        <v/>
      </c>
      <c r="AZ94" s="20" t="str">
        <f t="shared" si="2182"/>
        <v/>
      </c>
      <c r="BA94" s="20" t="str">
        <f t="shared" si="2182"/>
        <v/>
      </c>
      <c r="BB94" s="20" t="str">
        <f t="shared" si="2182"/>
        <v/>
      </c>
      <c r="BC94" s="20" t="str">
        <f t="shared" si="2182"/>
        <v/>
      </c>
    </row>
    <row r="95" spans="1:55" ht="11.25" customHeight="1" x14ac:dyDescent="0.2">
      <c r="A95" s="15">
        <f t="shared" si="2137"/>
        <v>7</v>
      </c>
      <c r="B95" s="19" t="s">
        <v>14</v>
      </c>
      <c r="C95" s="123">
        <v>0</v>
      </c>
      <c r="D95" s="20">
        <f t="shared" si="2138"/>
        <v>0</v>
      </c>
      <c r="E95" s="20">
        <f t="shared" si="2139"/>
        <v>0</v>
      </c>
      <c r="F95" s="20">
        <f t="shared" si="2140"/>
        <v>2</v>
      </c>
      <c r="G95" s="195">
        <f t="shared" si="2141"/>
        <v>0</v>
      </c>
      <c r="H95" s="20">
        <f t="shared" si="2142"/>
        <v>0</v>
      </c>
      <c r="I95" s="20">
        <f t="shared" si="2143"/>
        <v>5</v>
      </c>
      <c r="J95" s="195">
        <f t="shared" si="2144"/>
        <v>0</v>
      </c>
      <c r="K95" s="20">
        <f t="shared" si="2145"/>
        <v>0</v>
      </c>
      <c r="L95" s="20">
        <f t="shared" si="2146"/>
        <v>0</v>
      </c>
      <c r="M95" s="20">
        <f t="shared" si="2147"/>
        <v>0</v>
      </c>
      <c r="N95" s="195" t="str">
        <f t="shared" si="2148"/>
        <v/>
      </c>
      <c r="O95" s="20" t="str">
        <f t="shared" si="2149"/>
        <v/>
      </c>
      <c r="P95" s="20" t="str">
        <f t="shared" si="2150"/>
        <v/>
      </c>
      <c r="Q95" s="20" t="str">
        <f t="shared" si="2151"/>
        <v/>
      </c>
      <c r="R95" s="20" t="str">
        <f t="shared" si="2152"/>
        <v/>
      </c>
      <c r="S95" s="20" t="str">
        <f t="shared" si="2153"/>
        <v/>
      </c>
      <c r="T95" s="20" t="str">
        <f t="shared" si="2154"/>
        <v/>
      </c>
      <c r="U95" s="20" t="str">
        <f t="shared" si="2155"/>
        <v/>
      </c>
      <c r="V95" s="20" t="str">
        <f t="shared" si="2156"/>
        <v/>
      </c>
      <c r="W95" s="20" t="str">
        <f t="shared" si="2157"/>
        <v/>
      </c>
      <c r="X95" s="20" t="str">
        <f t="shared" si="2158"/>
        <v/>
      </c>
      <c r="Y95" s="20" t="str">
        <f t="shared" si="2159"/>
        <v/>
      </c>
      <c r="Z95" s="20" t="str">
        <f t="shared" si="2160"/>
        <v/>
      </c>
      <c r="AA95" s="20" t="str">
        <f t="shared" si="2161"/>
        <v/>
      </c>
      <c r="AB95" s="20" t="str">
        <f t="shared" si="2162"/>
        <v/>
      </c>
      <c r="AC95" s="20" t="str">
        <f t="shared" si="2163"/>
        <v/>
      </c>
      <c r="AD95" s="20" t="str">
        <f t="shared" si="2164"/>
        <v/>
      </c>
      <c r="AE95" s="20" t="str">
        <f t="shared" si="2165"/>
        <v/>
      </c>
      <c r="AF95" s="20" t="str">
        <f t="shared" si="2166"/>
        <v/>
      </c>
      <c r="AG95" s="20" t="str">
        <f t="shared" si="2167"/>
        <v/>
      </c>
      <c r="AH95" s="20" t="str">
        <f t="shared" si="2168"/>
        <v/>
      </c>
      <c r="AI95" s="20" t="str">
        <f t="shared" si="2169"/>
        <v/>
      </c>
      <c r="AJ95" s="20" t="str">
        <f t="shared" si="2170"/>
        <v/>
      </c>
      <c r="AK95" s="20" t="str">
        <f t="shared" si="2171"/>
        <v/>
      </c>
      <c r="AL95" s="20" t="str">
        <f t="shared" si="2172"/>
        <v/>
      </c>
      <c r="AM95" s="20" t="str">
        <f t="shared" si="2173"/>
        <v/>
      </c>
      <c r="AN95" s="20" t="str">
        <f t="shared" si="2174"/>
        <v/>
      </c>
      <c r="AO95" s="20" t="str">
        <f t="shared" si="2175"/>
        <v/>
      </c>
      <c r="AP95" s="20" t="str">
        <f t="shared" si="2176"/>
        <v/>
      </c>
      <c r="AQ95" s="20" t="str">
        <f t="shared" si="2177"/>
        <v/>
      </c>
      <c r="AR95" s="20" t="str">
        <f t="shared" si="2178"/>
        <v/>
      </c>
      <c r="AS95" s="20" t="str">
        <f t="shared" si="2179"/>
        <v/>
      </c>
      <c r="AT95" s="20" t="str">
        <f t="shared" si="2180"/>
        <v/>
      </c>
      <c r="AU95" s="20" t="str">
        <f t="shared" si="2181"/>
        <v/>
      </c>
      <c r="AV95" s="20" t="str">
        <f t="shared" ref="AS95:BC95" si="2183">IF(AV88="","",AV88-AU88)</f>
        <v/>
      </c>
      <c r="AW95" s="20" t="str">
        <f t="shared" si="2183"/>
        <v/>
      </c>
      <c r="AX95" s="20" t="str">
        <f t="shared" si="2183"/>
        <v/>
      </c>
      <c r="AY95" s="20" t="str">
        <f t="shared" si="2183"/>
        <v/>
      </c>
      <c r="AZ95" s="20" t="str">
        <f t="shared" si="2183"/>
        <v/>
      </c>
      <c r="BA95" s="20" t="str">
        <f t="shared" si="2183"/>
        <v/>
      </c>
      <c r="BB95" s="20" t="str">
        <f t="shared" si="2183"/>
        <v/>
      </c>
      <c r="BC95" s="20" t="str">
        <f t="shared" si="2183"/>
        <v/>
      </c>
    </row>
    <row r="96" spans="1:55" ht="11.25" customHeight="1" x14ac:dyDescent="0.2">
      <c r="A96" s="15">
        <f t="shared" si="2137"/>
        <v>7</v>
      </c>
      <c r="B96" s="19" t="s">
        <v>15</v>
      </c>
      <c r="C96" s="123">
        <v>0</v>
      </c>
      <c r="D96" s="20">
        <f t="shared" ref="D96" si="2184">IF(D89="","",C89+C90-D89)</f>
        <v>0</v>
      </c>
      <c r="E96" s="20">
        <f t="shared" ref="E96" si="2185">IF(E89="","",D89+D90-E89)</f>
        <v>0</v>
      </c>
      <c r="F96" s="20">
        <f t="shared" ref="F96" si="2186">IF(F89="","",E89+E90-F89)</f>
        <v>2</v>
      </c>
      <c r="G96" s="195">
        <f t="shared" ref="G96" si="2187">IF(G89="","",F89+F90-G89)</f>
        <v>0</v>
      </c>
      <c r="H96" s="20">
        <f t="shared" ref="H96" si="2188">IF(H89="","",G89+G90-H89)</f>
        <v>0</v>
      </c>
      <c r="I96" s="20">
        <f t="shared" ref="I96" si="2189">IF(I89="","",H89+H90-I89)</f>
        <v>5</v>
      </c>
      <c r="J96" s="195">
        <f t="shared" ref="J96" si="2190">IF(J89="","",I89+I90-J89)</f>
        <v>0</v>
      </c>
      <c r="K96" s="20">
        <f t="shared" ref="K96" si="2191">IF(K89="","",J89+J90-K89)</f>
        <v>0</v>
      </c>
      <c r="L96" s="20">
        <f t="shared" ref="L96" si="2192">IF(L89="","",K89+K90-L89)</f>
        <v>0</v>
      </c>
      <c r="M96" s="20">
        <f t="shared" ref="M96" si="2193">IF(M89="","",L89+L90-M89)</f>
        <v>0</v>
      </c>
      <c r="N96" s="195" t="str">
        <f t="shared" ref="N96" si="2194">IF(N89="","",M89+M90-N89)</f>
        <v/>
      </c>
      <c r="O96" s="20" t="str">
        <f t="shared" ref="O96" si="2195">IF(O89="","",N89+N90-O89)</f>
        <v/>
      </c>
      <c r="P96" s="20" t="str">
        <f t="shared" ref="P96" si="2196">IF(P89="","",O89+O90-P89)</f>
        <v/>
      </c>
      <c r="Q96" s="20" t="str">
        <f t="shared" ref="Q96" si="2197">IF(Q89="","",P89+P90-Q89)</f>
        <v/>
      </c>
      <c r="R96" s="20" t="str">
        <f t="shared" ref="R96" si="2198">IF(R89="","",Q89+Q90-R89)</f>
        <v/>
      </c>
      <c r="S96" s="20" t="str">
        <f t="shared" ref="S96" si="2199">IF(S89="","",R89+R90-S89)</f>
        <v/>
      </c>
      <c r="T96" s="20" t="str">
        <f t="shared" ref="T96" si="2200">IF(T89="","",S89+S90-T89)</f>
        <v/>
      </c>
      <c r="U96" s="20" t="str">
        <f t="shared" ref="U96" si="2201">IF(U89="","",T89+T90-U89)</f>
        <v/>
      </c>
      <c r="V96" s="20" t="str">
        <f t="shared" ref="V96" si="2202">IF(V89="","",U89+U90-V89)</f>
        <v/>
      </c>
      <c r="W96" s="20" t="str">
        <f t="shared" ref="W96" si="2203">IF(W89="","",V89+V90-W89)</f>
        <v/>
      </c>
      <c r="X96" s="20" t="str">
        <f t="shared" ref="X96" si="2204">IF(X89="","",W89+W90-X89)</f>
        <v/>
      </c>
      <c r="Y96" s="20" t="str">
        <f t="shared" ref="Y96" si="2205">IF(Y89="","",X89+X90-Y89)</f>
        <v/>
      </c>
      <c r="Z96" s="20" t="str">
        <f t="shared" ref="Z96" si="2206">IF(Z89="","",Y89+Y90-Z89)</f>
        <v/>
      </c>
      <c r="AA96" s="20" t="str">
        <f t="shared" ref="AA96" si="2207">IF(AA89="","",Z89+Z90-AA89)</f>
        <v/>
      </c>
      <c r="AB96" s="20" t="str">
        <f t="shared" ref="AB96" si="2208">IF(AB89="","",AA89+AA90-AB89)</f>
        <v/>
      </c>
      <c r="AC96" s="20" t="str">
        <f t="shared" ref="AC96" si="2209">IF(AC89="","",AB89+AB90-AC89)</f>
        <v/>
      </c>
      <c r="AD96" s="20" t="str">
        <f t="shared" ref="AD96" si="2210">IF(AD89="","",AC89+AC90-AD89)</f>
        <v/>
      </c>
      <c r="AE96" s="20" t="str">
        <f t="shared" ref="AE96" si="2211">IF(AE89="","",AD89+AD90-AE89)</f>
        <v/>
      </c>
      <c r="AF96" s="20" t="str">
        <f t="shared" ref="AF96" si="2212">IF(AF89="","",AE89+AE90-AF89)</f>
        <v/>
      </c>
      <c r="AG96" s="20" t="str">
        <f t="shared" ref="AG96" si="2213">IF(AG89="","",AF89+AF90-AG89)</f>
        <v/>
      </c>
      <c r="AH96" s="20" t="str">
        <f t="shared" ref="AH96" si="2214">IF(AH89="","",AG89+AG90-AH89)</f>
        <v/>
      </c>
      <c r="AI96" s="20" t="str">
        <f t="shared" ref="AI96" si="2215">IF(AI89="","",AH89+AH90-AI89)</f>
        <v/>
      </c>
      <c r="AJ96" s="20" t="str">
        <f t="shared" ref="AJ96" si="2216">IF(AJ89="","",AI89+AI90-AJ89)</f>
        <v/>
      </c>
      <c r="AK96" s="20" t="str">
        <f t="shared" ref="AK96" si="2217">IF(AK89="","",AJ89+AJ90-AK89)</f>
        <v/>
      </c>
      <c r="AL96" s="20" t="str">
        <f t="shared" ref="AL96" si="2218">IF(AL89="","",AK89+AK90-AL89)</f>
        <v/>
      </c>
      <c r="AM96" s="20" t="str">
        <f t="shared" ref="AM96" si="2219">IF(AM89="","",AL89+AL90-AM89)</f>
        <v/>
      </c>
      <c r="AN96" s="20" t="str">
        <f t="shared" ref="AN96" si="2220">IF(AN89="","",AM89+AM90-AN89)</f>
        <v/>
      </c>
      <c r="AO96" s="20" t="str">
        <f t="shared" ref="AO96" si="2221">IF(AO89="","",AN89+AN90-AO89)</f>
        <v/>
      </c>
      <c r="AP96" s="20" t="str">
        <f t="shared" ref="AP96" si="2222">IF(AP89="","",AO89+AO90-AP89)</f>
        <v/>
      </c>
      <c r="AQ96" s="20" t="str">
        <f t="shared" ref="AQ96" si="2223">IF(AQ89="","",AP89+AP90-AQ89)</f>
        <v/>
      </c>
      <c r="AR96" s="20" t="str">
        <f t="shared" ref="AR96" si="2224">IF(AR89="","",AQ89+AQ90-AR89)</f>
        <v/>
      </c>
      <c r="AS96" s="20" t="str">
        <f t="shared" ref="AS96" si="2225">IF(AS89="","",AR89+AR90-AS89)</f>
        <v/>
      </c>
      <c r="AT96" s="20" t="str">
        <f t="shared" ref="AT96" si="2226">IF(AT89="","",AS89+AS90-AT89)</f>
        <v/>
      </c>
      <c r="AU96" s="20" t="str">
        <f t="shared" ref="AU96" si="2227">IF(AU89="","",AT89+AT90-AU89)</f>
        <v/>
      </c>
      <c r="AV96" s="20" t="str">
        <f t="shared" ref="AS96:BC96" si="2228">IF(AV89="","",AU89+AU90-AV89)</f>
        <v/>
      </c>
      <c r="AW96" s="20" t="str">
        <f t="shared" si="2228"/>
        <v/>
      </c>
      <c r="AX96" s="20" t="str">
        <f t="shared" si="2228"/>
        <v/>
      </c>
      <c r="AY96" s="20" t="str">
        <f t="shared" si="2228"/>
        <v/>
      </c>
      <c r="AZ96" s="20" t="str">
        <f t="shared" si="2228"/>
        <v/>
      </c>
      <c r="BA96" s="20" t="str">
        <f t="shared" si="2228"/>
        <v/>
      </c>
      <c r="BB96" s="20" t="str">
        <f t="shared" si="2228"/>
        <v/>
      </c>
      <c r="BC96" s="20" t="str">
        <f t="shared" si="2228"/>
        <v/>
      </c>
    </row>
    <row r="97" spans="1:55" ht="11.25" customHeight="1" x14ac:dyDescent="0.2">
      <c r="A97" s="15">
        <f t="shared" si="2137"/>
        <v>1267</v>
      </c>
      <c r="B97" s="19" t="s">
        <v>16</v>
      </c>
      <c r="C97" s="123">
        <v>0</v>
      </c>
      <c r="D97" s="20">
        <f t="shared" ref="D97:AU97" si="2229">IF(D87="","",D96*D91)</f>
        <v>0</v>
      </c>
      <c r="E97" s="20">
        <f t="shared" si="2229"/>
        <v>0</v>
      </c>
      <c r="F97" s="20">
        <f t="shared" si="2229"/>
        <v>362</v>
      </c>
      <c r="G97" s="195">
        <f t="shared" si="2229"/>
        <v>0</v>
      </c>
      <c r="H97" s="20">
        <f t="shared" si="2229"/>
        <v>0</v>
      </c>
      <c r="I97" s="20">
        <f t="shared" si="2229"/>
        <v>905</v>
      </c>
      <c r="J97" s="195">
        <f t="shared" si="2229"/>
        <v>0</v>
      </c>
      <c r="K97" s="20">
        <f t="shared" si="2229"/>
        <v>0</v>
      </c>
      <c r="L97" s="20">
        <f t="shared" si="2229"/>
        <v>0</v>
      </c>
      <c r="M97" s="20">
        <f t="shared" si="2229"/>
        <v>0</v>
      </c>
      <c r="N97" s="195" t="str">
        <f t="shared" si="2229"/>
        <v/>
      </c>
      <c r="O97" s="20" t="str">
        <f t="shared" si="2229"/>
        <v/>
      </c>
      <c r="P97" s="20" t="str">
        <f t="shared" si="2229"/>
        <v/>
      </c>
      <c r="Q97" s="20" t="str">
        <f t="shared" si="2229"/>
        <v/>
      </c>
      <c r="R97" s="20" t="str">
        <f t="shared" si="2229"/>
        <v/>
      </c>
      <c r="S97" s="20" t="str">
        <f t="shared" si="2229"/>
        <v/>
      </c>
      <c r="T97" s="20" t="str">
        <f t="shared" si="2229"/>
        <v/>
      </c>
      <c r="U97" s="20" t="str">
        <f t="shared" si="2229"/>
        <v/>
      </c>
      <c r="V97" s="20" t="str">
        <f t="shared" si="2229"/>
        <v/>
      </c>
      <c r="W97" s="20" t="str">
        <f t="shared" si="2229"/>
        <v/>
      </c>
      <c r="X97" s="20" t="str">
        <f t="shared" si="2229"/>
        <v/>
      </c>
      <c r="Y97" s="20" t="str">
        <f t="shared" si="2229"/>
        <v/>
      </c>
      <c r="Z97" s="20" t="str">
        <f t="shared" si="2229"/>
        <v/>
      </c>
      <c r="AA97" s="20" t="str">
        <f t="shared" si="2229"/>
        <v/>
      </c>
      <c r="AB97" s="20" t="str">
        <f t="shared" si="2229"/>
        <v/>
      </c>
      <c r="AC97" s="20" t="str">
        <f t="shared" si="2229"/>
        <v/>
      </c>
      <c r="AD97" s="20" t="str">
        <f t="shared" si="2229"/>
        <v/>
      </c>
      <c r="AE97" s="20" t="str">
        <f t="shared" si="2229"/>
        <v/>
      </c>
      <c r="AF97" s="20" t="str">
        <f t="shared" si="2229"/>
        <v/>
      </c>
      <c r="AG97" s="20" t="str">
        <f t="shared" si="2229"/>
        <v/>
      </c>
      <c r="AH97" s="20" t="str">
        <f t="shared" si="2229"/>
        <v/>
      </c>
      <c r="AI97" s="20" t="str">
        <f t="shared" si="2229"/>
        <v/>
      </c>
      <c r="AJ97" s="20" t="str">
        <f t="shared" si="2229"/>
        <v/>
      </c>
      <c r="AK97" s="20" t="str">
        <f t="shared" si="2229"/>
        <v/>
      </c>
      <c r="AL97" s="20" t="str">
        <f t="shared" si="2229"/>
        <v/>
      </c>
      <c r="AM97" s="20" t="str">
        <f t="shared" si="2229"/>
        <v/>
      </c>
      <c r="AN97" s="20" t="str">
        <f t="shared" si="2229"/>
        <v/>
      </c>
      <c r="AO97" s="20" t="str">
        <f t="shared" si="2229"/>
        <v/>
      </c>
      <c r="AP97" s="20" t="str">
        <f t="shared" si="2229"/>
        <v/>
      </c>
      <c r="AQ97" s="20" t="str">
        <f t="shared" si="2229"/>
        <v/>
      </c>
      <c r="AR97" s="20" t="str">
        <f t="shared" si="2229"/>
        <v/>
      </c>
      <c r="AS97" s="20" t="str">
        <f t="shared" si="2229"/>
        <v/>
      </c>
      <c r="AT97" s="20" t="str">
        <f t="shared" si="2229"/>
        <v/>
      </c>
      <c r="AU97" s="20" t="str">
        <f t="shared" si="2229"/>
        <v/>
      </c>
      <c r="AV97" s="20" t="str">
        <f t="shared" ref="AS97:BC97" si="2230">IF(AV87="","",AV96*AV91)</f>
        <v/>
      </c>
      <c r="AW97" s="20" t="str">
        <f t="shared" si="2230"/>
        <v/>
      </c>
      <c r="AX97" s="20" t="str">
        <f t="shared" si="2230"/>
        <v/>
      </c>
      <c r="AY97" s="20" t="str">
        <f t="shared" si="2230"/>
        <v/>
      </c>
      <c r="AZ97" s="20" t="str">
        <f t="shared" si="2230"/>
        <v/>
      </c>
      <c r="BA97" s="20" t="str">
        <f t="shared" si="2230"/>
        <v/>
      </c>
      <c r="BB97" s="20" t="str">
        <f t="shared" si="2230"/>
        <v/>
      </c>
      <c r="BC97" s="20" t="str">
        <f t="shared" si="2230"/>
        <v/>
      </c>
    </row>
    <row r="98" spans="1:55" ht="11.25" customHeight="1" x14ac:dyDescent="0.2">
      <c r="A98" s="21">
        <f>IF(A97="","",A97/(A94*100))</f>
        <v>6.3350000000000004E-2</v>
      </c>
      <c r="B98" s="19" t="s">
        <v>17</v>
      </c>
      <c r="C98" s="146" t="s">
        <v>18</v>
      </c>
      <c r="D98" s="27" t="str">
        <f t="shared" ref="D98:AU98" si="2231">IF(D97="","",IF(D97=0,"",D97/(D94*100)))</f>
        <v/>
      </c>
      <c r="E98" s="27" t="str">
        <f t="shared" si="2231"/>
        <v/>
      </c>
      <c r="F98" s="27">
        <f t="shared" si="2231"/>
        <v>2.7014925373134328E-2</v>
      </c>
      <c r="G98" s="199" t="str">
        <f t="shared" si="2231"/>
        <v/>
      </c>
      <c r="H98" s="27" t="str">
        <f t="shared" si="2231"/>
        <v/>
      </c>
      <c r="I98" s="27">
        <f t="shared" si="2231"/>
        <v>0.13712121212121212</v>
      </c>
      <c r="J98" s="199" t="str">
        <f t="shared" si="2231"/>
        <v/>
      </c>
      <c r="K98" s="27" t="str">
        <f t="shared" si="2231"/>
        <v/>
      </c>
      <c r="L98" s="27" t="str">
        <f t="shared" si="2231"/>
        <v/>
      </c>
      <c r="M98" s="27" t="str">
        <f t="shared" si="2231"/>
        <v/>
      </c>
      <c r="N98" s="199" t="str">
        <f t="shared" si="2231"/>
        <v/>
      </c>
      <c r="O98" s="27" t="str">
        <f t="shared" si="2231"/>
        <v/>
      </c>
      <c r="P98" s="27" t="str">
        <f t="shared" si="2231"/>
        <v/>
      </c>
      <c r="Q98" s="27" t="str">
        <f t="shared" si="2231"/>
        <v/>
      </c>
      <c r="R98" s="27" t="str">
        <f t="shared" si="2231"/>
        <v/>
      </c>
      <c r="S98" s="27" t="str">
        <f t="shared" si="2231"/>
        <v/>
      </c>
      <c r="T98" s="27" t="str">
        <f t="shared" si="2231"/>
        <v/>
      </c>
      <c r="U98" s="27" t="str">
        <f t="shared" si="2231"/>
        <v/>
      </c>
      <c r="V98" s="27" t="str">
        <f t="shared" si="2231"/>
        <v/>
      </c>
      <c r="W98" s="27" t="str">
        <f t="shared" si="2231"/>
        <v/>
      </c>
      <c r="X98" s="27" t="str">
        <f t="shared" si="2231"/>
        <v/>
      </c>
      <c r="Y98" s="27" t="str">
        <f t="shared" si="2231"/>
        <v/>
      </c>
      <c r="Z98" s="27" t="str">
        <f t="shared" si="2231"/>
        <v/>
      </c>
      <c r="AA98" s="27" t="str">
        <f t="shared" si="2231"/>
        <v/>
      </c>
      <c r="AB98" s="27" t="str">
        <f t="shared" si="2231"/>
        <v/>
      </c>
      <c r="AC98" s="27" t="str">
        <f t="shared" si="2231"/>
        <v/>
      </c>
      <c r="AD98" s="27" t="str">
        <f t="shared" si="2231"/>
        <v/>
      </c>
      <c r="AE98" s="27" t="str">
        <f t="shared" si="2231"/>
        <v/>
      </c>
      <c r="AF98" s="27" t="str">
        <f t="shared" si="2231"/>
        <v/>
      </c>
      <c r="AG98" s="27" t="str">
        <f t="shared" si="2231"/>
        <v/>
      </c>
      <c r="AH98" s="27" t="str">
        <f t="shared" si="2231"/>
        <v/>
      </c>
      <c r="AI98" s="27" t="str">
        <f t="shared" si="2231"/>
        <v/>
      </c>
      <c r="AJ98" s="27" t="str">
        <f t="shared" si="2231"/>
        <v/>
      </c>
      <c r="AK98" s="27" t="str">
        <f t="shared" si="2231"/>
        <v/>
      </c>
      <c r="AL98" s="27" t="str">
        <f t="shared" si="2231"/>
        <v/>
      </c>
      <c r="AM98" s="27" t="str">
        <f t="shared" si="2231"/>
        <v/>
      </c>
      <c r="AN98" s="27" t="str">
        <f t="shared" si="2231"/>
        <v/>
      </c>
      <c r="AO98" s="27" t="str">
        <f t="shared" si="2231"/>
        <v/>
      </c>
      <c r="AP98" s="27" t="str">
        <f t="shared" si="2231"/>
        <v/>
      </c>
      <c r="AQ98" s="27" t="str">
        <f t="shared" si="2231"/>
        <v/>
      </c>
      <c r="AR98" s="27" t="str">
        <f t="shared" si="2231"/>
        <v/>
      </c>
      <c r="AS98" s="27" t="str">
        <f t="shared" si="2231"/>
        <v/>
      </c>
      <c r="AT98" s="27" t="str">
        <f t="shared" si="2231"/>
        <v/>
      </c>
      <c r="AU98" s="27" t="str">
        <f t="shared" si="2231"/>
        <v/>
      </c>
      <c r="AV98" s="27" t="str">
        <f t="shared" ref="AS98:BC98" si="2232">IF(AV97="","",IF(AV97=0,"",AV97/(AV94*100)))</f>
        <v/>
      </c>
      <c r="AW98" s="27" t="str">
        <f t="shared" si="2232"/>
        <v/>
      </c>
      <c r="AX98" s="27" t="str">
        <f t="shared" si="2232"/>
        <v/>
      </c>
      <c r="AY98" s="27" t="str">
        <f t="shared" si="2232"/>
        <v/>
      </c>
      <c r="AZ98" s="27" t="str">
        <f t="shared" si="2232"/>
        <v/>
      </c>
      <c r="BA98" s="27" t="str">
        <f t="shared" si="2232"/>
        <v/>
      </c>
      <c r="BB98" s="27" t="str">
        <f t="shared" si="2232"/>
        <v/>
      </c>
      <c r="BC98" s="27" t="str">
        <f t="shared" si="2232"/>
        <v/>
      </c>
    </row>
    <row r="99" spans="1:55" ht="11.25" customHeight="1" x14ac:dyDescent="0.2">
      <c r="A99" s="28" t="s">
        <v>1</v>
      </c>
      <c r="B99" s="29" t="s">
        <v>2</v>
      </c>
      <c r="C99" s="129">
        <v>17991</v>
      </c>
      <c r="D99" s="16">
        <f t="shared" ref="D99:D100" si="2233">IF(D$3="","",C99)</f>
        <v>17991</v>
      </c>
      <c r="E99" s="16">
        <f t="shared" ref="E99:E100" si="2234">IF(E$3="","",D99)</f>
        <v>17991</v>
      </c>
      <c r="F99" s="16">
        <v>18054</v>
      </c>
      <c r="G99" s="196">
        <f t="shared" ref="G99:G100" si="2235">IF(G$3="","",F99)</f>
        <v>18054</v>
      </c>
      <c r="H99" s="16">
        <f t="shared" ref="H99:H100" si="2236">IF(H$3="","",G99)</f>
        <v>18054</v>
      </c>
      <c r="I99" s="16">
        <v>18080</v>
      </c>
      <c r="J99" s="196">
        <f t="shared" ref="J99:J100" si="2237">IF(J$3="","",I99)</f>
        <v>18080</v>
      </c>
      <c r="K99" s="16">
        <f t="shared" ref="K99:K100" si="2238">IF(K$3="","",J99)</f>
        <v>18080</v>
      </c>
      <c r="L99" s="16">
        <f t="shared" ref="L99:L100" si="2239">IF(L$3="","",K99)</f>
        <v>18080</v>
      </c>
      <c r="M99" s="16">
        <f t="shared" ref="M99:M100" si="2240">IF(M$3="","",L99)</f>
        <v>18080</v>
      </c>
      <c r="N99" s="196" t="str">
        <f t="shared" ref="N99:N100" si="2241">IF(N$3="","",M99)</f>
        <v/>
      </c>
      <c r="O99" s="16" t="str">
        <f t="shared" ref="O99:O100" si="2242">IF(O$3="","",N99)</f>
        <v/>
      </c>
      <c r="P99" s="16" t="str">
        <f t="shared" ref="P99:P100" si="2243">IF(P$3="","",O99)</f>
        <v/>
      </c>
      <c r="Q99" s="16" t="str">
        <f t="shared" ref="Q99:Q100" si="2244">IF(Q$3="","",P99)</f>
        <v/>
      </c>
      <c r="R99" s="16" t="str">
        <f t="shared" ref="R99:R100" si="2245">IF(R$3="","",Q99)</f>
        <v/>
      </c>
      <c r="S99" s="16" t="str">
        <f t="shared" ref="S99:S100" si="2246">IF(S$3="","",R99)</f>
        <v/>
      </c>
      <c r="T99" s="16" t="str">
        <f t="shared" ref="T99:T100" si="2247">IF(T$3="","",S99)</f>
        <v/>
      </c>
      <c r="U99" s="16" t="str">
        <f t="shared" ref="U99:U100" si="2248">IF(U$3="","",T99)</f>
        <v/>
      </c>
      <c r="V99" s="16" t="str">
        <f t="shared" ref="V99:V100" si="2249">IF(V$3="","",U99)</f>
        <v/>
      </c>
      <c r="W99" s="16" t="str">
        <f t="shared" ref="W99:W100" si="2250">IF(W$3="","",V99)</f>
        <v/>
      </c>
      <c r="X99" s="16" t="str">
        <f t="shared" ref="X99:X100" si="2251">IF(X$3="","",W99)</f>
        <v/>
      </c>
      <c r="Y99" s="16" t="str">
        <f t="shared" ref="Y99:Y100" si="2252">IF(Y$3="","",X99)</f>
        <v/>
      </c>
      <c r="Z99" s="16" t="str">
        <f t="shared" ref="Z99:Z100" si="2253">IF(Z$3="","",Y99)</f>
        <v/>
      </c>
      <c r="AA99" s="16" t="str">
        <f t="shared" ref="AA99:AA100" si="2254">IF(AA$3="","",Z99)</f>
        <v/>
      </c>
      <c r="AB99" s="16" t="str">
        <f t="shared" ref="AB99:AB100" si="2255">IF(AB$3="","",AA99)</f>
        <v/>
      </c>
      <c r="AC99" s="16" t="str">
        <f t="shared" ref="AC99:AC100" si="2256">IF(AC$3="","",AB99)</f>
        <v/>
      </c>
      <c r="AD99" s="16" t="str">
        <f t="shared" ref="AD99:AD100" si="2257">IF(AD$3="","",AC99)</f>
        <v/>
      </c>
      <c r="AE99" s="16" t="str">
        <f t="shared" ref="AE99:AE100" si="2258">IF(AE$3="","",AD99)</f>
        <v/>
      </c>
      <c r="AF99" s="16" t="str">
        <f t="shared" ref="AF99:AF100" si="2259">IF(AF$3="","",AE99)</f>
        <v/>
      </c>
      <c r="AG99" s="16" t="str">
        <f t="shared" ref="AG99:AG100" si="2260">IF(AG$3="","",AF99)</f>
        <v/>
      </c>
      <c r="AH99" s="16" t="str">
        <f t="shared" ref="AH99:AH100" si="2261">IF(AH$3="","",AG99)</f>
        <v/>
      </c>
      <c r="AI99" s="16" t="str">
        <f t="shared" ref="AI99:AI100" si="2262">IF(AI$3="","",AH99)</f>
        <v/>
      </c>
      <c r="AJ99" s="16" t="str">
        <f t="shared" ref="AJ99:AJ100" si="2263">IF(AJ$3="","",AI99)</f>
        <v/>
      </c>
      <c r="AK99" s="16" t="str">
        <f t="shared" ref="AK99:AK100" si="2264">IF(AK$3="","",AJ99)</f>
        <v/>
      </c>
      <c r="AL99" s="16" t="str">
        <f t="shared" ref="AL99:AL100" si="2265">IF(AL$3="","",AK99)</f>
        <v/>
      </c>
      <c r="AM99" s="16" t="str">
        <f t="shared" ref="AM99:AM100" si="2266">IF(AM$3="","",AL99)</f>
        <v/>
      </c>
      <c r="AN99" s="16" t="str">
        <f t="shared" ref="AN99:AN100" si="2267">IF(AN$3="","",AM99)</f>
        <v/>
      </c>
      <c r="AO99" s="16" t="str">
        <f t="shared" ref="AO99:AO100" si="2268">IF(AO$3="","",AN99)</f>
        <v/>
      </c>
      <c r="AP99" s="16" t="str">
        <f t="shared" ref="AP99:AP100" si="2269">IF(AP$3="","",AO99)</f>
        <v/>
      </c>
      <c r="AQ99" s="16" t="str">
        <f t="shared" ref="AQ99:AQ100" si="2270">IF(AQ$3="","",AP99)</f>
        <v/>
      </c>
      <c r="AR99" s="16" t="str">
        <f t="shared" ref="AR99:AR100" si="2271">IF(AR$3="","",AQ99)</f>
        <v/>
      </c>
      <c r="AS99" s="16" t="str">
        <f t="shared" ref="AS99:AS100" si="2272">IF(AS$3="","",AR99)</f>
        <v/>
      </c>
      <c r="AT99" s="16" t="str">
        <f t="shared" ref="AT99:AT100" si="2273">IF(AT$3="","",AS99)</f>
        <v/>
      </c>
      <c r="AU99" s="16" t="str">
        <f t="shared" ref="AU99:AU100" si="2274">IF(AU$3="","",AT99)</f>
        <v/>
      </c>
      <c r="AV99" s="16" t="str">
        <f t="shared" ref="AS99:BC99" si="2275">IF(AV$3="","",AU99)</f>
        <v/>
      </c>
      <c r="AW99" s="16" t="str">
        <f t="shared" si="2275"/>
        <v/>
      </c>
      <c r="AX99" s="16" t="str">
        <f t="shared" si="2275"/>
        <v/>
      </c>
      <c r="AY99" s="16" t="str">
        <f t="shared" si="2275"/>
        <v/>
      </c>
      <c r="AZ99" s="16" t="str">
        <f t="shared" si="2275"/>
        <v/>
      </c>
      <c r="BA99" s="16" t="str">
        <f t="shared" si="2275"/>
        <v/>
      </c>
      <c r="BB99" s="16" t="str">
        <f t="shared" si="2275"/>
        <v/>
      </c>
      <c r="BC99" s="16" t="str">
        <f t="shared" si="2275"/>
        <v/>
      </c>
    </row>
    <row r="100" spans="1:55" ht="11.25" customHeight="1" x14ac:dyDescent="0.2">
      <c r="A100" s="10" t="s">
        <v>29</v>
      </c>
      <c r="B100" s="11" t="s">
        <v>4</v>
      </c>
      <c r="C100" s="123">
        <v>1872</v>
      </c>
      <c r="D100" s="12">
        <f t="shared" si="2233"/>
        <v>1872</v>
      </c>
      <c r="E100" s="12">
        <f t="shared" si="2234"/>
        <v>1872</v>
      </c>
      <c r="F100" s="12">
        <v>1876</v>
      </c>
      <c r="G100" s="195">
        <f t="shared" si="2235"/>
        <v>1876</v>
      </c>
      <c r="H100" s="12">
        <f t="shared" si="2236"/>
        <v>1876</v>
      </c>
      <c r="I100" s="12">
        <v>1880</v>
      </c>
      <c r="J100" s="195">
        <f t="shared" si="2237"/>
        <v>1880</v>
      </c>
      <c r="K100" s="12">
        <f t="shared" si="2238"/>
        <v>1880</v>
      </c>
      <c r="L100" s="12">
        <f t="shared" si="2239"/>
        <v>1880</v>
      </c>
      <c r="M100" s="12">
        <f t="shared" si="2240"/>
        <v>1880</v>
      </c>
      <c r="N100" s="195" t="str">
        <f t="shared" si="2241"/>
        <v/>
      </c>
      <c r="O100" s="12" t="str">
        <f t="shared" si="2242"/>
        <v/>
      </c>
      <c r="P100" s="12" t="str">
        <f t="shared" si="2243"/>
        <v/>
      </c>
      <c r="Q100" s="12" t="str">
        <f t="shared" si="2244"/>
        <v/>
      </c>
      <c r="R100" s="12" t="str">
        <f t="shared" si="2245"/>
        <v/>
      </c>
      <c r="S100" s="12" t="str">
        <f t="shared" si="2246"/>
        <v/>
      </c>
      <c r="T100" s="12" t="str">
        <f t="shared" si="2247"/>
        <v/>
      </c>
      <c r="U100" s="12" t="str">
        <f t="shared" si="2248"/>
        <v/>
      </c>
      <c r="V100" s="12" t="str">
        <f t="shared" si="2249"/>
        <v/>
      </c>
      <c r="W100" s="12" t="str">
        <f t="shared" si="2250"/>
        <v/>
      </c>
      <c r="X100" s="12" t="str">
        <f t="shared" si="2251"/>
        <v/>
      </c>
      <c r="Y100" s="12" t="str">
        <f t="shared" si="2252"/>
        <v/>
      </c>
      <c r="Z100" s="12" t="str">
        <f t="shared" si="2253"/>
        <v/>
      </c>
      <c r="AA100" s="12" t="str">
        <f t="shared" si="2254"/>
        <v/>
      </c>
      <c r="AB100" s="12" t="str">
        <f t="shared" si="2255"/>
        <v/>
      </c>
      <c r="AC100" s="12" t="str">
        <f t="shared" si="2256"/>
        <v/>
      </c>
      <c r="AD100" s="12" t="str">
        <f t="shared" si="2257"/>
        <v/>
      </c>
      <c r="AE100" s="12" t="str">
        <f t="shared" si="2258"/>
        <v/>
      </c>
      <c r="AF100" s="12" t="str">
        <f t="shared" si="2259"/>
        <v/>
      </c>
      <c r="AG100" s="12" t="str">
        <f t="shared" si="2260"/>
        <v/>
      </c>
      <c r="AH100" s="12" t="str">
        <f t="shared" si="2261"/>
        <v/>
      </c>
      <c r="AI100" s="12" t="str">
        <f t="shared" si="2262"/>
        <v/>
      </c>
      <c r="AJ100" s="12" t="str">
        <f t="shared" si="2263"/>
        <v/>
      </c>
      <c r="AK100" s="12" t="str">
        <f t="shared" si="2264"/>
        <v/>
      </c>
      <c r="AL100" s="12" t="str">
        <f t="shared" si="2265"/>
        <v/>
      </c>
      <c r="AM100" s="12" t="str">
        <f t="shared" si="2266"/>
        <v/>
      </c>
      <c r="AN100" s="12" t="str">
        <f t="shared" si="2267"/>
        <v/>
      </c>
      <c r="AO100" s="12" t="str">
        <f t="shared" si="2268"/>
        <v/>
      </c>
      <c r="AP100" s="12" t="str">
        <f t="shared" si="2269"/>
        <v/>
      </c>
      <c r="AQ100" s="12" t="str">
        <f t="shared" si="2270"/>
        <v/>
      </c>
      <c r="AR100" s="12" t="str">
        <f t="shared" si="2271"/>
        <v/>
      </c>
      <c r="AS100" s="12" t="str">
        <f t="shared" si="2272"/>
        <v/>
      </c>
      <c r="AT100" s="12" t="str">
        <f t="shared" si="2273"/>
        <v/>
      </c>
      <c r="AU100" s="12" t="str">
        <f t="shared" si="2274"/>
        <v/>
      </c>
      <c r="AV100" s="12" t="str">
        <f t="shared" ref="AS100:BC100" si="2276">IF(AV$3="","",AU100)</f>
        <v/>
      </c>
      <c r="AW100" s="12" t="str">
        <f t="shared" si="2276"/>
        <v/>
      </c>
      <c r="AX100" s="12" t="str">
        <f t="shared" si="2276"/>
        <v/>
      </c>
      <c r="AY100" s="12" t="str">
        <f t="shared" si="2276"/>
        <v/>
      </c>
      <c r="AZ100" s="12" t="str">
        <f t="shared" si="2276"/>
        <v/>
      </c>
      <c r="BA100" s="12" t="str">
        <f t="shared" si="2276"/>
        <v/>
      </c>
      <c r="BB100" s="12" t="str">
        <f t="shared" si="2276"/>
        <v/>
      </c>
      <c r="BC100" s="12" t="str">
        <f t="shared" si="2276"/>
        <v/>
      </c>
    </row>
    <row r="101" spans="1:55" ht="11.25" customHeight="1" x14ac:dyDescent="0.25">
      <c r="A101" s="24">
        <v>4</v>
      </c>
      <c r="B101" s="11" t="s">
        <v>5</v>
      </c>
      <c r="C101" s="123">
        <v>27</v>
      </c>
      <c r="D101" s="12">
        <f t="shared" ref="D101" si="2277">IF(D99="","",(C101+C102))</f>
        <v>27</v>
      </c>
      <c r="E101" s="12">
        <f t="shared" ref="E101" si="2278">IF(E99="","",(D101+D102))</f>
        <v>27</v>
      </c>
      <c r="F101" s="12">
        <v>23</v>
      </c>
      <c r="G101" s="195">
        <f t="shared" ref="G101" si="2279">IF(G99="","",(F101+F102))</f>
        <v>27</v>
      </c>
      <c r="H101" s="12">
        <f t="shared" ref="H101" si="2280">IF(H99="","",(G101+G102))</f>
        <v>27</v>
      </c>
      <c r="I101" s="12">
        <v>27</v>
      </c>
      <c r="J101" s="195">
        <f t="shared" ref="J101" si="2281">IF(J99="","",(I101+I102))</f>
        <v>9</v>
      </c>
      <c r="K101" s="12">
        <f t="shared" ref="K101" si="2282">IF(K99="","",(J101+J102))</f>
        <v>9</v>
      </c>
      <c r="L101" s="12">
        <f t="shared" ref="L101" si="2283">IF(L99="","",(K101+K102))</f>
        <v>9</v>
      </c>
      <c r="M101" s="12">
        <f t="shared" ref="M101" si="2284">IF(M99="","",(L101+L102))</f>
        <v>9</v>
      </c>
      <c r="N101" s="195" t="str">
        <f t="shared" ref="N101" si="2285">IF(N99="","",(M101+M102))</f>
        <v/>
      </c>
      <c r="O101" s="12" t="str">
        <f t="shared" ref="O101" si="2286">IF(O99="","",(N101+N102))</f>
        <v/>
      </c>
      <c r="P101" s="12" t="str">
        <f t="shared" ref="P101" si="2287">IF(P99="","",(O101+O102))</f>
        <v/>
      </c>
      <c r="Q101" s="12" t="str">
        <f t="shared" ref="Q101" si="2288">IF(Q99="","",(P101+P102))</f>
        <v/>
      </c>
      <c r="R101" s="12" t="str">
        <f t="shared" ref="R101" si="2289">IF(R99="","",(Q101+Q102))</f>
        <v/>
      </c>
      <c r="S101" s="12" t="str">
        <f t="shared" ref="S101" si="2290">IF(S99="","",(R101+R102))</f>
        <v/>
      </c>
      <c r="T101" s="12" t="str">
        <f t="shared" ref="T101" si="2291">IF(T99="","",(S101+S102))</f>
        <v/>
      </c>
      <c r="U101" s="12" t="str">
        <f t="shared" ref="U101" si="2292">IF(U99="","",(T101+T102))</f>
        <v/>
      </c>
      <c r="V101" s="12" t="str">
        <f t="shared" ref="V101" si="2293">IF(V99="","",(U101+U102))</f>
        <v/>
      </c>
      <c r="W101" s="12" t="str">
        <f t="shared" ref="W101" si="2294">IF(W99="","",(V101+V102))</f>
        <v/>
      </c>
      <c r="X101" s="12" t="str">
        <f t="shared" ref="X101" si="2295">IF(X99="","",(W101+W102))</f>
        <v/>
      </c>
      <c r="Y101" s="12" t="str">
        <f t="shared" ref="Y101" si="2296">IF(Y99="","",(X101+X102))</f>
        <v/>
      </c>
      <c r="Z101" s="12" t="str">
        <f t="shared" ref="Z101" si="2297">IF(Z99="","",(Y101+Y102))</f>
        <v/>
      </c>
      <c r="AA101" s="12" t="str">
        <f t="shared" ref="AA101" si="2298">IF(AA99="","",(Z101+Z102))</f>
        <v/>
      </c>
      <c r="AB101" s="12" t="str">
        <f t="shared" ref="AB101" si="2299">IF(AB99="","",(AA101+AA102))</f>
        <v/>
      </c>
      <c r="AC101" s="12" t="str">
        <f t="shared" ref="AC101" si="2300">IF(AC99="","",(AB101+AB102))</f>
        <v/>
      </c>
      <c r="AD101" s="12" t="str">
        <f t="shared" ref="AD101" si="2301">IF(AD99="","",(AC101+AC102))</f>
        <v/>
      </c>
      <c r="AE101" s="12" t="str">
        <f t="shared" ref="AE101" si="2302">IF(AE99="","",(AD101+AD102))</f>
        <v/>
      </c>
      <c r="AF101" s="12" t="str">
        <f t="shared" ref="AF101" si="2303">IF(AF99="","",(AE101+AE102))</f>
        <v/>
      </c>
      <c r="AG101" s="12" t="str">
        <f t="shared" ref="AG101" si="2304">IF(AG99="","",(AF101+AF102))</f>
        <v/>
      </c>
      <c r="AH101" s="12" t="str">
        <f t="shared" ref="AH101" si="2305">IF(AH99="","",(AG101+AG102))</f>
        <v/>
      </c>
      <c r="AI101" s="12" t="str">
        <f t="shared" ref="AI101" si="2306">IF(AI99="","",(AH101+AH102))</f>
        <v/>
      </c>
      <c r="AJ101" s="12" t="str">
        <f t="shared" ref="AJ101" si="2307">IF(AJ99="","",(AI101+AI102))</f>
        <v/>
      </c>
      <c r="AK101" s="12" t="str">
        <f t="shared" ref="AK101" si="2308">IF(AK99="","",(AJ101+AJ102))</f>
        <v/>
      </c>
      <c r="AL101" s="12" t="str">
        <f t="shared" ref="AL101" si="2309">IF(AL99="","",(AK101+AK102))</f>
        <v/>
      </c>
      <c r="AM101" s="12" t="str">
        <f t="shared" ref="AM101" si="2310">IF(AM99="","",(AL101+AL102))</f>
        <v/>
      </c>
      <c r="AN101" s="12" t="str">
        <f t="shared" ref="AN101" si="2311">IF(AN99="","",(AM101+AM102))</f>
        <v/>
      </c>
      <c r="AO101" s="12" t="str">
        <f t="shared" ref="AO101" si="2312">IF(AO99="","",(AN101+AN102))</f>
        <v/>
      </c>
      <c r="AP101" s="12" t="str">
        <f t="shared" ref="AP101" si="2313">IF(AP99="","",(AO101+AO102))</f>
        <v/>
      </c>
      <c r="AQ101" s="12" t="str">
        <f t="shared" ref="AQ101" si="2314">IF(AQ99="","",(AP101+AP102))</f>
        <v/>
      </c>
      <c r="AR101" s="12" t="str">
        <f t="shared" ref="AR101" si="2315">IF(AR99="","",(AQ101+AQ102))</f>
        <v/>
      </c>
      <c r="AS101" s="12" t="str">
        <f t="shared" ref="AS101" si="2316">IF(AS99="","",(AR101+AR102))</f>
        <v/>
      </c>
      <c r="AT101" s="12" t="str">
        <f t="shared" ref="AT101" si="2317">IF(AT99="","",(AS101+AS102))</f>
        <v/>
      </c>
      <c r="AU101" s="12" t="str">
        <f t="shared" ref="AU101" si="2318">IF(AU99="","",(AT101+AT102))</f>
        <v/>
      </c>
      <c r="AV101" s="12" t="str">
        <f t="shared" ref="AS101:BC101" si="2319">IF(AV99="","",(AU101+AU102))</f>
        <v/>
      </c>
      <c r="AW101" s="12" t="str">
        <f t="shared" si="2319"/>
        <v/>
      </c>
      <c r="AX101" s="12" t="str">
        <f t="shared" si="2319"/>
        <v/>
      </c>
      <c r="AY101" s="12" t="str">
        <f t="shared" si="2319"/>
        <v/>
      </c>
      <c r="AZ101" s="12" t="str">
        <f t="shared" si="2319"/>
        <v/>
      </c>
      <c r="BA101" s="12" t="str">
        <f t="shared" si="2319"/>
        <v/>
      </c>
      <c r="BB101" s="12" t="str">
        <f t="shared" si="2319"/>
        <v/>
      </c>
      <c r="BC101" s="12" t="str">
        <f t="shared" si="2319"/>
        <v/>
      </c>
    </row>
    <row r="102" spans="1:55" ht="11.25" customHeight="1" x14ac:dyDescent="0.2">
      <c r="A102" s="14"/>
      <c r="B102" s="11" t="s">
        <v>6</v>
      </c>
      <c r="C102" s="123"/>
      <c r="D102" s="12"/>
      <c r="E102" s="12"/>
      <c r="F102" s="12">
        <v>4</v>
      </c>
      <c r="G102" s="195"/>
      <c r="H102" s="12"/>
      <c r="I102" s="12">
        <v>-18</v>
      </c>
      <c r="J102" s="195"/>
      <c r="K102" s="12"/>
      <c r="L102" s="12"/>
      <c r="M102" s="12"/>
      <c r="N102" s="195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</row>
    <row r="103" spans="1:55" ht="11.25" customHeight="1" x14ac:dyDescent="0.2">
      <c r="A103" s="15"/>
      <c r="B103" s="11" t="s">
        <v>8</v>
      </c>
      <c r="C103" s="129">
        <v>400</v>
      </c>
      <c r="D103" s="16">
        <f t="shared" ref="D103" si="2320">IF(D99="","",C103)</f>
        <v>400</v>
      </c>
      <c r="E103" s="16">
        <f t="shared" ref="E103" si="2321">IF(E99="","",D103)</f>
        <v>400</v>
      </c>
      <c r="F103" s="16">
        <f t="shared" ref="F103" si="2322">IF(F99="","",E103)</f>
        <v>400</v>
      </c>
      <c r="G103" s="196">
        <f t="shared" ref="G103" si="2323">IF(G99="","",F103)</f>
        <v>400</v>
      </c>
      <c r="H103" s="16">
        <f t="shared" ref="H103" si="2324">IF(H99="","",G103)</f>
        <v>400</v>
      </c>
      <c r="I103" s="16">
        <v>600</v>
      </c>
      <c r="J103" s="196">
        <v>660</v>
      </c>
      <c r="K103" s="16">
        <f t="shared" ref="K103" si="2325">IF(K99="","",J103)</f>
        <v>660</v>
      </c>
      <c r="L103" s="16">
        <f t="shared" ref="L103" si="2326">IF(L99="","",K103)</f>
        <v>660</v>
      </c>
      <c r="M103" s="16">
        <f t="shared" ref="M103" si="2327">IF(M99="","",L103)</f>
        <v>660</v>
      </c>
      <c r="N103" s="196" t="str">
        <f t="shared" ref="N103" si="2328">IF(N99="","",M103)</f>
        <v/>
      </c>
      <c r="O103" s="16" t="str">
        <f t="shared" ref="O103" si="2329">IF(O99="","",N103)</f>
        <v/>
      </c>
      <c r="P103" s="16" t="str">
        <f t="shared" ref="P103" si="2330">IF(P99="","",O103)</f>
        <v/>
      </c>
      <c r="Q103" s="16" t="str">
        <f t="shared" ref="Q103" si="2331">IF(Q99="","",P103)</f>
        <v/>
      </c>
      <c r="R103" s="16" t="str">
        <f t="shared" ref="R103" si="2332">IF(R99="","",Q103)</f>
        <v/>
      </c>
      <c r="S103" s="16" t="str">
        <f t="shared" ref="S103" si="2333">IF(S99="","",R103)</f>
        <v/>
      </c>
      <c r="T103" s="16" t="str">
        <f t="shared" ref="T103" si="2334">IF(T99="","",S103)</f>
        <v/>
      </c>
      <c r="U103" s="16" t="str">
        <f t="shared" ref="U103" si="2335">IF(U99="","",T103)</f>
        <v/>
      </c>
      <c r="V103" s="16" t="str">
        <f t="shared" ref="V103" si="2336">IF(V99="","",U103)</f>
        <v/>
      </c>
      <c r="W103" s="16" t="str">
        <f t="shared" ref="W103" si="2337">IF(W99="","",V103)</f>
        <v/>
      </c>
      <c r="X103" s="16" t="str">
        <f t="shared" ref="X103" si="2338">IF(X99="","",W103)</f>
        <v/>
      </c>
      <c r="Y103" s="16" t="str">
        <f t="shared" ref="Y103" si="2339">IF(Y99="","",X103)</f>
        <v/>
      </c>
      <c r="Z103" s="16" t="str">
        <f t="shared" ref="Z103" si="2340">IF(Z99="","",Y103)</f>
        <v/>
      </c>
      <c r="AA103" s="16" t="str">
        <f t="shared" ref="AA103" si="2341">IF(AA99="","",Z103)</f>
        <v/>
      </c>
      <c r="AB103" s="16" t="str">
        <f t="shared" ref="AB103" si="2342">IF(AB99="","",AA103)</f>
        <v/>
      </c>
      <c r="AC103" s="16" t="str">
        <f t="shared" ref="AC103" si="2343">IF(AC99="","",AB103)</f>
        <v/>
      </c>
      <c r="AD103" s="16" t="str">
        <f t="shared" ref="AD103" si="2344">IF(AD99="","",AC103)</f>
        <v/>
      </c>
      <c r="AE103" s="16" t="str">
        <f t="shared" ref="AE103" si="2345">IF(AE99="","",AD103)</f>
        <v/>
      </c>
      <c r="AF103" s="16" t="str">
        <f t="shared" ref="AF103" si="2346">IF(AF99="","",AE103)</f>
        <v/>
      </c>
      <c r="AG103" s="16" t="str">
        <f t="shared" ref="AG103" si="2347">IF(AG99="","",AF103)</f>
        <v/>
      </c>
      <c r="AH103" s="16" t="str">
        <f t="shared" ref="AH103" si="2348">IF(AH99="","",AG103)</f>
        <v/>
      </c>
      <c r="AI103" s="16" t="str">
        <f t="shared" ref="AI103" si="2349">IF(AI99="","",AH103)</f>
        <v/>
      </c>
      <c r="AJ103" s="16" t="str">
        <f t="shared" ref="AJ103" si="2350">IF(AJ99="","",AI103)</f>
        <v/>
      </c>
      <c r="AK103" s="16" t="str">
        <f t="shared" ref="AK103" si="2351">IF(AK99="","",AJ103)</f>
        <v/>
      </c>
      <c r="AL103" s="16" t="str">
        <f t="shared" ref="AL103" si="2352">IF(AL99="","",AK103)</f>
        <v/>
      </c>
      <c r="AM103" s="16" t="str">
        <f t="shared" ref="AM103" si="2353">IF(AM99="","",AL103)</f>
        <v/>
      </c>
      <c r="AN103" s="16" t="str">
        <f t="shared" ref="AN103" si="2354">IF(AN99="","",AM103)</f>
        <v/>
      </c>
      <c r="AO103" s="16" t="str">
        <f t="shared" ref="AO103" si="2355">IF(AO99="","",AN103)</f>
        <v/>
      </c>
      <c r="AP103" s="16" t="str">
        <f t="shared" ref="AP103" si="2356">IF(AP99="","",AO103)</f>
        <v/>
      </c>
      <c r="AQ103" s="16" t="str">
        <f t="shared" ref="AQ103" si="2357">IF(AQ99="","",AP103)</f>
        <v/>
      </c>
      <c r="AR103" s="16" t="str">
        <f t="shared" ref="AR103" si="2358">IF(AR99="","",AQ103)</f>
        <v/>
      </c>
      <c r="AS103" s="16" t="str">
        <f t="shared" ref="AS103" si="2359">IF(AS99="","",AR103)</f>
        <v/>
      </c>
      <c r="AT103" s="16" t="str">
        <f t="shared" ref="AT103" si="2360">IF(AT99="","",AS103)</f>
        <v/>
      </c>
      <c r="AU103" s="16" t="str">
        <f t="shared" ref="AU103" si="2361">IF(AU99="","",AT103)</f>
        <v/>
      </c>
      <c r="AV103" s="16" t="str">
        <f t="shared" ref="AS103:BC103" si="2362">IF(AV99="","",AU103)</f>
        <v/>
      </c>
      <c r="AW103" s="16" t="str">
        <f t="shared" si="2362"/>
        <v/>
      </c>
      <c r="AX103" s="16" t="str">
        <f t="shared" si="2362"/>
        <v/>
      </c>
      <c r="AY103" s="16" t="str">
        <f t="shared" si="2362"/>
        <v/>
      </c>
      <c r="AZ103" s="16" t="str">
        <f t="shared" si="2362"/>
        <v/>
      </c>
      <c r="BA103" s="16" t="str">
        <f t="shared" si="2362"/>
        <v/>
      </c>
      <c r="BB103" s="16" t="str">
        <f t="shared" si="2362"/>
        <v/>
      </c>
      <c r="BC103" s="16" t="str">
        <f t="shared" si="2362"/>
        <v/>
      </c>
    </row>
    <row r="104" spans="1:55" ht="11.25" customHeight="1" x14ac:dyDescent="0.2">
      <c r="A104" s="14" t="s">
        <v>9</v>
      </c>
      <c r="B104" s="17" t="s">
        <v>10</v>
      </c>
      <c r="C104" s="133" t="s">
        <v>239</v>
      </c>
      <c r="D104" s="18" t="str">
        <f t="shared" ref="D104" si="2363">IF(D99="","",C104)</f>
        <v>キティタイルシール</v>
      </c>
      <c r="E104" s="18" t="str">
        <f t="shared" ref="E104" si="2364">IF(E99="","",D104)</f>
        <v>キティタイルシール</v>
      </c>
      <c r="F104" s="18" t="str">
        <f t="shared" ref="F104" si="2365">IF(F99="","",E104)</f>
        <v>キティタイルシール</v>
      </c>
      <c r="G104" s="197" t="str">
        <f t="shared" ref="G104" si="2366">IF(G99="","",F104)</f>
        <v>キティタイルシール</v>
      </c>
      <c r="H104" s="18" t="str">
        <f t="shared" ref="H104" si="2367">IF(H99="","",G104)</f>
        <v>キティタイルシール</v>
      </c>
      <c r="I104" s="18" t="str">
        <f t="shared" ref="I104" si="2368">IF(I99="","",H104)</f>
        <v>キティタイルシール</v>
      </c>
      <c r="J104" s="197" t="s">
        <v>298</v>
      </c>
      <c r="K104" s="18" t="str">
        <f t="shared" ref="K104" si="2369">IF(K99="","",J104)</f>
        <v>クリームタルトスクイーズ</v>
      </c>
      <c r="L104" s="18" t="str">
        <f t="shared" ref="L104" si="2370">IF(L99="","",K104)</f>
        <v>クリームタルトスクイーズ</v>
      </c>
      <c r="M104" s="18" t="str">
        <f t="shared" ref="M104" si="2371">IF(M99="","",L104)</f>
        <v>クリームタルトスクイーズ</v>
      </c>
      <c r="N104" s="197" t="str">
        <f t="shared" ref="N104" si="2372">IF(N99="","",M104)</f>
        <v/>
      </c>
      <c r="O104" s="18" t="str">
        <f t="shared" ref="O104" si="2373">IF(O99="","",N104)</f>
        <v/>
      </c>
      <c r="P104" s="18" t="str">
        <f t="shared" ref="P104" si="2374">IF(P99="","",O104)</f>
        <v/>
      </c>
      <c r="Q104" s="18" t="str">
        <f t="shared" ref="Q104" si="2375">IF(Q99="","",P104)</f>
        <v/>
      </c>
      <c r="R104" s="18" t="str">
        <f t="shared" ref="R104" si="2376">IF(R99="","",Q104)</f>
        <v/>
      </c>
      <c r="S104" s="18" t="str">
        <f t="shared" ref="S104" si="2377">IF(S99="","",R104)</f>
        <v/>
      </c>
      <c r="T104" s="18" t="str">
        <f t="shared" ref="T104" si="2378">IF(T99="","",S104)</f>
        <v/>
      </c>
      <c r="U104" s="18" t="str">
        <f t="shared" ref="U104" si="2379">IF(U99="","",T104)</f>
        <v/>
      </c>
      <c r="V104" s="18" t="str">
        <f t="shared" ref="V104" si="2380">IF(V99="","",U104)</f>
        <v/>
      </c>
      <c r="W104" s="18" t="str">
        <f t="shared" ref="W104" si="2381">IF(W99="","",V104)</f>
        <v/>
      </c>
      <c r="X104" s="18" t="str">
        <f t="shared" ref="X104" si="2382">IF(X99="","",W104)</f>
        <v/>
      </c>
      <c r="Y104" s="18" t="str">
        <f t="shared" ref="Y104" si="2383">IF(Y99="","",X104)</f>
        <v/>
      </c>
      <c r="Z104" s="18" t="str">
        <f t="shared" ref="Z104" si="2384">IF(Z99="","",Y104)</f>
        <v/>
      </c>
      <c r="AA104" s="18" t="str">
        <f t="shared" ref="AA104" si="2385">IF(AA99="","",Z104)</f>
        <v/>
      </c>
      <c r="AB104" s="18" t="str">
        <f t="shared" ref="AB104" si="2386">IF(AB99="","",AA104)</f>
        <v/>
      </c>
      <c r="AC104" s="18" t="str">
        <f t="shared" ref="AC104" si="2387">IF(AC99="","",AB104)</f>
        <v/>
      </c>
      <c r="AD104" s="18" t="str">
        <f t="shared" ref="AD104" si="2388">IF(AD99="","",AC104)</f>
        <v/>
      </c>
      <c r="AE104" s="18" t="str">
        <f t="shared" ref="AE104" si="2389">IF(AE99="","",AD104)</f>
        <v/>
      </c>
      <c r="AF104" s="18" t="str">
        <f t="shared" ref="AF104" si="2390">IF(AF99="","",AE104)</f>
        <v/>
      </c>
      <c r="AG104" s="18" t="str">
        <f t="shared" ref="AG104" si="2391">IF(AG99="","",AF104)</f>
        <v/>
      </c>
      <c r="AH104" s="18" t="str">
        <f t="shared" ref="AH104" si="2392">IF(AH99="","",AG104)</f>
        <v/>
      </c>
      <c r="AI104" s="18" t="str">
        <f t="shared" ref="AI104" si="2393">IF(AI99="","",AH104)</f>
        <v/>
      </c>
      <c r="AJ104" s="18" t="str">
        <f t="shared" ref="AJ104" si="2394">IF(AJ99="","",AI104)</f>
        <v/>
      </c>
      <c r="AK104" s="18" t="str">
        <f t="shared" ref="AK104" si="2395">IF(AK99="","",AJ104)</f>
        <v/>
      </c>
      <c r="AL104" s="18" t="str">
        <f t="shared" ref="AL104" si="2396">IF(AL99="","",AK104)</f>
        <v/>
      </c>
      <c r="AM104" s="18" t="str">
        <f t="shared" ref="AM104" si="2397">IF(AM99="","",AL104)</f>
        <v/>
      </c>
      <c r="AN104" s="18" t="str">
        <f t="shared" ref="AN104" si="2398">IF(AN99="","",AM104)</f>
        <v/>
      </c>
      <c r="AO104" s="18" t="str">
        <f t="shared" ref="AO104" si="2399">IF(AO99="","",AN104)</f>
        <v/>
      </c>
      <c r="AP104" s="18" t="str">
        <f t="shared" ref="AP104" si="2400">IF(AP99="","",AO104)</f>
        <v/>
      </c>
      <c r="AQ104" s="18" t="str">
        <f t="shared" ref="AQ104" si="2401">IF(AQ99="","",AP104)</f>
        <v/>
      </c>
      <c r="AR104" s="18" t="str">
        <f t="shared" ref="AR104" si="2402">IF(AR99="","",AQ104)</f>
        <v/>
      </c>
      <c r="AS104" s="18" t="str">
        <f t="shared" ref="AS104" si="2403">IF(AS99="","",AR104)</f>
        <v/>
      </c>
      <c r="AT104" s="18" t="str">
        <f t="shared" ref="AT104" si="2404">IF(AT99="","",AS104)</f>
        <v/>
      </c>
      <c r="AU104" s="18" t="str">
        <f t="shared" ref="AU104" si="2405">IF(AU99="","",AT104)</f>
        <v/>
      </c>
      <c r="AV104" s="18" t="str">
        <f t="shared" ref="AS104:BC104" si="2406">IF(AV99="","",AU104)</f>
        <v/>
      </c>
      <c r="AW104" s="18" t="str">
        <f t="shared" si="2406"/>
        <v/>
      </c>
      <c r="AX104" s="18" t="str">
        <f t="shared" si="2406"/>
        <v/>
      </c>
      <c r="AY104" s="18" t="str">
        <f t="shared" si="2406"/>
        <v/>
      </c>
      <c r="AZ104" s="18" t="str">
        <f t="shared" si="2406"/>
        <v/>
      </c>
      <c r="BA104" s="18" t="str">
        <f t="shared" si="2406"/>
        <v/>
      </c>
      <c r="BB104" s="18" t="str">
        <f t="shared" si="2406"/>
        <v/>
      </c>
      <c r="BC104" s="18" t="str">
        <f t="shared" si="2406"/>
        <v/>
      </c>
    </row>
    <row r="105" spans="1:55" ht="11.25" customHeight="1" x14ac:dyDescent="0.2">
      <c r="A105" s="15">
        <f>AVERAGE(C106:AS106)*30*100</f>
        <v>24272.727272727276</v>
      </c>
      <c r="B105" s="11" t="s">
        <v>12</v>
      </c>
      <c r="C105" s="123"/>
      <c r="D105" s="12"/>
      <c r="E105" s="12"/>
      <c r="F105" s="12"/>
      <c r="G105" s="195"/>
      <c r="H105" s="12"/>
      <c r="I105" s="12"/>
      <c r="J105" s="195" t="s">
        <v>299</v>
      </c>
      <c r="K105" s="12"/>
      <c r="L105" s="12"/>
      <c r="M105" s="12"/>
      <c r="N105" s="195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</row>
    <row r="106" spans="1:55" ht="11.25" customHeight="1" x14ac:dyDescent="0.2">
      <c r="A106" s="15">
        <f t="shared" ref="A106:A109" si="2407">SUM(C106:AS106)</f>
        <v>89</v>
      </c>
      <c r="B106" s="19" t="s">
        <v>13</v>
      </c>
      <c r="C106" s="123">
        <v>0</v>
      </c>
      <c r="D106" s="20">
        <f t="shared" ref="D106:D107" si="2408">IF(D99="","",D99-C99)</f>
        <v>0</v>
      </c>
      <c r="E106" s="20">
        <f t="shared" ref="E106:E107" si="2409">IF(E99="","",E99-D99)</f>
        <v>0</v>
      </c>
      <c r="F106" s="20">
        <f t="shared" ref="F106:F107" si="2410">IF(F99="","",F99-E99)</f>
        <v>63</v>
      </c>
      <c r="G106" s="195">
        <f t="shared" ref="G106:G107" si="2411">IF(G99="","",G99-F99)</f>
        <v>0</v>
      </c>
      <c r="H106" s="20">
        <f t="shared" ref="H106:H107" si="2412">IF(H99="","",H99-G99)</f>
        <v>0</v>
      </c>
      <c r="I106" s="20">
        <f t="shared" ref="I106:I107" si="2413">IF(I99="","",I99-H99)</f>
        <v>26</v>
      </c>
      <c r="J106" s="195">
        <f t="shared" ref="J106:J107" si="2414">IF(J99="","",J99-I99)</f>
        <v>0</v>
      </c>
      <c r="K106" s="20">
        <f t="shared" ref="K106:K107" si="2415">IF(K99="","",K99-J99)</f>
        <v>0</v>
      </c>
      <c r="L106" s="20">
        <f t="shared" ref="L106:L107" si="2416">IF(L99="","",L99-K99)</f>
        <v>0</v>
      </c>
      <c r="M106" s="20">
        <f t="shared" ref="M106:M107" si="2417">IF(M99="","",M99-L99)</f>
        <v>0</v>
      </c>
      <c r="N106" s="195" t="str">
        <f t="shared" ref="N106:N107" si="2418">IF(N99="","",N99-M99)</f>
        <v/>
      </c>
      <c r="O106" s="20" t="str">
        <f t="shared" ref="O106:O107" si="2419">IF(O99="","",O99-N99)</f>
        <v/>
      </c>
      <c r="P106" s="20" t="str">
        <f t="shared" ref="P106:P107" si="2420">IF(P99="","",P99-O99)</f>
        <v/>
      </c>
      <c r="Q106" s="20" t="str">
        <f t="shared" ref="Q106:Q107" si="2421">IF(Q99="","",Q99-P99)</f>
        <v/>
      </c>
      <c r="R106" s="20" t="str">
        <f t="shared" ref="R106:R107" si="2422">IF(R99="","",R99-Q99)</f>
        <v/>
      </c>
      <c r="S106" s="20" t="str">
        <f t="shared" ref="S106:S107" si="2423">IF(S99="","",S99-R99)</f>
        <v/>
      </c>
      <c r="T106" s="20" t="str">
        <f t="shared" ref="T106:T107" si="2424">IF(T99="","",T99-S99)</f>
        <v/>
      </c>
      <c r="U106" s="20" t="str">
        <f t="shared" ref="U106:U107" si="2425">IF(U99="","",U99-T99)</f>
        <v/>
      </c>
      <c r="V106" s="20" t="str">
        <f t="shared" ref="V106:V107" si="2426">IF(V99="","",V99-U99)</f>
        <v/>
      </c>
      <c r="W106" s="20" t="str">
        <f t="shared" ref="W106:W107" si="2427">IF(W99="","",W99-V99)</f>
        <v/>
      </c>
      <c r="X106" s="20" t="str">
        <f t="shared" ref="X106:X107" si="2428">IF(X99="","",X99-W99)</f>
        <v/>
      </c>
      <c r="Y106" s="20" t="str">
        <f t="shared" ref="Y106:Y107" si="2429">IF(Y99="","",Y99-X99)</f>
        <v/>
      </c>
      <c r="Z106" s="20" t="str">
        <f t="shared" ref="Z106:Z107" si="2430">IF(Z99="","",Z99-Y99)</f>
        <v/>
      </c>
      <c r="AA106" s="20" t="str">
        <f t="shared" ref="AA106:AA107" si="2431">IF(AA99="","",AA99-Z99)</f>
        <v/>
      </c>
      <c r="AB106" s="20" t="str">
        <f t="shared" ref="AB106:AB107" si="2432">IF(AB99="","",AB99-AA99)</f>
        <v/>
      </c>
      <c r="AC106" s="20" t="str">
        <f t="shared" ref="AC106:AC107" si="2433">IF(AC99="","",AC99-AB99)</f>
        <v/>
      </c>
      <c r="AD106" s="20" t="str">
        <f t="shared" ref="AD106:AD107" si="2434">IF(AD99="","",AD99-AC99)</f>
        <v/>
      </c>
      <c r="AE106" s="20" t="str">
        <f t="shared" ref="AE106:AE107" si="2435">IF(AE99="","",AE99-AD99)</f>
        <v/>
      </c>
      <c r="AF106" s="20" t="str">
        <f t="shared" ref="AF106:AF107" si="2436">IF(AF99="","",AF99-AE99)</f>
        <v/>
      </c>
      <c r="AG106" s="20" t="str">
        <f t="shared" ref="AG106:AG107" si="2437">IF(AG99="","",AG99-AF99)</f>
        <v/>
      </c>
      <c r="AH106" s="20" t="str">
        <f t="shared" ref="AH106:AH107" si="2438">IF(AH99="","",AH99-AG99)</f>
        <v/>
      </c>
      <c r="AI106" s="20" t="str">
        <f t="shared" ref="AI106:AI107" si="2439">IF(AI99="","",AI99-AH99)</f>
        <v/>
      </c>
      <c r="AJ106" s="20" t="str">
        <f t="shared" ref="AJ106:AJ107" si="2440">IF(AJ99="","",AJ99-AI99)</f>
        <v/>
      </c>
      <c r="AK106" s="20" t="str">
        <f t="shared" ref="AK106:AK107" si="2441">IF(AK99="","",AK99-AJ99)</f>
        <v/>
      </c>
      <c r="AL106" s="20" t="str">
        <f t="shared" ref="AL106:AL107" si="2442">IF(AL99="","",AL99-AK99)</f>
        <v/>
      </c>
      <c r="AM106" s="20" t="str">
        <f t="shared" ref="AM106:AM107" si="2443">IF(AM99="","",AM99-AL99)</f>
        <v/>
      </c>
      <c r="AN106" s="20" t="str">
        <f t="shared" ref="AN106:AN107" si="2444">IF(AN99="","",AN99-AM99)</f>
        <v/>
      </c>
      <c r="AO106" s="20" t="str">
        <f t="shared" ref="AO106:AO107" si="2445">IF(AO99="","",AO99-AN99)</f>
        <v/>
      </c>
      <c r="AP106" s="20" t="str">
        <f t="shared" ref="AP106:AP107" si="2446">IF(AP99="","",AP99-AO99)</f>
        <v/>
      </c>
      <c r="AQ106" s="20" t="str">
        <f t="shared" ref="AQ106:AQ107" si="2447">IF(AQ99="","",AQ99-AP99)</f>
        <v/>
      </c>
      <c r="AR106" s="20" t="str">
        <f t="shared" ref="AR106:AR107" si="2448">IF(AR99="","",AR99-AQ99)</f>
        <v/>
      </c>
      <c r="AS106" s="20" t="str">
        <f t="shared" ref="AS106:AS107" si="2449">IF(AS99="","",AS99-AR99)</f>
        <v/>
      </c>
      <c r="AT106" s="20" t="str">
        <f t="shared" ref="AT106:AT107" si="2450">IF(AT99="","",AT99-AS99)</f>
        <v/>
      </c>
      <c r="AU106" s="20" t="str">
        <f t="shared" ref="AU106:AU107" si="2451">IF(AU99="","",AU99-AT99)</f>
        <v/>
      </c>
      <c r="AV106" s="20" t="str">
        <f t="shared" ref="AS106:BC106" si="2452">IF(AV99="","",AV99-AU99)</f>
        <v/>
      </c>
      <c r="AW106" s="20" t="str">
        <f t="shared" si="2452"/>
        <v/>
      </c>
      <c r="AX106" s="20" t="str">
        <f t="shared" si="2452"/>
        <v/>
      </c>
      <c r="AY106" s="20" t="str">
        <f t="shared" si="2452"/>
        <v/>
      </c>
      <c r="AZ106" s="20" t="str">
        <f t="shared" si="2452"/>
        <v/>
      </c>
      <c r="BA106" s="20" t="str">
        <f t="shared" si="2452"/>
        <v/>
      </c>
      <c r="BB106" s="20" t="str">
        <f t="shared" si="2452"/>
        <v/>
      </c>
      <c r="BC106" s="20" t="str">
        <f t="shared" si="2452"/>
        <v/>
      </c>
    </row>
    <row r="107" spans="1:55" ht="11.25" customHeight="1" x14ac:dyDescent="0.2">
      <c r="A107" s="15">
        <f t="shared" si="2407"/>
        <v>8</v>
      </c>
      <c r="B107" s="19" t="s">
        <v>14</v>
      </c>
      <c r="C107" s="123">
        <v>0</v>
      </c>
      <c r="D107" s="20">
        <f t="shared" si="2408"/>
        <v>0</v>
      </c>
      <c r="E107" s="20">
        <f t="shared" si="2409"/>
        <v>0</v>
      </c>
      <c r="F107" s="20">
        <f t="shared" si="2410"/>
        <v>4</v>
      </c>
      <c r="G107" s="195">
        <f t="shared" si="2411"/>
        <v>0</v>
      </c>
      <c r="H107" s="20">
        <f t="shared" si="2412"/>
        <v>0</v>
      </c>
      <c r="I107" s="20">
        <f t="shared" si="2413"/>
        <v>4</v>
      </c>
      <c r="J107" s="195">
        <f t="shared" si="2414"/>
        <v>0</v>
      </c>
      <c r="K107" s="20">
        <f t="shared" si="2415"/>
        <v>0</v>
      </c>
      <c r="L107" s="20">
        <f t="shared" si="2416"/>
        <v>0</v>
      </c>
      <c r="M107" s="20">
        <f t="shared" si="2417"/>
        <v>0</v>
      </c>
      <c r="N107" s="195" t="str">
        <f t="shared" si="2418"/>
        <v/>
      </c>
      <c r="O107" s="20" t="str">
        <f t="shared" si="2419"/>
        <v/>
      </c>
      <c r="P107" s="20" t="str">
        <f t="shared" si="2420"/>
        <v/>
      </c>
      <c r="Q107" s="20" t="str">
        <f t="shared" si="2421"/>
        <v/>
      </c>
      <c r="R107" s="20" t="str">
        <f t="shared" si="2422"/>
        <v/>
      </c>
      <c r="S107" s="20" t="str">
        <f t="shared" si="2423"/>
        <v/>
      </c>
      <c r="T107" s="20" t="str">
        <f t="shared" si="2424"/>
        <v/>
      </c>
      <c r="U107" s="20" t="str">
        <f t="shared" si="2425"/>
        <v/>
      </c>
      <c r="V107" s="20" t="str">
        <f t="shared" si="2426"/>
        <v/>
      </c>
      <c r="W107" s="20" t="str">
        <f t="shared" si="2427"/>
        <v/>
      </c>
      <c r="X107" s="20" t="str">
        <f t="shared" si="2428"/>
        <v/>
      </c>
      <c r="Y107" s="20" t="str">
        <f t="shared" si="2429"/>
        <v/>
      </c>
      <c r="Z107" s="20" t="str">
        <f t="shared" si="2430"/>
        <v/>
      </c>
      <c r="AA107" s="20" t="str">
        <f t="shared" si="2431"/>
        <v/>
      </c>
      <c r="AB107" s="20" t="str">
        <f t="shared" si="2432"/>
        <v/>
      </c>
      <c r="AC107" s="20" t="str">
        <f t="shared" si="2433"/>
        <v/>
      </c>
      <c r="AD107" s="20" t="str">
        <f t="shared" si="2434"/>
        <v/>
      </c>
      <c r="AE107" s="20" t="str">
        <f t="shared" si="2435"/>
        <v/>
      </c>
      <c r="AF107" s="20" t="str">
        <f t="shared" si="2436"/>
        <v/>
      </c>
      <c r="AG107" s="20" t="str">
        <f t="shared" si="2437"/>
        <v/>
      </c>
      <c r="AH107" s="20" t="str">
        <f t="shared" si="2438"/>
        <v/>
      </c>
      <c r="AI107" s="20" t="str">
        <f t="shared" si="2439"/>
        <v/>
      </c>
      <c r="AJ107" s="20" t="str">
        <f t="shared" si="2440"/>
        <v/>
      </c>
      <c r="AK107" s="20" t="str">
        <f t="shared" si="2441"/>
        <v/>
      </c>
      <c r="AL107" s="20" t="str">
        <f t="shared" si="2442"/>
        <v/>
      </c>
      <c r="AM107" s="20" t="str">
        <f t="shared" si="2443"/>
        <v/>
      </c>
      <c r="AN107" s="20" t="str">
        <f t="shared" si="2444"/>
        <v/>
      </c>
      <c r="AO107" s="20" t="str">
        <f t="shared" si="2445"/>
        <v/>
      </c>
      <c r="AP107" s="20" t="str">
        <f t="shared" si="2446"/>
        <v/>
      </c>
      <c r="AQ107" s="20" t="str">
        <f t="shared" si="2447"/>
        <v/>
      </c>
      <c r="AR107" s="20" t="str">
        <f t="shared" si="2448"/>
        <v/>
      </c>
      <c r="AS107" s="20" t="str">
        <f t="shared" si="2449"/>
        <v/>
      </c>
      <c r="AT107" s="20" t="str">
        <f t="shared" si="2450"/>
        <v/>
      </c>
      <c r="AU107" s="20" t="str">
        <f t="shared" si="2451"/>
        <v/>
      </c>
      <c r="AV107" s="20" t="str">
        <f t="shared" ref="AS107:BC107" si="2453">IF(AV100="","",AV100-AU100)</f>
        <v/>
      </c>
      <c r="AW107" s="20" t="str">
        <f t="shared" si="2453"/>
        <v/>
      </c>
      <c r="AX107" s="20" t="str">
        <f t="shared" si="2453"/>
        <v/>
      </c>
      <c r="AY107" s="20" t="str">
        <f t="shared" si="2453"/>
        <v/>
      </c>
      <c r="AZ107" s="20" t="str">
        <f t="shared" si="2453"/>
        <v/>
      </c>
      <c r="BA107" s="20" t="str">
        <f t="shared" si="2453"/>
        <v/>
      </c>
      <c r="BB107" s="20" t="str">
        <f t="shared" si="2453"/>
        <v/>
      </c>
      <c r="BC107" s="20" t="str">
        <f t="shared" si="2453"/>
        <v/>
      </c>
    </row>
    <row r="108" spans="1:55" ht="11.25" customHeight="1" x14ac:dyDescent="0.2">
      <c r="A108" s="15">
        <f t="shared" si="2407"/>
        <v>4</v>
      </c>
      <c r="B108" s="19" t="s">
        <v>15</v>
      </c>
      <c r="C108" s="123">
        <v>0</v>
      </c>
      <c r="D108" s="20">
        <f t="shared" ref="D108" si="2454">IF(D101="","",C101+C102-D101)</f>
        <v>0</v>
      </c>
      <c r="E108" s="20">
        <f t="shared" ref="E108" si="2455">IF(E101="","",D101+D102-E101)</f>
        <v>0</v>
      </c>
      <c r="F108" s="20">
        <f t="shared" ref="F108" si="2456">IF(F101="","",E101+E102-F101)</f>
        <v>4</v>
      </c>
      <c r="G108" s="195">
        <f t="shared" ref="G108" si="2457">IF(G101="","",F101+F102-G101)</f>
        <v>0</v>
      </c>
      <c r="H108" s="20">
        <f t="shared" ref="H108" si="2458">IF(H101="","",G101+G102-H101)</f>
        <v>0</v>
      </c>
      <c r="I108" s="20">
        <f t="shared" ref="I108" si="2459">IF(I101="","",H101+H102-I101)</f>
        <v>0</v>
      </c>
      <c r="J108" s="195">
        <f t="shared" ref="J108" si="2460">IF(J101="","",I101+I102-J101)</f>
        <v>0</v>
      </c>
      <c r="K108" s="20">
        <f t="shared" ref="K108" si="2461">IF(K101="","",J101+J102-K101)</f>
        <v>0</v>
      </c>
      <c r="L108" s="20">
        <f t="shared" ref="L108" si="2462">IF(L101="","",K101+K102-L101)</f>
        <v>0</v>
      </c>
      <c r="M108" s="20">
        <f t="shared" ref="M108" si="2463">IF(M101="","",L101+L102-M101)</f>
        <v>0</v>
      </c>
      <c r="N108" s="195" t="str">
        <f t="shared" ref="N108" si="2464">IF(N101="","",M101+M102-N101)</f>
        <v/>
      </c>
      <c r="O108" s="20" t="str">
        <f t="shared" ref="O108" si="2465">IF(O101="","",N101+N102-O101)</f>
        <v/>
      </c>
      <c r="P108" s="20" t="str">
        <f t="shared" ref="P108" si="2466">IF(P101="","",O101+O102-P101)</f>
        <v/>
      </c>
      <c r="Q108" s="20" t="str">
        <f t="shared" ref="Q108" si="2467">IF(Q101="","",P101+P102-Q101)</f>
        <v/>
      </c>
      <c r="R108" s="20" t="str">
        <f t="shared" ref="R108" si="2468">IF(R101="","",Q101+Q102-R101)</f>
        <v/>
      </c>
      <c r="S108" s="20" t="str">
        <f t="shared" ref="S108" si="2469">IF(S101="","",R101+R102-S101)</f>
        <v/>
      </c>
      <c r="T108" s="20" t="str">
        <f t="shared" ref="T108" si="2470">IF(T101="","",S101+S102-T101)</f>
        <v/>
      </c>
      <c r="U108" s="20" t="str">
        <f t="shared" ref="U108" si="2471">IF(U101="","",T101+T102-U101)</f>
        <v/>
      </c>
      <c r="V108" s="20" t="str">
        <f t="shared" ref="V108" si="2472">IF(V101="","",U101+U102-V101)</f>
        <v/>
      </c>
      <c r="W108" s="20" t="str">
        <f t="shared" ref="W108" si="2473">IF(W101="","",V101+V102-W101)</f>
        <v/>
      </c>
      <c r="X108" s="20" t="str">
        <f t="shared" ref="X108" si="2474">IF(X101="","",W101+W102-X101)</f>
        <v/>
      </c>
      <c r="Y108" s="20" t="str">
        <f t="shared" ref="Y108" si="2475">IF(Y101="","",X101+X102-Y101)</f>
        <v/>
      </c>
      <c r="Z108" s="20" t="str">
        <f t="shared" ref="Z108" si="2476">IF(Z101="","",Y101+Y102-Z101)</f>
        <v/>
      </c>
      <c r="AA108" s="20" t="str">
        <f t="shared" ref="AA108" si="2477">IF(AA101="","",Z101+Z102-AA101)</f>
        <v/>
      </c>
      <c r="AB108" s="20" t="str">
        <f t="shared" ref="AB108" si="2478">IF(AB101="","",AA101+AA102-AB101)</f>
        <v/>
      </c>
      <c r="AC108" s="20" t="str">
        <f t="shared" ref="AC108" si="2479">IF(AC101="","",AB101+AB102-AC101)</f>
        <v/>
      </c>
      <c r="AD108" s="20" t="str">
        <f t="shared" ref="AD108" si="2480">IF(AD101="","",AC101+AC102-AD101)</f>
        <v/>
      </c>
      <c r="AE108" s="20" t="str">
        <f t="shared" ref="AE108" si="2481">IF(AE101="","",AD101+AD102-AE101)</f>
        <v/>
      </c>
      <c r="AF108" s="20" t="str">
        <f t="shared" ref="AF108" si="2482">IF(AF101="","",AE101+AE102-AF101)</f>
        <v/>
      </c>
      <c r="AG108" s="20" t="str">
        <f t="shared" ref="AG108" si="2483">IF(AG101="","",AF101+AF102-AG101)</f>
        <v/>
      </c>
      <c r="AH108" s="20" t="str">
        <f t="shared" ref="AH108" si="2484">IF(AH101="","",AG101+AG102-AH101)</f>
        <v/>
      </c>
      <c r="AI108" s="20" t="str">
        <f t="shared" ref="AI108" si="2485">IF(AI101="","",AH101+AH102-AI101)</f>
        <v/>
      </c>
      <c r="AJ108" s="20" t="str">
        <f t="shared" ref="AJ108" si="2486">IF(AJ101="","",AI101+AI102-AJ101)</f>
        <v/>
      </c>
      <c r="AK108" s="20" t="str">
        <f t="shared" ref="AK108" si="2487">IF(AK101="","",AJ101+AJ102-AK101)</f>
        <v/>
      </c>
      <c r="AL108" s="20" t="str">
        <f t="shared" ref="AL108" si="2488">IF(AL101="","",AK101+AK102-AL101)</f>
        <v/>
      </c>
      <c r="AM108" s="20" t="str">
        <f t="shared" ref="AM108" si="2489">IF(AM101="","",AL101+AL102-AM101)</f>
        <v/>
      </c>
      <c r="AN108" s="20" t="str">
        <f t="shared" ref="AN108" si="2490">IF(AN101="","",AM101+AM102-AN101)</f>
        <v/>
      </c>
      <c r="AO108" s="20" t="str">
        <f t="shared" ref="AO108" si="2491">IF(AO101="","",AN101+AN102-AO101)</f>
        <v/>
      </c>
      <c r="AP108" s="20" t="str">
        <f t="shared" ref="AP108" si="2492">IF(AP101="","",AO101+AO102-AP101)</f>
        <v/>
      </c>
      <c r="AQ108" s="20" t="str">
        <f t="shared" ref="AQ108" si="2493">IF(AQ101="","",AP101+AP102-AQ101)</f>
        <v/>
      </c>
      <c r="AR108" s="20" t="str">
        <f t="shared" ref="AR108" si="2494">IF(AR101="","",AQ101+AQ102-AR101)</f>
        <v/>
      </c>
      <c r="AS108" s="20" t="str">
        <f t="shared" ref="AS108" si="2495">IF(AS101="","",AR101+AR102-AS101)</f>
        <v/>
      </c>
      <c r="AT108" s="20" t="str">
        <f t="shared" ref="AT108" si="2496">IF(AT101="","",AS101+AS102-AT101)</f>
        <v/>
      </c>
      <c r="AU108" s="20" t="str">
        <f t="shared" ref="AU108" si="2497">IF(AU101="","",AT101+AT102-AU101)</f>
        <v/>
      </c>
      <c r="AV108" s="20" t="str">
        <f t="shared" ref="AS108:BC108" si="2498">IF(AV101="","",AU101+AU102-AV101)</f>
        <v/>
      </c>
      <c r="AW108" s="20" t="str">
        <f t="shared" si="2498"/>
        <v/>
      </c>
      <c r="AX108" s="20" t="str">
        <f t="shared" si="2498"/>
        <v/>
      </c>
      <c r="AY108" s="20" t="str">
        <f t="shared" si="2498"/>
        <v/>
      </c>
      <c r="AZ108" s="20" t="str">
        <f t="shared" si="2498"/>
        <v/>
      </c>
      <c r="BA108" s="20" t="str">
        <f t="shared" si="2498"/>
        <v/>
      </c>
      <c r="BB108" s="20" t="str">
        <f t="shared" si="2498"/>
        <v/>
      </c>
      <c r="BC108" s="20" t="str">
        <f t="shared" si="2498"/>
        <v/>
      </c>
    </row>
    <row r="109" spans="1:55" ht="11.25" customHeight="1" x14ac:dyDescent="0.2">
      <c r="A109" s="15">
        <f t="shared" si="2407"/>
        <v>1600</v>
      </c>
      <c r="B109" s="19" t="s">
        <v>16</v>
      </c>
      <c r="C109" s="123">
        <v>0</v>
      </c>
      <c r="D109" s="20">
        <f t="shared" ref="D109:AU109" si="2499">IF(D99="","",D108*D103)</f>
        <v>0</v>
      </c>
      <c r="E109" s="20">
        <f t="shared" si="2499"/>
        <v>0</v>
      </c>
      <c r="F109" s="20">
        <f t="shared" si="2499"/>
        <v>1600</v>
      </c>
      <c r="G109" s="195">
        <f t="shared" si="2499"/>
        <v>0</v>
      </c>
      <c r="H109" s="20">
        <f t="shared" si="2499"/>
        <v>0</v>
      </c>
      <c r="I109" s="20">
        <f t="shared" si="2499"/>
        <v>0</v>
      </c>
      <c r="J109" s="195">
        <f t="shared" si="2499"/>
        <v>0</v>
      </c>
      <c r="K109" s="20">
        <f t="shared" si="2499"/>
        <v>0</v>
      </c>
      <c r="L109" s="20">
        <f t="shared" si="2499"/>
        <v>0</v>
      </c>
      <c r="M109" s="20">
        <f t="shared" si="2499"/>
        <v>0</v>
      </c>
      <c r="N109" s="195" t="str">
        <f t="shared" si="2499"/>
        <v/>
      </c>
      <c r="O109" s="20" t="str">
        <f t="shared" si="2499"/>
        <v/>
      </c>
      <c r="P109" s="20" t="str">
        <f t="shared" si="2499"/>
        <v/>
      </c>
      <c r="Q109" s="20" t="str">
        <f t="shared" si="2499"/>
        <v/>
      </c>
      <c r="R109" s="20" t="str">
        <f t="shared" si="2499"/>
        <v/>
      </c>
      <c r="S109" s="20" t="str">
        <f t="shared" si="2499"/>
        <v/>
      </c>
      <c r="T109" s="20" t="str">
        <f t="shared" si="2499"/>
        <v/>
      </c>
      <c r="U109" s="20" t="str">
        <f t="shared" si="2499"/>
        <v/>
      </c>
      <c r="V109" s="20" t="str">
        <f t="shared" si="2499"/>
        <v/>
      </c>
      <c r="W109" s="20" t="str">
        <f t="shared" si="2499"/>
        <v/>
      </c>
      <c r="X109" s="20" t="str">
        <f t="shared" si="2499"/>
        <v/>
      </c>
      <c r="Y109" s="20" t="str">
        <f t="shared" si="2499"/>
        <v/>
      </c>
      <c r="Z109" s="20" t="str">
        <f t="shared" si="2499"/>
        <v/>
      </c>
      <c r="AA109" s="20" t="str">
        <f t="shared" si="2499"/>
        <v/>
      </c>
      <c r="AB109" s="20" t="str">
        <f t="shared" si="2499"/>
        <v/>
      </c>
      <c r="AC109" s="20" t="str">
        <f t="shared" si="2499"/>
        <v/>
      </c>
      <c r="AD109" s="20" t="str">
        <f t="shared" si="2499"/>
        <v/>
      </c>
      <c r="AE109" s="20" t="str">
        <f t="shared" si="2499"/>
        <v/>
      </c>
      <c r="AF109" s="20" t="str">
        <f t="shared" si="2499"/>
        <v/>
      </c>
      <c r="AG109" s="20" t="str">
        <f t="shared" si="2499"/>
        <v/>
      </c>
      <c r="AH109" s="20" t="str">
        <f t="shared" si="2499"/>
        <v/>
      </c>
      <c r="AI109" s="20" t="str">
        <f t="shared" si="2499"/>
        <v/>
      </c>
      <c r="AJ109" s="20" t="str">
        <f t="shared" si="2499"/>
        <v/>
      </c>
      <c r="AK109" s="20" t="str">
        <f t="shared" si="2499"/>
        <v/>
      </c>
      <c r="AL109" s="20" t="str">
        <f t="shared" si="2499"/>
        <v/>
      </c>
      <c r="AM109" s="20" t="str">
        <f t="shared" si="2499"/>
        <v/>
      </c>
      <c r="AN109" s="20" t="str">
        <f t="shared" si="2499"/>
        <v/>
      </c>
      <c r="AO109" s="20" t="str">
        <f t="shared" si="2499"/>
        <v/>
      </c>
      <c r="AP109" s="20" t="str">
        <f t="shared" si="2499"/>
        <v/>
      </c>
      <c r="AQ109" s="20" t="str">
        <f t="shared" si="2499"/>
        <v/>
      </c>
      <c r="AR109" s="20" t="str">
        <f t="shared" si="2499"/>
        <v/>
      </c>
      <c r="AS109" s="20" t="str">
        <f t="shared" si="2499"/>
        <v/>
      </c>
      <c r="AT109" s="20" t="str">
        <f t="shared" si="2499"/>
        <v/>
      </c>
      <c r="AU109" s="20" t="str">
        <f t="shared" si="2499"/>
        <v/>
      </c>
      <c r="AV109" s="20" t="str">
        <f t="shared" ref="AS109:BC109" si="2500">IF(AV99="","",AV108*AV103)</f>
        <v/>
      </c>
      <c r="AW109" s="20" t="str">
        <f t="shared" si="2500"/>
        <v/>
      </c>
      <c r="AX109" s="20" t="str">
        <f t="shared" si="2500"/>
        <v/>
      </c>
      <c r="AY109" s="20" t="str">
        <f t="shared" si="2500"/>
        <v/>
      </c>
      <c r="AZ109" s="20" t="str">
        <f t="shared" si="2500"/>
        <v/>
      </c>
      <c r="BA109" s="20" t="str">
        <f t="shared" si="2500"/>
        <v/>
      </c>
      <c r="BB109" s="20" t="str">
        <f t="shared" si="2500"/>
        <v/>
      </c>
      <c r="BC109" s="20" t="str">
        <f t="shared" si="2500"/>
        <v/>
      </c>
    </row>
    <row r="110" spans="1:55" ht="11.25" customHeight="1" thickBot="1" x14ac:dyDescent="0.25">
      <c r="A110" s="21">
        <f>IF(A109="","",A109/(A106*100))</f>
        <v>0.1797752808988764</v>
      </c>
      <c r="B110" s="22" t="s">
        <v>17</v>
      </c>
      <c r="C110" s="140" t="s">
        <v>18</v>
      </c>
      <c r="D110" s="23" t="str">
        <f t="shared" ref="D110:AU110" si="2501">IF(D109="","",IF(D109=0,"",D109/(D106*100)))</f>
        <v/>
      </c>
      <c r="E110" s="23" t="str">
        <f t="shared" si="2501"/>
        <v/>
      </c>
      <c r="F110" s="23">
        <f t="shared" si="2501"/>
        <v>0.25396825396825395</v>
      </c>
      <c r="G110" s="198" t="str">
        <f t="shared" si="2501"/>
        <v/>
      </c>
      <c r="H110" s="23" t="str">
        <f t="shared" si="2501"/>
        <v/>
      </c>
      <c r="I110" s="23" t="str">
        <f t="shared" si="2501"/>
        <v/>
      </c>
      <c r="J110" s="198" t="str">
        <f t="shared" si="2501"/>
        <v/>
      </c>
      <c r="K110" s="23" t="str">
        <f t="shared" si="2501"/>
        <v/>
      </c>
      <c r="L110" s="23" t="str">
        <f t="shared" si="2501"/>
        <v/>
      </c>
      <c r="M110" s="23" t="str">
        <f t="shared" si="2501"/>
        <v/>
      </c>
      <c r="N110" s="198" t="str">
        <f t="shared" si="2501"/>
        <v/>
      </c>
      <c r="O110" s="23" t="str">
        <f t="shared" si="2501"/>
        <v/>
      </c>
      <c r="P110" s="23" t="str">
        <f t="shared" si="2501"/>
        <v/>
      </c>
      <c r="Q110" s="23" t="str">
        <f t="shared" si="2501"/>
        <v/>
      </c>
      <c r="R110" s="23" t="str">
        <f t="shared" si="2501"/>
        <v/>
      </c>
      <c r="S110" s="23" t="str">
        <f t="shared" si="2501"/>
        <v/>
      </c>
      <c r="T110" s="23" t="str">
        <f t="shared" si="2501"/>
        <v/>
      </c>
      <c r="U110" s="23" t="str">
        <f t="shared" si="2501"/>
        <v/>
      </c>
      <c r="V110" s="23" t="str">
        <f t="shared" si="2501"/>
        <v/>
      </c>
      <c r="W110" s="23" t="str">
        <f t="shared" si="2501"/>
        <v/>
      </c>
      <c r="X110" s="23" t="str">
        <f t="shared" si="2501"/>
        <v/>
      </c>
      <c r="Y110" s="23" t="str">
        <f t="shared" si="2501"/>
        <v/>
      </c>
      <c r="Z110" s="23" t="str">
        <f t="shared" si="2501"/>
        <v/>
      </c>
      <c r="AA110" s="23" t="str">
        <f t="shared" si="2501"/>
        <v/>
      </c>
      <c r="AB110" s="23" t="str">
        <f t="shared" si="2501"/>
        <v/>
      </c>
      <c r="AC110" s="23" t="str">
        <f t="shared" si="2501"/>
        <v/>
      </c>
      <c r="AD110" s="23" t="str">
        <f t="shared" si="2501"/>
        <v/>
      </c>
      <c r="AE110" s="23" t="str">
        <f t="shared" si="2501"/>
        <v/>
      </c>
      <c r="AF110" s="23" t="str">
        <f t="shared" si="2501"/>
        <v/>
      </c>
      <c r="AG110" s="23" t="str">
        <f t="shared" si="2501"/>
        <v/>
      </c>
      <c r="AH110" s="23" t="str">
        <f t="shared" si="2501"/>
        <v/>
      </c>
      <c r="AI110" s="23" t="str">
        <f t="shared" si="2501"/>
        <v/>
      </c>
      <c r="AJ110" s="23" t="str">
        <f t="shared" si="2501"/>
        <v/>
      </c>
      <c r="AK110" s="23" t="str">
        <f t="shared" si="2501"/>
        <v/>
      </c>
      <c r="AL110" s="23" t="str">
        <f t="shared" si="2501"/>
        <v/>
      </c>
      <c r="AM110" s="23" t="str">
        <f t="shared" si="2501"/>
        <v/>
      </c>
      <c r="AN110" s="23" t="str">
        <f t="shared" si="2501"/>
        <v/>
      </c>
      <c r="AO110" s="23" t="str">
        <f t="shared" si="2501"/>
        <v/>
      </c>
      <c r="AP110" s="23" t="str">
        <f t="shared" si="2501"/>
        <v/>
      </c>
      <c r="AQ110" s="23" t="str">
        <f t="shared" si="2501"/>
        <v/>
      </c>
      <c r="AR110" s="23" t="str">
        <f t="shared" si="2501"/>
        <v/>
      </c>
      <c r="AS110" s="23" t="str">
        <f t="shared" si="2501"/>
        <v/>
      </c>
      <c r="AT110" s="23" t="str">
        <f t="shared" si="2501"/>
        <v/>
      </c>
      <c r="AU110" s="23" t="str">
        <f t="shared" si="2501"/>
        <v/>
      </c>
      <c r="AV110" s="23" t="str">
        <f t="shared" ref="AS110:BC110" si="2502">IF(AV109="","",IF(AV109=0,"",AV109/(AV106*100)))</f>
        <v/>
      </c>
      <c r="AW110" s="23" t="str">
        <f t="shared" si="2502"/>
        <v/>
      </c>
      <c r="AX110" s="23" t="str">
        <f t="shared" si="2502"/>
        <v/>
      </c>
      <c r="AY110" s="23" t="str">
        <f t="shared" si="2502"/>
        <v/>
      </c>
      <c r="AZ110" s="23" t="str">
        <f t="shared" si="2502"/>
        <v/>
      </c>
      <c r="BA110" s="23" t="str">
        <f t="shared" si="2502"/>
        <v/>
      </c>
      <c r="BB110" s="23" t="str">
        <f t="shared" si="2502"/>
        <v/>
      </c>
      <c r="BC110" s="23" t="str">
        <f t="shared" si="2502"/>
        <v/>
      </c>
    </row>
    <row r="111" spans="1:55" ht="11.25" customHeight="1" x14ac:dyDescent="0.2">
      <c r="A111" s="7" t="s">
        <v>1</v>
      </c>
      <c r="B111" s="8" t="s">
        <v>2</v>
      </c>
      <c r="C111" s="118">
        <v>7997</v>
      </c>
      <c r="D111" s="9">
        <f t="shared" ref="D111:D112" si="2503">IF(D$3="","",C111)</f>
        <v>7997</v>
      </c>
      <c r="E111" s="9">
        <f t="shared" ref="E111:E112" si="2504">IF(E$3="","",D111)</f>
        <v>7997</v>
      </c>
      <c r="F111" s="9">
        <v>8006</v>
      </c>
      <c r="G111" s="194">
        <f t="shared" ref="G111:G112" si="2505">IF(G$3="","",F111)</f>
        <v>8006</v>
      </c>
      <c r="H111" s="9">
        <f t="shared" ref="H111:H112" si="2506">IF(H$3="","",G111)</f>
        <v>8006</v>
      </c>
      <c r="I111" s="9">
        <v>8021</v>
      </c>
      <c r="J111" s="194">
        <f t="shared" ref="J111:J112" si="2507">IF(J$3="","",I111)</f>
        <v>8021</v>
      </c>
      <c r="K111" s="9">
        <f t="shared" ref="K111:K112" si="2508">IF(K$3="","",J111)</f>
        <v>8021</v>
      </c>
      <c r="L111" s="9">
        <f t="shared" ref="L111:L112" si="2509">IF(L$3="","",K111)</f>
        <v>8021</v>
      </c>
      <c r="M111" s="9">
        <f t="shared" ref="M111:M112" si="2510">IF(M$3="","",L111)</f>
        <v>8021</v>
      </c>
      <c r="N111" s="194" t="str">
        <f t="shared" ref="N111:N112" si="2511">IF(N$3="","",M111)</f>
        <v/>
      </c>
      <c r="O111" s="9" t="str">
        <f t="shared" ref="O111:O112" si="2512">IF(O$3="","",N111)</f>
        <v/>
      </c>
      <c r="P111" s="9" t="str">
        <f t="shared" ref="P111:P112" si="2513">IF(P$3="","",O111)</f>
        <v/>
      </c>
      <c r="Q111" s="9" t="str">
        <f t="shared" ref="Q111:Q112" si="2514">IF(Q$3="","",P111)</f>
        <v/>
      </c>
      <c r="R111" s="9" t="str">
        <f t="shared" ref="R111:R112" si="2515">IF(R$3="","",Q111)</f>
        <v/>
      </c>
      <c r="S111" s="9" t="str">
        <f t="shared" ref="S111:S112" si="2516">IF(S$3="","",R111)</f>
        <v/>
      </c>
      <c r="T111" s="9" t="str">
        <f t="shared" ref="T111:T112" si="2517">IF(T$3="","",S111)</f>
        <v/>
      </c>
      <c r="U111" s="9" t="str">
        <f t="shared" ref="U111:U112" si="2518">IF(U$3="","",T111)</f>
        <v/>
      </c>
      <c r="V111" s="9" t="str">
        <f t="shared" ref="V111:V112" si="2519">IF(V$3="","",U111)</f>
        <v/>
      </c>
      <c r="W111" s="9" t="str">
        <f t="shared" ref="W111:W112" si="2520">IF(W$3="","",V111)</f>
        <v/>
      </c>
      <c r="X111" s="9" t="str">
        <f t="shared" ref="X111:X112" si="2521">IF(X$3="","",W111)</f>
        <v/>
      </c>
      <c r="Y111" s="9" t="str">
        <f t="shared" ref="Y111:Y112" si="2522">IF(Y$3="","",X111)</f>
        <v/>
      </c>
      <c r="Z111" s="9" t="str">
        <f t="shared" ref="Z111:Z112" si="2523">IF(Z$3="","",Y111)</f>
        <v/>
      </c>
      <c r="AA111" s="9" t="str">
        <f t="shared" ref="AA111:AA112" si="2524">IF(AA$3="","",Z111)</f>
        <v/>
      </c>
      <c r="AB111" s="9" t="str">
        <f t="shared" ref="AB111:AB112" si="2525">IF(AB$3="","",AA111)</f>
        <v/>
      </c>
      <c r="AC111" s="9" t="str">
        <f t="shared" ref="AC111:AC112" si="2526">IF(AC$3="","",AB111)</f>
        <v/>
      </c>
      <c r="AD111" s="9" t="str">
        <f t="shared" ref="AD111:AD112" si="2527">IF(AD$3="","",AC111)</f>
        <v/>
      </c>
      <c r="AE111" s="9" t="str">
        <f t="shared" ref="AE111:AE112" si="2528">IF(AE$3="","",AD111)</f>
        <v/>
      </c>
      <c r="AF111" s="9" t="str">
        <f t="shared" ref="AF111:AF112" si="2529">IF(AF$3="","",AE111)</f>
        <v/>
      </c>
      <c r="AG111" s="9" t="str">
        <f t="shared" ref="AG111:AG112" si="2530">IF(AG$3="","",AF111)</f>
        <v/>
      </c>
      <c r="AH111" s="9" t="str">
        <f t="shared" ref="AH111:AH112" si="2531">IF(AH$3="","",AG111)</f>
        <v/>
      </c>
      <c r="AI111" s="9" t="str">
        <f t="shared" ref="AI111:AI112" si="2532">IF(AI$3="","",AH111)</f>
        <v/>
      </c>
      <c r="AJ111" s="9" t="str">
        <f t="shared" ref="AJ111:AJ112" si="2533">IF(AJ$3="","",AI111)</f>
        <v/>
      </c>
      <c r="AK111" s="9" t="str">
        <f t="shared" ref="AK111:AK112" si="2534">IF(AK$3="","",AJ111)</f>
        <v/>
      </c>
      <c r="AL111" s="9" t="str">
        <f t="shared" ref="AL111:AL112" si="2535">IF(AL$3="","",AK111)</f>
        <v/>
      </c>
      <c r="AM111" s="9" t="str">
        <f t="shared" ref="AM111:AM112" si="2536">IF(AM$3="","",AL111)</f>
        <v/>
      </c>
      <c r="AN111" s="9" t="str">
        <f t="shared" ref="AN111:AN112" si="2537">IF(AN$3="","",AM111)</f>
        <v/>
      </c>
      <c r="AO111" s="9" t="str">
        <f t="shared" ref="AO111:AO112" si="2538">IF(AO$3="","",AN111)</f>
        <v/>
      </c>
      <c r="AP111" s="9" t="str">
        <f t="shared" ref="AP111:AP112" si="2539">IF(AP$3="","",AO111)</f>
        <v/>
      </c>
      <c r="AQ111" s="9" t="str">
        <f t="shared" ref="AQ111:AQ112" si="2540">IF(AQ$3="","",AP111)</f>
        <v/>
      </c>
      <c r="AR111" s="9" t="str">
        <f t="shared" ref="AR111:AR112" si="2541">IF(AR$3="","",AQ111)</f>
        <v/>
      </c>
      <c r="AS111" s="9" t="str">
        <f t="shared" ref="AS111:AS112" si="2542">IF(AS$3="","",AR111)</f>
        <v/>
      </c>
      <c r="AT111" s="9" t="str">
        <f t="shared" ref="AT111:AT112" si="2543">IF(AT$3="","",AS111)</f>
        <v/>
      </c>
      <c r="AU111" s="9" t="str">
        <f t="shared" ref="AU111:AU112" si="2544">IF(AU$3="","",AT111)</f>
        <v/>
      </c>
      <c r="AV111" s="9" t="str">
        <f t="shared" ref="AS111:BC111" si="2545">IF(AV$3="","",AU111)</f>
        <v/>
      </c>
      <c r="AW111" s="9" t="str">
        <f t="shared" si="2545"/>
        <v/>
      </c>
      <c r="AX111" s="9" t="str">
        <f t="shared" si="2545"/>
        <v/>
      </c>
      <c r="AY111" s="9" t="str">
        <f t="shared" si="2545"/>
        <v/>
      </c>
      <c r="AZ111" s="9" t="str">
        <f t="shared" si="2545"/>
        <v/>
      </c>
      <c r="BA111" s="9" t="str">
        <f t="shared" si="2545"/>
        <v/>
      </c>
      <c r="BB111" s="9" t="str">
        <f t="shared" si="2545"/>
        <v/>
      </c>
      <c r="BC111" s="9" t="str">
        <f t="shared" si="2545"/>
        <v/>
      </c>
    </row>
    <row r="112" spans="1:55" ht="11.25" customHeight="1" x14ac:dyDescent="0.2">
      <c r="A112" s="10" t="s">
        <v>40</v>
      </c>
      <c r="B112" s="11" t="s">
        <v>4</v>
      </c>
      <c r="C112" s="123">
        <v>213</v>
      </c>
      <c r="D112" s="12">
        <f t="shared" si="2503"/>
        <v>213</v>
      </c>
      <c r="E112" s="12">
        <f t="shared" si="2504"/>
        <v>213</v>
      </c>
      <c r="F112" s="12">
        <f t="shared" ref="F112" si="2546">IF(F$3="","",E112)</f>
        <v>213</v>
      </c>
      <c r="G112" s="195">
        <f t="shared" si="2505"/>
        <v>213</v>
      </c>
      <c r="H112" s="12">
        <f t="shared" si="2506"/>
        <v>213</v>
      </c>
      <c r="I112" s="12">
        <v>214</v>
      </c>
      <c r="J112" s="195">
        <f t="shared" si="2507"/>
        <v>214</v>
      </c>
      <c r="K112" s="12">
        <f t="shared" si="2508"/>
        <v>214</v>
      </c>
      <c r="L112" s="12">
        <f t="shared" si="2509"/>
        <v>214</v>
      </c>
      <c r="M112" s="12">
        <f t="shared" si="2510"/>
        <v>214</v>
      </c>
      <c r="N112" s="195" t="str">
        <f t="shared" si="2511"/>
        <v/>
      </c>
      <c r="O112" s="12" t="str">
        <f t="shared" si="2512"/>
        <v/>
      </c>
      <c r="P112" s="12" t="str">
        <f t="shared" si="2513"/>
        <v/>
      </c>
      <c r="Q112" s="12" t="str">
        <f t="shared" si="2514"/>
        <v/>
      </c>
      <c r="R112" s="12" t="str">
        <f t="shared" si="2515"/>
        <v/>
      </c>
      <c r="S112" s="12" t="str">
        <f t="shared" si="2516"/>
        <v/>
      </c>
      <c r="T112" s="12" t="str">
        <f t="shared" si="2517"/>
        <v/>
      </c>
      <c r="U112" s="12" t="str">
        <f t="shared" si="2518"/>
        <v/>
      </c>
      <c r="V112" s="12" t="str">
        <f t="shared" si="2519"/>
        <v/>
      </c>
      <c r="W112" s="12" t="str">
        <f t="shared" si="2520"/>
        <v/>
      </c>
      <c r="X112" s="12" t="str">
        <f t="shared" si="2521"/>
        <v/>
      </c>
      <c r="Y112" s="12" t="str">
        <f t="shared" si="2522"/>
        <v/>
      </c>
      <c r="Z112" s="12" t="str">
        <f t="shared" si="2523"/>
        <v/>
      </c>
      <c r="AA112" s="12" t="str">
        <f t="shared" si="2524"/>
        <v/>
      </c>
      <c r="AB112" s="12" t="str">
        <f t="shared" si="2525"/>
        <v/>
      </c>
      <c r="AC112" s="12" t="str">
        <f t="shared" si="2526"/>
        <v/>
      </c>
      <c r="AD112" s="12" t="str">
        <f t="shared" si="2527"/>
        <v/>
      </c>
      <c r="AE112" s="12" t="str">
        <f t="shared" si="2528"/>
        <v/>
      </c>
      <c r="AF112" s="12" t="str">
        <f t="shared" si="2529"/>
        <v/>
      </c>
      <c r="AG112" s="12" t="str">
        <f t="shared" si="2530"/>
        <v/>
      </c>
      <c r="AH112" s="12" t="str">
        <f t="shared" si="2531"/>
        <v/>
      </c>
      <c r="AI112" s="12" t="str">
        <f t="shared" si="2532"/>
        <v/>
      </c>
      <c r="AJ112" s="12" t="str">
        <f t="shared" si="2533"/>
        <v/>
      </c>
      <c r="AK112" s="12" t="str">
        <f t="shared" si="2534"/>
        <v/>
      </c>
      <c r="AL112" s="12" t="str">
        <f t="shared" si="2535"/>
        <v/>
      </c>
      <c r="AM112" s="12" t="str">
        <f t="shared" si="2536"/>
        <v/>
      </c>
      <c r="AN112" s="12" t="str">
        <f t="shared" si="2537"/>
        <v/>
      </c>
      <c r="AO112" s="12" t="str">
        <f t="shared" si="2538"/>
        <v/>
      </c>
      <c r="AP112" s="12" t="str">
        <f t="shared" si="2539"/>
        <v/>
      </c>
      <c r="AQ112" s="12" t="str">
        <f t="shared" si="2540"/>
        <v/>
      </c>
      <c r="AR112" s="12" t="str">
        <f t="shared" si="2541"/>
        <v/>
      </c>
      <c r="AS112" s="12" t="str">
        <f t="shared" si="2542"/>
        <v/>
      </c>
      <c r="AT112" s="12" t="str">
        <f t="shared" si="2543"/>
        <v/>
      </c>
      <c r="AU112" s="12" t="str">
        <f t="shared" si="2544"/>
        <v/>
      </c>
      <c r="AV112" s="12" t="str">
        <f t="shared" ref="AS112:BC112" si="2547">IF(AV$3="","",AU112)</f>
        <v/>
      </c>
      <c r="AW112" s="12" t="str">
        <f t="shared" si="2547"/>
        <v/>
      </c>
      <c r="AX112" s="12" t="str">
        <f t="shared" si="2547"/>
        <v/>
      </c>
      <c r="AY112" s="12" t="str">
        <f t="shared" si="2547"/>
        <v/>
      </c>
      <c r="AZ112" s="12" t="str">
        <f t="shared" si="2547"/>
        <v/>
      </c>
      <c r="BA112" s="12" t="str">
        <f t="shared" si="2547"/>
        <v/>
      </c>
      <c r="BB112" s="12" t="str">
        <f t="shared" si="2547"/>
        <v/>
      </c>
      <c r="BC112" s="12" t="str">
        <f t="shared" si="2547"/>
        <v/>
      </c>
    </row>
    <row r="113" spans="1:55" ht="11.25" customHeight="1" x14ac:dyDescent="0.25">
      <c r="A113" s="24">
        <v>1</v>
      </c>
      <c r="B113" s="11" t="s">
        <v>5</v>
      </c>
      <c r="C113" s="123">
        <v>9</v>
      </c>
      <c r="D113" s="12">
        <f t="shared" ref="D113" si="2548">IF(D111="","",(C113+C114))</f>
        <v>9</v>
      </c>
      <c r="E113" s="12">
        <f t="shared" ref="E113" si="2549">IF(E111="","",(D113+D114))</f>
        <v>9</v>
      </c>
      <c r="F113" s="12">
        <f t="shared" ref="F113" si="2550">IF(F111="","",(E113+E114))</f>
        <v>9</v>
      </c>
      <c r="G113" s="195">
        <f t="shared" ref="G113" si="2551">IF(G111="","",(F113+F114))</f>
        <v>9</v>
      </c>
      <c r="H113" s="12">
        <f t="shared" ref="H113" si="2552">IF(H111="","",(G113+G114))</f>
        <v>9</v>
      </c>
      <c r="I113" s="12">
        <v>8</v>
      </c>
      <c r="J113" s="195">
        <f t="shared" ref="J113" si="2553">IF(J111="","",(I113+I114))</f>
        <v>8</v>
      </c>
      <c r="K113" s="12">
        <f t="shared" ref="K113" si="2554">IF(K111="","",(J113+J114))</f>
        <v>8</v>
      </c>
      <c r="L113" s="12">
        <f t="shared" ref="L113" si="2555">IF(L111="","",(K113+K114))</f>
        <v>8</v>
      </c>
      <c r="M113" s="12">
        <f t="shared" ref="M113" si="2556">IF(M111="","",(L113+L114))</f>
        <v>8</v>
      </c>
      <c r="N113" s="195" t="str">
        <f t="shared" ref="N113" si="2557">IF(N111="","",(M113+M114))</f>
        <v/>
      </c>
      <c r="O113" s="12" t="str">
        <f t="shared" ref="O113" si="2558">IF(O111="","",(N113+N114))</f>
        <v/>
      </c>
      <c r="P113" s="12" t="str">
        <f t="shared" ref="P113" si="2559">IF(P111="","",(O113+O114))</f>
        <v/>
      </c>
      <c r="Q113" s="12" t="str">
        <f t="shared" ref="Q113" si="2560">IF(Q111="","",(P113+P114))</f>
        <v/>
      </c>
      <c r="R113" s="12" t="str">
        <f t="shared" ref="R113" si="2561">IF(R111="","",(Q113+Q114))</f>
        <v/>
      </c>
      <c r="S113" s="12" t="str">
        <f t="shared" ref="S113" si="2562">IF(S111="","",(R113+R114))</f>
        <v/>
      </c>
      <c r="T113" s="12" t="str">
        <f t="shared" ref="T113" si="2563">IF(T111="","",(S113+S114))</f>
        <v/>
      </c>
      <c r="U113" s="12" t="str">
        <f t="shared" ref="U113" si="2564">IF(U111="","",(T113+T114))</f>
        <v/>
      </c>
      <c r="V113" s="12" t="str">
        <f t="shared" ref="V113" si="2565">IF(V111="","",(U113+U114))</f>
        <v/>
      </c>
      <c r="W113" s="12" t="str">
        <f t="shared" ref="W113" si="2566">IF(W111="","",(V113+V114))</f>
        <v/>
      </c>
      <c r="X113" s="12" t="str">
        <f t="shared" ref="X113" si="2567">IF(X111="","",(W113+W114))</f>
        <v/>
      </c>
      <c r="Y113" s="12" t="str">
        <f t="shared" ref="Y113" si="2568">IF(Y111="","",(X113+X114))</f>
        <v/>
      </c>
      <c r="Z113" s="12" t="str">
        <f t="shared" ref="Z113" si="2569">IF(Z111="","",(Y113+Y114))</f>
        <v/>
      </c>
      <c r="AA113" s="12" t="str">
        <f t="shared" ref="AA113" si="2570">IF(AA111="","",(Z113+Z114))</f>
        <v/>
      </c>
      <c r="AB113" s="12" t="str">
        <f t="shared" ref="AB113" si="2571">IF(AB111="","",(AA113+AA114))</f>
        <v/>
      </c>
      <c r="AC113" s="12" t="str">
        <f t="shared" ref="AC113" si="2572">IF(AC111="","",(AB113+AB114))</f>
        <v/>
      </c>
      <c r="AD113" s="12" t="str">
        <f t="shared" ref="AD113" si="2573">IF(AD111="","",(AC113+AC114))</f>
        <v/>
      </c>
      <c r="AE113" s="12" t="str">
        <f t="shared" ref="AE113" si="2574">IF(AE111="","",(AD113+AD114))</f>
        <v/>
      </c>
      <c r="AF113" s="12" t="str">
        <f t="shared" ref="AF113" si="2575">IF(AF111="","",(AE113+AE114))</f>
        <v/>
      </c>
      <c r="AG113" s="12" t="str">
        <f t="shared" ref="AG113" si="2576">IF(AG111="","",(AF113+AF114))</f>
        <v/>
      </c>
      <c r="AH113" s="12" t="str">
        <f t="shared" ref="AH113" si="2577">IF(AH111="","",(AG113+AG114))</f>
        <v/>
      </c>
      <c r="AI113" s="12" t="str">
        <f t="shared" ref="AI113" si="2578">IF(AI111="","",(AH113+AH114))</f>
        <v/>
      </c>
      <c r="AJ113" s="12" t="str">
        <f t="shared" ref="AJ113" si="2579">IF(AJ111="","",(AI113+AI114))</f>
        <v/>
      </c>
      <c r="AK113" s="12" t="str">
        <f t="shared" ref="AK113" si="2580">IF(AK111="","",(AJ113+AJ114))</f>
        <v/>
      </c>
      <c r="AL113" s="12" t="str">
        <f t="shared" ref="AL113" si="2581">IF(AL111="","",(AK113+AK114))</f>
        <v/>
      </c>
      <c r="AM113" s="12" t="str">
        <f t="shared" ref="AM113" si="2582">IF(AM111="","",(AL113+AL114))</f>
        <v/>
      </c>
      <c r="AN113" s="12" t="str">
        <f t="shared" ref="AN113" si="2583">IF(AN111="","",(AM113+AM114))</f>
        <v/>
      </c>
      <c r="AO113" s="12" t="str">
        <f t="shared" ref="AO113" si="2584">IF(AO111="","",(AN113+AN114))</f>
        <v/>
      </c>
      <c r="AP113" s="12" t="str">
        <f t="shared" ref="AP113" si="2585">IF(AP111="","",(AO113+AO114))</f>
        <v/>
      </c>
      <c r="AQ113" s="12" t="str">
        <f t="shared" ref="AQ113" si="2586">IF(AQ111="","",(AP113+AP114))</f>
        <v/>
      </c>
      <c r="AR113" s="12" t="str">
        <f t="shared" ref="AR113" si="2587">IF(AR111="","",(AQ113+AQ114))</f>
        <v/>
      </c>
      <c r="AS113" s="12" t="str">
        <f t="shared" ref="AS113" si="2588">IF(AS111="","",(AR113+AR114))</f>
        <v/>
      </c>
      <c r="AT113" s="12" t="str">
        <f t="shared" ref="AT113" si="2589">IF(AT111="","",(AS113+AS114))</f>
        <v/>
      </c>
      <c r="AU113" s="12" t="str">
        <f t="shared" ref="AU113" si="2590">IF(AU111="","",(AT113+AT114))</f>
        <v/>
      </c>
      <c r="AV113" s="12" t="str">
        <f t="shared" ref="AS113:BC113" si="2591">IF(AV111="","",(AU113+AU114))</f>
        <v/>
      </c>
      <c r="AW113" s="12" t="str">
        <f t="shared" si="2591"/>
        <v/>
      </c>
      <c r="AX113" s="12" t="str">
        <f t="shared" si="2591"/>
        <v/>
      </c>
      <c r="AY113" s="12" t="str">
        <f t="shared" si="2591"/>
        <v/>
      </c>
      <c r="AZ113" s="12" t="str">
        <f t="shared" si="2591"/>
        <v/>
      </c>
      <c r="BA113" s="12" t="str">
        <f t="shared" si="2591"/>
        <v/>
      </c>
      <c r="BB113" s="12" t="str">
        <f t="shared" si="2591"/>
        <v/>
      </c>
      <c r="BC113" s="12" t="str">
        <f t="shared" si="2591"/>
        <v/>
      </c>
    </row>
    <row r="114" spans="1:55" ht="11.25" customHeight="1" x14ac:dyDescent="0.25">
      <c r="A114" s="25" t="s">
        <v>20</v>
      </c>
      <c r="B114" s="11" t="s">
        <v>6</v>
      </c>
      <c r="C114" s="123"/>
      <c r="D114" s="12"/>
      <c r="E114" s="12"/>
      <c r="F114" s="12"/>
      <c r="G114" s="195"/>
      <c r="H114" s="12"/>
      <c r="I114" s="12"/>
      <c r="J114" s="195"/>
      <c r="K114" s="12"/>
      <c r="L114" s="12"/>
      <c r="M114" s="12"/>
      <c r="N114" s="195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</row>
    <row r="115" spans="1:55" ht="11.25" customHeight="1" x14ac:dyDescent="0.25">
      <c r="A115" s="26">
        <f>+(A118+A130+A142+A154)*100</f>
        <v>21200</v>
      </c>
      <c r="B115" s="11" t="s">
        <v>8</v>
      </c>
      <c r="C115" s="129">
        <v>770</v>
      </c>
      <c r="D115" s="16">
        <f t="shared" ref="D115" si="2592">IF(D111="","",C115)</f>
        <v>770</v>
      </c>
      <c r="E115" s="16">
        <f t="shared" ref="E115" si="2593">IF(E111="","",D115)</f>
        <v>770</v>
      </c>
      <c r="F115" s="16">
        <f t="shared" ref="F115" si="2594">IF(F111="","",E115)</f>
        <v>770</v>
      </c>
      <c r="G115" s="196">
        <f t="shared" ref="G115" si="2595">IF(G111="","",F115)</f>
        <v>770</v>
      </c>
      <c r="H115" s="16">
        <f t="shared" ref="H115" si="2596">IF(H111="","",G115)</f>
        <v>770</v>
      </c>
      <c r="I115" s="16">
        <f t="shared" ref="I115" si="2597">IF(I111="","",H115)</f>
        <v>770</v>
      </c>
      <c r="J115" s="196">
        <v>1100</v>
      </c>
      <c r="K115" s="16">
        <f t="shared" ref="K115" si="2598">IF(K111="","",J115)</f>
        <v>1100</v>
      </c>
      <c r="L115" s="16">
        <f t="shared" ref="L115" si="2599">IF(L111="","",K115)</f>
        <v>1100</v>
      </c>
      <c r="M115" s="16">
        <f t="shared" ref="M115" si="2600">IF(M111="","",L115)</f>
        <v>1100</v>
      </c>
      <c r="N115" s="196" t="str">
        <f t="shared" ref="N115" si="2601">IF(N111="","",M115)</f>
        <v/>
      </c>
      <c r="O115" s="16" t="str">
        <f t="shared" ref="O115" si="2602">IF(O111="","",N115)</f>
        <v/>
      </c>
      <c r="P115" s="16" t="str">
        <f t="shared" ref="P115" si="2603">IF(P111="","",O115)</f>
        <v/>
      </c>
      <c r="Q115" s="16" t="str">
        <f t="shared" ref="Q115" si="2604">IF(Q111="","",P115)</f>
        <v/>
      </c>
      <c r="R115" s="16" t="str">
        <f t="shared" ref="R115" si="2605">IF(R111="","",Q115)</f>
        <v/>
      </c>
      <c r="S115" s="16" t="str">
        <f t="shared" ref="S115" si="2606">IF(S111="","",R115)</f>
        <v/>
      </c>
      <c r="T115" s="16" t="str">
        <f t="shared" ref="T115" si="2607">IF(T111="","",S115)</f>
        <v/>
      </c>
      <c r="U115" s="16" t="str">
        <f t="shared" ref="U115" si="2608">IF(U111="","",T115)</f>
        <v/>
      </c>
      <c r="V115" s="16" t="str">
        <f t="shared" ref="V115" si="2609">IF(V111="","",U115)</f>
        <v/>
      </c>
      <c r="W115" s="16" t="str">
        <f t="shared" ref="W115" si="2610">IF(W111="","",V115)</f>
        <v/>
      </c>
      <c r="X115" s="16" t="str">
        <f t="shared" ref="X115" si="2611">IF(X111="","",W115)</f>
        <v/>
      </c>
      <c r="Y115" s="16" t="str">
        <f t="shared" ref="Y115" si="2612">IF(Y111="","",X115)</f>
        <v/>
      </c>
      <c r="Z115" s="16" t="str">
        <f t="shared" ref="Z115" si="2613">IF(Z111="","",Y115)</f>
        <v/>
      </c>
      <c r="AA115" s="16" t="str">
        <f t="shared" ref="AA115" si="2614">IF(AA111="","",Z115)</f>
        <v/>
      </c>
      <c r="AB115" s="16" t="str">
        <f t="shared" ref="AB115" si="2615">IF(AB111="","",AA115)</f>
        <v/>
      </c>
      <c r="AC115" s="16" t="str">
        <f t="shared" ref="AC115" si="2616">IF(AC111="","",AB115)</f>
        <v/>
      </c>
      <c r="AD115" s="16" t="str">
        <f t="shared" ref="AD115" si="2617">IF(AD111="","",AC115)</f>
        <v/>
      </c>
      <c r="AE115" s="16" t="str">
        <f t="shared" ref="AE115" si="2618">IF(AE111="","",AD115)</f>
        <v/>
      </c>
      <c r="AF115" s="16" t="str">
        <f t="shared" ref="AF115" si="2619">IF(AF111="","",AE115)</f>
        <v/>
      </c>
      <c r="AG115" s="16" t="str">
        <f t="shared" ref="AG115" si="2620">IF(AG111="","",AF115)</f>
        <v/>
      </c>
      <c r="AH115" s="16" t="str">
        <f t="shared" ref="AH115" si="2621">IF(AH111="","",AG115)</f>
        <v/>
      </c>
      <c r="AI115" s="16" t="str">
        <f t="shared" ref="AI115" si="2622">IF(AI111="","",AH115)</f>
        <v/>
      </c>
      <c r="AJ115" s="16" t="str">
        <f t="shared" ref="AJ115" si="2623">IF(AJ111="","",AI115)</f>
        <v/>
      </c>
      <c r="AK115" s="16" t="str">
        <f t="shared" ref="AK115" si="2624">IF(AK111="","",AJ115)</f>
        <v/>
      </c>
      <c r="AL115" s="16" t="str">
        <f t="shared" ref="AL115" si="2625">IF(AL111="","",AK115)</f>
        <v/>
      </c>
      <c r="AM115" s="16" t="str">
        <f t="shared" ref="AM115" si="2626">IF(AM111="","",AL115)</f>
        <v/>
      </c>
      <c r="AN115" s="16" t="str">
        <f t="shared" ref="AN115" si="2627">IF(AN111="","",AM115)</f>
        <v/>
      </c>
      <c r="AO115" s="16" t="str">
        <f t="shared" ref="AO115" si="2628">IF(AO111="","",AN115)</f>
        <v/>
      </c>
      <c r="AP115" s="16" t="str">
        <f t="shared" ref="AP115" si="2629">IF(AP111="","",AO115)</f>
        <v/>
      </c>
      <c r="AQ115" s="16" t="str">
        <f t="shared" ref="AQ115" si="2630">IF(AQ111="","",AP115)</f>
        <v/>
      </c>
      <c r="AR115" s="16" t="str">
        <f t="shared" ref="AR115" si="2631">IF(AR111="","",AQ115)</f>
        <v/>
      </c>
      <c r="AS115" s="16" t="str">
        <f t="shared" ref="AS115" si="2632">IF(AS111="","",AR115)</f>
        <v/>
      </c>
      <c r="AT115" s="16" t="str">
        <f t="shared" ref="AT115" si="2633">IF(AT111="","",AS115)</f>
        <v/>
      </c>
      <c r="AU115" s="16" t="str">
        <f t="shared" ref="AU115" si="2634">IF(AU111="","",AT115)</f>
        <v/>
      </c>
      <c r="AV115" s="16" t="str">
        <f t="shared" ref="AS115:BC115" si="2635">IF(AV111="","",AU115)</f>
        <v/>
      </c>
      <c r="AW115" s="16" t="str">
        <f t="shared" si="2635"/>
        <v/>
      </c>
      <c r="AX115" s="16" t="str">
        <f t="shared" si="2635"/>
        <v/>
      </c>
      <c r="AY115" s="16" t="str">
        <f t="shared" si="2635"/>
        <v/>
      </c>
      <c r="AZ115" s="16" t="str">
        <f t="shared" si="2635"/>
        <v/>
      </c>
      <c r="BA115" s="16" t="str">
        <f t="shared" si="2635"/>
        <v/>
      </c>
      <c r="BB115" s="16" t="str">
        <f t="shared" si="2635"/>
        <v/>
      </c>
      <c r="BC115" s="16" t="str">
        <f t="shared" si="2635"/>
        <v/>
      </c>
    </row>
    <row r="116" spans="1:55" ht="11.25" customHeight="1" x14ac:dyDescent="0.2">
      <c r="A116" s="14" t="s">
        <v>9</v>
      </c>
      <c r="B116" s="17" t="s">
        <v>10</v>
      </c>
      <c r="C116" s="133" t="s">
        <v>256</v>
      </c>
      <c r="D116" s="18" t="str">
        <f t="shared" ref="D116" si="2636">IF(D111="","",C116)</f>
        <v>ミニデジカメ</v>
      </c>
      <c r="E116" s="18" t="str">
        <f t="shared" ref="E116" si="2637">IF(E111="","",D116)</f>
        <v>ミニデジカメ</v>
      </c>
      <c r="F116" s="18" t="str">
        <f t="shared" ref="F116" si="2638">IF(F111="","",E116)</f>
        <v>ミニデジカメ</v>
      </c>
      <c r="G116" s="197" t="str">
        <f t="shared" ref="G116" si="2639">IF(G111="","",F116)</f>
        <v>ミニデジカメ</v>
      </c>
      <c r="H116" s="18" t="str">
        <f t="shared" ref="H116" si="2640">IF(H111="","",G116)</f>
        <v>ミニデジカメ</v>
      </c>
      <c r="I116" s="18" t="str">
        <f t="shared" ref="I116" si="2641">IF(I111="","",H116)</f>
        <v>ミニデジカメ</v>
      </c>
      <c r="J116" s="197" t="s">
        <v>282</v>
      </c>
      <c r="K116" s="18" t="str">
        <f t="shared" ref="K116" si="2642">IF(K111="","",J116)</f>
        <v>ハンディファン</v>
      </c>
      <c r="L116" s="18" t="str">
        <f t="shared" ref="L116" si="2643">IF(L111="","",K116)</f>
        <v>ハンディファン</v>
      </c>
      <c r="M116" s="18" t="str">
        <f t="shared" ref="M116" si="2644">IF(M111="","",L116)</f>
        <v>ハンディファン</v>
      </c>
      <c r="N116" s="197" t="str">
        <f t="shared" ref="N116" si="2645">IF(N111="","",M116)</f>
        <v/>
      </c>
      <c r="O116" s="18" t="str">
        <f t="shared" ref="O116" si="2646">IF(O111="","",N116)</f>
        <v/>
      </c>
      <c r="P116" s="18" t="str">
        <f t="shared" ref="P116" si="2647">IF(P111="","",O116)</f>
        <v/>
      </c>
      <c r="Q116" s="18" t="str">
        <f t="shared" ref="Q116" si="2648">IF(Q111="","",P116)</f>
        <v/>
      </c>
      <c r="R116" s="18" t="str">
        <f t="shared" ref="R116" si="2649">IF(R111="","",Q116)</f>
        <v/>
      </c>
      <c r="S116" s="18" t="str">
        <f t="shared" ref="S116" si="2650">IF(S111="","",R116)</f>
        <v/>
      </c>
      <c r="T116" s="18" t="str">
        <f t="shared" ref="T116" si="2651">IF(T111="","",S116)</f>
        <v/>
      </c>
      <c r="U116" s="18" t="str">
        <f t="shared" ref="U116" si="2652">IF(U111="","",T116)</f>
        <v/>
      </c>
      <c r="V116" s="18" t="str">
        <f t="shared" ref="V116" si="2653">IF(V111="","",U116)</f>
        <v/>
      </c>
      <c r="W116" s="18" t="str">
        <f t="shared" ref="W116" si="2654">IF(W111="","",V116)</f>
        <v/>
      </c>
      <c r="X116" s="18" t="str">
        <f t="shared" ref="X116" si="2655">IF(X111="","",W116)</f>
        <v/>
      </c>
      <c r="Y116" s="18" t="str">
        <f t="shared" ref="Y116" si="2656">IF(Y111="","",X116)</f>
        <v/>
      </c>
      <c r="Z116" s="18" t="str">
        <f t="shared" ref="Z116" si="2657">IF(Z111="","",Y116)</f>
        <v/>
      </c>
      <c r="AA116" s="18" t="str">
        <f t="shared" ref="AA116" si="2658">IF(AA111="","",Z116)</f>
        <v/>
      </c>
      <c r="AB116" s="18" t="str">
        <f t="shared" ref="AB116" si="2659">IF(AB111="","",AA116)</f>
        <v/>
      </c>
      <c r="AC116" s="18" t="str">
        <f t="shared" ref="AC116" si="2660">IF(AC111="","",AB116)</f>
        <v/>
      </c>
      <c r="AD116" s="18" t="str">
        <f t="shared" ref="AD116" si="2661">IF(AD111="","",AC116)</f>
        <v/>
      </c>
      <c r="AE116" s="18" t="str">
        <f t="shared" ref="AE116" si="2662">IF(AE111="","",AD116)</f>
        <v/>
      </c>
      <c r="AF116" s="18" t="str">
        <f t="shared" ref="AF116" si="2663">IF(AF111="","",AE116)</f>
        <v/>
      </c>
      <c r="AG116" s="18" t="str">
        <f t="shared" ref="AG116" si="2664">IF(AG111="","",AF116)</f>
        <v/>
      </c>
      <c r="AH116" s="18" t="str">
        <f t="shared" ref="AH116" si="2665">IF(AH111="","",AG116)</f>
        <v/>
      </c>
      <c r="AI116" s="18" t="str">
        <f t="shared" ref="AI116" si="2666">IF(AI111="","",AH116)</f>
        <v/>
      </c>
      <c r="AJ116" s="18" t="str">
        <f t="shared" ref="AJ116" si="2667">IF(AJ111="","",AI116)</f>
        <v/>
      </c>
      <c r="AK116" s="18" t="str">
        <f t="shared" ref="AK116" si="2668">IF(AK111="","",AJ116)</f>
        <v/>
      </c>
      <c r="AL116" s="18" t="str">
        <f t="shared" ref="AL116" si="2669">IF(AL111="","",AK116)</f>
        <v/>
      </c>
      <c r="AM116" s="18" t="str">
        <f t="shared" ref="AM116" si="2670">IF(AM111="","",AL116)</f>
        <v/>
      </c>
      <c r="AN116" s="18" t="str">
        <f t="shared" ref="AN116" si="2671">IF(AN111="","",AM116)</f>
        <v/>
      </c>
      <c r="AO116" s="18" t="str">
        <f t="shared" ref="AO116" si="2672">IF(AO111="","",AN116)</f>
        <v/>
      </c>
      <c r="AP116" s="18" t="str">
        <f t="shared" ref="AP116" si="2673">IF(AP111="","",AO116)</f>
        <v/>
      </c>
      <c r="AQ116" s="18" t="str">
        <f t="shared" ref="AQ116" si="2674">IF(AQ111="","",AP116)</f>
        <v/>
      </c>
      <c r="AR116" s="18" t="str">
        <f t="shared" ref="AR116" si="2675">IF(AR111="","",AQ116)</f>
        <v/>
      </c>
      <c r="AS116" s="18" t="str">
        <f t="shared" ref="AS116" si="2676">IF(AS111="","",AR116)</f>
        <v/>
      </c>
      <c r="AT116" s="18" t="str">
        <f t="shared" ref="AT116" si="2677">IF(AT111="","",AS116)</f>
        <v/>
      </c>
      <c r="AU116" s="18" t="str">
        <f t="shared" ref="AU116" si="2678">IF(AU111="","",AT116)</f>
        <v/>
      </c>
      <c r="AV116" s="18" t="str">
        <f t="shared" ref="AS116:BC116" si="2679">IF(AV111="","",AU116)</f>
        <v/>
      </c>
      <c r="AW116" s="18" t="str">
        <f t="shared" si="2679"/>
        <v/>
      </c>
      <c r="AX116" s="18" t="str">
        <f t="shared" si="2679"/>
        <v/>
      </c>
      <c r="AY116" s="18" t="str">
        <f t="shared" si="2679"/>
        <v/>
      </c>
      <c r="AZ116" s="18" t="str">
        <f t="shared" si="2679"/>
        <v/>
      </c>
      <c r="BA116" s="18" t="str">
        <f t="shared" si="2679"/>
        <v/>
      </c>
      <c r="BB116" s="18" t="str">
        <f t="shared" si="2679"/>
        <v/>
      </c>
      <c r="BC116" s="18" t="str">
        <f t="shared" si="2679"/>
        <v/>
      </c>
    </row>
    <row r="117" spans="1:55" ht="11.25" customHeight="1" x14ac:dyDescent="0.2">
      <c r="A117" s="15">
        <f>AVERAGE(C118:AS118)*30*100</f>
        <v>6545.454545454545</v>
      </c>
      <c r="B117" s="11" t="s">
        <v>12</v>
      </c>
      <c r="C117" s="123"/>
      <c r="D117" s="12"/>
      <c r="E117" s="12"/>
      <c r="F117" s="12"/>
      <c r="G117" s="195"/>
      <c r="H117" s="12"/>
      <c r="I117" s="12"/>
      <c r="J117" s="195" t="s">
        <v>289</v>
      </c>
      <c r="K117" s="12"/>
      <c r="L117" s="12"/>
      <c r="M117" s="12"/>
      <c r="N117" s="195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</row>
    <row r="118" spans="1:55" ht="11.25" customHeight="1" x14ac:dyDescent="0.2">
      <c r="A118" s="15">
        <f t="shared" ref="A118:A121" si="2680">SUM(C118:AS118)</f>
        <v>24</v>
      </c>
      <c r="B118" s="19" t="s">
        <v>13</v>
      </c>
      <c r="C118" s="123">
        <v>0</v>
      </c>
      <c r="D118" s="20">
        <f t="shared" ref="D118:D119" si="2681">IF(D111="","",D111-C111)</f>
        <v>0</v>
      </c>
      <c r="E118" s="20">
        <f t="shared" ref="E118:E119" si="2682">IF(E111="","",E111-D111)</f>
        <v>0</v>
      </c>
      <c r="F118" s="20">
        <f t="shared" ref="F118:F119" si="2683">IF(F111="","",F111-E111)</f>
        <v>9</v>
      </c>
      <c r="G118" s="195">
        <f t="shared" ref="G118:G119" si="2684">IF(G111="","",G111-F111)</f>
        <v>0</v>
      </c>
      <c r="H118" s="20">
        <f t="shared" ref="H118:H119" si="2685">IF(H111="","",H111-G111)</f>
        <v>0</v>
      </c>
      <c r="I118" s="20">
        <f t="shared" ref="I118:I119" si="2686">IF(I111="","",I111-H111)</f>
        <v>15</v>
      </c>
      <c r="J118" s="195">
        <f t="shared" ref="J118:J119" si="2687">IF(J111="","",J111-I111)</f>
        <v>0</v>
      </c>
      <c r="K118" s="20">
        <f t="shared" ref="K118:K119" si="2688">IF(K111="","",K111-J111)</f>
        <v>0</v>
      </c>
      <c r="L118" s="20">
        <f t="shared" ref="L118:L119" si="2689">IF(L111="","",L111-K111)</f>
        <v>0</v>
      </c>
      <c r="M118" s="20">
        <f t="shared" ref="M118:M119" si="2690">IF(M111="","",M111-L111)</f>
        <v>0</v>
      </c>
      <c r="N118" s="195" t="str">
        <f t="shared" ref="N118:N119" si="2691">IF(N111="","",N111-M111)</f>
        <v/>
      </c>
      <c r="O118" s="20" t="str">
        <f t="shared" ref="O118:O119" si="2692">IF(O111="","",O111-N111)</f>
        <v/>
      </c>
      <c r="P118" s="20" t="str">
        <f t="shared" ref="P118:P119" si="2693">IF(P111="","",P111-O111)</f>
        <v/>
      </c>
      <c r="Q118" s="20" t="str">
        <f t="shared" ref="Q118:Q119" si="2694">IF(Q111="","",Q111-P111)</f>
        <v/>
      </c>
      <c r="R118" s="20" t="str">
        <f t="shared" ref="R118:R119" si="2695">IF(R111="","",R111-Q111)</f>
        <v/>
      </c>
      <c r="S118" s="20" t="str">
        <f t="shared" ref="S118:S119" si="2696">IF(S111="","",S111-R111)</f>
        <v/>
      </c>
      <c r="T118" s="20" t="str">
        <f t="shared" ref="T118:T119" si="2697">IF(T111="","",T111-S111)</f>
        <v/>
      </c>
      <c r="U118" s="20" t="str">
        <f t="shared" ref="U118:U119" si="2698">IF(U111="","",U111-T111)</f>
        <v/>
      </c>
      <c r="V118" s="20" t="str">
        <f t="shared" ref="V118:V119" si="2699">IF(V111="","",V111-U111)</f>
        <v/>
      </c>
      <c r="W118" s="20" t="str">
        <f t="shared" ref="W118:W119" si="2700">IF(W111="","",W111-V111)</f>
        <v/>
      </c>
      <c r="X118" s="20" t="str">
        <f t="shared" ref="X118:X119" si="2701">IF(X111="","",X111-W111)</f>
        <v/>
      </c>
      <c r="Y118" s="20" t="str">
        <f t="shared" ref="Y118:Y119" si="2702">IF(Y111="","",Y111-X111)</f>
        <v/>
      </c>
      <c r="Z118" s="20" t="str">
        <f t="shared" ref="Z118:Z119" si="2703">IF(Z111="","",Z111-Y111)</f>
        <v/>
      </c>
      <c r="AA118" s="20" t="str">
        <f t="shared" ref="AA118:AA119" si="2704">IF(AA111="","",AA111-Z111)</f>
        <v/>
      </c>
      <c r="AB118" s="20" t="str">
        <f t="shared" ref="AB118:AB119" si="2705">IF(AB111="","",AB111-AA111)</f>
        <v/>
      </c>
      <c r="AC118" s="20" t="str">
        <f t="shared" ref="AC118:AC119" si="2706">IF(AC111="","",AC111-AB111)</f>
        <v/>
      </c>
      <c r="AD118" s="20" t="str">
        <f t="shared" ref="AD118:AD119" si="2707">IF(AD111="","",AD111-AC111)</f>
        <v/>
      </c>
      <c r="AE118" s="20" t="str">
        <f t="shared" ref="AE118:AE119" si="2708">IF(AE111="","",AE111-AD111)</f>
        <v/>
      </c>
      <c r="AF118" s="20" t="str">
        <f t="shared" ref="AF118:AF119" si="2709">IF(AF111="","",AF111-AE111)</f>
        <v/>
      </c>
      <c r="AG118" s="20" t="str">
        <f t="shared" ref="AG118:AG119" si="2710">IF(AG111="","",AG111-AF111)</f>
        <v/>
      </c>
      <c r="AH118" s="20" t="str">
        <f t="shared" ref="AH118:AH119" si="2711">IF(AH111="","",AH111-AG111)</f>
        <v/>
      </c>
      <c r="AI118" s="20" t="str">
        <f t="shared" ref="AI118:AI119" si="2712">IF(AI111="","",AI111-AH111)</f>
        <v/>
      </c>
      <c r="AJ118" s="20" t="str">
        <f t="shared" ref="AJ118:AJ119" si="2713">IF(AJ111="","",AJ111-AI111)</f>
        <v/>
      </c>
      <c r="AK118" s="20" t="str">
        <f t="shared" ref="AK118:AK119" si="2714">IF(AK111="","",AK111-AJ111)</f>
        <v/>
      </c>
      <c r="AL118" s="20" t="str">
        <f t="shared" ref="AL118:AL119" si="2715">IF(AL111="","",AL111-AK111)</f>
        <v/>
      </c>
      <c r="AM118" s="20" t="str">
        <f t="shared" ref="AM118:AM119" si="2716">IF(AM111="","",AM111-AL111)</f>
        <v/>
      </c>
      <c r="AN118" s="20" t="str">
        <f t="shared" ref="AN118:AN119" si="2717">IF(AN111="","",AN111-AM111)</f>
        <v/>
      </c>
      <c r="AO118" s="20" t="str">
        <f t="shared" ref="AO118:AO119" si="2718">IF(AO111="","",AO111-AN111)</f>
        <v/>
      </c>
      <c r="AP118" s="20" t="str">
        <f t="shared" ref="AP118:AP119" si="2719">IF(AP111="","",AP111-AO111)</f>
        <v/>
      </c>
      <c r="AQ118" s="20" t="str">
        <f t="shared" ref="AQ118:AQ119" si="2720">IF(AQ111="","",AQ111-AP111)</f>
        <v/>
      </c>
      <c r="AR118" s="20" t="str">
        <f t="shared" ref="AR118:AR119" si="2721">IF(AR111="","",AR111-AQ111)</f>
        <v/>
      </c>
      <c r="AS118" s="20" t="str">
        <f t="shared" ref="AS118:AS119" si="2722">IF(AS111="","",AS111-AR111)</f>
        <v/>
      </c>
      <c r="AT118" s="20" t="str">
        <f t="shared" ref="AT118:AT119" si="2723">IF(AT111="","",AT111-AS111)</f>
        <v/>
      </c>
      <c r="AU118" s="20" t="str">
        <f t="shared" ref="AU118:AU119" si="2724">IF(AU111="","",AU111-AT111)</f>
        <v/>
      </c>
      <c r="AV118" s="20" t="str">
        <f t="shared" ref="AS118:BC118" si="2725">IF(AV111="","",AV111-AU111)</f>
        <v/>
      </c>
      <c r="AW118" s="20" t="str">
        <f t="shared" si="2725"/>
        <v/>
      </c>
      <c r="AX118" s="20" t="str">
        <f t="shared" si="2725"/>
        <v/>
      </c>
      <c r="AY118" s="20" t="str">
        <f t="shared" si="2725"/>
        <v/>
      </c>
      <c r="AZ118" s="20" t="str">
        <f t="shared" si="2725"/>
        <v/>
      </c>
      <c r="BA118" s="20" t="str">
        <f t="shared" si="2725"/>
        <v/>
      </c>
      <c r="BB118" s="20" t="str">
        <f t="shared" si="2725"/>
        <v/>
      </c>
      <c r="BC118" s="20" t="str">
        <f t="shared" si="2725"/>
        <v/>
      </c>
    </row>
    <row r="119" spans="1:55" ht="11.25" customHeight="1" x14ac:dyDescent="0.2">
      <c r="A119" s="15">
        <f t="shared" si="2680"/>
        <v>1</v>
      </c>
      <c r="B119" s="19" t="s">
        <v>14</v>
      </c>
      <c r="C119" s="123">
        <v>0</v>
      </c>
      <c r="D119" s="20">
        <f t="shared" si="2681"/>
        <v>0</v>
      </c>
      <c r="E119" s="20">
        <f t="shared" si="2682"/>
        <v>0</v>
      </c>
      <c r="F119" s="20">
        <f t="shared" si="2683"/>
        <v>0</v>
      </c>
      <c r="G119" s="195">
        <f t="shared" si="2684"/>
        <v>0</v>
      </c>
      <c r="H119" s="20">
        <f t="shared" si="2685"/>
        <v>0</v>
      </c>
      <c r="I119" s="20">
        <f t="shared" si="2686"/>
        <v>1</v>
      </c>
      <c r="J119" s="195">
        <f t="shared" si="2687"/>
        <v>0</v>
      </c>
      <c r="K119" s="20">
        <f t="shared" si="2688"/>
        <v>0</v>
      </c>
      <c r="L119" s="20">
        <f t="shared" si="2689"/>
        <v>0</v>
      </c>
      <c r="M119" s="20">
        <f t="shared" si="2690"/>
        <v>0</v>
      </c>
      <c r="N119" s="195" t="str">
        <f t="shared" si="2691"/>
        <v/>
      </c>
      <c r="O119" s="20" t="str">
        <f t="shared" si="2692"/>
        <v/>
      </c>
      <c r="P119" s="20" t="str">
        <f t="shared" si="2693"/>
        <v/>
      </c>
      <c r="Q119" s="20" t="str">
        <f t="shared" si="2694"/>
        <v/>
      </c>
      <c r="R119" s="20" t="str">
        <f t="shared" si="2695"/>
        <v/>
      </c>
      <c r="S119" s="20" t="str">
        <f t="shared" si="2696"/>
        <v/>
      </c>
      <c r="T119" s="20" t="str">
        <f t="shared" si="2697"/>
        <v/>
      </c>
      <c r="U119" s="20" t="str">
        <f t="shared" si="2698"/>
        <v/>
      </c>
      <c r="V119" s="20" t="str">
        <f t="shared" si="2699"/>
        <v/>
      </c>
      <c r="W119" s="20" t="str">
        <f t="shared" si="2700"/>
        <v/>
      </c>
      <c r="X119" s="20" t="str">
        <f t="shared" si="2701"/>
        <v/>
      </c>
      <c r="Y119" s="20" t="str">
        <f t="shared" si="2702"/>
        <v/>
      </c>
      <c r="Z119" s="20" t="str">
        <f t="shared" si="2703"/>
        <v/>
      </c>
      <c r="AA119" s="20" t="str">
        <f t="shared" si="2704"/>
        <v/>
      </c>
      <c r="AB119" s="20" t="str">
        <f t="shared" si="2705"/>
        <v/>
      </c>
      <c r="AC119" s="20" t="str">
        <f t="shared" si="2706"/>
        <v/>
      </c>
      <c r="AD119" s="20" t="str">
        <f t="shared" si="2707"/>
        <v/>
      </c>
      <c r="AE119" s="20" t="str">
        <f t="shared" si="2708"/>
        <v/>
      </c>
      <c r="AF119" s="20" t="str">
        <f t="shared" si="2709"/>
        <v/>
      </c>
      <c r="AG119" s="20" t="str">
        <f t="shared" si="2710"/>
        <v/>
      </c>
      <c r="AH119" s="20" t="str">
        <f t="shared" si="2711"/>
        <v/>
      </c>
      <c r="AI119" s="20" t="str">
        <f t="shared" si="2712"/>
        <v/>
      </c>
      <c r="AJ119" s="20" t="str">
        <f t="shared" si="2713"/>
        <v/>
      </c>
      <c r="AK119" s="20" t="str">
        <f t="shared" si="2714"/>
        <v/>
      </c>
      <c r="AL119" s="20" t="str">
        <f t="shared" si="2715"/>
        <v/>
      </c>
      <c r="AM119" s="20" t="str">
        <f t="shared" si="2716"/>
        <v/>
      </c>
      <c r="AN119" s="20" t="str">
        <f t="shared" si="2717"/>
        <v/>
      </c>
      <c r="AO119" s="20" t="str">
        <f t="shared" si="2718"/>
        <v/>
      </c>
      <c r="AP119" s="20" t="str">
        <f t="shared" si="2719"/>
        <v/>
      </c>
      <c r="AQ119" s="20" t="str">
        <f t="shared" si="2720"/>
        <v/>
      </c>
      <c r="AR119" s="20" t="str">
        <f t="shared" si="2721"/>
        <v/>
      </c>
      <c r="AS119" s="20" t="str">
        <f t="shared" si="2722"/>
        <v/>
      </c>
      <c r="AT119" s="20" t="str">
        <f t="shared" si="2723"/>
        <v/>
      </c>
      <c r="AU119" s="20" t="str">
        <f t="shared" si="2724"/>
        <v/>
      </c>
      <c r="AV119" s="20" t="str">
        <f t="shared" ref="AS119:BC119" si="2726">IF(AV112="","",AV112-AU112)</f>
        <v/>
      </c>
      <c r="AW119" s="20" t="str">
        <f t="shared" si="2726"/>
        <v/>
      </c>
      <c r="AX119" s="20" t="str">
        <f t="shared" si="2726"/>
        <v/>
      </c>
      <c r="AY119" s="20" t="str">
        <f t="shared" si="2726"/>
        <v/>
      </c>
      <c r="AZ119" s="20" t="str">
        <f t="shared" si="2726"/>
        <v/>
      </c>
      <c r="BA119" s="20" t="str">
        <f t="shared" si="2726"/>
        <v/>
      </c>
      <c r="BB119" s="20" t="str">
        <f t="shared" si="2726"/>
        <v/>
      </c>
      <c r="BC119" s="20" t="str">
        <f t="shared" si="2726"/>
        <v/>
      </c>
    </row>
    <row r="120" spans="1:55" ht="11.25" customHeight="1" x14ac:dyDescent="0.2">
      <c r="A120" s="15">
        <f t="shared" si="2680"/>
        <v>1</v>
      </c>
      <c r="B120" s="19" t="s">
        <v>15</v>
      </c>
      <c r="C120" s="123">
        <v>0</v>
      </c>
      <c r="D120" s="20">
        <f t="shared" ref="D120" si="2727">IF(D113="","",C113+C114-D113)</f>
        <v>0</v>
      </c>
      <c r="E120" s="20">
        <f t="shared" ref="E120" si="2728">IF(E113="","",D113+D114-E113)</f>
        <v>0</v>
      </c>
      <c r="F120" s="20">
        <f t="shared" ref="F120" si="2729">IF(F113="","",E113+E114-F113)</f>
        <v>0</v>
      </c>
      <c r="G120" s="195">
        <f t="shared" ref="G120" si="2730">IF(G113="","",F113+F114-G113)</f>
        <v>0</v>
      </c>
      <c r="H120" s="20">
        <f t="shared" ref="H120" si="2731">IF(H113="","",G113+G114-H113)</f>
        <v>0</v>
      </c>
      <c r="I120" s="20">
        <f t="shared" ref="I120" si="2732">IF(I113="","",H113+H114-I113)</f>
        <v>1</v>
      </c>
      <c r="J120" s="195">
        <f t="shared" ref="J120" si="2733">IF(J113="","",I113+I114-J113)</f>
        <v>0</v>
      </c>
      <c r="K120" s="20">
        <f t="shared" ref="K120" si="2734">IF(K113="","",J113+J114-K113)</f>
        <v>0</v>
      </c>
      <c r="L120" s="20">
        <f t="shared" ref="L120" si="2735">IF(L113="","",K113+K114-L113)</f>
        <v>0</v>
      </c>
      <c r="M120" s="20">
        <f t="shared" ref="M120" si="2736">IF(M113="","",L113+L114-M113)</f>
        <v>0</v>
      </c>
      <c r="N120" s="195" t="str">
        <f t="shared" ref="N120" si="2737">IF(N113="","",M113+M114-N113)</f>
        <v/>
      </c>
      <c r="O120" s="20" t="str">
        <f t="shared" ref="O120" si="2738">IF(O113="","",N113+N114-O113)</f>
        <v/>
      </c>
      <c r="P120" s="20" t="str">
        <f t="shared" ref="P120" si="2739">IF(P113="","",O113+O114-P113)</f>
        <v/>
      </c>
      <c r="Q120" s="20" t="str">
        <f t="shared" ref="Q120" si="2740">IF(Q113="","",P113+P114-Q113)</f>
        <v/>
      </c>
      <c r="R120" s="20" t="str">
        <f t="shared" ref="R120" si="2741">IF(R113="","",Q113+Q114-R113)</f>
        <v/>
      </c>
      <c r="S120" s="20" t="str">
        <f t="shared" ref="S120" si="2742">IF(S113="","",R113+R114-S113)</f>
        <v/>
      </c>
      <c r="T120" s="20" t="str">
        <f t="shared" ref="T120" si="2743">IF(T113="","",S113+S114-T113)</f>
        <v/>
      </c>
      <c r="U120" s="20" t="str">
        <f t="shared" ref="U120" si="2744">IF(U113="","",T113+T114-U113)</f>
        <v/>
      </c>
      <c r="V120" s="20" t="str">
        <f t="shared" ref="V120" si="2745">IF(V113="","",U113+U114-V113)</f>
        <v/>
      </c>
      <c r="W120" s="20" t="str">
        <f t="shared" ref="W120" si="2746">IF(W113="","",V113+V114-W113)</f>
        <v/>
      </c>
      <c r="X120" s="20" t="str">
        <f t="shared" ref="X120" si="2747">IF(X113="","",W113+W114-X113)</f>
        <v/>
      </c>
      <c r="Y120" s="20" t="str">
        <f t="shared" ref="Y120" si="2748">IF(Y113="","",X113+X114-Y113)</f>
        <v/>
      </c>
      <c r="Z120" s="20" t="str">
        <f t="shared" ref="Z120" si="2749">IF(Z113="","",Y113+Y114-Z113)</f>
        <v/>
      </c>
      <c r="AA120" s="20" t="str">
        <f t="shared" ref="AA120" si="2750">IF(AA113="","",Z113+Z114-AA113)</f>
        <v/>
      </c>
      <c r="AB120" s="20" t="str">
        <f t="shared" ref="AB120" si="2751">IF(AB113="","",AA113+AA114-AB113)</f>
        <v/>
      </c>
      <c r="AC120" s="20" t="str">
        <f t="shared" ref="AC120" si="2752">IF(AC113="","",AB113+AB114-AC113)</f>
        <v/>
      </c>
      <c r="AD120" s="20" t="str">
        <f t="shared" ref="AD120" si="2753">IF(AD113="","",AC113+AC114-AD113)</f>
        <v/>
      </c>
      <c r="AE120" s="20" t="str">
        <f t="shared" ref="AE120" si="2754">IF(AE113="","",AD113+AD114-AE113)</f>
        <v/>
      </c>
      <c r="AF120" s="20" t="str">
        <f t="shared" ref="AF120" si="2755">IF(AF113="","",AE113+AE114-AF113)</f>
        <v/>
      </c>
      <c r="AG120" s="20" t="str">
        <f t="shared" ref="AG120" si="2756">IF(AG113="","",AF113+AF114-AG113)</f>
        <v/>
      </c>
      <c r="AH120" s="20" t="str">
        <f t="shared" ref="AH120" si="2757">IF(AH113="","",AG113+AG114-AH113)</f>
        <v/>
      </c>
      <c r="AI120" s="20" t="str">
        <f t="shared" ref="AI120" si="2758">IF(AI113="","",AH113+AH114-AI113)</f>
        <v/>
      </c>
      <c r="AJ120" s="20" t="str">
        <f t="shared" ref="AJ120" si="2759">IF(AJ113="","",AI113+AI114-AJ113)</f>
        <v/>
      </c>
      <c r="AK120" s="20" t="str">
        <f t="shared" ref="AK120" si="2760">IF(AK113="","",AJ113+AJ114-AK113)</f>
        <v/>
      </c>
      <c r="AL120" s="20" t="str">
        <f t="shared" ref="AL120" si="2761">IF(AL113="","",AK113+AK114-AL113)</f>
        <v/>
      </c>
      <c r="AM120" s="20" t="str">
        <f t="shared" ref="AM120" si="2762">IF(AM113="","",AL113+AL114-AM113)</f>
        <v/>
      </c>
      <c r="AN120" s="20" t="str">
        <f t="shared" ref="AN120" si="2763">IF(AN113="","",AM113+AM114-AN113)</f>
        <v/>
      </c>
      <c r="AO120" s="20" t="str">
        <f t="shared" ref="AO120" si="2764">IF(AO113="","",AN113+AN114-AO113)</f>
        <v/>
      </c>
      <c r="AP120" s="20" t="str">
        <f t="shared" ref="AP120" si="2765">IF(AP113="","",AO113+AO114-AP113)</f>
        <v/>
      </c>
      <c r="AQ120" s="20" t="str">
        <f t="shared" ref="AQ120" si="2766">IF(AQ113="","",AP113+AP114-AQ113)</f>
        <v/>
      </c>
      <c r="AR120" s="20" t="str">
        <f t="shared" ref="AR120" si="2767">IF(AR113="","",AQ113+AQ114-AR113)</f>
        <v/>
      </c>
      <c r="AS120" s="20" t="str">
        <f t="shared" ref="AS120" si="2768">IF(AS113="","",AR113+AR114-AS113)</f>
        <v/>
      </c>
      <c r="AT120" s="20" t="str">
        <f t="shared" ref="AT120" si="2769">IF(AT113="","",AS113+AS114-AT113)</f>
        <v/>
      </c>
      <c r="AU120" s="20" t="str">
        <f t="shared" ref="AU120" si="2770">IF(AU113="","",AT113+AT114-AU113)</f>
        <v/>
      </c>
      <c r="AV120" s="20" t="str">
        <f t="shared" ref="AS120:BC120" si="2771">IF(AV113="","",AU113+AU114-AV113)</f>
        <v/>
      </c>
      <c r="AW120" s="20" t="str">
        <f t="shared" si="2771"/>
        <v/>
      </c>
      <c r="AX120" s="20" t="str">
        <f t="shared" si="2771"/>
        <v/>
      </c>
      <c r="AY120" s="20" t="str">
        <f t="shared" si="2771"/>
        <v/>
      </c>
      <c r="AZ120" s="20" t="str">
        <f t="shared" si="2771"/>
        <v/>
      </c>
      <c r="BA120" s="20" t="str">
        <f t="shared" si="2771"/>
        <v/>
      </c>
      <c r="BB120" s="20" t="str">
        <f t="shared" si="2771"/>
        <v/>
      </c>
      <c r="BC120" s="20" t="str">
        <f t="shared" si="2771"/>
        <v/>
      </c>
    </row>
    <row r="121" spans="1:55" ht="11.25" customHeight="1" x14ac:dyDescent="0.2">
      <c r="A121" s="15">
        <f t="shared" si="2680"/>
        <v>770</v>
      </c>
      <c r="B121" s="19" t="s">
        <v>16</v>
      </c>
      <c r="C121" s="123">
        <v>0</v>
      </c>
      <c r="D121" s="20">
        <f t="shared" ref="D121:AU121" si="2772">IF(D111="","",D120*D115)</f>
        <v>0</v>
      </c>
      <c r="E121" s="20">
        <f t="shared" si="2772"/>
        <v>0</v>
      </c>
      <c r="F121" s="20">
        <f t="shared" si="2772"/>
        <v>0</v>
      </c>
      <c r="G121" s="195">
        <f t="shared" si="2772"/>
        <v>0</v>
      </c>
      <c r="H121" s="20">
        <f t="shared" si="2772"/>
        <v>0</v>
      </c>
      <c r="I121" s="20">
        <f t="shared" si="2772"/>
        <v>770</v>
      </c>
      <c r="J121" s="195">
        <f t="shared" si="2772"/>
        <v>0</v>
      </c>
      <c r="K121" s="20">
        <f t="shared" si="2772"/>
        <v>0</v>
      </c>
      <c r="L121" s="20">
        <f t="shared" si="2772"/>
        <v>0</v>
      </c>
      <c r="M121" s="20">
        <f t="shared" si="2772"/>
        <v>0</v>
      </c>
      <c r="N121" s="195" t="str">
        <f t="shared" si="2772"/>
        <v/>
      </c>
      <c r="O121" s="20" t="str">
        <f t="shared" si="2772"/>
        <v/>
      </c>
      <c r="P121" s="20" t="str">
        <f t="shared" si="2772"/>
        <v/>
      </c>
      <c r="Q121" s="20" t="str">
        <f t="shared" si="2772"/>
        <v/>
      </c>
      <c r="R121" s="20" t="str">
        <f t="shared" si="2772"/>
        <v/>
      </c>
      <c r="S121" s="20" t="str">
        <f t="shared" si="2772"/>
        <v/>
      </c>
      <c r="T121" s="20" t="str">
        <f t="shared" si="2772"/>
        <v/>
      </c>
      <c r="U121" s="20" t="str">
        <f t="shared" si="2772"/>
        <v/>
      </c>
      <c r="V121" s="20" t="str">
        <f t="shared" si="2772"/>
        <v/>
      </c>
      <c r="W121" s="20" t="str">
        <f t="shared" si="2772"/>
        <v/>
      </c>
      <c r="X121" s="20" t="str">
        <f t="shared" si="2772"/>
        <v/>
      </c>
      <c r="Y121" s="20" t="str">
        <f t="shared" si="2772"/>
        <v/>
      </c>
      <c r="Z121" s="20" t="str">
        <f t="shared" si="2772"/>
        <v/>
      </c>
      <c r="AA121" s="20" t="str">
        <f t="shared" si="2772"/>
        <v/>
      </c>
      <c r="AB121" s="20" t="str">
        <f t="shared" si="2772"/>
        <v/>
      </c>
      <c r="AC121" s="20" t="str">
        <f t="shared" si="2772"/>
        <v/>
      </c>
      <c r="AD121" s="20" t="str">
        <f t="shared" si="2772"/>
        <v/>
      </c>
      <c r="AE121" s="20" t="str">
        <f t="shared" si="2772"/>
        <v/>
      </c>
      <c r="AF121" s="20" t="str">
        <f t="shared" si="2772"/>
        <v/>
      </c>
      <c r="AG121" s="20" t="str">
        <f t="shared" si="2772"/>
        <v/>
      </c>
      <c r="AH121" s="20" t="str">
        <f t="shared" si="2772"/>
        <v/>
      </c>
      <c r="AI121" s="20" t="str">
        <f t="shared" si="2772"/>
        <v/>
      </c>
      <c r="AJ121" s="20" t="str">
        <f t="shared" si="2772"/>
        <v/>
      </c>
      <c r="AK121" s="20" t="str">
        <f t="shared" si="2772"/>
        <v/>
      </c>
      <c r="AL121" s="20" t="str">
        <f t="shared" si="2772"/>
        <v/>
      </c>
      <c r="AM121" s="20" t="str">
        <f t="shared" si="2772"/>
        <v/>
      </c>
      <c r="AN121" s="20" t="str">
        <f t="shared" si="2772"/>
        <v/>
      </c>
      <c r="AO121" s="20" t="str">
        <f t="shared" si="2772"/>
        <v/>
      </c>
      <c r="AP121" s="20" t="str">
        <f t="shared" si="2772"/>
        <v/>
      </c>
      <c r="AQ121" s="20" t="str">
        <f t="shared" si="2772"/>
        <v/>
      </c>
      <c r="AR121" s="20" t="str">
        <f t="shared" si="2772"/>
        <v/>
      </c>
      <c r="AS121" s="20" t="str">
        <f t="shared" si="2772"/>
        <v/>
      </c>
      <c r="AT121" s="20" t="str">
        <f t="shared" si="2772"/>
        <v/>
      </c>
      <c r="AU121" s="20" t="str">
        <f t="shared" si="2772"/>
        <v/>
      </c>
      <c r="AV121" s="20" t="str">
        <f t="shared" ref="AS121:BC121" si="2773">IF(AV111="","",AV120*AV115)</f>
        <v/>
      </c>
      <c r="AW121" s="20" t="str">
        <f t="shared" si="2773"/>
        <v/>
      </c>
      <c r="AX121" s="20" t="str">
        <f t="shared" si="2773"/>
        <v/>
      </c>
      <c r="AY121" s="20" t="str">
        <f t="shared" si="2773"/>
        <v/>
      </c>
      <c r="AZ121" s="20" t="str">
        <f t="shared" si="2773"/>
        <v/>
      </c>
      <c r="BA121" s="20" t="str">
        <f t="shared" si="2773"/>
        <v/>
      </c>
      <c r="BB121" s="20" t="str">
        <f t="shared" si="2773"/>
        <v/>
      </c>
      <c r="BC121" s="20" t="str">
        <f t="shared" si="2773"/>
        <v/>
      </c>
    </row>
    <row r="122" spans="1:55" ht="11.25" customHeight="1" x14ac:dyDescent="0.2">
      <c r="A122" s="21">
        <f>IF(A121="","",A121/(A118*100))</f>
        <v>0.32083333333333336</v>
      </c>
      <c r="B122" s="19" t="s">
        <v>17</v>
      </c>
      <c r="C122" s="146" t="s">
        <v>18</v>
      </c>
      <c r="D122" s="27" t="str">
        <f t="shared" ref="D122:AU122" si="2774">IF(D121="","",IF(D121=0,"",D121/(D118*100)))</f>
        <v/>
      </c>
      <c r="E122" s="27" t="str">
        <f t="shared" si="2774"/>
        <v/>
      </c>
      <c r="F122" s="27" t="str">
        <f t="shared" si="2774"/>
        <v/>
      </c>
      <c r="G122" s="199" t="str">
        <f t="shared" si="2774"/>
        <v/>
      </c>
      <c r="H122" s="27" t="str">
        <f t="shared" si="2774"/>
        <v/>
      </c>
      <c r="I122" s="27">
        <f t="shared" si="2774"/>
        <v>0.51333333333333331</v>
      </c>
      <c r="J122" s="199" t="str">
        <f t="shared" si="2774"/>
        <v/>
      </c>
      <c r="K122" s="27" t="str">
        <f t="shared" si="2774"/>
        <v/>
      </c>
      <c r="L122" s="27" t="str">
        <f t="shared" si="2774"/>
        <v/>
      </c>
      <c r="M122" s="27" t="str">
        <f t="shared" si="2774"/>
        <v/>
      </c>
      <c r="N122" s="199" t="str">
        <f t="shared" si="2774"/>
        <v/>
      </c>
      <c r="O122" s="27" t="str">
        <f t="shared" si="2774"/>
        <v/>
      </c>
      <c r="P122" s="27" t="str">
        <f t="shared" si="2774"/>
        <v/>
      </c>
      <c r="Q122" s="27" t="str">
        <f t="shared" si="2774"/>
        <v/>
      </c>
      <c r="R122" s="27" t="str">
        <f t="shared" si="2774"/>
        <v/>
      </c>
      <c r="S122" s="27" t="str">
        <f t="shared" si="2774"/>
        <v/>
      </c>
      <c r="T122" s="27" t="str">
        <f t="shared" si="2774"/>
        <v/>
      </c>
      <c r="U122" s="27" t="str">
        <f t="shared" si="2774"/>
        <v/>
      </c>
      <c r="V122" s="27" t="str">
        <f t="shared" si="2774"/>
        <v/>
      </c>
      <c r="W122" s="27" t="str">
        <f t="shared" si="2774"/>
        <v/>
      </c>
      <c r="X122" s="27" t="str">
        <f t="shared" si="2774"/>
        <v/>
      </c>
      <c r="Y122" s="27" t="str">
        <f t="shared" si="2774"/>
        <v/>
      </c>
      <c r="Z122" s="27" t="str">
        <f t="shared" si="2774"/>
        <v/>
      </c>
      <c r="AA122" s="27" t="str">
        <f t="shared" si="2774"/>
        <v/>
      </c>
      <c r="AB122" s="27" t="str">
        <f t="shared" si="2774"/>
        <v/>
      </c>
      <c r="AC122" s="27" t="str">
        <f t="shared" si="2774"/>
        <v/>
      </c>
      <c r="AD122" s="27" t="str">
        <f t="shared" si="2774"/>
        <v/>
      </c>
      <c r="AE122" s="27" t="str">
        <f t="shared" si="2774"/>
        <v/>
      </c>
      <c r="AF122" s="27" t="str">
        <f t="shared" si="2774"/>
        <v/>
      </c>
      <c r="AG122" s="27" t="str">
        <f t="shared" si="2774"/>
        <v/>
      </c>
      <c r="AH122" s="27" t="str">
        <f t="shared" si="2774"/>
        <v/>
      </c>
      <c r="AI122" s="27" t="str">
        <f t="shared" si="2774"/>
        <v/>
      </c>
      <c r="AJ122" s="27" t="str">
        <f t="shared" si="2774"/>
        <v/>
      </c>
      <c r="AK122" s="27" t="str">
        <f t="shared" si="2774"/>
        <v/>
      </c>
      <c r="AL122" s="27" t="str">
        <f t="shared" si="2774"/>
        <v/>
      </c>
      <c r="AM122" s="27" t="str">
        <f t="shared" si="2774"/>
        <v/>
      </c>
      <c r="AN122" s="27" t="str">
        <f t="shared" si="2774"/>
        <v/>
      </c>
      <c r="AO122" s="27" t="str">
        <f t="shared" si="2774"/>
        <v/>
      </c>
      <c r="AP122" s="27" t="str">
        <f t="shared" si="2774"/>
        <v/>
      </c>
      <c r="AQ122" s="27" t="str">
        <f t="shared" si="2774"/>
        <v/>
      </c>
      <c r="AR122" s="27" t="str">
        <f t="shared" si="2774"/>
        <v/>
      </c>
      <c r="AS122" s="27" t="str">
        <f t="shared" si="2774"/>
        <v/>
      </c>
      <c r="AT122" s="27" t="str">
        <f t="shared" si="2774"/>
        <v/>
      </c>
      <c r="AU122" s="27" t="str">
        <f t="shared" si="2774"/>
        <v/>
      </c>
      <c r="AV122" s="27" t="str">
        <f t="shared" ref="AS122:BC122" si="2775">IF(AV121="","",IF(AV121=0,"",AV121/(AV118*100)))</f>
        <v/>
      </c>
      <c r="AW122" s="27" t="str">
        <f t="shared" si="2775"/>
        <v/>
      </c>
      <c r="AX122" s="27" t="str">
        <f t="shared" si="2775"/>
        <v/>
      </c>
      <c r="AY122" s="27" t="str">
        <f t="shared" si="2775"/>
        <v/>
      </c>
      <c r="AZ122" s="27" t="str">
        <f t="shared" si="2775"/>
        <v/>
      </c>
      <c r="BA122" s="27" t="str">
        <f t="shared" si="2775"/>
        <v/>
      </c>
      <c r="BB122" s="27" t="str">
        <f t="shared" si="2775"/>
        <v/>
      </c>
      <c r="BC122" s="27" t="str">
        <f t="shared" si="2775"/>
        <v/>
      </c>
    </row>
    <row r="123" spans="1:55" ht="11.25" customHeight="1" x14ac:dyDescent="0.2">
      <c r="A123" s="28" t="s">
        <v>1</v>
      </c>
      <c r="B123" s="29" t="s">
        <v>2</v>
      </c>
      <c r="C123" s="129">
        <v>11553</v>
      </c>
      <c r="D123" s="16">
        <f t="shared" ref="D123:D124" si="2776">IF(D$3="","",C123)</f>
        <v>11553</v>
      </c>
      <c r="E123" s="16">
        <f t="shared" ref="E123:E124" si="2777">IF(E$3="","",D123)</f>
        <v>11553</v>
      </c>
      <c r="F123" s="16">
        <v>11573</v>
      </c>
      <c r="G123" s="196">
        <f t="shared" ref="G123:G124" si="2778">IF(G$3="","",F123)</f>
        <v>11573</v>
      </c>
      <c r="H123" s="16">
        <f t="shared" ref="H123:H124" si="2779">IF(H$3="","",G123)</f>
        <v>11573</v>
      </c>
      <c r="I123" s="16">
        <v>11604</v>
      </c>
      <c r="J123" s="196">
        <f t="shared" ref="J123:J124" si="2780">IF(J$3="","",I123)</f>
        <v>11604</v>
      </c>
      <c r="K123" s="16">
        <f t="shared" ref="K123:K124" si="2781">IF(K$3="","",J123)</f>
        <v>11604</v>
      </c>
      <c r="L123" s="16">
        <f t="shared" ref="L123:L124" si="2782">IF(L$3="","",K123)</f>
        <v>11604</v>
      </c>
      <c r="M123" s="16">
        <f t="shared" ref="M123:M124" si="2783">IF(M$3="","",L123)</f>
        <v>11604</v>
      </c>
      <c r="N123" s="196" t="str">
        <f t="shared" ref="N123:N124" si="2784">IF(N$3="","",M123)</f>
        <v/>
      </c>
      <c r="O123" s="16" t="str">
        <f t="shared" ref="O123:O124" si="2785">IF(O$3="","",N123)</f>
        <v/>
      </c>
      <c r="P123" s="16" t="str">
        <f t="shared" ref="P123:P124" si="2786">IF(P$3="","",O123)</f>
        <v/>
      </c>
      <c r="Q123" s="16" t="str">
        <f t="shared" ref="Q123:Q124" si="2787">IF(Q$3="","",P123)</f>
        <v/>
      </c>
      <c r="R123" s="16" t="str">
        <f t="shared" ref="R123:R124" si="2788">IF(R$3="","",Q123)</f>
        <v/>
      </c>
      <c r="S123" s="16" t="str">
        <f t="shared" ref="S123:S124" si="2789">IF(S$3="","",R123)</f>
        <v/>
      </c>
      <c r="T123" s="16" t="str">
        <f t="shared" ref="T123:T124" si="2790">IF(T$3="","",S123)</f>
        <v/>
      </c>
      <c r="U123" s="16" t="str">
        <f t="shared" ref="U123:U124" si="2791">IF(U$3="","",T123)</f>
        <v/>
      </c>
      <c r="V123" s="16" t="str">
        <f t="shared" ref="V123:V124" si="2792">IF(V$3="","",U123)</f>
        <v/>
      </c>
      <c r="W123" s="16" t="str">
        <f t="shared" ref="W123:W124" si="2793">IF(W$3="","",V123)</f>
        <v/>
      </c>
      <c r="X123" s="16" t="str">
        <f t="shared" ref="X123:X124" si="2794">IF(X$3="","",W123)</f>
        <v/>
      </c>
      <c r="Y123" s="16" t="str">
        <f t="shared" ref="Y123:Y124" si="2795">IF(Y$3="","",X123)</f>
        <v/>
      </c>
      <c r="Z123" s="16" t="str">
        <f t="shared" ref="Z123:Z124" si="2796">IF(Z$3="","",Y123)</f>
        <v/>
      </c>
      <c r="AA123" s="16" t="str">
        <f t="shared" ref="AA123:AA124" si="2797">IF(AA$3="","",Z123)</f>
        <v/>
      </c>
      <c r="AB123" s="16" t="str">
        <f t="shared" ref="AB123:AB124" si="2798">IF(AB$3="","",AA123)</f>
        <v/>
      </c>
      <c r="AC123" s="16" t="str">
        <f t="shared" ref="AC123:AC124" si="2799">IF(AC$3="","",AB123)</f>
        <v/>
      </c>
      <c r="AD123" s="16" t="str">
        <f t="shared" ref="AD123:AD124" si="2800">IF(AD$3="","",AC123)</f>
        <v/>
      </c>
      <c r="AE123" s="16" t="str">
        <f t="shared" ref="AE123:AE124" si="2801">IF(AE$3="","",AD123)</f>
        <v/>
      </c>
      <c r="AF123" s="16" t="str">
        <f t="shared" ref="AF123:AF124" si="2802">IF(AF$3="","",AE123)</f>
        <v/>
      </c>
      <c r="AG123" s="16" t="str">
        <f t="shared" ref="AG123:AG124" si="2803">IF(AG$3="","",AF123)</f>
        <v/>
      </c>
      <c r="AH123" s="16" t="str">
        <f t="shared" ref="AH123:AH124" si="2804">IF(AH$3="","",AG123)</f>
        <v/>
      </c>
      <c r="AI123" s="16" t="str">
        <f t="shared" ref="AI123:AI124" si="2805">IF(AI$3="","",AH123)</f>
        <v/>
      </c>
      <c r="AJ123" s="16" t="str">
        <f t="shared" ref="AJ123:AJ124" si="2806">IF(AJ$3="","",AI123)</f>
        <v/>
      </c>
      <c r="AK123" s="16" t="str">
        <f t="shared" ref="AK123:AK124" si="2807">IF(AK$3="","",AJ123)</f>
        <v/>
      </c>
      <c r="AL123" s="16" t="str">
        <f t="shared" ref="AL123:AL124" si="2808">IF(AL$3="","",AK123)</f>
        <v/>
      </c>
      <c r="AM123" s="16" t="str">
        <f t="shared" ref="AM123:AM124" si="2809">IF(AM$3="","",AL123)</f>
        <v/>
      </c>
      <c r="AN123" s="16" t="str">
        <f t="shared" ref="AN123:AN124" si="2810">IF(AN$3="","",AM123)</f>
        <v/>
      </c>
      <c r="AO123" s="16" t="str">
        <f t="shared" ref="AO123:AO124" si="2811">IF(AO$3="","",AN123)</f>
        <v/>
      </c>
      <c r="AP123" s="16" t="str">
        <f t="shared" ref="AP123:AP124" si="2812">IF(AP$3="","",AO123)</f>
        <v/>
      </c>
      <c r="AQ123" s="16" t="str">
        <f t="shared" ref="AQ123:AQ124" si="2813">IF(AQ$3="","",AP123)</f>
        <v/>
      </c>
      <c r="AR123" s="16" t="str">
        <f t="shared" ref="AR123:AR124" si="2814">IF(AR$3="","",AQ123)</f>
        <v/>
      </c>
      <c r="AS123" s="16" t="str">
        <f t="shared" ref="AS123:AS124" si="2815">IF(AS$3="","",AR123)</f>
        <v/>
      </c>
      <c r="AT123" s="16" t="str">
        <f t="shared" ref="AT123:AT124" si="2816">IF(AT$3="","",AS123)</f>
        <v/>
      </c>
      <c r="AU123" s="16" t="str">
        <f t="shared" ref="AU123:AU124" si="2817">IF(AU$3="","",AT123)</f>
        <v/>
      </c>
      <c r="AV123" s="16" t="str">
        <f t="shared" ref="AS123:BC123" si="2818">IF(AV$3="","",AU123)</f>
        <v/>
      </c>
      <c r="AW123" s="16" t="str">
        <f t="shared" si="2818"/>
        <v/>
      </c>
      <c r="AX123" s="16" t="str">
        <f t="shared" si="2818"/>
        <v/>
      </c>
      <c r="AY123" s="16" t="str">
        <f t="shared" si="2818"/>
        <v/>
      </c>
      <c r="AZ123" s="16" t="str">
        <f t="shared" si="2818"/>
        <v/>
      </c>
      <c r="BA123" s="16" t="str">
        <f t="shared" si="2818"/>
        <v/>
      </c>
      <c r="BB123" s="16" t="str">
        <f t="shared" si="2818"/>
        <v/>
      </c>
      <c r="BC123" s="16" t="str">
        <f t="shared" si="2818"/>
        <v/>
      </c>
    </row>
    <row r="124" spans="1:55" ht="11.25" customHeight="1" x14ac:dyDescent="0.2">
      <c r="A124" s="10" t="s">
        <v>40</v>
      </c>
      <c r="B124" s="11" t="s">
        <v>4</v>
      </c>
      <c r="C124" s="123">
        <v>163</v>
      </c>
      <c r="D124" s="12">
        <f t="shared" si="2776"/>
        <v>163</v>
      </c>
      <c r="E124" s="12">
        <f t="shared" si="2777"/>
        <v>163</v>
      </c>
      <c r="F124" s="12">
        <v>164</v>
      </c>
      <c r="G124" s="195">
        <f t="shared" si="2778"/>
        <v>164</v>
      </c>
      <c r="H124" s="12">
        <f t="shared" si="2779"/>
        <v>164</v>
      </c>
      <c r="I124" s="12">
        <f t="shared" ref="I123:I124" si="2819">IF(I$3="","",H124)</f>
        <v>164</v>
      </c>
      <c r="J124" s="195">
        <f t="shared" si="2780"/>
        <v>164</v>
      </c>
      <c r="K124" s="12">
        <f t="shared" si="2781"/>
        <v>164</v>
      </c>
      <c r="L124" s="12">
        <f t="shared" si="2782"/>
        <v>164</v>
      </c>
      <c r="M124" s="12">
        <f t="shared" si="2783"/>
        <v>164</v>
      </c>
      <c r="N124" s="195" t="str">
        <f t="shared" si="2784"/>
        <v/>
      </c>
      <c r="O124" s="12" t="str">
        <f t="shared" si="2785"/>
        <v/>
      </c>
      <c r="P124" s="12" t="str">
        <f t="shared" si="2786"/>
        <v/>
      </c>
      <c r="Q124" s="12" t="str">
        <f t="shared" si="2787"/>
        <v/>
      </c>
      <c r="R124" s="12" t="str">
        <f t="shared" si="2788"/>
        <v/>
      </c>
      <c r="S124" s="12" t="str">
        <f t="shared" si="2789"/>
        <v/>
      </c>
      <c r="T124" s="12" t="str">
        <f t="shared" si="2790"/>
        <v/>
      </c>
      <c r="U124" s="12" t="str">
        <f t="shared" si="2791"/>
        <v/>
      </c>
      <c r="V124" s="12" t="str">
        <f t="shared" si="2792"/>
        <v/>
      </c>
      <c r="W124" s="12" t="str">
        <f t="shared" si="2793"/>
        <v/>
      </c>
      <c r="X124" s="12" t="str">
        <f t="shared" si="2794"/>
        <v/>
      </c>
      <c r="Y124" s="12" t="str">
        <f t="shared" si="2795"/>
        <v/>
      </c>
      <c r="Z124" s="12" t="str">
        <f t="shared" si="2796"/>
        <v/>
      </c>
      <c r="AA124" s="12" t="str">
        <f t="shared" si="2797"/>
        <v/>
      </c>
      <c r="AB124" s="12" t="str">
        <f t="shared" si="2798"/>
        <v/>
      </c>
      <c r="AC124" s="12" t="str">
        <f t="shared" si="2799"/>
        <v/>
      </c>
      <c r="AD124" s="12" t="str">
        <f t="shared" si="2800"/>
        <v/>
      </c>
      <c r="AE124" s="12" t="str">
        <f t="shared" si="2801"/>
        <v/>
      </c>
      <c r="AF124" s="12" t="str">
        <f t="shared" si="2802"/>
        <v/>
      </c>
      <c r="AG124" s="12" t="str">
        <f t="shared" si="2803"/>
        <v/>
      </c>
      <c r="AH124" s="12" t="str">
        <f t="shared" si="2804"/>
        <v/>
      </c>
      <c r="AI124" s="12" t="str">
        <f t="shared" si="2805"/>
        <v/>
      </c>
      <c r="AJ124" s="12" t="str">
        <f t="shared" si="2806"/>
        <v/>
      </c>
      <c r="AK124" s="12" t="str">
        <f t="shared" si="2807"/>
        <v/>
      </c>
      <c r="AL124" s="12" t="str">
        <f t="shared" si="2808"/>
        <v/>
      </c>
      <c r="AM124" s="12" t="str">
        <f t="shared" si="2809"/>
        <v/>
      </c>
      <c r="AN124" s="12" t="str">
        <f t="shared" si="2810"/>
        <v/>
      </c>
      <c r="AO124" s="12" t="str">
        <f t="shared" si="2811"/>
        <v/>
      </c>
      <c r="AP124" s="12" t="str">
        <f t="shared" si="2812"/>
        <v/>
      </c>
      <c r="AQ124" s="12" t="str">
        <f t="shared" si="2813"/>
        <v/>
      </c>
      <c r="AR124" s="12" t="str">
        <f t="shared" si="2814"/>
        <v/>
      </c>
      <c r="AS124" s="12" t="str">
        <f t="shared" si="2815"/>
        <v/>
      </c>
      <c r="AT124" s="12" t="str">
        <f t="shared" si="2816"/>
        <v/>
      </c>
      <c r="AU124" s="12" t="str">
        <f t="shared" si="2817"/>
        <v/>
      </c>
      <c r="AV124" s="12" t="str">
        <f t="shared" ref="AS124:BC124" si="2820">IF(AV$3="","",AU124)</f>
        <v/>
      </c>
      <c r="AW124" s="12" t="str">
        <f t="shared" si="2820"/>
        <v/>
      </c>
      <c r="AX124" s="12" t="str">
        <f t="shared" si="2820"/>
        <v/>
      </c>
      <c r="AY124" s="12" t="str">
        <f t="shared" si="2820"/>
        <v/>
      </c>
      <c r="AZ124" s="12" t="str">
        <f t="shared" si="2820"/>
        <v/>
      </c>
      <c r="BA124" s="12" t="str">
        <f t="shared" si="2820"/>
        <v/>
      </c>
      <c r="BB124" s="12" t="str">
        <f t="shared" si="2820"/>
        <v/>
      </c>
      <c r="BC124" s="12" t="str">
        <f t="shared" si="2820"/>
        <v/>
      </c>
    </row>
    <row r="125" spans="1:55" ht="11.25" customHeight="1" x14ac:dyDescent="0.25">
      <c r="A125" s="24">
        <v>2</v>
      </c>
      <c r="B125" s="11" t="s">
        <v>5</v>
      </c>
      <c r="C125" s="123">
        <v>15</v>
      </c>
      <c r="D125" s="12">
        <f t="shared" ref="D125" si="2821">IF(D123="","",(C125+C126))</f>
        <v>15</v>
      </c>
      <c r="E125" s="12">
        <f t="shared" ref="E125" si="2822">IF(E123="","",(D125+D126))</f>
        <v>15</v>
      </c>
      <c r="F125" s="12">
        <f t="shared" ref="F125" si="2823">IF(F123="","",(E125+E126))</f>
        <v>15</v>
      </c>
      <c r="G125" s="195">
        <f t="shared" ref="G125" si="2824">IF(G123="","",(F125+F126))</f>
        <v>15</v>
      </c>
      <c r="H125" s="12">
        <f t="shared" ref="H125" si="2825">IF(H123="","",(G125+G126))</f>
        <v>15</v>
      </c>
      <c r="I125" s="12">
        <f t="shared" ref="I125" si="2826">IF(I123="","",(H125+H126))</f>
        <v>15</v>
      </c>
      <c r="J125" s="195">
        <f t="shared" ref="J125" si="2827">IF(J123="","",(I125+I126))</f>
        <v>15</v>
      </c>
      <c r="K125" s="12">
        <f t="shared" ref="K125" si="2828">IF(K123="","",(J125+J126))</f>
        <v>15</v>
      </c>
      <c r="L125" s="12">
        <f t="shared" ref="L125" si="2829">IF(L123="","",(K125+K126))</f>
        <v>15</v>
      </c>
      <c r="M125" s="12">
        <f t="shared" ref="M125" si="2830">IF(M123="","",(L125+L126))</f>
        <v>15</v>
      </c>
      <c r="N125" s="195" t="str">
        <f t="shared" ref="N125" si="2831">IF(N123="","",(M125+M126))</f>
        <v/>
      </c>
      <c r="O125" s="12" t="str">
        <f t="shared" ref="O125" si="2832">IF(O123="","",(N125+N126))</f>
        <v/>
      </c>
      <c r="P125" s="12" t="str">
        <f t="shared" ref="P125" si="2833">IF(P123="","",(O125+O126))</f>
        <v/>
      </c>
      <c r="Q125" s="12" t="str">
        <f t="shared" ref="Q125" si="2834">IF(Q123="","",(P125+P126))</f>
        <v/>
      </c>
      <c r="R125" s="12" t="str">
        <f t="shared" ref="R125" si="2835">IF(R123="","",(Q125+Q126))</f>
        <v/>
      </c>
      <c r="S125" s="12" t="str">
        <f t="shared" ref="S125" si="2836">IF(S123="","",(R125+R126))</f>
        <v/>
      </c>
      <c r="T125" s="12" t="str">
        <f t="shared" ref="T125" si="2837">IF(T123="","",(S125+S126))</f>
        <v/>
      </c>
      <c r="U125" s="12" t="str">
        <f t="shared" ref="U125" si="2838">IF(U123="","",(T125+T126))</f>
        <v/>
      </c>
      <c r="V125" s="12" t="str">
        <f t="shared" ref="V125" si="2839">IF(V123="","",(U125+U126))</f>
        <v/>
      </c>
      <c r="W125" s="12" t="str">
        <f t="shared" ref="W125" si="2840">IF(W123="","",(V125+V126))</f>
        <v/>
      </c>
      <c r="X125" s="12" t="str">
        <f t="shared" ref="X125" si="2841">IF(X123="","",(W125+W126))</f>
        <v/>
      </c>
      <c r="Y125" s="12" t="str">
        <f t="shared" ref="Y125" si="2842">IF(Y123="","",(X125+X126))</f>
        <v/>
      </c>
      <c r="Z125" s="12" t="str">
        <f t="shared" ref="Z125" si="2843">IF(Z123="","",(Y125+Y126))</f>
        <v/>
      </c>
      <c r="AA125" s="12" t="str">
        <f t="shared" ref="AA125" si="2844">IF(AA123="","",(Z125+Z126))</f>
        <v/>
      </c>
      <c r="AB125" s="12" t="str">
        <f t="shared" ref="AB125" si="2845">IF(AB123="","",(AA125+AA126))</f>
        <v/>
      </c>
      <c r="AC125" s="12" t="str">
        <f t="shared" ref="AC125" si="2846">IF(AC123="","",(AB125+AB126))</f>
        <v/>
      </c>
      <c r="AD125" s="12" t="str">
        <f t="shared" ref="AD125" si="2847">IF(AD123="","",(AC125+AC126))</f>
        <v/>
      </c>
      <c r="AE125" s="12" t="str">
        <f t="shared" ref="AE125" si="2848">IF(AE123="","",(AD125+AD126))</f>
        <v/>
      </c>
      <c r="AF125" s="12" t="str">
        <f t="shared" ref="AF125" si="2849">IF(AF123="","",(AE125+AE126))</f>
        <v/>
      </c>
      <c r="AG125" s="12" t="str">
        <f t="shared" ref="AG125" si="2850">IF(AG123="","",(AF125+AF126))</f>
        <v/>
      </c>
      <c r="AH125" s="12" t="str">
        <f t="shared" ref="AH125" si="2851">IF(AH123="","",(AG125+AG126))</f>
        <v/>
      </c>
      <c r="AI125" s="12" t="str">
        <f t="shared" ref="AI125" si="2852">IF(AI123="","",(AH125+AH126))</f>
        <v/>
      </c>
      <c r="AJ125" s="12" t="str">
        <f t="shared" ref="AJ125" si="2853">IF(AJ123="","",(AI125+AI126))</f>
        <v/>
      </c>
      <c r="AK125" s="12" t="str">
        <f t="shared" ref="AK125" si="2854">IF(AK123="","",(AJ125+AJ126))</f>
        <v/>
      </c>
      <c r="AL125" s="12" t="str">
        <f t="shared" ref="AL125" si="2855">IF(AL123="","",(AK125+AK126))</f>
        <v/>
      </c>
      <c r="AM125" s="12" t="str">
        <f t="shared" ref="AM125" si="2856">IF(AM123="","",(AL125+AL126))</f>
        <v/>
      </c>
      <c r="AN125" s="12" t="str">
        <f t="shared" ref="AN125" si="2857">IF(AN123="","",(AM125+AM126))</f>
        <v/>
      </c>
      <c r="AO125" s="12" t="str">
        <f t="shared" ref="AO125" si="2858">IF(AO123="","",(AN125+AN126))</f>
        <v/>
      </c>
      <c r="AP125" s="12" t="str">
        <f t="shared" ref="AP125" si="2859">IF(AP123="","",(AO125+AO126))</f>
        <v/>
      </c>
      <c r="AQ125" s="12" t="str">
        <f t="shared" ref="AQ125" si="2860">IF(AQ123="","",(AP125+AP126))</f>
        <v/>
      </c>
      <c r="AR125" s="12" t="str">
        <f t="shared" ref="AR125" si="2861">IF(AR123="","",(AQ125+AQ126))</f>
        <v/>
      </c>
      <c r="AS125" s="12" t="str">
        <f t="shared" ref="AS125" si="2862">IF(AS123="","",(AR125+AR126))</f>
        <v/>
      </c>
      <c r="AT125" s="12" t="str">
        <f t="shared" ref="AT125" si="2863">IF(AT123="","",(AS125+AS126))</f>
        <v/>
      </c>
      <c r="AU125" s="12" t="str">
        <f t="shared" ref="AU125" si="2864">IF(AU123="","",(AT125+AT126))</f>
        <v/>
      </c>
      <c r="AV125" s="12" t="str">
        <f t="shared" ref="AS125:BC125" si="2865">IF(AV123="","",(AU125+AU126))</f>
        <v/>
      </c>
      <c r="AW125" s="12" t="str">
        <f t="shared" si="2865"/>
        <v/>
      </c>
      <c r="AX125" s="12" t="str">
        <f t="shared" si="2865"/>
        <v/>
      </c>
      <c r="AY125" s="12" t="str">
        <f t="shared" si="2865"/>
        <v/>
      </c>
      <c r="AZ125" s="12" t="str">
        <f t="shared" si="2865"/>
        <v/>
      </c>
      <c r="BA125" s="12" t="str">
        <f t="shared" si="2865"/>
        <v/>
      </c>
      <c r="BB125" s="12" t="str">
        <f t="shared" si="2865"/>
        <v/>
      </c>
      <c r="BC125" s="12" t="str">
        <f t="shared" si="2865"/>
        <v/>
      </c>
    </row>
    <row r="126" spans="1:55" ht="11.25" customHeight="1" x14ac:dyDescent="0.2">
      <c r="A126" s="14"/>
      <c r="B126" s="11" t="s">
        <v>6</v>
      </c>
      <c r="C126" s="123"/>
      <c r="D126" s="12"/>
      <c r="E126" s="12"/>
      <c r="F126" s="12"/>
      <c r="G126" s="195"/>
      <c r="H126" s="12"/>
      <c r="I126" s="12"/>
      <c r="J126" s="195"/>
      <c r="K126" s="12"/>
      <c r="L126" s="12"/>
      <c r="M126" s="12"/>
      <c r="N126" s="195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</row>
    <row r="127" spans="1:55" ht="11.25" customHeight="1" x14ac:dyDescent="0.2">
      <c r="A127" s="15"/>
      <c r="B127" s="11" t="s">
        <v>8</v>
      </c>
      <c r="C127" s="129">
        <v>800</v>
      </c>
      <c r="D127" s="16">
        <f t="shared" ref="D127" si="2866">IF(D123="","",C127)</f>
        <v>800</v>
      </c>
      <c r="E127" s="16">
        <f t="shared" ref="E127" si="2867">IF(E123="","",D127)</f>
        <v>800</v>
      </c>
      <c r="F127" s="16">
        <f t="shared" ref="F127" si="2868">IF(F123="","",E127)</f>
        <v>800</v>
      </c>
      <c r="G127" s="196">
        <f t="shared" ref="G127" si="2869">IF(G123="","",F127)</f>
        <v>800</v>
      </c>
      <c r="H127" s="16">
        <f t="shared" ref="H127" si="2870">IF(H123="","",G127)</f>
        <v>800</v>
      </c>
      <c r="I127" s="16">
        <f t="shared" ref="I127" si="2871">IF(I123="","",H127)</f>
        <v>800</v>
      </c>
      <c r="J127" s="196">
        <f t="shared" ref="J127" si="2872">IF(J123="","",I127)</f>
        <v>800</v>
      </c>
      <c r="K127" s="16">
        <f t="shared" ref="K127" si="2873">IF(K123="","",J127)</f>
        <v>800</v>
      </c>
      <c r="L127" s="16">
        <f t="shared" ref="L127" si="2874">IF(L123="","",K127)</f>
        <v>800</v>
      </c>
      <c r="M127" s="16">
        <f t="shared" ref="M127" si="2875">IF(M123="","",L127)</f>
        <v>800</v>
      </c>
      <c r="N127" s="196" t="str">
        <f t="shared" ref="N127" si="2876">IF(N123="","",M127)</f>
        <v/>
      </c>
      <c r="O127" s="16" t="str">
        <f t="shared" ref="O127" si="2877">IF(O123="","",N127)</f>
        <v/>
      </c>
      <c r="P127" s="16" t="str">
        <f t="shared" ref="P127" si="2878">IF(P123="","",O127)</f>
        <v/>
      </c>
      <c r="Q127" s="16" t="str">
        <f t="shared" ref="Q127" si="2879">IF(Q123="","",P127)</f>
        <v/>
      </c>
      <c r="R127" s="16" t="str">
        <f t="shared" ref="R127" si="2880">IF(R123="","",Q127)</f>
        <v/>
      </c>
      <c r="S127" s="16" t="str">
        <f t="shared" ref="S127" si="2881">IF(S123="","",R127)</f>
        <v/>
      </c>
      <c r="T127" s="16" t="str">
        <f t="shared" ref="T127" si="2882">IF(T123="","",S127)</f>
        <v/>
      </c>
      <c r="U127" s="16" t="str">
        <f t="shared" ref="U127" si="2883">IF(U123="","",T127)</f>
        <v/>
      </c>
      <c r="V127" s="16" t="str">
        <f t="shared" ref="V127" si="2884">IF(V123="","",U127)</f>
        <v/>
      </c>
      <c r="W127" s="16" t="str">
        <f t="shared" ref="W127" si="2885">IF(W123="","",V127)</f>
        <v/>
      </c>
      <c r="X127" s="16" t="str">
        <f t="shared" ref="X127" si="2886">IF(X123="","",W127)</f>
        <v/>
      </c>
      <c r="Y127" s="16" t="str">
        <f t="shared" ref="Y127" si="2887">IF(Y123="","",X127)</f>
        <v/>
      </c>
      <c r="Z127" s="16" t="str">
        <f t="shared" ref="Z127" si="2888">IF(Z123="","",Y127)</f>
        <v/>
      </c>
      <c r="AA127" s="16" t="str">
        <f t="shared" ref="AA127" si="2889">IF(AA123="","",Z127)</f>
        <v/>
      </c>
      <c r="AB127" s="16" t="str">
        <f t="shared" ref="AB127" si="2890">IF(AB123="","",AA127)</f>
        <v/>
      </c>
      <c r="AC127" s="16" t="str">
        <f t="shared" ref="AC127" si="2891">IF(AC123="","",AB127)</f>
        <v/>
      </c>
      <c r="AD127" s="16" t="str">
        <f t="shared" ref="AD127" si="2892">IF(AD123="","",AC127)</f>
        <v/>
      </c>
      <c r="AE127" s="16" t="str">
        <f t="shared" ref="AE127" si="2893">IF(AE123="","",AD127)</f>
        <v/>
      </c>
      <c r="AF127" s="16" t="str">
        <f t="shared" ref="AF127" si="2894">IF(AF123="","",AE127)</f>
        <v/>
      </c>
      <c r="AG127" s="16" t="str">
        <f t="shared" ref="AG127" si="2895">IF(AG123="","",AF127)</f>
        <v/>
      </c>
      <c r="AH127" s="16" t="str">
        <f t="shared" ref="AH127" si="2896">IF(AH123="","",AG127)</f>
        <v/>
      </c>
      <c r="AI127" s="16" t="str">
        <f t="shared" ref="AI127" si="2897">IF(AI123="","",AH127)</f>
        <v/>
      </c>
      <c r="AJ127" s="16" t="str">
        <f t="shared" ref="AJ127" si="2898">IF(AJ123="","",AI127)</f>
        <v/>
      </c>
      <c r="AK127" s="16" t="str">
        <f t="shared" ref="AK127" si="2899">IF(AK123="","",AJ127)</f>
        <v/>
      </c>
      <c r="AL127" s="16" t="str">
        <f t="shared" ref="AL127" si="2900">IF(AL123="","",AK127)</f>
        <v/>
      </c>
      <c r="AM127" s="16" t="str">
        <f t="shared" ref="AM127" si="2901">IF(AM123="","",AL127)</f>
        <v/>
      </c>
      <c r="AN127" s="16" t="str">
        <f t="shared" ref="AN127" si="2902">IF(AN123="","",AM127)</f>
        <v/>
      </c>
      <c r="AO127" s="16" t="str">
        <f t="shared" ref="AO127" si="2903">IF(AO123="","",AN127)</f>
        <v/>
      </c>
      <c r="AP127" s="16" t="str">
        <f t="shared" ref="AP127" si="2904">IF(AP123="","",AO127)</f>
        <v/>
      </c>
      <c r="AQ127" s="16" t="str">
        <f t="shared" ref="AQ127" si="2905">IF(AQ123="","",AP127)</f>
        <v/>
      </c>
      <c r="AR127" s="16" t="str">
        <f t="shared" ref="AR127" si="2906">IF(AR123="","",AQ127)</f>
        <v/>
      </c>
      <c r="AS127" s="16" t="str">
        <f t="shared" ref="AS127" si="2907">IF(AS123="","",AR127)</f>
        <v/>
      </c>
      <c r="AT127" s="16" t="str">
        <f t="shared" ref="AT127" si="2908">IF(AT123="","",AS127)</f>
        <v/>
      </c>
      <c r="AU127" s="16" t="str">
        <f t="shared" ref="AU127" si="2909">IF(AU123="","",AT127)</f>
        <v/>
      </c>
      <c r="AV127" s="16" t="str">
        <f t="shared" ref="AS127:BC127" si="2910">IF(AV123="","",AU127)</f>
        <v/>
      </c>
      <c r="AW127" s="16" t="str">
        <f t="shared" si="2910"/>
        <v/>
      </c>
      <c r="AX127" s="16" t="str">
        <f t="shared" si="2910"/>
        <v/>
      </c>
      <c r="AY127" s="16" t="str">
        <f t="shared" si="2910"/>
        <v/>
      </c>
      <c r="AZ127" s="16" t="str">
        <f t="shared" si="2910"/>
        <v/>
      </c>
      <c r="BA127" s="16" t="str">
        <f t="shared" si="2910"/>
        <v/>
      </c>
      <c r="BB127" s="16" t="str">
        <f t="shared" si="2910"/>
        <v/>
      </c>
      <c r="BC127" s="16" t="str">
        <f t="shared" si="2910"/>
        <v/>
      </c>
    </row>
    <row r="128" spans="1:55" ht="11.25" customHeight="1" x14ac:dyDescent="0.2">
      <c r="A128" s="14" t="s">
        <v>9</v>
      </c>
      <c r="B128" s="17" t="s">
        <v>10</v>
      </c>
      <c r="C128" s="133" t="s">
        <v>42</v>
      </c>
      <c r="D128" s="18" t="str">
        <f t="shared" ref="D128" si="2911">IF(D123="","",C128)</f>
        <v>コントローラーイヤホン</v>
      </c>
      <c r="E128" s="18" t="str">
        <f t="shared" ref="E128" si="2912">IF(E123="","",D128)</f>
        <v>コントローラーイヤホン</v>
      </c>
      <c r="F128" s="18" t="str">
        <f t="shared" ref="F128" si="2913">IF(F123="","",E128)</f>
        <v>コントローラーイヤホン</v>
      </c>
      <c r="G128" s="197" t="str">
        <f t="shared" ref="G128" si="2914">IF(G123="","",F128)</f>
        <v>コントローラーイヤホン</v>
      </c>
      <c r="H128" s="18" t="str">
        <f t="shared" ref="H128" si="2915">IF(H123="","",G128)</f>
        <v>コントローラーイヤホン</v>
      </c>
      <c r="I128" s="18" t="str">
        <f t="shared" ref="I128" si="2916">IF(I123="","",H128)</f>
        <v>コントローラーイヤホン</v>
      </c>
      <c r="J128" s="197" t="str">
        <f t="shared" ref="J128" si="2917">IF(J123="","",I128)</f>
        <v>コントローラーイヤホン</v>
      </c>
      <c r="K128" s="18" t="str">
        <f t="shared" ref="K128" si="2918">IF(K123="","",J128)</f>
        <v>コントローラーイヤホン</v>
      </c>
      <c r="L128" s="18" t="str">
        <f t="shared" ref="L128" si="2919">IF(L123="","",K128)</f>
        <v>コントローラーイヤホン</v>
      </c>
      <c r="M128" s="18" t="str">
        <f t="shared" ref="M128" si="2920">IF(M123="","",L128)</f>
        <v>コントローラーイヤホン</v>
      </c>
      <c r="N128" s="197" t="str">
        <f t="shared" ref="N128" si="2921">IF(N123="","",M128)</f>
        <v/>
      </c>
      <c r="O128" s="18" t="str">
        <f t="shared" ref="O128" si="2922">IF(O123="","",N128)</f>
        <v/>
      </c>
      <c r="P128" s="18" t="str">
        <f t="shared" ref="P128" si="2923">IF(P123="","",O128)</f>
        <v/>
      </c>
      <c r="Q128" s="18" t="str">
        <f t="shared" ref="Q128" si="2924">IF(Q123="","",P128)</f>
        <v/>
      </c>
      <c r="R128" s="18" t="str">
        <f t="shared" ref="R128" si="2925">IF(R123="","",Q128)</f>
        <v/>
      </c>
      <c r="S128" s="18" t="str">
        <f t="shared" ref="S128" si="2926">IF(S123="","",R128)</f>
        <v/>
      </c>
      <c r="T128" s="18" t="str">
        <f t="shared" ref="T128" si="2927">IF(T123="","",S128)</f>
        <v/>
      </c>
      <c r="U128" s="18" t="str">
        <f t="shared" ref="U128" si="2928">IF(U123="","",T128)</f>
        <v/>
      </c>
      <c r="V128" s="18" t="str">
        <f t="shared" ref="V128" si="2929">IF(V123="","",U128)</f>
        <v/>
      </c>
      <c r="W128" s="18" t="str">
        <f t="shared" ref="W128" si="2930">IF(W123="","",V128)</f>
        <v/>
      </c>
      <c r="X128" s="18" t="str">
        <f t="shared" ref="X128" si="2931">IF(X123="","",W128)</f>
        <v/>
      </c>
      <c r="Y128" s="18" t="str">
        <f t="shared" ref="Y128" si="2932">IF(Y123="","",X128)</f>
        <v/>
      </c>
      <c r="Z128" s="18" t="str">
        <f t="shared" ref="Z128" si="2933">IF(Z123="","",Y128)</f>
        <v/>
      </c>
      <c r="AA128" s="18" t="str">
        <f t="shared" ref="AA128" si="2934">IF(AA123="","",Z128)</f>
        <v/>
      </c>
      <c r="AB128" s="18" t="str">
        <f t="shared" ref="AB128" si="2935">IF(AB123="","",AA128)</f>
        <v/>
      </c>
      <c r="AC128" s="18" t="str">
        <f t="shared" ref="AC128" si="2936">IF(AC123="","",AB128)</f>
        <v/>
      </c>
      <c r="AD128" s="18" t="str">
        <f t="shared" ref="AD128" si="2937">IF(AD123="","",AC128)</f>
        <v/>
      </c>
      <c r="AE128" s="18" t="str">
        <f t="shared" ref="AE128" si="2938">IF(AE123="","",AD128)</f>
        <v/>
      </c>
      <c r="AF128" s="18" t="str">
        <f t="shared" ref="AF128" si="2939">IF(AF123="","",AE128)</f>
        <v/>
      </c>
      <c r="AG128" s="18" t="str">
        <f t="shared" ref="AG128" si="2940">IF(AG123="","",AF128)</f>
        <v/>
      </c>
      <c r="AH128" s="18" t="str">
        <f t="shared" ref="AH128" si="2941">IF(AH123="","",AG128)</f>
        <v/>
      </c>
      <c r="AI128" s="18" t="str">
        <f t="shared" ref="AI128" si="2942">IF(AI123="","",AH128)</f>
        <v/>
      </c>
      <c r="AJ128" s="18" t="str">
        <f t="shared" ref="AJ128" si="2943">IF(AJ123="","",AI128)</f>
        <v/>
      </c>
      <c r="AK128" s="18" t="str">
        <f t="shared" ref="AK128" si="2944">IF(AK123="","",AJ128)</f>
        <v/>
      </c>
      <c r="AL128" s="18" t="str">
        <f t="shared" ref="AL128" si="2945">IF(AL123="","",AK128)</f>
        <v/>
      </c>
      <c r="AM128" s="18" t="str">
        <f t="shared" ref="AM128" si="2946">IF(AM123="","",AL128)</f>
        <v/>
      </c>
      <c r="AN128" s="18" t="str">
        <f t="shared" ref="AN128" si="2947">IF(AN123="","",AM128)</f>
        <v/>
      </c>
      <c r="AO128" s="18" t="str">
        <f t="shared" ref="AO128" si="2948">IF(AO123="","",AN128)</f>
        <v/>
      </c>
      <c r="AP128" s="18" t="str">
        <f t="shared" ref="AP128" si="2949">IF(AP123="","",AO128)</f>
        <v/>
      </c>
      <c r="AQ128" s="18" t="str">
        <f t="shared" ref="AQ128" si="2950">IF(AQ123="","",AP128)</f>
        <v/>
      </c>
      <c r="AR128" s="18" t="str">
        <f t="shared" ref="AR128" si="2951">IF(AR123="","",AQ128)</f>
        <v/>
      </c>
      <c r="AS128" s="18" t="str">
        <f t="shared" ref="AS128" si="2952">IF(AS123="","",AR128)</f>
        <v/>
      </c>
      <c r="AT128" s="18" t="str">
        <f t="shared" ref="AT128" si="2953">IF(AT123="","",AS128)</f>
        <v/>
      </c>
      <c r="AU128" s="18" t="str">
        <f t="shared" ref="AU128" si="2954">IF(AU123="","",AT128)</f>
        <v/>
      </c>
      <c r="AV128" s="18" t="str">
        <f t="shared" ref="AS128:BC128" si="2955">IF(AV123="","",AU128)</f>
        <v/>
      </c>
      <c r="AW128" s="18" t="str">
        <f t="shared" si="2955"/>
        <v/>
      </c>
      <c r="AX128" s="18" t="str">
        <f t="shared" si="2955"/>
        <v/>
      </c>
      <c r="AY128" s="18" t="str">
        <f t="shared" si="2955"/>
        <v/>
      </c>
      <c r="AZ128" s="18" t="str">
        <f t="shared" si="2955"/>
        <v/>
      </c>
      <c r="BA128" s="18" t="str">
        <f t="shared" si="2955"/>
        <v/>
      </c>
      <c r="BB128" s="18" t="str">
        <f t="shared" si="2955"/>
        <v/>
      </c>
      <c r="BC128" s="18" t="str">
        <f t="shared" si="2955"/>
        <v/>
      </c>
    </row>
    <row r="129" spans="1:55" ht="11.25" customHeight="1" x14ac:dyDescent="0.2">
      <c r="A129" s="15">
        <f>AVERAGE(C130:AS130)*30*100</f>
        <v>13909.09090909091</v>
      </c>
      <c r="B129" s="11" t="s">
        <v>12</v>
      </c>
      <c r="C129" s="123"/>
      <c r="D129" s="12"/>
      <c r="E129" s="12"/>
      <c r="F129" s="12"/>
      <c r="G129" s="195"/>
      <c r="H129" s="12"/>
      <c r="I129" s="12"/>
      <c r="J129" s="195"/>
      <c r="K129" s="12"/>
      <c r="L129" s="12"/>
      <c r="M129" s="12"/>
      <c r="N129" s="195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</row>
    <row r="130" spans="1:55" ht="11.25" customHeight="1" x14ac:dyDescent="0.2">
      <c r="A130" s="15">
        <f t="shared" ref="A130:A133" si="2956">SUM(C130:AS130)</f>
        <v>51</v>
      </c>
      <c r="B130" s="19" t="s">
        <v>13</v>
      </c>
      <c r="C130" s="123">
        <v>0</v>
      </c>
      <c r="D130" s="20">
        <f t="shared" ref="D130:D131" si="2957">IF(D123="","",D123-C123)</f>
        <v>0</v>
      </c>
      <c r="E130" s="20">
        <f t="shared" ref="E130:E131" si="2958">IF(E123="","",E123-D123)</f>
        <v>0</v>
      </c>
      <c r="F130" s="20">
        <f t="shared" ref="F130:F131" si="2959">IF(F123="","",F123-E123)</f>
        <v>20</v>
      </c>
      <c r="G130" s="195">
        <f t="shared" ref="G130:G131" si="2960">IF(G123="","",G123-F123)</f>
        <v>0</v>
      </c>
      <c r="H130" s="20">
        <f t="shared" ref="H130:H131" si="2961">IF(H123="","",H123-G123)</f>
        <v>0</v>
      </c>
      <c r="I130" s="20">
        <f t="shared" ref="I130:I131" si="2962">IF(I123="","",I123-H123)</f>
        <v>31</v>
      </c>
      <c r="J130" s="195">
        <f t="shared" ref="J130:J131" si="2963">IF(J123="","",J123-I123)</f>
        <v>0</v>
      </c>
      <c r="K130" s="20">
        <f t="shared" ref="K130:K131" si="2964">IF(K123="","",K123-J123)</f>
        <v>0</v>
      </c>
      <c r="L130" s="20">
        <f t="shared" ref="L130:L131" si="2965">IF(L123="","",L123-K123)</f>
        <v>0</v>
      </c>
      <c r="M130" s="20">
        <f t="shared" ref="M130:M131" si="2966">IF(M123="","",M123-L123)</f>
        <v>0</v>
      </c>
      <c r="N130" s="195" t="str">
        <f t="shared" ref="N130:N131" si="2967">IF(N123="","",N123-M123)</f>
        <v/>
      </c>
      <c r="O130" s="20" t="str">
        <f t="shared" ref="O130:O131" si="2968">IF(O123="","",O123-N123)</f>
        <v/>
      </c>
      <c r="P130" s="20" t="str">
        <f t="shared" ref="P130:P131" si="2969">IF(P123="","",P123-O123)</f>
        <v/>
      </c>
      <c r="Q130" s="20" t="str">
        <f t="shared" ref="Q130:Q131" si="2970">IF(Q123="","",Q123-P123)</f>
        <v/>
      </c>
      <c r="R130" s="20" t="str">
        <f t="shared" ref="R130:R131" si="2971">IF(R123="","",R123-Q123)</f>
        <v/>
      </c>
      <c r="S130" s="20" t="str">
        <f t="shared" ref="S130:S131" si="2972">IF(S123="","",S123-R123)</f>
        <v/>
      </c>
      <c r="T130" s="20" t="str">
        <f t="shared" ref="T130:T131" si="2973">IF(T123="","",T123-S123)</f>
        <v/>
      </c>
      <c r="U130" s="20" t="str">
        <f t="shared" ref="U130:U131" si="2974">IF(U123="","",U123-T123)</f>
        <v/>
      </c>
      <c r="V130" s="20" t="str">
        <f t="shared" ref="V130:V131" si="2975">IF(V123="","",V123-U123)</f>
        <v/>
      </c>
      <c r="W130" s="20" t="str">
        <f t="shared" ref="W130:W131" si="2976">IF(W123="","",W123-V123)</f>
        <v/>
      </c>
      <c r="X130" s="20" t="str">
        <f t="shared" ref="X130:X131" si="2977">IF(X123="","",X123-W123)</f>
        <v/>
      </c>
      <c r="Y130" s="20" t="str">
        <f t="shared" ref="Y130:Y131" si="2978">IF(Y123="","",Y123-X123)</f>
        <v/>
      </c>
      <c r="Z130" s="20" t="str">
        <f t="shared" ref="Z130:Z131" si="2979">IF(Z123="","",Z123-Y123)</f>
        <v/>
      </c>
      <c r="AA130" s="20" t="str">
        <f t="shared" ref="AA130:AA131" si="2980">IF(AA123="","",AA123-Z123)</f>
        <v/>
      </c>
      <c r="AB130" s="20" t="str">
        <f t="shared" ref="AB130:AB131" si="2981">IF(AB123="","",AB123-AA123)</f>
        <v/>
      </c>
      <c r="AC130" s="20" t="str">
        <f t="shared" ref="AC130:AC131" si="2982">IF(AC123="","",AC123-AB123)</f>
        <v/>
      </c>
      <c r="AD130" s="20" t="str">
        <f t="shared" ref="AD130:AD131" si="2983">IF(AD123="","",AD123-AC123)</f>
        <v/>
      </c>
      <c r="AE130" s="20" t="str">
        <f t="shared" ref="AE130:AE131" si="2984">IF(AE123="","",AE123-AD123)</f>
        <v/>
      </c>
      <c r="AF130" s="20" t="str">
        <f t="shared" ref="AF130:AF131" si="2985">IF(AF123="","",AF123-AE123)</f>
        <v/>
      </c>
      <c r="AG130" s="20" t="str">
        <f t="shared" ref="AG130:AG131" si="2986">IF(AG123="","",AG123-AF123)</f>
        <v/>
      </c>
      <c r="AH130" s="20" t="str">
        <f t="shared" ref="AH130:AH131" si="2987">IF(AH123="","",AH123-AG123)</f>
        <v/>
      </c>
      <c r="AI130" s="20" t="str">
        <f t="shared" ref="AI130:AI131" si="2988">IF(AI123="","",AI123-AH123)</f>
        <v/>
      </c>
      <c r="AJ130" s="20" t="str">
        <f t="shared" ref="AJ130:AJ131" si="2989">IF(AJ123="","",AJ123-AI123)</f>
        <v/>
      </c>
      <c r="AK130" s="20" t="str">
        <f t="shared" ref="AK130:AK131" si="2990">IF(AK123="","",AK123-AJ123)</f>
        <v/>
      </c>
      <c r="AL130" s="20" t="str">
        <f t="shared" ref="AL130:AL131" si="2991">IF(AL123="","",AL123-AK123)</f>
        <v/>
      </c>
      <c r="AM130" s="20" t="str">
        <f t="shared" ref="AM130:AM131" si="2992">IF(AM123="","",AM123-AL123)</f>
        <v/>
      </c>
      <c r="AN130" s="20" t="str">
        <f t="shared" ref="AN130:AN131" si="2993">IF(AN123="","",AN123-AM123)</f>
        <v/>
      </c>
      <c r="AO130" s="20" t="str">
        <f t="shared" ref="AO130:AO131" si="2994">IF(AO123="","",AO123-AN123)</f>
        <v/>
      </c>
      <c r="AP130" s="20" t="str">
        <f t="shared" ref="AP130:AP131" si="2995">IF(AP123="","",AP123-AO123)</f>
        <v/>
      </c>
      <c r="AQ130" s="20" t="str">
        <f t="shared" ref="AQ130:AQ131" si="2996">IF(AQ123="","",AQ123-AP123)</f>
        <v/>
      </c>
      <c r="AR130" s="20" t="str">
        <f t="shared" ref="AR130:AR131" si="2997">IF(AR123="","",AR123-AQ123)</f>
        <v/>
      </c>
      <c r="AS130" s="20" t="str">
        <f t="shared" ref="AS130:AS131" si="2998">IF(AS123="","",AS123-AR123)</f>
        <v/>
      </c>
      <c r="AT130" s="20" t="str">
        <f t="shared" ref="AT130:AT131" si="2999">IF(AT123="","",AT123-AS123)</f>
        <v/>
      </c>
      <c r="AU130" s="20" t="str">
        <f t="shared" ref="AU130:AU131" si="3000">IF(AU123="","",AU123-AT123)</f>
        <v/>
      </c>
      <c r="AV130" s="20" t="str">
        <f t="shared" ref="AS130:BC130" si="3001">IF(AV123="","",AV123-AU123)</f>
        <v/>
      </c>
      <c r="AW130" s="20" t="str">
        <f t="shared" si="3001"/>
        <v/>
      </c>
      <c r="AX130" s="20" t="str">
        <f t="shared" si="3001"/>
        <v/>
      </c>
      <c r="AY130" s="20" t="str">
        <f t="shared" si="3001"/>
        <v/>
      </c>
      <c r="AZ130" s="20" t="str">
        <f t="shared" si="3001"/>
        <v/>
      </c>
      <c r="BA130" s="20" t="str">
        <f t="shared" si="3001"/>
        <v/>
      </c>
      <c r="BB130" s="20" t="str">
        <f t="shared" si="3001"/>
        <v/>
      </c>
      <c r="BC130" s="20" t="str">
        <f t="shared" si="3001"/>
        <v/>
      </c>
    </row>
    <row r="131" spans="1:55" ht="11.25" customHeight="1" x14ac:dyDescent="0.2">
      <c r="A131" s="15">
        <f t="shared" si="2956"/>
        <v>1</v>
      </c>
      <c r="B131" s="19" t="s">
        <v>14</v>
      </c>
      <c r="C131" s="123">
        <v>0</v>
      </c>
      <c r="D131" s="20">
        <f t="shared" si="2957"/>
        <v>0</v>
      </c>
      <c r="E131" s="20">
        <f t="shared" si="2958"/>
        <v>0</v>
      </c>
      <c r="F131" s="20">
        <f t="shared" si="2959"/>
        <v>1</v>
      </c>
      <c r="G131" s="195">
        <f t="shared" si="2960"/>
        <v>0</v>
      </c>
      <c r="H131" s="20">
        <f t="shared" si="2961"/>
        <v>0</v>
      </c>
      <c r="I131" s="20">
        <f t="shared" si="2962"/>
        <v>0</v>
      </c>
      <c r="J131" s="195">
        <f t="shared" si="2963"/>
        <v>0</v>
      </c>
      <c r="K131" s="20">
        <f t="shared" si="2964"/>
        <v>0</v>
      </c>
      <c r="L131" s="20">
        <f t="shared" si="2965"/>
        <v>0</v>
      </c>
      <c r="M131" s="20">
        <f t="shared" si="2966"/>
        <v>0</v>
      </c>
      <c r="N131" s="195" t="str">
        <f t="shared" si="2967"/>
        <v/>
      </c>
      <c r="O131" s="20" t="str">
        <f t="shared" si="2968"/>
        <v/>
      </c>
      <c r="P131" s="20" t="str">
        <f t="shared" si="2969"/>
        <v/>
      </c>
      <c r="Q131" s="20" t="str">
        <f t="shared" si="2970"/>
        <v/>
      </c>
      <c r="R131" s="20" t="str">
        <f t="shared" si="2971"/>
        <v/>
      </c>
      <c r="S131" s="20" t="str">
        <f t="shared" si="2972"/>
        <v/>
      </c>
      <c r="T131" s="20" t="str">
        <f t="shared" si="2973"/>
        <v/>
      </c>
      <c r="U131" s="20" t="str">
        <f t="shared" si="2974"/>
        <v/>
      </c>
      <c r="V131" s="20" t="str">
        <f t="shared" si="2975"/>
        <v/>
      </c>
      <c r="W131" s="20" t="str">
        <f t="shared" si="2976"/>
        <v/>
      </c>
      <c r="X131" s="20" t="str">
        <f t="shared" si="2977"/>
        <v/>
      </c>
      <c r="Y131" s="20" t="str">
        <f t="shared" si="2978"/>
        <v/>
      </c>
      <c r="Z131" s="20" t="str">
        <f t="shared" si="2979"/>
        <v/>
      </c>
      <c r="AA131" s="20" t="str">
        <f t="shared" si="2980"/>
        <v/>
      </c>
      <c r="AB131" s="20" t="str">
        <f t="shared" si="2981"/>
        <v/>
      </c>
      <c r="AC131" s="20" t="str">
        <f t="shared" si="2982"/>
        <v/>
      </c>
      <c r="AD131" s="20" t="str">
        <f t="shared" si="2983"/>
        <v/>
      </c>
      <c r="AE131" s="20" t="str">
        <f t="shared" si="2984"/>
        <v/>
      </c>
      <c r="AF131" s="20" t="str">
        <f t="shared" si="2985"/>
        <v/>
      </c>
      <c r="AG131" s="20" t="str">
        <f t="shared" si="2986"/>
        <v/>
      </c>
      <c r="AH131" s="20" t="str">
        <f t="shared" si="2987"/>
        <v/>
      </c>
      <c r="AI131" s="20" t="str">
        <f t="shared" si="2988"/>
        <v/>
      </c>
      <c r="AJ131" s="20" t="str">
        <f t="shared" si="2989"/>
        <v/>
      </c>
      <c r="AK131" s="20" t="str">
        <f t="shared" si="2990"/>
        <v/>
      </c>
      <c r="AL131" s="20" t="str">
        <f t="shared" si="2991"/>
        <v/>
      </c>
      <c r="AM131" s="20" t="str">
        <f t="shared" si="2992"/>
        <v/>
      </c>
      <c r="AN131" s="20" t="str">
        <f t="shared" si="2993"/>
        <v/>
      </c>
      <c r="AO131" s="20" t="str">
        <f t="shared" si="2994"/>
        <v/>
      </c>
      <c r="AP131" s="20" t="str">
        <f t="shared" si="2995"/>
        <v/>
      </c>
      <c r="AQ131" s="20" t="str">
        <f t="shared" si="2996"/>
        <v/>
      </c>
      <c r="AR131" s="20" t="str">
        <f t="shared" si="2997"/>
        <v/>
      </c>
      <c r="AS131" s="20" t="str">
        <f t="shared" si="2998"/>
        <v/>
      </c>
      <c r="AT131" s="20" t="str">
        <f t="shared" si="2999"/>
        <v/>
      </c>
      <c r="AU131" s="20" t="str">
        <f t="shared" si="3000"/>
        <v/>
      </c>
      <c r="AV131" s="20" t="str">
        <f t="shared" ref="AS131:BC131" si="3002">IF(AV124="","",AV124-AU124)</f>
        <v/>
      </c>
      <c r="AW131" s="20" t="str">
        <f t="shared" si="3002"/>
        <v/>
      </c>
      <c r="AX131" s="20" t="str">
        <f t="shared" si="3002"/>
        <v/>
      </c>
      <c r="AY131" s="20" t="str">
        <f t="shared" si="3002"/>
        <v/>
      </c>
      <c r="AZ131" s="20" t="str">
        <f t="shared" si="3002"/>
        <v/>
      </c>
      <c r="BA131" s="20" t="str">
        <f t="shared" si="3002"/>
        <v/>
      </c>
      <c r="BB131" s="20" t="str">
        <f t="shared" si="3002"/>
        <v/>
      </c>
      <c r="BC131" s="20" t="str">
        <f t="shared" si="3002"/>
        <v/>
      </c>
    </row>
    <row r="132" spans="1:55" ht="11.25" customHeight="1" x14ac:dyDescent="0.2">
      <c r="A132" s="15">
        <f t="shared" si="2956"/>
        <v>0</v>
      </c>
      <c r="B132" s="19" t="s">
        <v>15</v>
      </c>
      <c r="C132" s="123">
        <v>0</v>
      </c>
      <c r="D132" s="20">
        <f t="shared" ref="D132" si="3003">IF(D125="","",C125+C126-D125)</f>
        <v>0</v>
      </c>
      <c r="E132" s="20">
        <f t="shared" ref="E132" si="3004">IF(E125="","",D125+D126-E125)</f>
        <v>0</v>
      </c>
      <c r="F132" s="20">
        <f t="shared" ref="F132" si="3005">IF(F125="","",E125+E126-F125)</f>
        <v>0</v>
      </c>
      <c r="G132" s="195">
        <f t="shared" ref="G132" si="3006">IF(G125="","",F125+F126-G125)</f>
        <v>0</v>
      </c>
      <c r="H132" s="20">
        <f t="shared" ref="H132" si="3007">IF(H125="","",G125+G126-H125)</f>
        <v>0</v>
      </c>
      <c r="I132" s="20">
        <f t="shared" ref="I132" si="3008">IF(I125="","",H125+H126-I125)</f>
        <v>0</v>
      </c>
      <c r="J132" s="195">
        <f t="shared" ref="J132" si="3009">IF(J125="","",I125+I126-J125)</f>
        <v>0</v>
      </c>
      <c r="K132" s="20">
        <f t="shared" ref="K132" si="3010">IF(K125="","",J125+J126-K125)</f>
        <v>0</v>
      </c>
      <c r="L132" s="20">
        <f t="shared" ref="L132" si="3011">IF(L125="","",K125+K126-L125)</f>
        <v>0</v>
      </c>
      <c r="M132" s="20">
        <f t="shared" ref="M132" si="3012">IF(M125="","",L125+L126-M125)</f>
        <v>0</v>
      </c>
      <c r="N132" s="195" t="str">
        <f t="shared" ref="N132" si="3013">IF(N125="","",M125+M126-N125)</f>
        <v/>
      </c>
      <c r="O132" s="20" t="str">
        <f t="shared" ref="O132" si="3014">IF(O125="","",N125+N126-O125)</f>
        <v/>
      </c>
      <c r="P132" s="20" t="str">
        <f t="shared" ref="P132" si="3015">IF(P125="","",O125+O126-P125)</f>
        <v/>
      </c>
      <c r="Q132" s="20" t="str">
        <f t="shared" ref="Q132" si="3016">IF(Q125="","",P125+P126-Q125)</f>
        <v/>
      </c>
      <c r="R132" s="20" t="str">
        <f t="shared" ref="R132" si="3017">IF(R125="","",Q125+Q126-R125)</f>
        <v/>
      </c>
      <c r="S132" s="20" t="str">
        <f t="shared" ref="S132" si="3018">IF(S125="","",R125+R126-S125)</f>
        <v/>
      </c>
      <c r="T132" s="20" t="str">
        <f t="shared" ref="T132" si="3019">IF(T125="","",S125+S126-T125)</f>
        <v/>
      </c>
      <c r="U132" s="20" t="str">
        <f t="shared" ref="U132" si="3020">IF(U125="","",T125+T126-U125)</f>
        <v/>
      </c>
      <c r="V132" s="20" t="str">
        <f t="shared" ref="V132" si="3021">IF(V125="","",U125+U126-V125)</f>
        <v/>
      </c>
      <c r="W132" s="20" t="str">
        <f t="shared" ref="W132" si="3022">IF(W125="","",V125+V126-W125)</f>
        <v/>
      </c>
      <c r="X132" s="20" t="str">
        <f t="shared" ref="X132" si="3023">IF(X125="","",W125+W126-X125)</f>
        <v/>
      </c>
      <c r="Y132" s="20" t="str">
        <f t="shared" ref="Y132" si="3024">IF(Y125="","",X125+X126-Y125)</f>
        <v/>
      </c>
      <c r="Z132" s="20" t="str">
        <f t="shared" ref="Z132" si="3025">IF(Z125="","",Y125+Y126-Z125)</f>
        <v/>
      </c>
      <c r="AA132" s="20" t="str">
        <f t="shared" ref="AA132" si="3026">IF(AA125="","",Z125+Z126-AA125)</f>
        <v/>
      </c>
      <c r="AB132" s="20" t="str">
        <f t="shared" ref="AB132" si="3027">IF(AB125="","",AA125+AA126-AB125)</f>
        <v/>
      </c>
      <c r="AC132" s="20" t="str">
        <f t="shared" ref="AC132" si="3028">IF(AC125="","",AB125+AB126-AC125)</f>
        <v/>
      </c>
      <c r="AD132" s="20" t="str">
        <f t="shared" ref="AD132" si="3029">IF(AD125="","",AC125+AC126-AD125)</f>
        <v/>
      </c>
      <c r="AE132" s="20" t="str">
        <f t="shared" ref="AE132" si="3030">IF(AE125="","",AD125+AD126-AE125)</f>
        <v/>
      </c>
      <c r="AF132" s="20" t="str">
        <f t="shared" ref="AF132" si="3031">IF(AF125="","",AE125+AE126-AF125)</f>
        <v/>
      </c>
      <c r="AG132" s="20" t="str">
        <f t="shared" ref="AG132" si="3032">IF(AG125="","",AF125+AF126-AG125)</f>
        <v/>
      </c>
      <c r="AH132" s="20" t="str">
        <f t="shared" ref="AH132" si="3033">IF(AH125="","",AG125+AG126-AH125)</f>
        <v/>
      </c>
      <c r="AI132" s="20" t="str">
        <f t="shared" ref="AI132" si="3034">IF(AI125="","",AH125+AH126-AI125)</f>
        <v/>
      </c>
      <c r="AJ132" s="20" t="str">
        <f t="shared" ref="AJ132" si="3035">IF(AJ125="","",AI125+AI126-AJ125)</f>
        <v/>
      </c>
      <c r="AK132" s="20" t="str">
        <f t="shared" ref="AK132" si="3036">IF(AK125="","",AJ125+AJ126-AK125)</f>
        <v/>
      </c>
      <c r="AL132" s="20" t="str">
        <f t="shared" ref="AL132" si="3037">IF(AL125="","",AK125+AK126-AL125)</f>
        <v/>
      </c>
      <c r="AM132" s="20" t="str">
        <f t="shared" ref="AM132" si="3038">IF(AM125="","",AL125+AL126-AM125)</f>
        <v/>
      </c>
      <c r="AN132" s="20" t="str">
        <f t="shared" ref="AN132" si="3039">IF(AN125="","",AM125+AM126-AN125)</f>
        <v/>
      </c>
      <c r="AO132" s="20" t="str">
        <f t="shared" ref="AO132" si="3040">IF(AO125="","",AN125+AN126-AO125)</f>
        <v/>
      </c>
      <c r="AP132" s="20" t="str">
        <f t="shared" ref="AP132" si="3041">IF(AP125="","",AO125+AO126-AP125)</f>
        <v/>
      </c>
      <c r="AQ132" s="20" t="str">
        <f t="shared" ref="AQ132" si="3042">IF(AQ125="","",AP125+AP126-AQ125)</f>
        <v/>
      </c>
      <c r="AR132" s="20" t="str">
        <f t="shared" ref="AR132" si="3043">IF(AR125="","",AQ125+AQ126-AR125)</f>
        <v/>
      </c>
      <c r="AS132" s="20" t="str">
        <f t="shared" ref="AS132" si="3044">IF(AS125="","",AR125+AR126-AS125)</f>
        <v/>
      </c>
      <c r="AT132" s="20" t="str">
        <f t="shared" ref="AT132" si="3045">IF(AT125="","",AS125+AS126-AT125)</f>
        <v/>
      </c>
      <c r="AU132" s="20" t="str">
        <f t="shared" ref="AU132" si="3046">IF(AU125="","",AT125+AT126-AU125)</f>
        <v/>
      </c>
      <c r="AV132" s="20" t="str">
        <f t="shared" ref="AS132:BC132" si="3047">IF(AV125="","",AU125+AU126-AV125)</f>
        <v/>
      </c>
      <c r="AW132" s="20" t="str">
        <f t="shared" si="3047"/>
        <v/>
      </c>
      <c r="AX132" s="20" t="str">
        <f t="shared" si="3047"/>
        <v/>
      </c>
      <c r="AY132" s="20" t="str">
        <f t="shared" si="3047"/>
        <v/>
      </c>
      <c r="AZ132" s="20" t="str">
        <f t="shared" si="3047"/>
        <v/>
      </c>
      <c r="BA132" s="20" t="str">
        <f t="shared" si="3047"/>
        <v/>
      </c>
      <c r="BB132" s="20" t="str">
        <f t="shared" si="3047"/>
        <v/>
      </c>
      <c r="BC132" s="20" t="str">
        <f t="shared" si="3047"/>
        <v/>
      </c>
    </row>
    <row r="133" spans="1:55" ht="11.25" customHeight="1" x14ac:dyDescent="0.2">
      <c r="A133" s="15">
        <f t="shared" si="2956"/>
        <v>0</v>
      </c>
      <c r="B133" s="19" t="s">
        <v>16</v>
      </c>
      <c r="C133" s="123">
        <v>0</v>
      </c>
      <c r="D133" s="20">
        <f t="shared" ref="D133:AU133" si="3048">IF(D123="","",D132*D127)</f>
        <v>0</v>
      </c>
      <c r="E133" s="20">
        <f t="shared" si="3048"/>
        <v>0</v>
      </c>
      <c r="F133" s="20">
        <f t="shared" si="3048"/>
        <v>0</v>
      </c>
      <c r="G133" s="195">
        <f t="shared" si="3048"/>
        <v>0</v>
      </c>
      <c r="H133" s="20">
        <f t="shared" si="3048"/>
        <v>0</v>
      </c>
      <c r="I133" s="20">
        <f t="shared" si="3048"/>
        <v>0</v>
      </c>
      <c r="J133" s="195">
        <f t="shared" si="3048"/>
        <v>0</v>
      </c>
      <c r="K133" s="20">
        <f t="shared" si="3048"/>
        <v>0</v>
      </c>
      <c r="L133" s="20">
        <f t="shared" si="3048"/>
        <v>0</v>
      </c>
      <c r="M133" s="20">
        <f t="shared" si="3048"/>
        <v>0</v>
      </c>
      <c r="N133" s="195" t="str">
        <f t="shared" si="3048"/>
        <v/>
      </c>
      <c r="O133" s="20" t="str">
        <f t="shared" si="3048"/>
        <v/>
      </c>
      <c r="P133" s="20" t="str">
        <f t="shared" si="3048"/>
        <v/>
      </c>
      <c r="Q133" s="20" t="str">
        <f t="shared" si="3048"/>
        <v/>
      </c>
      <c r="R133" s="20" t="str">
        <f t="shared" si="3048"/>
        <v/>
      </c>
      <c r="S133" s="20" t="str">
        <f t="shared" si="3048"/>
        <v/>
      </c>
      <c r="T133" s="20" t="str">
        <f t="shared" si="3048"/>
        <v/>
      </c>
      <c r="U133" s="20" t="str">
        <f t="shared" si="3048"/>
        <v/>
      </c>
      <c r="V133" s="20" t="str">
        <f t="shared" si="3048"/>
        <v/>
      </c>
      <c r="W133" s="20" t="str">
        <f t="shared" si="3048"/>
        <v/>
      </c>
      <c r="X133" s="20" t="str">
        <f t="shared" si="3048"/>
        <v/>
      </c>
      <c r="Y133" s="20" t="str">
        <f t="shared" si="3048"/>
        <v/>
      </c>
      <c r="Z133" s="20" t="str">
        <f t="shared" si="3048"/>
        <v/>
      </c>
      <c r="AA133" s="20" t="str">
        <f t="shared" si="3048"/>
        <v/>
      </c>
      <c r="AB133" s="20" t="str">
        <f t="shared" si="3048"/>
        <v/>
      </c>
      <c r="AC133" s="20" t="str">
        <f t="shared" si="3048"/>
        <v/>
      </c>
      <c r="AD133" s="20" t="str">
        <f t="shared" si="3048"/>
        <v/>
      </c>
      <c r="AE133" s="20" t="str">
        <f t="shared" si="3048"/>
        <v/>
      </c>
      <c r="AF133" s="20" t="str">
        <f t="shared" si="3048"/>
        <v/>
      </c>
      <c r="AG133" s="20" t="str">
        <f t="shared" si="3048"/>
        <v/>
      </c>
      <c r="AH133" s="20" t="str">
        <f t="shared" si="3048"/>
        <v/>
      </c>
      <c r="AI133" s="20" t="str">
        <f t="shared" si="3048"/>
        <v/>
      </c>
      <c r="AJ133" s="20" t="str">
        <f t="shared" si="3048"/>
        <v/>
      </c>
      <c r="AK133" s="20" t="str">
        <f t="shared" si="3048"/>
        <v/>
      </c>
      <c r="AL133" s="20" t="str">
        <f t="shared" si="3048"/>
        <v/>
      </c>
      <c r="AM133" s="20" t="str">
        <f t="shared" si="3048"/>
        <v/>
      </c>
      <c r="AN133" s="20" t="str">
        <f t="shared" si="3048"/>
        <v/>
      </c>
      <c r="AO133" s="20" t="str">
        <f t="shared" si="3048"/>
        <v/>
      </c>
      <c r="AP133" s="20" t="str">
        <f t="shared" si="3048"/>
        <v/>
      </c>
      <c r="AQ133" s="20" t="str">
        <f t="shared" si="3048"/>
        <v/>
      </c>
      <c r="AR133" s="20" t="str">
        <f t="shared" si="3048"/>
        <v/>
      </c>
      <c r="AS133" s="20" t="str">
        <f t="shared" si="3048"/>
        <v/>
      </c>
      <c r="AT133" s="20" t="str">
        <f t="shared" si="3048"/>
        <v/>
      </c>
      <c r="AU133" s="20" t="str">
        <f t="shared" si="3048"/>
        <v/>
      </c>
      <c r="AV133" s="20" t="str">
        <f t="shared" ref="AS133:BC133" si="3049">IF(AV123="","",AV132*AV127)</f>
        <v/>
      </c>
      <c r="AW133" s="20" t="str">
        <f t="shared" si="3049"/>
        <v/>
      </c>
      <c r="AX133" s="20" t="str">
        <f t="shared" si="3049"/>
        <v/>
      </c>
      <c r="AY133" s="20" t="str">
        <f t="shared" si="3049"/>
        <v/>
      </c>
      <c r="AZ133" s="20" t="str">
        <f t="shared" si="3049"/>
        <v/>
      </c>
      <c r="BA133" s="20" t="str">
        <f t="shared" si="3049"/>
        <v/>
      </c>
      <c r="BB133" s="20" t="str">
        <f t="shared" si="3049"/>
        <v/>
      </c>
      <c r="BC133" s="20" t="str">
        <f t="shared" si="3049"/>
        <v/>
      </c>
    </row>
    <row r="134" spans="1:55" ht="11.25" customHeight="1" x14ac:dyDescent="0.2">
      <c r="A134" s="21">
        <f>IF(A133="","",A133/(A130*100))</f>
        <v>0</v>
      </c>
      <c r="B134" s="19" t="s">
        <v>17</v>
      </c>
      <c r="C134" s="146" t="s">
        <v>18</v>
      </c>
      <c r="D134" s="27" t="str">
        <f t="shared" ref="D134:AU134" si="3050">IF(D133="","",IF(D133=0,"",D133/(D130*100)))</f>
        <v/>
      </c>
      <c r="E134" s="27" t="str">
        <f t="shared" si="3050"/>
        <v/>
      </c>
      <c r="F134" s="27" t="str">
        <f t="shared" si="3050"/>
        <v/>
      </c>
      <c r="G134" s="199" t="str">
        <f t="shared" si="3050"/>
        <v/>
      </c>
      <c r="H134" s="27" t="str">
        <f t="shared" si="3050"/>
        <v/>
      </c>
      <c r="I134" s="27" t="str">
        <f t="shared" si="3050"/>
        <v/>
      </c>
      <c r="J134" s="199" t="str">
        <f t="shared" si="3050"/>
        <v/>
      </c>
      <c r="K134" s="27" t="str">
        <f t="shared" si="3050"/>
        <v/>
      </c>
      <c r="L134" s="27" t="str">
        <f t="shared" si="3050"/>
        <v/>
      </c>
      <c r="M134" s="27" t="str">
        <f t="shared" si="3050"/>
        <v/>
      </c>
      <c r="N134" s="199" t="str">
        <f t="shared" si="3050"/>
        <v/>
      </c>
      <c r="O134" s="27" t="str">
        <f t="shared" si="3050"/>
        <v/>
      </c>
      <c r="P134" s="27" t="str">
        <f t="shared" si="3050"/>
        <v/>
      </c>
      <c r="Q134" s="27" t="str">
        <f t="shared" si="3050"/>
        <v/>
      </c>
      <c r="R134" s="27" t="str">
        <f t="shared" si="3050"/>
        <v/>
      </c>
      <c r="S134" s="27" t="str">
        <f t="shared" si="3050"/>
        <v/>
      </c>
      <c r="T134" s="27" t="str">
        <f t="shared" si="3050"/>
        <v/>
      </c>
      <c r="U134" s="27" t="str">
        <f t="shared" si="3050"/>
        <v/>
      </c>
      <c r="V134" s="27" t="str">
        <f t="shared" si="3050"/>
        <v/>
      </c>
      <c r="W134" s="27" t="str">
        <f t="shared" si="3050"/>
        <v/>
      </c>
      <c r="X134" s="27" t="str">
        <f t="shared" si="3050"/>
        <v/>
      </c>
      <c r="Y134" s="27" t="str">
        <f t="shared" si="3050"/>
        <v/>
      </c>
      <c r="Z134" s="27" t="str">
        <f t="shared" si="3050"/>
        <v/>
      </c>
      <c r="AA134" s="27" t="str">
        <f t="shared" si="3050"/>
        <v/>
      </c>
      <c r="AB134" s="27" t="str">
        <f t="shared" si="3050"/>
        <v/>
      </c>
      <c r="AC134" s="27" t="str">
        <f t="shared" si="3050"/>
        <v/>
      </c>
      <c r="AD134" s="27" t="str">
        <f t="shared" si="3050"/>
        <v/>
      </c>
      <c r="AE134" s="27" t="str">
        <f t="shared" si="3050"/>
        <v/>
      </c>
      <c r="AF134" s="27" t="str">
        <f t="shared" si="3050"/>
        <v/>
      </c>
      <c r="AG134" s="27" t="str">
        <f t="shared" si="3050"/>
        <v/>
      </c>
      <c r="AH134" s="27" t="str">
        <f t="shared" si="3050"/>
        <v/>
      </c>
      <c r="AI134" s="27" t="str">
        <f t="shared" si="3050"/>
        <v/>
      </c>
      <c r="AJ134" s="27" t="str">
        <f t="shared" si="3050"/>
        <v/>
      </c>
      <c r="AK134" s="27" t="str">
        <f t="shared" si="3050"/>
        <v/>
      </c>
      <c r="AL134" s="27" t="str">
        <f t="shared" si="3050"/>
        <v/>
      </c>
      <c r="AM134" s="27" t="str">
        <f t="shared" si="3050"/>
        <v/>
      </c>
      <c r="AN134" s="27" t="str">
        <f t="shared" si="3050"/>
        <v/>
      </c>
      <c r="AO134" s="27" t="str">
        <f t="shared" si="3050"/>
        <v/>
      </c>
      <c r="AP134" s="27" t="str">
        <f t="shared" si="3050"/>
        <v/>
      </c>
      <c r="AQ134" s="27" t="str">
        <f t="shared" si="3050"/>
        <v/>
      </c>
      <c r="AR134" s="27" t="str">
        <f t="shared" si="3050"/>
        <v/>
      </c>
      <c r="AS134" s="27" t="str">
        <f t="shared" si="3050"/>
        <v/>
      </c>
      <c r="AT134" s="27" t="str">
        <f t="shared" si="3050"/>
        <v/>
      </c>
      <c r="AU134" s="27" t="str">
        <f t="shared" si="3050"/>
        <v/>
      </c>
      <c r="AV134" s="27" t="str">
        <f t="shared" ref="AS134:BC134" si="3051">IF(AV133="","",IF(AV133=0,"",AV133/(AV130*100)))</f>
        <v/>
      </c>
      <c r="AW134" s="27" t="str">
        <f t="shared" si="3051"/>
        <v/>
      </c>
      <c r="AX134" s="27" t="str">
        <f t="shared" si="3051"/>
        <v/>
      </c>
      <c r="AY134" s="27" t="str">
        <f t="shared" si="3051"/>
        <v/>
      </c>
      <c r="AZ134" s="27" t="str">
        <f t="shared" si="3051"/>
        <v/>
      </c>
      <c r="BA134" s="27" t="str">
        <f t="shared" si="3051"/>
        <v/>
      </c>
      <c r="BB134" s="27" t="str">
        <f t="shared" si="3051"/>
        <v/>
      </c>
      <c r="BC134" s="27" t="str">
        <f t="shared" si="3051"/>
        <v/>
      </c>
    </row>
    <row r="135" spans="1:55" ht="11.25" customHeight="1" x14ac:dyDescent="0.2">
      <c r="A135" s="28" t="s">
        <v>1</v>
      </c>
      <c r="B135" s="29" t="s">
        <v>2</v>
      </c>
      <c r="C135" s="129">
        <v>7938</v>
      </c>
      <c r="D135" s="16">
        <f t="shared" ref="D135:D136" si="3052">IF(D$3="","",C135)</f>
        <v>7938</v>
      </c>
      <c r="E135" s="16">
        <f t="shared" ref="E135:E136" si="3053">IF(E$3="","",D135)</f>
        <v>7938</v>
      </c>
      <c r="F135" s="16">
        <v>8014</v>
      </c>
      <c r="G135" s="196">
        <f t="shared" ref="G135:G136" si="3054">IF(G$3="","",F135)</f>
        <v>8014</v>
      </c>
      <c r="H135" s="16">
        <f t="shared" ref="H135:H136" si="3055">IF(H$3="","",G135)</f>
        <v>8014</v>
      </c>
      <c r="I135" s="16">
        <v>8053</v>
      </c>
      <c r="J135" s="196">
        <f t="shared" ref="J135:J136" si="3056">IF(J$3="","",I135)</f>
        <v>8053</v>
      </c>
      <c r="K135" s="16">
        <f t="shared" ref="K135:K136" si="3057">IF(K$3="","",J135)</f>
        <v>8053</v>
      </c>
      <c r="L135" s="16">
        <f t="shared" ref="L135:L136" si="3058">IF(L$3="","",K135)</f>
        <v>8053</v>
      </c>
      <c r="M135" s="16">
        <f t="shared" ref="M135:M136" si="3059">IF(M$3="","",L135)</f>
        <v>8053</v>
      </c>
      <c r="N135" s="196" t="str">
        <f t="shared" ref="N135:N136" si="3060">IF(N$3="","",M135)</f>
        <v/>
      </c>
      <c r="O135" s="16" t="str">
        <f t="shared" ref="O135:O136" si="3061">IF(O$3="","",N135)</f>
        <v/>
      </c>
      <c r="P135" s="16" t="str">
        <f t="shared" ref="P135:P136" si="3062">IF(P$3="","",O135)</f>
        <v/>
      </c>
      <c r="Q135" s="16" t="str">
        <f t="shared" ref="Q135:Q136" si="3063">IF(Q$3="","",P135)</f>
        <v/>
      </c>
      <c r="R135" s="16" t="str">
        <f t="shared" ref="R135:R136" si="3064">IF(R$3="","",Q135)</f>
        <v/>
      </c>
      <c r="S135" s="16" t="str">
        <f t="shared" ref="S135:S136" si="3065">IF(S$3="","",R135)</f>
        <v/>
      </c>
      <c r="T135" s="16" t="str">
        <f t="shared" ref="T135:T136" si="3066">IF(T$3="","",S135)</f>
        <v/>
      </c>
      <c r="U135" s="16" t="str">
        <f t="shared" ref="U135:U136" si="3067">IF(U$3="","",T135)</f>
        <v/>
      </c>
      <c r="V135" s="16" t="str">
        <f t="shared" ref="V135:V136" si="3068">IF(V$3="","",U135)</f>
        <v/>
      </c>
      <c r="W135" s="16" t="str">
        <f t="shared" ref="W135:W136" si="3069">IF(W$3="","",V135)</f>
        <v/>
      </c>
      <c r="X135" s="16" t="str">
        <f t="shared" ref="X135:X136" si="3070">IF(X$3="","",W135)</f>
        <v/>
      </c>
      <c r="Y135" s="16" t="str">
        <f t="shared" ref="Y135:Y136" si="3071">IF(Y$3="","",X135)</f>
        <v/>
      </c>
      <c r="Z135" s="16" t="str">
        <f t="shared" ref="Z135:Z136" si="3072">IF(Z$3="","",Y135)</f>
        <v/>
      </c>
      <c r="AA135" s="16" t="str">
        <f t="shared" ref="AA135:AA136" si="3073">IF(AA$3="","",Z135)</f>
        <v/>
      </c>
      <c r="AB135" s="16" t="str">
        <f t="shared" ref="AB135:AB136" si="3074">IF(AB$3="","",AA135)</f>
        <v/>
      </c>
      <c r="AC135" s="16" t="str">
        <f t="shared" ref="AC135:AC136" si="3075">IF(AC$3="","",AB135)</f>
        <v/>
      </c>
      <c r="AD135" s="16" t="str">
        <f t="shared" ref="AD135:AD136" si="3076">IF(AD$3="","",AC135)</f>
        <v/>
      </c>
      <c r="AE135" s="16" t="str">
        <f t="shared" ref="AE135:AE136" si="3077">IF(AE$3="","",AD135)</f>
        <v/>
      </c>
      <c r="AF135" s="16" t="str">
        <f t="shared" ref="AF135:AF136" si="3078">IF(AF$3="","",AE135)</f>
        <v/>
      </c>
      <c r="AG135" s="16" t="str">
        <f t="shared" ref="AG135:AG136" si="3079">IF(AG$3="","",AF135)</f>
        <v/>
      </c>
      <c r="AH135" s="16" t="str">
        <f t="shared" ref="AH135:AH136" si="3080">IF(AH$3="","",AG135)</f>
        <v/>
      </c>
      <c r="AI135" s="16" t="str">
        <f t="shared" ref="AI135:AI136" si="3081">IF(AI$3="","",AH135)</f>
        <v/>
      </c>
      <c r="AJ135" s="16" t="str">
        <f t="shared" ref="AJ135:AJ136" si="3082">IF(AJ$3="","",AI135)</f>
        <v/>
      </c>
      <c r="AK135" s="16" t="str">
        <f t="shared" ref="AK135:AK136" si="3083">IF(AK$3="","",AJ135)</f>
        <v/>
      </c>
      <c r="AL135" s="16" t="str">
        <f t="shared" ref="AL135:AL136" si="3084">IF(AL$3="","",AK135)</f>
        <v/>
      </c>
      <c r="AM135" s="16" t="str">
        <f t="shared" ref="AM135:AM136" si="3085">IF(AM$3="","",AL135)</f>
        <v/>
      </c>
      <c r="AN135" s="16" t="str">
        <f t="shared" ref="AN135:AN136" si="3086">IF(AN$3="","",AM135)</f>
        <v/>
      </c>
      <c r="AO135" s="16" t="str">
        <f t="shared" ref="AO135:AO136" si="3087">IF(AO$3="","",AN135)</f>
        <v/>
      </c>
      <c r="AP135" s="16" t="str">
        <f t="shared" ref="AP135:AP136" si="3088">IF(AP$3="","",AO135)</f>
        <v/>
      </c>
      <c r="AQ135" s="16" t="str">
        <f t="shared" ref="AQ135:AQ136" si="3089">IF(AQ$3="","",AP135)</f>
        <v/>
      </c>
      <c r="AR135" s="16" t="str">
        <f t="shared" ref="AR135:AR136" si="3090">IF(AR$3="","",AQ135)</f>
        <v/>
      </c>
      <c r="AS135" s="16" t="str">
        <f t="shared" ref="AS135:AS136" si="3091">IF(AS$3="","",AR135)</f>
        <v/>
      </c>
      <c r="AT135" s="16" t="str">
        <f t="shared" ref="AT135:AT136" si="3092">IF(AT$3="","",AS135)</f>
        <v/>
      </c>
      <c r="AU135" s="16" t="str">
        <f t="shared" ref="AU135:AU136" si="3093">IF(AU$3="","",AT135)</f>
        <v/>
      </c>
      <c r="AV135" s="16" t="str">
        <f t="shared" ref="AS135:BC135" si="3094">IF(AV$3="","",AU135)</f>
        <v/>
      </c>
      <c r="AW135" s="16" t="str">
        <f t="shared" si="3094"/>
        <v/>
      </c>
      <c r="AX135" s="16" t="str">
        <f t="shared" si="3094"/>
        <v/>
      </c>
      <c r="AY135" s="16" t="str">
        <f t="shared" si="3094"/>
        <v/>
      </c>
      <c r="AZ135" s="16" t="str">
        <f t="shared" si="3094"/>
        <v/>
      </c>
      <c r="BA135" s="16" t="str">
        <f t="shared" si="3094"/>
        <v/>
      </c>
      <c r="BB135" s="16" t="str">
        <f t="shared" si="3094"/>
        <v/>
      </c>
      <c r="BC135" s="16" t="str">
        <f t="shared" si="3094"/>
        <v/>
      </c>
    </row>
    <row r="136" spans="1:55" ht="11.25" customHeight="1" x14ac:dyDescent="0.2">
      <c r="A136" s="10" t="s">
        <v>40</v>
      </c>
      <c r="B136" s="11" t="s">
        <v>4</v>
      </c>
      <c r="C136" s="123">
        <v>422</v>
      </c>
      <c r="D136" s="12">
        <f t="shared" si="3052"/>
        <v>422</v>
      </c>
      <c r="E136" s="12">
        <f t="shared" si="3053"/>
        <v>422</v>
      </c>
      <c r="F136" s="12">
        <v>424</v>
      </c>
      <c r="G136" s="195">
        <f t="shared" si="3054"/>
        <v>424</v>
      </c>
      <c r="H136" s="12">
        <f t="shared" si="3055"/>
        <v>424</v>
      </c>
      <c r="I136" s="12">
        <f t="shared" ref="I135:I136" si="3095">IF(I$3="","",H136)</f>
        <v>424</v>
      </c>
      <c r="J136" s="195">
        <f t="shared" si="3056"/>
        <v>424</v>
      </c>
      <c r="K136" s="12">
        <f t="shared" si="3057"/>
        <v>424</v>
      </c>
      <c r="L136" s="12">
        <f t="shared" si="3058"/>
        <v>424</v>
      </c>
      <c r="M136" s="12">
        <f t="shared" si="3059"/>
        <v>424</v>
      </c>
      <c r="N136" s="195" t="str">
        <f t="shared" si="3060"/>
        <v/>
      </c>
      <c r="O136" s="12" t="str">
        <f t="shared" si="3061"/>
        <v/>
      </c>
      <c r="P136" s="12" t="str">
        <f t="shared" si="3062"/>
        <v/>
      </c>
      <c r="Q136" s="12" t="str">
        <f t="shared" si="3063"/>
        <v/>
      </c>
      <c r="R136" s="12" t="str">
        <f t="shared" si="3064"/>
        <v/>
      </c>
      <c r="S136" s="12" t="str">
        <f t="shared" si="3065"/>
        <v/>
      </c>
      <c r="T136" s="12" t="str">
        <f t="shared" si="3066"/>
        <v/>
      </c>
      <c r="U136" s="12" t="str">
        <f t="shared" si="3067"/>
        <v/>
      </c>
      <c r="V136" s="12" t="str">
        <f t="shared" si="3068"/>
        <v/>
      </c>
      <c r="W136" s="12" t="str">
        <f t="shared" si="3069"/>
        <v/>
      </c>
      <c r="X136" s="12" t="str">
        <f t="shared" si="3070"/>
        <v/>
      </c>
      <c r="Y136" s="12" t="str">
        <f t="shared" si="3071"/>
        <v/>
      </c>
      <c r="Z136" s="12" t="str">
        <f t="shared" si="3072"/>
        <v/>
      </c>
      <c r="AA136" s="12" t="str">
        <f t="shared" si="3073"/>
        <v/>
      </c>
      <c r="AB136" s="12" t="str">
        <f t="shared" si="3074"/>
        <v/>
      </c>
      <c r="AC136" s="12" t="str">
        <f t="shared" si="3075"/>
        <v/>
      </c>
      <c r="AD136" s="12" t="str">
        <f t="shared" si="3076"/>
        <v/>
      </c>
      <c r="AE136" s="12" t="str">
        <f t="shared" si="3077"/>
        <v/>
      </c>
      <c r="AF136" s="12" t="str">
        <f t="shared" si="3078"/>
        <v/>
      </c>
      <c r="AG136" s="12" t="str">
        <f t="shared" si="3079"/>
        <v/>
      </c>
      <c r="AH136" s="12" t="str">
        <f t="shared" si="3080"/>
        <v/>
      </c>
      <c r="AI136" s="12" t="str">
        <f t="shared" si="3081"/>
        <v/>
      </c>
      <c r="AJ136" s="12" t="str">
        <f t="shared" si="3082"/>
        <v/>
      </c>
      <c r="AK136" s="12" t="str">
        <f t="shared" si="3083"/>
        <v/>
      </c>
      <c r="AL136" s="12" t="str">
        <f t="shared" si="3084"/>
        <v/>
      </c>
      <c r="AM136" s="12" t="str">
        <f t="shared" si="3085"/>
        <v/>
      </c>
      <c r="AN136" s="12" t="str">
        <f t="shared" si="3086"/>
        <v/>
      </c>
      <c r="AO136" s="12" t="str">
        <f t="shared" si="3087"/>
        <v/>
      </c>
      <c r="AP136" s="12" t="str">
        <f t="shared" si="3088"/>
        <v/>
      </c>
      <c r="AQ136" s="12" t="str">
        <f t="shared" si="3089"/>
        <v/>
      </c>
      <c r="AR136" s="12" t="str">
        <f t="shared" si="3090"/>
        <v/>
      </c>
      <c r="AS136" s="12" t="str">
        <f t="shared" si="3091"/>
        <v/>
      </c>
      <c r="AT136" s="12" t="str">
        <f t="shared" si="3092"/>
        <v/>
      </c>
      <c r="AU136" s="12" t="str">
        <f t="shared" si="3093"/>
        <v/>
      </c>
      <c r="AV136" s="12" t="str">
        <f t="shared" ref="AS136:BC136" si="3096">IF(AV$3="","",AU136)</f>
        <v/>
      </c>
      <c r="AW136" s="12" t="str">
        <f t="shared" si="3096"/>
        <v/>
      </c>
      <c r="AX136" s="12" t="str">
        <f t="shared" si="3096"/>
        <v/>
      </c>
      <c r="AY136" s="12" t="str">
        <f t="shared" si="3096"/>
        <v/>
      </c>
      <c r="AZ136" s="12" t="str">
        <f t="shared" si="3096"/>
        <v/>
      </c>
      <c r="BA136" s="12" t="str">
        <f t="shared" si="3096"/>
        <v/>
      </c>
      <c r="BB136" s="12" t="str">
        <f t="shared" si="3096"/>
        <v/>
      </c>
      <c r="BC136" s="12" t="str">
        <f t="shared" si="3096"/>
        <v/>
      </c>
    </row>
    <row r="137" spans="1:55" ht="11.25" customHeight="1" x14ac:dyDescent="0.25">
      <c r="A137" s="24">
        <v>3</v>
      </c>
      <c r="B137" s="11" t="s">
        <v>5</v>
      </c>
      <c r="C137" s="123">
        <v>27</v>
      </c>
      <c r="D137" s="12">
        <f t="shared" ref="D137" si="3097">IF(D135="","",(C137+C138))</f>
        <v>27</v>
      </c>
      <c r="E137" s="12">
        <f t="shared" ref="E137" si="3098">IF(E135="","",(D137+D138))</f>
        <v>27</v>
      </c>
      <c r="F137" s="12">
        <v>25</v>
      </c>
      <c r="G137" s="195">
        <f t="shared" ref="G137" si="3099">IF(G135="","",(F137+F138))</f>
        <v>25</v>
      </c>
      <c r="H137" s="12">
        <f t="shared" ref="H137" si="3100">IF(H135="","",(G137+G138))</f>
        <v>25</v>
      </c>
      <c r="I137" s="12">
        <f t="shared" ref="I137" si="3101">IF(I135="","",(H137+H138))</f>
        <v>25</v>
      </c>
      <c r="J137" s="195">
        <f t="shared" ref="J137" si="3102">IF(J135="","",(I137+I138))</f>
        <v>25</v>
      </c>
      <c r="K137" s="12">
        <f t="shared" ref="K137" si="3103">IF(K135="","",(J137+J138))</f>
        <v>25</v>
      </c>
      <c r="L137" s="12">
        <f t="shared" ref="L137" si="3104">IF(L135="","",(K137+K138))</f>
        <v>25</v>
      </c>
      <c r="M137" s="12">
        <f t="shared" ref="M137" si="3105">IF(M135="","",(L137+L138))</f>
        <v>25</v>
      </c>
      <c r="N137" s="195" t="str">
        <f t="shared" ref="N137" si="3106">IF(N135="","",(M137+M138))</f>
        <v/>
      </c>
      <c r="O137" s="12" t="str">
        <f t="shared" ref="O137" si="3107">IF(O135="","",(N137+N138))</f>
        <v/>
      </c>
      <c r="P137" s="12" t="str">
        <f t="shared" ref="P137" si="3108">IF(P135="","",(O137+O138))</f>
        <v/>
      </c>
      <c r="Q137" s="12" t="str">
        <f t="shared" ref="Q137" si="3109">IF(Q135="","",(P137+P138))</f>
        <v/>
      </c>
      <c r="R137" s="12" t="str">
        <f t="shared" ref="R137" si="3110">IF(R135="","",(Q137+Q138))</f>
        <v/>
      </c>
      <c r="S137" s="12" t="str">
        <f t="shared" ref="S137" si="3111">IF(S135="","",(R137+R138))</f>
        <v/>
      </c>
      <c r="T137" s="12" t="str">
        <f t="shared" ref="T137" si="3112">IF(T135="","",(S137+S138))</f>
        <v/>
      </c>
      <c r="U137" s="12" t="str">
        <f t="shared" ref="U137" si="3113">IF(U135="","",(T137+T138))</f>
        <v/>
      </c>
      <c r="V137" s="12" t="str">
        <f t="shared" ref="V137" si="3114">IF(V135="","",(U137+U138))</f>
        <v/>
      </c>
      <c r="W137" s="12" t="str">
        <f t="shared" ref="W137" si="3115">IF(W135="","",(V137+V138))</f>
        <v/>
      </c>
      <c r="X137" s="12" t="str">
        <f t="shared" ref="X137" si="3116">IF(X135="","",(W137+W138))</f>
        <v/>
      </c>
      <c r="Y137" s="12" t="str">
        <f t="shared" ref="Y137" si="3117">IF(Y135="","",(X137+X138))</f>
        <v/>
      </c>
      <c r="Z137" s="12" t="str">
        <f t="shared" ref="Z137" si="3118">IF(Z135="","",(Y137+Y138))</f>
        <v/>
      </c>
      <c r="AA137" s="12" t="str">
        <f t="shared" ref="AA137" si="3119">IF(AA135="","",(Z137+Z138))</f>
        <v/>
      </c>
      <c r="AB137" s="12" t="str">
        <f t="shared" ref="AB137" si="3120">IF(AB135="","",(AA137+AA138))</f>
        <v/>
      </c>
      <c r="AC137" s="12" t="str">
        <f t="shared" ref="AC137" si="3121">IF(AC135="","",(AB137+AB138))</f>
        <v/>
      </c>
      <c r="AD137" s="12" t="str">
        <f t="shared" ref="AD137" si="3122">IF(AD135="","",(AC137+AC138))</f>
        <v/>
      </c>
      <c r="AE137" s="12" t="str">
        <f t="shared" ref="AE137" si="3123">IF(AE135="","",(AD137+AD138))</f>
        <v/>
      </c>
      <c r="AF137" s="12" t="str">
        <f t="shared" ref="AF137" si="3124">IF(AF135="","",(AE137+AE138))</f>
        <v/>
      </c>
      <c r="AG137" s="12" t="str">
        <f t="shared" ref="AG137" si="3125">IF(AG135="","",(AF137+AF138))</f>
        <v/>
      </c>
      <c r="AH137" s="12" t="str">
        <f t="shared" ref="AH137" si="3126">IF(AH135="","",(AG137+AG138))</f>
        <v/>
      </c>
      <c r="AI137" s="12" t="str">
        <f t="shared" ref="AI137" si="3127">IF(AI135="","",(AH137+AH138))</f>
        <v/>
      </c>
      <c r="AJ137" s="12" t="str">
        <f t="shared" ref="AJ137" si="3128">IF(AJ135="","",(AI137+AI138))</f>
        <v/>
      </c>
      <c r="AK137" s="12" t="str">
        <f t="shared" ref="AK137" si="3129">IF(AK135="","",(AJ137+AJ138))</f>
        <v/>
      </c>
      <c r="AL137" s="12" t="str">
        <f t="shared" ref="AL137" si="3130">IF(AL135="","",(AK137+AK138))</f>
        <v/>
      </c>
      <c r="AM137" s="12" t="str">
        <f t="shared" ref="AM137" si="3131">IF(AM135="","",(AL137+AL138))</f>
        <v/>
      </c>
      <c r="AN137" s="12" t="str">
        <f t="shared" ref="AN137" si="3132">IF(AN135="","",(AM137+AM138))</f>
        <v/>
      </c>
      <c r="AO137" s="12" t="str">
        <f t="shared" ref="AO137" si="3133">IF(AO135="","",(AN137+AN138))</f>
        <v/>
      </c>
      <c r="AP137" s="12" t="str">
        <f t="shared" ref="AP137" si="3134">IF(AP135="","",(AO137+AO138))</f>
        <v/>
      </c>
      <c r="AQ137" s="12" t="str">
        <f t="shared" ref="AQ137" si="3135">IF(AQ135="","",(AP137+AP138))</f>
        <v/>
      </c>
      <c r="AR137" s="12" t="str">
        <f t="shared" ref="AR137" si="3136">IF(AR135="","",(AQ137+AQ138))</f>
        <v/>
      </c>
      <c r="AS137" s="12" t="str">
        <f t="shared" ref="AS137" si="3137">IF(AS135="","",(AR137+AR138))</f>
        <v/>
      </c>
      <c r="AT137" s="12" t="str">
        <f t="shared" ref="AT137" si="3138">IF(AT135="","",(AS137+AS138))</f>
        <v/>
      </c>
      <c r="AU137" s="12" t="str">
        <f t="shared" ref="AU137" si="3139">IF(AU135="","",(AT137+AT138))</f>
        <v/>
      </c>
      <c r="AV137" s="12" t="str">
        <f t="shared" ref="AS137:BC137" si="3140">IF(AV135="","",(AU137+AU138))</f>
        <v/>
      </c>
      <c r="AW137" s="12" t="str">
        <f t="shared" si="3140"/>
        <v/>
      </c>
      <c r="AX137" s="12" t="str">
        <f t="shared" si="3140"/>
        <v/>
      </c>
      <c r="AY137" s="12" t="str">
        <f t="shared" si="3140"/>
        <v/>
      </c>
      <c r="AZ137" s="12" t="str">
        <f t="shared" si="3140"/>
        <v/>
      </c>
      <c r="BA137" s="12" t="str">
        <f t="shared" si="3140"/>
        <v/>
      </c>
      <c r="BB137" s="12" t="str">
        <f t="shared" si="3140"/>
        <v/>
      </c>
      <c r="BC137" s="12" t="str">
        <f t="shared" si="3140"/>
        <v/>
      </c>
    </row>
    <row r="138" spans="1:55" ht="11.25" customHeight="1" x14ac:dyDescent="0.2">
      <c r="A138" s="14"/>
      <c r="B138" s="11" t="s">
        <v>6</v>
      </c>
      <c r="C138" s="123"/>
      <c r="D138" s="12"/>
      <c r="E138" s="12"/>
      <c r="F138" s="12"/>
      <c r="G138" s="195"/>
      <c r="H138" s="12"/>
      <c r="I138" s="12"/>
      <c r="J138" s="195"/>
      <c r="K138" s="12"/>
      <c r="L138" s="12"/>
      <c r="M138" s="12"/>
      <c r="N138" s="195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</row>
    <row r="139" spans="1:55" ht="11.25" customHeight="1" x14ac:dyDescent="0.2">
      <c r="A139" s="15"/>
      <c r="B139" s="11" t="s">
        <v>8</v>
      </c>
      <c r="C139" s="129">
        <v>770</v>
      </c>
      <c r="D139" s="16">
        <f t="shared" ref="D139" si="3141">IF(D135="","",C139)</f>
        <v>770</v>
      </c>
      <c r="E139" s="16">
        <f t="shared" ref="E139" si="3142">IF(E135="","",D139)</f>
        <v>770</v>
      </c>
      <c r="F139" s="16">
        <f t="shared" ref="F139" si="3143">IF(F135="","",E139)</f>
        <v>770</v>
      </c>
      <c r="G139" s="196">
        <f t="shared" ref="G139" si="3144">IF(G135="","",F139)</f>
        <v>770</v>
      </c>
      <c r="H139" s="16">
        <f t="shared" ref="H139" si="3145">IF(H135="","",G139)</f>
        <v>770</v>
      </c>
      <c r="I139" s="16">
        <f t="shared" ref="I139" si="3146">IF(I135="","",H139)</f>
        <v>770</v>
      </c>
      <c r="J139" s="196">
        <f t="shared" ref="J139" si="3147">IF(J135="","",I139)</f>
        <v>770</v>
      </c>
      <c r="K139" s="16">
        <f t="shared" ref="K139" si="3148">IF(K135="","",J139)</f>
        <v>770</v>
      </c>
      <c r="L139" s="16">
        <f t="shared" ref="L139" si="3149">IF(L135="","",K139)</f>
        <v>770</v>
      </c>
      <c r="M139" s="16">
        <f t="shared" ref="M139" si="3150">IF(M135="","",L139)</f>
        <v>770</v>
      </c>
      <c r="N139" s="196" t="str">
        <f t="shared" ref="N139" si="3151">IF(N135="","",M139)</f>
        <v/>
      </c>
      <c r="O139" s="16" t="str">
        <f t="shared" ref="O139" si="3152">IF(O135="","",N139)</f>
        <v/>
      </c>
      <c r="P139" s="16" t="str">
        <f t="shared" ref="P139" si="3153">IF(P135="","",O139)</f>
        <v/>
      </c>
      <c r="Q139" s="16" t="str">
        <f t="shared" ref="Q139" si="3154">IF(Q135="","",P139)</f>
        <v/>
      </c>
      <c r="R139" s="16" t="str">
        <f t="shared" ref="R139" si="3155">IF(R135="","",Q139)</f>
        <v/>
      </c>
      <c r="S139" s="16" t="str">
        <f t="shared" ref="S139" si="3156">IF(S135="","",R139)</f>
        <v/>
      </c>
      <c r="T139" s="16" t="str">
        <f t="shared" ref="T139" si="3157">IF(T135="","",S139)</f>
        <v/>
      </c>
      <c r="U139" s="16" t="str">
        <f t="shared" ref="U139" si="3158">IF(U135="","",T139)</f>
        <v/>
      </c>
      <c r="V139" s="16" t="str">
        <f t="shared" ref="V139" si="3159">IF(V135="","",U139)</f>
        <v/>
      </c>
      <c r="W139" s="16" t="str">
        <f t="shared" ref="W139" si="3160">IF(W135="","",V139)</f>
        <v/>
      </c>
      <c r="X139" s="16" t="str">
        <f t="shared" ref="X139" si="3161">IF(X135="","",W139)</f>
        <v/>
      </c>
      <c r="Y139" s="16" t="str">
        <f t="shared" ref="Y139" si="3162">IF(Y135="","",X139)</f>
        <v/>
      </c>
      <c r="Z139" s="16" t="str">
        <f t="shared" ref="Z139" si="3163">IF(Z135="","",Y139)</f>
        <v/>
      </c>
      <c r="AA139" s="16" t="str">
        <f t="shared" ref="AA139" si="3164">IF(AA135="","",Z139)</f>
        <v/>
      </c>
      <c r="AB139" s="16" t="str">
        <f t="shared" ref="AB139" si="3165">IF(AB135="","",AA139)</f>
        <v/>
      </c>
      <c r="AC139" s="16" t="str">
        <f t="shared" ref="AC139" si="3166">IF(AC135="","",AB139)</f>
        <v/>
      </c>
      <c r="AD139" s="16" t="str">
        <f t="shared" ref="AD139" si="3167">IF(AD135="","",AC139)</f>
        <v/>
      </c>
      <c r="AE139" s="16" t="str">
        <f t="shared" ref="AE139" si="3168">IF(AE135="","",AD139)</f>
        <v/>
      </c>
      <c r="AF139" s="16" t="str">
        <f t="shared" ref="AF139" si="3169">IF(AF135="","",AE139)</f>
        <v/>
      </c>
      <c r="AG139" s="16" t="str">
        <f t="shared" ref="AG139" si="3170">IF(AG135="","",AF139)</f>
        <v/>
      </c>
      <c r="AH139" s="16" t="str">
        <f t="shared" ref="AH139" si="3171">IF(AH135="","",AG139)</f>
        <v/>
      </c>
      <c r="AI139" s="16" t="str">
        <f t="shared" ref="AI139" si="3172">IF(AI135="","",AH139)</f>
        <v/>
      </c>
      <c r="AJ139" s="16" t="str">
        <f t="shared" ref="AJ139" si="3173">IF(AJ135="","",AI139)</f>
        <v/>
      </c>
      <c r="AK139" s="16" t="str">
        <f t="shared" ref="AK139" si="3174">IF(AK135="","",AJ139)</f>
        <v/>
      </c>
      <c r="AL139" s="16" t="str">
        <f t="shared" ref="AL139" si="3175">IF(AL135="","",AK139)</f>
        <v/>
      </c>
      <c r="AM139" s="16" t="str">
        <f t="shared" ref="AM139" si="3176">IF(AM135="","",AL139)</f>
        <v/>
      </c>
      <c r="AN139" s="16" t="str">
        <f t="shared" ref="AN139" si="3177">IF(AN135="","",AM139)</f>
        <v/>
      </c>
      <c r="AO139" s="16" t="str">
        <f t="shared" ref="AO139" si="3178">IF(AO135="","",AN139)</f>
        <v/>
      </c>
      <c r="AP139" s="16" t="str">
        <f t="shared" ref="AP139" si="3179">IF(AP135="","",AO139)</f>
        <v/>
      </c>
      <c r="AQ139" s="16" t="str">
        <f t="shared" ref="AQ139" si="3180">IF(AQ135="","",AP139)</f>
        <v/>
      </c>
      <c r="AR139" s="16" t="str">
        <f t="shared" ref="AR139" si="3181">IF(AR135="","",AQ139)</f>
        <v/>
      </c>
      <c r="AS139" s="16" t="str">
        <f t="shared" ref="AS139" si="3182">IF(AS135="","",AR139)</f>
        <v/>
      </c>
      <c r="AT139" s="16" t="str">
        <f t="shared" ref="AT139" si="3183">IF(AT135="","",AS139)</f>
        <v/>
      </c>
      <c r="AU139" s="16" t="str">
        <f t="shared" ref="AU139" si="3184">IF(AU135="","",AT139)</f>
        <v/>
      </c>
      <c r="AV139" s="16" t="str">
        <f t="shared" ref="AS139:BC139" si="3185">IF(AV135="","",AU139)</f>
        <v/>
      </c>
      <c r="AW139" s="16" t="str">
        <f t="shared" si="3185"/>
        <v/>
      </c>
      <c r="AX139" s="16" t="str">
        <f t="shared" si="3185"/>
        <v/>
      </c>
      <c r="AY139" s="16" t="str">
        <f t="shared" si="3185"/>
        <v/>
      </c>
      <c r="AZ139" s="16" t="str">
        <f t="shared" si="3185"/>
        <v/>
      </c>
      <c r="BA139" s="16" t="str">
        <f t="shared" si="3185"/>
        <v/>
      </c>
      <c r="BB139" s="16" t="str">
        <f t="shared" si="3185"/>
        <v/>
      </c>
      <c r="BC139" s="16" t="str">
        <f t="shared" si="3185"/>
        <v/>
      </c>
    </row>
    <row r="140" spans="1:55" ht="11.25" customHeight="1" x14ac:dyDescent="0.2">
      <c r="A140" s="14" t="s">
        <v>9</v>
      </c>
      <c r="B140" s="17" t="s">
        <v>10</v>
      </c>
      <c r="C140" s="133" t="s">
        <v>246</v>
      </c>
      <c r="D140" s="18" t="str">
        <f t="shared" ref="D140" si="3186">IF(D135="","",C140)</f>
        <v>たまごっちミニチュアポシェット</v>
      </c>
      <c r="E140" s="18" t="str">
        <f t="shared" ref="E140" si="3187">IF(E135="","",D140)</f>
        <v>たまごっちミニチュアポシェット</v>
      </c>
      <c r="F140" s="18" t="str">
        <f t="shared" ref="F140" si="3188">IF(F135="","",E140)</f>
        <v>たまごっちミニチュアポシェット</v>
      </c>
      <c r="G140" s="197" t="str">
        <f t="shared" ref="G140" si="3189">IF(G135="","",F140)</f>
        <v>たまごっちミニチュアポシェット</v>
      </c>
      <c r="H140" s="18" t="str">
        <f t="shared" ref="H140" si="3190">IF(H135="","",G140)</f>
        <v>たまごっちミニチュアポシェット</v>
      </c>
      <c r="I140" s="18" t="str">
        <f t="shared" ref="I140" si="3191">IF(I135="","",H140)</f>
        <v>たまごっちミニチュアポシェット</v>
      </c>
      <c r="J140" s="197" t="str">
        <f t="shared" ref="J140" si="3192">IF(J135="","",I140)</f>
        <v>たまごっちミニチュアポシェット</v>
      </c>
      <c r="K140" s="18" t="str">
        <f t="shared" ref="K140" si="3193">IF(K135="","",J140)</f>
        <v>たまごっちミニチュアポシェット</v>
      </c>
      <c r="L140" s="18" t="str">
        <f t="shared" ref="L140" si="3194">IF(L135="","",K140)</f>
        <v>たまごっちミニチュアポシェット</v>
      </c>
      <c r="M140" s="18" t="str">
        <f t="shared" ref="M140" si="3195">IF(M135="","",L140)</f>
        <v>たまごっちミニチュアポシェット</v>
      </c>
      <c r="N140" s="197" t="str">
        <f t="shared" ref="N140" si="3196">IF(N135="","",M140)</f>
        <v/>
      </c>
      <c r="O140" s="18" t="str">
        <f t="shared" ref="O140" si="3197">IF(O135="","",N140)</f>
        <v/>
      </c>
      <c r="P140" s="18" t="str">
        <f t="shared" ref="P140" si="3198">IF(P135="","",O140)</f>
        <v/>
      </c>
      <c r="Q140" s="18" t="str">
        <f t="shared" ref="Q140" si="3199">IF(Q135="","",P140)</f>
        <v/>
      </c>
      <c r="R140" s="18" t="str">
        <f t="shared" ref="R140" si="3200">IF(R135="","",Q140)</f>
        <v/>
      </c>
      <c r="S140" s="18" t="str">
        <f t="shared" ref="S140" si="3201">IF(S135="","",R140)</f>
        <v/>
      </c>
      <c r="T140" s="18" t="str">
        <f t="shared" ref="T140" si="3202">IF(T135="","",S140)</f>
        <v/>
      </c>
      <c r="U140" s="18" t="str">
        <f t="shared" ref="U140" si="3203">IF(U135="","",T140)</f>
        <v/>
      </c>
      <c r="V140" s="18" t="str">
        <f t="shared" ref="V140" si="3204">IF(V135="","",U140)</f>
        <v/>
      </c>
      <c r="W140" s="18" t="str">
        <f t="shared" ref="W140" si="3205">IF(W135="","",V140)</f>
        <v/>
      </c>
      <c r="X140" s="18" t="str">
        <f t="shared" ref="X140" si="3206">IF(X135="","",W140)</f>
        <v/>
      </c>
      <c r="Y140" s="18" t="str">
        <f t="shared" ref="Y140" si="3207">IF(Y135="","",X140)</f>
        <v/>
      </c>
      <c r="Z140" s="18" t="str">
        <f t="shared" ref="Z140" si="3208">IF(Z135="","",Y140)</f>
        <v/>
      </c>
      <c r="AA140" s="18" t="str">
        <f t="shared" ref="AA140" si="3209">IF(AA135="","",Z140)</f>
        <v/>
      </c>
      <c r="AB140" s="18" t="str">
        <f t="shared" ref="AB140" si="3210">IF(AB135="","",AA140)</f>
        <v/>
      </c>
      <c r="AC140" s="18" t="str">
        <f t="shared" ref="AC140" si="3211">IF(AC135="","",AB140)</f>
        <v/>
      </c>
      <c r="AD140" s="18" t="str">
        <f t="shared" ref="AD140" si="3212">IF(AD135="","",AC140)</f>
        <v/>
      </c>
      <c r="AE140" s="18" t="str">
        <f t="shared" ref="AE140" si="3213">IF(AE135="","",AD140)</f>
        <v/>
      </c>
      <c r="AF140" s="18" t="str">
        <f t="shared" ref="AF140" si="3214">IF(AF135="","",AE140)</f>
        <v/>
      </c>
      <c r="AG140" s="18" t="str">
        <f t="shared" ref="AG140" si="3215">IF(AG135="","",AF140)</f>
        <v/>
      </c>
      <c r="AH140" s="18" t="str">
        <f t="shared" ref="AH140" si="3216">IF(AH135="","",AG140)</f>
        <v/>
      </c>
      <c r="AI140" s="18" t="str">
        <f t="shared" ref="AI140" si="3217">IF(AI135="","",AH140)</f>
        <v/>
      </c>
      <c r="AJ140" s="18" t="str">
        <f t="shared" ref="AJ140" si="3218">IF(AJ135="","",AI140)</f>
        <v/>
      </c>
      <c r="AK140" s="18" t="str">
        <f t="shared" ref="AK140" si="3219">IF(AK135="","",AJ140)</f>
        <v/>
      </c>
      <c r="AL140" s="18" t="str">
        <f t="shared" ref="AL140" si="3220">IF(AL135="","",AK140)</f>
        <v/>
      </c>
      <c r="AM140" s="18" t="str">
        <f t="shared" ref="AM140" si="3221">IF(AM135="","",AL140)</f>
        <v/>
      </c>
      <c r="AN140" s="18" t="str">
        <f t="shared" ref="AN140" si="3222">IF(AN135="","",AM140)</f>
        <v/>
      </c>
      <c r="AO140" s="18" t="str">
        <f t="shared" ref="AO140" si="3223">IF(AO135="","",AN140)</f>
        <v/>
      </c>
      <c r="AP140" s="18" t="str">
        <f t="shared" ref="AP140" si="3224">IF(AP135="","",AO140)</f>
        <v/>
      </c>
      <c r="AQ140" s="18" t="str">
        <f t="shared" ref="AQ140" si="3225">IF(AQ135="","",AP140)</f>
        <v/>
      </c>
      <c r="AR140" s="18" t="str">
        <f t="shared" ref="AR140" si="3226">IF(AR135="","",AQ140)</f>
        <v/>
      </c>
      <c r="AS140" s="18" t="str">
        <f t="shared" ref="AS140" si="3227">IF(AS135="","",AR140)</f>
        <v/>
      </c>
      <c r="AT140" s="18" t="str">
        <f t="shared" ref="AT140" si="3228">IF(AT135="","",AS140)</f>
        <v/>
      </c>
      <c r="AU140" s="18" t="str">
        <f t="shared" ref="AU140" si="3229">IF(AU135="","",AT140)</f>
        <v/>
      </c>
      <c r="AV140" s="18" t="str">
        <f t="shared" ref="AS140:BC140" si="3230">IF(AV135="","",AU140)</f>
        <v/>
      </c>
      <c r="AW140" s="18" t="str">
        <f t="shared" si="3230"/>
        <v/>
      </c>
      <c r="AX140" s="18" t="str">
        <f t="shared" si="3230"/>
        <v/>
      </c>
      <c r="AY140" s="18" t="str">
        <f t="shared" si="3230"/>
        <v/>
      </c>
      <c r="AZ140" s="18" t="str">
        <f t="shared" si="3230"/>
        <v/>
      </c>
      <c r="BA140" s="18" t="str">
        <f t="shared" si="3230"/>
        <v/>
      </c>
      <c r="BB140" s="18" t="str">
        <f t="shared" si="3230"/>
        <v/>
      </c>
      <c r="BC140" s="18" t="str">
        <f t="shared" si="3230"/>
        <v/>
      </c>
    </row>
    <row r="141" spans="1:55" ht="11.25" customHeight="1" x14ac:dyDescent="0.2">
      <c r="A141" s="15">
        <f>AVERAGE(C142:AS142)*30*100</f>
        <v>31363.636363636364</v>
      </c>
      <c r="B141" s="11" t="s">
        <v>12</v>
      </c>
      <c r="C141" s="123"/>
      <c r="D141" s="12"/>
      <c r="E141" s="12"/>
      <c r="F141" s="12"/>
      <c r="G141" s="195"/>
      <c r="H141" s="12"/>
      <c r="I141" s="12"/>
      <c r="J141" s="195"/>
      <c r="K141" s="12"/>
      <c r="L141" s="12"/>
      <c r="M141" s="12"/>
      <c r="N141" s="195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</row>
    <row r="142" spans="1:55" ht="11.25" customHeight="1" x14ac:dyDescent="0.2">
      <c r="A142" s="15">
        <f t="shared" ref="A142:A145" si="3231">SUM(C142:AS142)</f>
        <v>115</v>
      </c>
      <c r="B142" s="19" t="s">
        <v>13</v>
      </c>
      <c r="C142" s="123">
        <v>0</v>
      </c>
      <c r="D142" s="20">
        <f t="shared" ref="D142:D143" si="3232">IF(D135="","",D135-C135)</f>
        <v>0</v>
      </c>
      <c r="E142" s="20">
        <f t="shared" ref="E142:E143" si="3233">IF(E135="","",E135-D135)</f>
        <v>0</v>
      </c>
      <c r="F142" s="20">
        <f t="shared" ref="F142:F143" si="3234">IF(F135="","",F135-E135)</f>
        <v>76</v>
      </c>
      <c r="G142" s="195">
        <f t="shared" ref="G142:G143" si="3235">IF(G135="","",G135-F135)</f>
        <v>0</v>
      </c>
      <c r="H142" s="20">
        <f t="shared" ref="H142:H143" si="3236">IF(H135="","",H135-G135)</f>
        <v>0</v>
      </c>
      <c r="I142" s="20">
        <f t="shared" ref="I142:I143" si="3237">IF(I135="","",I135-H135)</f>
        <v>39</v>
      </c>
      <c r="J142" s="195">
        <f t="shared" ref="J142:J143" si="3238">IF(J135="","",J135-I135)</f>
        <v>0</v>
      </c>
      <c r="K142" s="20">
        <f t="shared" ref="K142:K143" si="3239">IF(K135="","",K135-J135)</f>
        <v>0</v>
      </c>
      <c r="L142" s="20">
        <f t="shared" ref="L142:L143" si="3240">IF(L135="","",L135-K135)</f>
        <v>0</v>
      </c>
      <c r="M142" s="20">
        <f t="shared" ref="M142:M143" si="3241">IF(M135="","",M135-L135)</f>
        <v>0</v>
      </c>
      <c r="N142" s="195" t="str">
        <f t="shared" ref="N142:N143" si="3242">IF(N135="","",N135-M135)</f>
        <v/>
      </c>
      <c r="O142" s="20" t="str">
        <f t="shared" ref="O142:O143" si="3243">IF(O135="","",O135-N135)</f>
        <v/>
      </c>
      <c r="P142" s="20" t="str">
        <f t="shared" ref="P142:P143" si="3244">IF(P135="","",P135-O135)</f>
        <v/>
      </c>
      <c r="Q142" s="20" t="str">
        <f t="shared" ref="Q142:Q143" si="3245">IF(Q135="","",Q135-P135)</f>
        <v/>
      </c>
      <c r="R142" s="20" t="str">
        <f t="shared" ref="R142:R143" si="3246">IF(R135="","",R135-Q135)</f>
        <v/>
      </c>
      <c r="S142" s="20" t="str">
        <f t="shared" ref="S142:S143" si="3247">IF(S135="","",S135-R135)</f>
        <v/>
      </c>
      <c r="T142" s="20" t="str">
        <f t="shared" ref="T142:T143" si="3248">IF(T135="","",T135-S135)</f>
        <v/>
      </c>
      <c r="U142" s="20" t="str">
        <f t="shared" ref="U142:U143" si="3249">IF(U135="","",U135-T135)</f>
        <v/>
      </c>
      <c r="V142" s="20" t="str">
        <f t="shared" ref="V142:V143" si="3250">IF(V135="","",V135-U135)</f>
        <v/>
      </c>
      <c r="W142" s="20" t="str">
        <f t="shared" ref="W142:W143" si="3251">IF(W135="","",W135-V135)</f>
        <v/>
      </c>
      <c r="X142" s="20" t="str">
        <f t="shared" ref="X142:X143" si="3252">IF(X135="","",X135-W135)</f>
        <v/>
      </c>
      <c r="Y142" s="20" t="str">
        <f t="shared" ref="Y142:Y143" si="3253">IF(Y135="","",Y135-X135)</f>
        <v/>
      </c>
      <c r="Z142" s="20" t="str">
        <f t="shared" ref="Z142:Z143" si="3254">IF(Z135="","",Z135-Y135)</f>
        <v/>
      </c>
      <c r="AA142" s="20" t="str">
        <f t="shared" ref="AA142:AA143" si="3255">IF(AA135="","",AA135-Z135)</f>
        <v/>
      </c>
      <c r="AB142" s="20" t="str">
        <f t="shared" ref="AB142:AB143" si="3256">IF(AB135="","",AB135-AA135)</f>
        <v/>
      </c>
      <c r="AC142" s="20" t="str">
        <f t="shared" ref="AC142:AC143" si="3257">IF(AC135="","",AC135-AB135)</f>
        <v/>
      </c>
      <c r="AD142" s="20" t="str">
        <f t="shared" ref="AD142:AD143" si="3258">IF(AD135="","",AD135-AC135)</f>
        <v/>
      </c>
      <c r="AE142" s="20" t="str">
        <f t="shared" ref="AE142:AE143" si="3259">IF(AE135="","",AE135-AD135)</f>
        <v/>
      </c>
      <c r="AF142" s="20" t="str">
        <f t="shared" ref="AF142:AF143" si="3260">IF(AF135="","",AF135-AE135)</f>
        <v/>
      </c>
      <c r="AG142" s="20" t="str">
        <f t="shared" ref="AG142:AG143" si="3261">IF(AG135="","",AG135-AF135)</f>
        <v/>
      </c>
      <c r="AH142" s="20" t="str">
        <f t="shared" ref="AH142:AH143" si="3262">IF(AH135="","",AH135-AG135)</f>
        <v/>
      </c>
      <c r="AI142" s="20" t="str">
        <f t="shared" ref="AI142:AI143" si="3263">IF(AI135="","",AI135-AH135)</f>
        <v/>
      </c>
      <c r="AJ142" s="20" t="str">
        <f t="shared" ref="AJ142:AJ143" si="3264">IF(AJ135="","",AJ135-AI135)</f>
        <v/>
      </c>
      <c r="AK142" s="20" t="str">
        <f t="shared" ref="AK142:AK143" si="3265">IF(AK135="","",AK135-AJ135)</f>
        <v/>
      </c>
      <c r="AL142" s="20" t="str">
        <f t="shared" ref="AL142:AL143" si="3266">IF(AL135="","",AL135-AK135)</f>
        <v/>
      </c>
      <c r="AM142" s="20" t="str">
        <f t="shared" ref="AM142:AM143" si="3267">IF(AM135="","",AM135-AL135)</f>
        <v/>
      </c>
      <c r="AN142" s="20" t="str">
        <f t="shared" ref="AN142:AN143" si="3268">IF(AN135="","",AN135-AM135)</f>
        <v/>
      </c>
      <c r="AO142" s="20" t="str">
        <f t="shared" ref="AO142:AO143" si="3269">IF(AO135="","",AO135-AN135)</f>
        <v/>
      </c>
      <c r="AP142" s="20" t="str">
        <f t="shared" ref="AP142:AP143" si="3270">IF(AP135="","",AP135-AO135)</f>
        <v/>
      </c>
      <c r="AQ142" s="20" t="str">
        <f t="shared" ref="AQ142:AQ143" si="3271">IF(AQ135="","",AQ135-AP135)</f>
        <v/>
      </c>
      <c r="AR142" s="20" t="str">
        <f t="shared" ref="AR142:AR143" si="3272">IF(AR135="","",AR135-AQ135)</f>
        <v/>
      </c>
      <c r="AS142" s="20" t="str">
        <f t="shared" ref="AS142:AS143" si="3273">IF(AS135="","",AS135-AR135)</f>
        <v/>
      </c>
      <c r="AT142" s="20" t="str">
        <f t="shared" ref="AT142:AT143" si="3274">IF(AT135="","",AT135-AS135)</f>
        <v/>
      </c>
      <c r="AU142" s="20" t="str">
        <f t="shared" ref="AU142:AU143" si="3275">IF(AU135="","",AU135-AT135)</f>
        <v/>
      </c>
      <c r="AV142" s="20" t="str">
        <f t="shared" ref="AS142:BC142" si="3276">IF(AV135="","",AV135-AU135)</f>
        <v/>
      </c>
      <c r="AW142" s="20" t="str">
        <f t="shared" si="3276"/>
        <v/>
      </c>
      <c r="AX142" s="20" t="str">
        <f t="shared" si="3276"/>
        <v/>
      </c>
      <c r="AY142" s="20" t="str">
        <f t="shared" si="3276"/>
        <v/>
      </c>
      <c r="AZ142" s="20" t="str">
        <f t="shared" si="3276"/>
        <v/>
      </c>
      <c r="BA142" s="20" t="str">
        <f t="shared" si="3276"/>
        <v/>
      </c>
      <c r="BB142" s="20" t="str">
        <f t="shared" si="3276"/>
        <v/>
      </c>
      <c r="BC142" s="20" t="str">
        <f t="shared" si="3276"/>
        <v/>
      </c>
    </row>
    <row r="143" spans="1:55" ht="11.25" customHeight="1" x14ac:dyDescent="0.2">
      <c r="A143" s="15">
        <f t="shared" si="3231"/>
        <v>2</v>
      </c>
      <c r="B143" s="19" t="s">
        <v>14</v>
      </c>
      <c r="C143" s="123">
        <v>0</v>
      </c>
      <c r="D143" s="20">
        <f t="shared" si="3232"/>
        <v>0</v>
      </c>
      <c r="E143" s="20">
        <f t="shared" si="3233"/>
        <v>0</v>
      </c>
      <c r="F143" s="20">
        <f t="shared" si="3234"/>
        <v>2</v>
      </c>
      <c r="G143" s="195">
        <f t="shared" si="3235"/>
        <v>0</v>
      </c>
      <c r="H143" s="20">
        <f t="shared" si="3236"/>
        <v>0</v>
      </c>
      <c r="I143" s="20">
        <f t="shared" si="3237"/>
        <v>0</v>
      </c>
      <c r="J143" s="195">
        <f t="shared" si="3238"/>
        <v>0</v>
      </c>
      <c r="K143" s="20">
        <f t="shared" si="3239"/>
        <v>0</v>
      </c>
      <c r="L143" s="20">
        <f t="shared" si="3240"/>
        <v>0</v>
      </c>
      <c r="M143" s="20">
        <f t="shared" si="3241"/>
        <v>0</v>
      </c>
      <c r="N143" s="195" t="str">
        <f t="shared" si="3242"/>
        <v/>
      </c>
      <c r="O143" s="20" t="str">
        <f t="shared" si="3243"/>
        <v/>
      </c>
      <c r="P143" s="20" t="str">
        <f t="shared" si="3244"/>
        <v/>
      </c>
      <c r="Q143" s="20" t="str">
        <f t="shared" si="3245"/>
        <v/>
      </c>
      <c r="R143" s="20" t="str">
        <f t="shared" si="3246"/>
        <v/>
      </c>
      <c r="S143" s="20" t="str">
        <f t="shared" si="3247"/>
        <v/>
      </c>
      <c r="T143" s="20" t="str">
        <f t="shared" si="3248"/>
        <v/>
      </c>
      <c r="U143" s="20" t="str">
        <f t="shared" si="3249"/>
        <v/>
      </c>
      <c r="V143" s="20" t="str">
        <f t="shared" si="3250"/>
        <v/>
      </c>
      <c r="W143" s="20" t="str">
        <f t="shared" si="3251"/>
        <v/>
      </c>
      <c r="X143" s="20" t="str">
        <f t="shared" si="3252"/>
        <v/>
      </c>
      <c r="Y143" s="20" t="str">
        <f t="shared" si="3253"/>
        <v/>
      </c>
      <c r="Z143" s="20" t="str">
        <f t="shared" si="3254"/>
        <v/>
      </c>
      <c r="AA143" s="20" t="str">
        <f t="shared" si="3255"/>
        <v/>
      </c>
      <c r="AB143" s="20" t="str">
        <f t="shared" si="3256"/>
        <v/>
      </c>
      <c r="AC143" s="20" t="str">
        <f t="shared" si="3257"/>
        <v/>
      </c>
      <c r="AD143" s="20" t="str">
        <f t="shared" si="3258"/>
        <v/>
      </c>
      <c r="AE143" s="20" t="str">
        <f t="shared" si="3259"/>
        <v/>
      </c>
      <c r="AF143" s="20" t="str">
        <f t="shared" si="3260"/>
        <v/>
      </c>
      <c r="AG143" s="20" t="str">
        <f t="shared" si="3261"/>
        <v/>
      </c>
      <c r="AH143" s="20" t="str">
        <f t="shared" si="3262"/>
        <v/>
      </c>
      <c r="AI143" s="20" t="str">
        <f t="shared" si="3263"/>
        <v/>
      </c>
      <c r="AJ143" s="20" t="str">
        <f t="shared" si="3264"/>
        <v/>
      </c>
      <c r="AK143" s="20" t="str">
        <f t="shared" si="3265"/>
        <v/>
      </c>
      <c r="AL143" s="20" t="str">
        <f t="shared" si="3266"/>
        <v/>
      </c>
      <c r="AM143" s="20" t="str">
        <f t="shared" si="3267"/>
        <v/>
      </c>
      <c r="AN143" s="20" t="str">
        <f t="shared" si="3268"/>
        <v/>
      </c>
      <c r="AO143" s="20" t="str">
        <f t="shared" si="3269"/>
        <v/>
      </c>
      <c r="AP143" s="20" t="str">
        <f t="shared" si="3270"/>
        <v/>
      </c>
      <c r="AQ143" s="20" t="str">
        <f t="shared" si="3271"/>
        <v/>
      </c>
      <c r="AR143" s="20" t="str">
        <f t="shared" si="3272"/>
        <v/>
      </c>
      <c r="AS143" s="20" t="str">
        <f t="shared" si="3273"/>
        <v/>
      </c>
      <c r="AT143" s="20" t="str">
        <f t="shared" si="3274"/>
        <v/>
      </c>
      <c r="AU143" s="20" t="str">
        <f t="shared" si="3275"/>
        <v/>
      </c>
      <c r="AV143" s="20" t="str">
        <f t="shared" ref="AS143:BC143" si="3277">IF(AV136="","",AV136-AU136)</f>
        <v/>
      </c>
      <c r="AW143" s="20" t="str">
        <f t="shared" si="3277"/>
        <v/>
      </c>
      <c r="AX143" s="20" t="str">
        <f t="shared" si="3277"/>
        <v/>
      </c>
      <c r="AY143" s="20" t="str">
        <f t="shared" si="3277"/>
        <v/>
      </c>
      <c r="AZ143" s="20" t="str">
        <f t="shared" si="3277"/>
        <v/>
      </c>
      <c r="BA143" s="20" t="str">
        <f t="shared" si="3277"/>
        <v/>
      </c>
      <c r="BB143" s="20" t="str">
        <f t="shared" si="3277"/>
        <v/>
      </c>
      <c r="BC143" s="20" t="str">
        <f t="shared" si="3277"/>
        <v/>
      </c>
    </row>
    <row r="144" spans="1:55" ht="11.25" customHeight="1" x14ac:dyDescent="0.2">
      <c r="A144" s="15">
        <f t="shared" si="3231"/>
        <v>2</v>
      </c>
      <c r="B144" s="19" t="s">
        <v>15</v>
      </c>
      <c r="C144" s="123">
        <v>0</v>
      </c>
      <c r="D144" s="20">
        <f t="shared" ref="D144" si="3278">IF(D137="","",C137+C138-D137)</f>
        <v>0</v>
      </c>
      <c r="E144" s="20">
        <f t="shared" ref="E144" si="3279">IF(E137="","",D137+D138-E137)</f>
        <v>0</v>
      </c>
      <c r="F144" s="20">
        <f t="shared" ref="F144" si="3280">IF(F137="","",E137+E138-F137)</f>
        <v>2</v>
      </c>
      <c r="G144" s="195">
        <f t="shared" ref="G144" si="3281">IF(G137="","",F137+F138-G137)</f>
        <v>0</v>
      </c>
      <c r="H144" s="20">
        <f t="shared" ref="H144" si="3282">IF(H137="","",G137+G138-H137)</f>
        <v>0</v>
      </c>
      <c r="I144" s="20">
        <f t="shared" ref="I144" si="3283">IF(I137="","",H137+H138-I137)</f>
        <v>0</v>
      </c>
      <c r="J144" s="195">
        <f t="shared" ref="J144" si="3284">IF(J137="","",I137+I138-J137)</f>
        <v>0</v>
      </c>
      <c r="K144" s="20">
        <f t="shared" ref="K144" si="3285">IF(K137="","",J137+J138-K137)</f>
        <v>0</v>
      </c>
      <c r="L144" s="20">
        <f t="shared" ref="L144" si="3286">IF(L137="","",K137+K138-L137)</f>
        <v>0</v>
      </c>
      <c r="M144" s="20">
        <f t="shared" ref="M144" si="3287">IF(M137="","",L137+L138-M137)</f>
        <v>0</v>
      </c>
      <c r="N144" s="195" t="str">
        <f t="shared" ref="N144" si="3288">IF(N137="","",M137+M138-N137)</f>
        <v/>
      </c>
      <c r="O144" s="20" t="str">
        <f t="shared" ref="O144" si="3289">IF(O137="","",N137+N138-O137)</f>
        <v/>
      </c>
      <c r="P144" s="20" t="str">
        <f t="shared" ref="P144" si="3290">IF(P137="","",O137+O138-P137)</f>
        <v/>
      </c>
      <c r="Q144" s="20" t="str">
        <f t="shared" ref="Q144" si="3291">IF(Q137="","",P137+P138-Q137)</f>
        <v/>
      </c>
      <c r="R144" s="20" t="str">
        <f t="shared" ref="R144" si="3292">IF(R137="","",Q137+Q138-R137)</f>
        <v/>
      </c>
      <c r="S144" s="20" t="str">
        <f t="shared" ref="S144" si="3293">IF(S137="","",R137+R138-S137)</f>
        <v/>
      </c>
      <c r="T144" s="20" t="str">
        <f t="shared" ref="T144" si="3294">IF(T137="","",S137+S138-T137)</f>
        <v/>
      </c>
      <c r="U144" s="20" t="str">
        <f t="shared" ref="U144" si="3295">IF(U137="","",T137+T138-U137)</f>
        <v/>
      </c>
      <c r="V144" s="20" t="str">
        <f t="shared" ref="V144" si="3296">IF(V137="","",U137+U138-V137)</f>
        <v/>
      </c>
      <c r="W144" s="20" t="str">
        <f t="shared" ref="W144" si="3297">IF(W137="","",V137+V138-W137)</f>
        <v/>
      </c>
      <c r="X144" s="20" t="str">
        <f t="shared" ref="X144" si="3298">IF(X137="","",W137+W138-X137)</f>
        <v/>
      </c>
      <c r="Y144" s="20" t="str">
        <f t="shared" ref="Y144" si="3299">IF(Y137="","",X137+X138-Y137)</f>
        <v/>
      </c>
      <c r="Z144" s="20" t="str">
        <f t="shared" ref="Z144" si="3300">IF(Z137="","",Y137+Y138-Z137)</f>
        <v/>
      </c>
      <c r="AA144" s="20" t="str">
        <f t="shared" ref="AA144" si="3301">IF(AA137="","",Z137+Z138-AA137)</f>
        <v/>
      </c>
      <c r="AB144" s="20" t="str">
        <f t="shared" ref="AB144" si="3302">IF(AB137="","",AA137+AA138-AB137)</f>
        <v/>
      </c>
      <c r="AC144" s="20" t="str">
        <f t="shared" ref="AC144" si="3303">IF(AC137="","",AB137+AB138-AC137)</f>
        <v/>
      </c>
      <c r="AD144" s="20" t="str">
        <f t="shared" ref="AD144" si="3304">IF(AD137="","",AC137+AC138-AD137)</f>
        <v/>
      </c>
      <c r="AE144" s="20" t="str">
        <f t="shared" ref="AE144" si="3305">IF(AE137="","",AD137+AD138-AE137)</f>
        <v/>
      </c>
      <c r="AF144" s="20" t="str">
        <f t="shared" ref="AF144" si="3306">IF(AF137="","",AE137+AE138-AF137)</f>
        <v/>
      </c>
      <c r="AG144" s="20" t="str">
        <f t="shared" ref="AG144" si="3307">IF(AG137="","",AF137+AF138-AG137)</f>
        <v/>
      </c>
      <c r="AH144" s="20" t="str">
        <f t="shared" ref="AH144" si="3308">IF(AH137="","",AG137+AG138-AH137)</f>
        <v/>
      </c>
      <c r="AI144" s="20" t="str">
        <f t="shared" ref="AI144" si="3309">IF(AI137="","",AH137+AH138-AI137)</f>
        <v/>
      </c>
      <c r="AJ144" s="20" t="str">
        <f t="shared" ref="AJ144" si="3310">IF(AJ137="","",AI137+AI138-AJ137)</f>
        <v/>
      </c>
      <c r="AK144" s="20" t="str">
        <f t="shared" ref="AK144" si="3311">IF(AK137="","",AJ137+AJ138-AK137)</f>
        <v/>
      </c>
      <c r="AL144" s="20" t="str">
        <f t="shared" ref="AL144" si="3312">IF(AL137="","",AK137+AK138-AL137)</f>
        <v/>
      </c>
      <c r="AM144" s="20" t="str">
        <f t="shared" ref="AM144" si="3313">IF(AM137="","",AL137+AL138-AM137)</f>
        <v/>
      </c>
      <c r="AN144" s="20" t="str">
        <f t="shared" ref="AN144" si="3314">IF(AN137="","",AM137+AM138-AN137)</f>
        <v/>
      </c>
      <c r="AO144" s="20" t="str">
        <f t="shared" ref="AO144" si="3315">IF(AO137="","",AN137+AN138-AO137)</f>
        <v/>
      </c>
      <c r="AP144" s="20" t="str">
        <f t="shared" ref="AP144" si="3316">IF(AP137="","",AO137+AO138-AP137)</f>
        <v/>
      </c>
      <c r="AQ144" s="20" t="str">
        <f t="shared" ref="AQ144" si="3317">IF(AQ137="","",AP137+AP138-AQ137)</f>
        <v/>
      </c>
      <c r="AR144" s="20" t="str">
        <f t="shared" ref="AR144" si="3318">IF(AR137="","",AQ137+AQ138-AR137)</f>
        <v/>
      </c>
      <c r="AS144" s="20" t="str">
        <f t="shared" ref="AS144" si="3319">IF(AS137="","",AR137+AR138-AS137)</f>
        <v/>
      </c>
      <c r="AT144" s="20" t="str">
        <f t="shared" ref="AT144" si="3320">IF(AT137="","",AS137+AS138-AT137)</f>
        <v/>
      </c>
      <c r="AU144" s="20" t="str">
        <f t="shared" ref="AU144" si="3321">IF(AU137="","",AT137+AT138-AU137)</f>
        <v/>
      </c>
      <c r="AV144" s="20" t="str">
        <f t="shared" ref="AS144:BC144" si="3322">IF(AV137="","",AU137+AU138-AV137)</f>
        <v/>
      </c>
      <c r="AW144" s="20" t="str">
        <f t="shared" si="3322"/>
        <v/>
      </c>
      <c r="AX144" s="20" t="str">
        <f t="shared" si="3322"/>
        <v/>
      </c>
      <c r="AY144" s="20" t="str">
        <f t="shared" si="3322"/>
        <v/>
      </c>
      <c r="AZ144" s="20" t="str">
        <f t="shared" si="3322"/>
        <v/>
      </c>
      <c r="BA144" s="20" t="str">
        <f t="shared" si="3322"/>
        <v/>
      </c>
      <c r="BB144" s="20" t="str">
        <f t="shared" si="3322"/>
        <v/>
      </c>
      <c r="BC144" s="20" t="str">
        <f t="shared" si="3322"/>
        <v/>
      </c>
    </row>
    <row r="145" spans="1:55" ht="11.25" customHeight="1" x14ac:dyDescent="0.2">
      <c r="A145" s="15">
        <f t="shared" si="3231"/>
        <v>1540</v>
      </c>
      <c r="B145" s="19" t="s">
        <v>16</v>
      </c>
      <c r="C145" s="123">
        <v>0</v>
      </c>
      <c r="D145" s="20">
        <f t="shared" ref="D145:AU145" si="3323">IF(D135="","",D144*D139)</f>
        <v>0</v>
      </c>
      <c r="E145" s="20">
        <f t="shared" si="3323"/>
        <v>0</v>
      </c>
      <c r="F145" s="20">
        <f t="shared" si="3323"/>
        <v>1540</v>
      </c>
      <c r="G145" s="195">
        <f t="shared" si="3323"/>
        <v>0</v>
      </c>
      <c r="H145" s="20">
        <f t="shared" si="3323"/>
        <v>0</v>
      </c>
      <c r="I145" s="20">
        <f t="shared" si="3323"/>
        <v>0</v>
      </c>
      <c r="J145" s="195">
        <f t="shared" si="3323"/>
        <v>0</v>
      </c>
      <c r="K145" s="20">
        <f t="shared" si="3323"/>
        <v>0</v>
      </c>
      <c r="L145" s="20">
        <f t="shared" si="3323"/>
        <v>0</v>
      </c>
      <c r="M145" s="20">
        <f t="shared" si="3323"/>
        <v>0</v>
      </c>
      <c r="N145" s="195" t="str">
        <f t="shared" si="3323"/>
        <v/>
      </c>
      <c r="O145" s="20" t="str">
        <f t="shared" si="3323"/>
        <v/>
      </c>
      <c r="P145" s="20" t="str">
        <f t="shared" si="3323"/>
        <v/>
      </c>
      <c r="Q145" s="20" t="str">
        <f t="shared" si="3323"/>
        <v/>
      </c>
      <c r="R145" s="20" t="str">
        <f t="shared" si="3323"/>
        <v/>
      </c>
      <c r="S145" s="20" t="str">
        <f t="shared" si="3323"/>
        <v/>
      </c>
      <c r="T145" s="20" t="str">
        <f t="shared" si="3323"/>
        <v/>
      </c>
      <c r="U145" s="20" t="str">
        <f t="shared" si="3323"/>
        <v/>
      </c>
      <c r="V145" s="20" t="str">
        <f t="shared" si="3323"/>
        <v/>
      </c>
      <c r="W145" s="20" t="str">
        <f t="shared" si="3323"/>
        <v/>
      </c>
      <c r="X145" s="20" t="str">
        <f t="shared" si="3323"/>
        <v/>
      </c>
      <c r="Y145" s="20" t="str">
        <f t="shared" si="3323"/>
        <v/>
      </c>
      <c r="Z145" s="20" t="str">
        <f t="shared" si="3323"/>
        <v/>
      </c>
      <c r="AA145" s="20" t="str">
        <f t="shared" si="3323"/>
        <v/>
      </c>
      <c r="AB145" s="20" t="str">
        <f t="shared" si="3323"/>
        <v/>
      </c>
      <c r="AC145" s="20" t="str">
        <f t="shared" si="3323"/>
        <v/>
      </c>
      <c r="AD145" s="20" t="str">
        <f t="shared" si="3323"/>
        <v/>
      </c>
      <c r="AE145" s="20" t="str">
        <f t="shared" si="3323"/>
        <v/>
      </c>
      <c r="AF145" s="20" t="str">
        <f t="shared" si="3323"/>
        <v/>
      </c>
      <c r="AG145" s="20" t="str">
        <f t="shared" si="3323"/>
        <v/>
      </c>
      <c r="AH145" s="20" t="str">
        <f t="shared" si="3323"/>
        <v/>
      </c>
      <c r="AI145" s="20" t="str">
        <f t="shared" si="3323"/>
        <v/>
      </c>
      <c r="AJ145" s="20" t="str">
        <f t="shared" si="3323"/>
        <v/>
      </c>
      <c r="AK145" s="20" t="str">
        <f t="shared" si="3323"/>
        <v/>
      </c>
      <c r="AL145" s="20" t="str">
        <f t="shared" si="3323"/>
        <v/>
      </c>
      <c r="AM145" s="20" t="str">
        <f t="shared" si="3323"/>
        <v/>
      </c>
      <c r="AN145" s="20" t="str">
        <f t="shared" si="3323"/>
        <v/>
      </c>
      <c r="AO145" s="20" t="str">
        <f t="shared" si="3323"/>
        <v/>
      </c>
      <c r="AP145" s="20" t="str">
        <f t="shared" si="3323"/>
        <v/>
      </c>
      <c r="AQ145" s="20" t="str">
        <f t="shared" si="3323"/>
        <v/>
      </c>
      <c r="AR145" s="20" t="str">
        <f t="shared" si="3323"/>
        <v/>
      </c>
      <c r="AS145" s="20" t="str">
        <f t="shared" si="3323"/>
        <v/>
      </c>
      <c r="AT145" s="20" t="str">
        <f t="shared" si="3323"/>
        <v/>
      </c>
      <c r="AU145" s="20" t="str">
        <f t="shared" si="3323"/>
        <v/>
      </c>
      <c r="AV145" s="20" t="str">
        <f t="shared" ref="AS145:BC145" si="3324">IF(AV135="","",AV144*AV139)</f>
        <v/>
      </c>
      <c r="AW145" s="20" t="str">
        <f t="shared" si="3324"/>
        <v/>
      </c>
      <c r="AX145" s="20" t="str">
        <f t="shared" si="3324"/>
        <v/>
      </c>
      <c r="AY145" s="20" t="str">
        <f t="shared" si="3324"/>
        <v/>
      </c>
      <c r="AZ145" s="20" t="str">
        <f t="shared" si="3324"/>
        <v/>
      </c>
      <c r="BA145" s="20" t="str">
        <f t="shared" si="3324"/>
        <v/>
      </c>
      <c r="BB145" s="20" t="str">
        <f t="shared" si="3324"/>
        <v/>
      </c>
      <c r="BC145" s="20" t="str">
        <f t="shared" si="3324"/>
        <v/>
      </c>
    </row>
    <row r="146" spans="1:55" ht="11.25" customHeight="1" x14ac:dyDescent="0.2">
      <c r="A146" s="21">
        <f>IF(A145="","",A145/(A142*100))</f>
        <v>0.13391304347826086</v>
      </c>
      <c r="B146" s="19" t="s">
        <v>17</v>
      </c>
      <c r="C146" s="146" t="s">
        <v>18</v>
      </c>
      <c r="D146" s="27" t="str">
        <f t="shared" ref="D146:AU146" si="3325">IF(D145="","",IF(D145=0,"",D145/(D142*100)))</f>
        <v/>
      </c>
      <c r="E146" s="27" t="str">
        <f t="shared" si="3325"/>
        <v/>
      </c>
      <c r="F146" s="27">
        <f t="shared" si="3325"/>
        <v>0.20263157894736841</v>
      </c>
      <c r="G146" s="199" t="str">
        <f t="shared" si="3325"/>
        <v/>
      </c>
      <c r="H146" s="27" t="str">
        <f t="shared" si="3325"/>
        <v/>
      </c>
      <c r="I146" s="27" t="str">
        <f t="shared" si="3325"/>
        <v/>
      </c>
      <c r="J146" s="199" t="str">
        <f t="shared" si="3325"/>
        <v/>
      </c>
      <c r="K146" s="27" t="str">
        <f t="shared" si="3325"/>
        <v/>
      </c>
      <c r="L146" s="27" t="str">
        <f t="shared" si="3325"/>
        <v/>
      </c>
      <c r="M146" s="27" t="str">
        <f t="shared" si="3325"/>
        <v/>
      </c>
      <c r="N146" s="199" t="str">
        <f t="shared" si="3325"/>
        <v/>
      </c>
      <c r="O146" s="27" t="str">
        <f t="shared" si="3325"/>
        <v/>
      </c>
      <c r="P146" s="27" t="str">
        <f t="shared" si="3325"/>
        <v/>
      </c>
      <c r="Q146" s="27" t="str">
        <f t="shared" si="3325"/>
        <v/>
      </c>
      <c r="R146" s="27" t="str">
        <f t="shared" si="3325"/>
        <v/>
      </c>
      <c r="S146" s="27" t="str">
        <f t="shared" si="3325"/>
        <v/>
      </c>
      <c r="T146" s="27" t="str">
        <f t="shared" si="3325"/>
        <v/>
      </c>
      <c r="U146" s="27" t="str">
        <f t="shared" si="3325"/>
        <v/>
      </c>
      <c r="V146" s="27" t="str">
        <f t="shared" si="3325"/>
        <v/>
      </c>
      <c r="W146" s="27" t="str">
        <f t="shared" si="3325"/>
        <v/>
      </c>
      <c r="X146" s="27" t="str">
        <f t="shared" si="3325"/>
        <v/>
      </c>
      <c r="Y146" s="27" t="str">
        <f t="shared" si="3325"/>
        <v/>
      </c>
      <c r="Z146" s="27" t="str">
        <f t="shared" si="3325"/>
        <v/>
      </c>
      <c r="AA146" s="27" t="str">
        <f t="shared" si="3325"/>
        <v/>
      </c>
      <c r="AB146" s="27" t="str">
        <f t="shared" si="3325"/>
        <v/>
      </c>
      <c r="AC146" s="27" t="str">
        <f t="shared" si="3325"/>
        <v/>
      </c>
      <c r="AD146" s="27" t="str">
        <f t="shared" si="3325"/>
        <v/>
      </c>
      <c r="AE146" s="27" t="str">
        <f t="shared" si="3325"/>
        <v/>
      </c>
      <c r="AF146" s="27" t="str">
        <f t="shared" si="3325"/>
        <v/>
      </c>
      <c r="AG146" s="27" t="str">
        <f t="shared" si="3325"/>
        <v/>
      </c>
      <c r="AH146" s="27" t="str">
        <f t="shared" si="3325"/>
        <v/>
      </c>
      <c r="AI146" s="27" t="str">
        <f t="shared" si="3325"/>
        <v/>
      </c>
      <c r="AJ146" s="27" t="str">
        <f t="shared" si="3325"/>
        <v/>
      </c>
      <c r="AK146" s="27" t="str">
        <f t="shared" si="3325"/>
        <v/>
      </c>
      <c r="AL146" s="27" t="str">
        <f t="shared" si="3325"/>
        <v/>
      </c>
      <c r="AM146" s="27" t="str">
        <f t="shared" si="3325"/>
        <v/>
      </c>
      <c r="AN146" s="27" t="str">
        <f t="shared" si="3325"/>
        <v/>
      </c>
      <c r="AO146" s="27" t="str">
        <f t="shared" si="3325"/>
        <v/>
      </c>
      <c r="AP146" s="27" t="str">
        <f t="shared" si="3325"/>
        <v/>
      </c>
      <c r="AQ146" s="27" t="str">
        <f t="shared" si="3325"/>
        <v/>
      </c>
      <c r="AR146" s="27" t="str">
        <f t="shared" si="3325"/>
        <v/>
      </c>
      <c r="AS146" s="27" t="str">
        <f t="shared" si="3325"/>
        <v/>
      </c>
      <c r="AT146" s="27" t="str">
        <f t="shared" si="3325"/>
        <v/>
      </c>
      <c r="AU146" s="27" t="str">
        <f t="shared" si="3325"/>
        <v/>
      </c>
      <c r="AV146" s="27" t="str">
        <f t="shared" ref="AS146:BC146" si="3326">IF(AV145="","",IF(AV145=0,"",AV145/(AV142*100)))</f>
        <v/>
      </c>
      <c r="AW146" s="27" t="str">
        <f t="shared" si="3326"/>
        <v/>
      </c>
      <c r="AX146" s="27" t="str">
        <f t="shared" si="3326"/>
        <v/>
      </c>
      <c r="AY146" s="27" t="str">
        <f t="shared" si="3326"/>
        <v/>
      </c>
      <c r="AZ146" s="27" t="str">
        <f t="shared" si="3326"/>
        <v/>
      </c>
      <c r="BA146" s="27" t="str">
        <f t="shared" si="3326"/>
        <v/>
      </c>
      <c r="BB146" s="27" t="str">
        <f t="shared" si="3326"/>
        <v/>
      </c>
      <c r="BC146" s="27" t="str">
        <f t="shared" si="3326"/>
        <v/>
      </c>
    </row>
    <row r="147" spans="1:55" ht="11.25" customHeight="1" x14ac:dyDescent="0.2">
      <c r="A147" s="28" t="s">
        <v>1</v>
      </c>
      <c r="B147" s="29" t="s">
        <v>2</v>
      </c>
      <c r="C147" s="129">
        <v>9161</v>
      </c>
      <c r="D147" s="16">
        <f t="shared" ref="D147:D148" si="3327">IF(D$3="","",C147)</f>
        <v>9161</v>
      </c>
      <c r="E147" s="16">
        <f t="shared" ref="E147:E148" si="3328">IF(E$3="","",D147)</f>
        <v>9161</v>
      </c>
      <c r="F147" s="16">
        <v>9168</v>
      </c>
      <c r="G147" s="196">
        <f t="shared" ref="G147:G148" si="3329">IF(G$3="","",F147)</f>
        <v>9168</v>
      </c>
      <c r="H147" s="16">
        <f t="shared" ref="H147:H148" si="3330">IF(H$3="","",G147)</f>
        <v>9168</v>
      </c>
      <c r="I147" s="16">
        <v>9183</v>
      </c>
      <c r="J147" s="196">
        <f t="shared" ref="J147:J148" si="3331">IF(J$3="","",I147)</f>
        <v>9183</v>
      </c>
      <c r="K147" s="16">
        <f t="shared" ref="K147:K148" si="3332">IF(K$3="","",J147)</f>
        <v>9183</v>
      </c>
      <c r="L147" s="16">
        <f t="shared" ref="L147:L148" si="3333">IF(L$3="","",K147)</f>
        <v>9183</v>
      </c>
      <c r="M147" s="16">
        <f t="shared" ref="M147:M148" si="3334">IF(M$3="","",L147)</f>
        <v>9183</v>
      </c>
      <c r="N147" s="196" t="str">
        <f t="shared" ref="N147:N148" si="3335">IF(N$3="","",M147)</f>
        <v/>
      </c>
      <c r="O147" s="16" t="str">
        <f t="shared" ref="O147:O148" si="3336">IF(O$3="","",N147)</f>
        <v/>
      </c>
      <c r="P147" s="16" t="str">
        <f t="shared" ref="P147:P148" si="3337">IF(P$3="","",O147)</f>
        <v/>
      </c>
      <c r="Q147" s="16" t="str">
        <f t="shared" ref="Q147:Q148" si="3338">IF(Q$3="","",P147)</f>
        <v/>
      </c>
      <c r="R147" s="16" t="str">
        <f t="shared" ref="R147:R148" si="3339">IF(R$3="","",Q147)</f>
        <v/>
      </c>
      <c r="S147" s="16" t="str">
        <f t="shared" ref="S147:S148" si="3340">IF(S$3="","",R147)</f>
        <v/>
      </c>
      <c r="T147" s="16" t="str">
        <f t="shared" ref="T147:T148" si="3341">IF(T$3="","",S147)</f>
        <v/>
      </c>
      <c r="U147" s="16" t="str">
        <f t="shared" ref="U147:U148" si="3342">IF(U$3="","",T147)</f>
        <v/>
      </c>
      <c r="V147" s="16" t="str">
        <f t="shared" ref="V147:V148" si="3343">IF(V$3="","",U147)</f>
        <v/>
      </c>
      <c r="W147" s="16" t="str">
        <f t="shared" ref="W147:W148" si="3344">IF(W$3="","",V147)</f>
        <v/>
      </c>
      <c r="X147" s="16" t="str">
        <f t="shared" ref="X147:X148" si="3345">IF(X$3="","",W147)</f>
        <v/>
      </c>
      <c r="Y147" s="16" t="str">
        <f t="shared" ref="Y147:Y148" si="3346">IF(Y$3="","",X147)</f>
        <v/>
      </c>
      <c r="Z147" s="16" t="str">
        <f t="shared" ref="Z147:Z148" si="3347">IF(Z$3="","",Y147)</f>
        <v/>
      </c>
      <c r="AA147" s="16" t="str">
        <f t="shared" ref="AA147:AA148" si="3348">IF(AA$3="","",Z147)</f>
        <v/>
      </c>
      <c r="AB147" s="16" t="str">
        <f t="shared" ref="AB147:AB148" si="3349">IF(AB$3="","",AA147)</f>
        <v/>
      </c>
      <c r="AC147" s="16" t="str">
        <f t="shared" ref="AC147:AC148" si="3350">IF(AC$3="","",AB147)</f>
        <v/>
      </c>
      <c r="AD147" s="16" t="str">
        <f t="shared" ref="AD147:AD148" si="3351">IF(AD$3="","",AC147)</f>
        <v/>
      </c>
      <c r="AE147" s="16" t="str">
        <f t="shared" ref="AE147:AE148" si="3352">IF(AE$3="","",AD147)</f>
        <v/>
      </c>
      <c r="AF147" s="16" t="str">
        <f t="shared" ref="AF147:AF148" si="3353">IF(AF$3="","",AE147)</f>
        <v/>
      </c>
      <c r="AG147" s="16" t="str">
        <f t="shared" ref="AG147:AG148" si="3354">IF(AG$3="","",AF147)</f>
        <v/>
      </c>
      <c r="AH147" s="16" t="str">
        <f t="shared" ref="AH147:AH148" si="3355">IF(AH$3="","",AG147)</f>
        <v/>
      </c>
      <c r="AI147" s="16" t="str">
        <f t="shared" ref="AI147:AI148" si="3356">IF(AI$3="","",AH147)</f>
        <v/>
      </c>
      <c r="AJ147" s="16" t="str">
        <f t="shared" ref="AJ147:AJ148" si="3357">IF(AJ$3="","",AI147)</f>
        <v/>
      </c>
      <c r="AK147" s="16" t="str">
        <f t="shared" ref="AK147:AK148" si="3358">IF(AK$3="","",AJ147)</f>
        <v/>
      </c>
      <c r="AL147" s="16" t="str">
        <f t="shared" ref="AL147:AL148" si="3359">IF(AL$3="","",AK147)</f>
        <v/>
      </c>
      <c r="AM147" s="16" t="str">
        <f t="shared" ref="AM147:AM148" si="3360">IF(AM$3="","",AL147)</f>
        <v/>
      </c>
      <c r="AN147" s="16" t="str">
        <f t="shared" ref="AN147:AN148" si="3361">IF(AN$3="","",AM147)</f>
        <v/>
      </c>
      <c r="AO147" s="16" t="str">
        <f t="shared" ref="AO147:AO148" si="3362">IF(AO$3="","",AN147)</f>
        <v/>
      </c>
      <c r="AP147" s="16" t="str">
        <f t="shared" ref="AP147:AP148" si="3363">IF(AP$3="","",AO147)</f>
        <v/>
      </c>
      <c r="AQ147" s="16" t="str">
        <f t="shared" ref="AQ147:AQ148" si="3364">IF(AQ$3="","",AP147)</f>
        <v/>
      </c>
      <c r="AR147" s="16" t="str">
        <f t="shared" ref="AR147:AR148" si="3365">IF(AR$3="","",AQ147)</f>
        <v/>
      </c>
      <c r="AS147" s="16" t="str">
        <f t="shared" ref="AS147:AS148" si="3366">IF(AS$3="","",AR147)</f>
        <v/>
      </c>
      <c r="AT147" s="16" t="str">
        <f t="shared" ref="AT147:AT148" si="3367">IF(AT$3="","",AS147)</f>
        <v/>
      </c>
      <c r="AU147" s="16" t="str">
        <f t="shared" ref="AU147:AU148" si="3368">IF(AU$3="","",AT147)</f>
        <v/>
      </c>
      <c r="AV147" s="16" t="str">
        <f t="shared" ref="AS147:BC147" si="3369">IF(AV$3="","",AU147)</f>
        <v/>
      </c>
      <c r="AW147" s="16" t="str">
        <f t="shared" si="3369"/>
        <v/>
      </c>
      <c r="AX147" s="16" t="str">
        <f t="shared" si="3369"/>
        <v/>
      </c>
      <c r="AY147" s="16" t="str">
        <f t="shared" si="3369"/>
        <v/>
      </c>
      <c r="AZ147" s="16" t="str">
        <f t="shared" si="3369"/>
        <v/>
      </c>
      <c r="BA147" s="16" t="str">
        <f t="shared" si="3369"/>
        <v/>
      </c>
      <c r="BB147" s="16" t="str">
        <f t="shared" si="3369"/>
        <v/>
      </c>
      <c r="BC147" s="16" t="str">
        <f t="shared" si="3369"/>
        <v/>
      </c>
    </row>
    <row r="148" spans="1:55" ht="11.25" customHeight="1" x14ac:dyDescent="0.2">
      <c r="A148" s="10" t="s">
        <v>40</v>
      </c>
      <c r="B148" s="11" t="s">
        <v>4</v>
      </c>
      <c r="C148" s="123">
        <v>673</v>
      </c>
      <c r="D148" s="12">
        <f t="shared" si="3327"/>
        <v>673</v>
      </c>
      <c r="E148" s="12">
        <f t="shared" si="3328"/>
        <v>673</v>
      </c>
      <c r="F148" s="12">
        <v>674</v>
      </c>
      <c r="G148" s="195">
        <f t="shared" si="3329"/>
        <v>674</v>
      </c>
      <c r="H148" s="12">
        <f t="shared" si="3330"/>
        <v>674</v>
      </c>
      <c r="I148" s="12">
        <v>679</v>
      </c>
      <c r="J148" s="195">
        <f t="shared" si="3331"/>
        <v>679</v>
      </c>
      <c r="K148" s="12">
        <f t="shared" si="3332"/>
        <v>679</v>
      </c>
      <c r="L148" s="12">
        <f t="shared" si="3333"/>
        <v>679</v>
      </c>
      <c r="M148" s="12">
        <f t="shared" si="3334"/>
        <v>679</v>
      </c>
      <c r="N148" s="195" t="str">
        <f t="shared" si="3335"/>
        <v/>
      </c>
      <c r="O148" s="12" t="str">
        <f t="shared" si="3336"/>
        <v/>
      </c>
      <c r="P148" s="12" t="str">
        <f t="shared" si="3337"/>
        <v/>
      </c>
      <c r="Q148" s="12" t="str">
        <f t="shared" si="3338"/>
        <v/>
      </c>
      <c r="R148" s="12" t="str">
        <f t="shared" si="3339"/>
        <v/>
      </c>
      <c r="S148" s="12" t="str">
        <f t="shared" si="3340"/>
        <v/>
      </c>
      <c r="T148" s="12" t="str">
        <f t="shared" si="3341"/>
        <v/>
      </c>
      <c r="U148" s="12" t="str">
        <f t="shared" si="3342"/>
        <v/>
      </c>
      <c r="V148" s="12" t="str">
        <f t="shared" si="3343"/>
        <v/>
      </c>
      <c r="W148" s="12" t="str">
        <f t="shared" si="3344"/>
        <v/>
      </c>
      <c r="X148" s="12" t="str">
        <f t="shared" si="3345"/>
        <v/>
      </c>
      <c r="Y148" s="12" t="str">
        <f t="shared" si="3346"/>
        <v/>
      </c>
      <c r="Z148" s="12" t="str">
        <f t="shared" si="3347"/>
        <v/>
      </c>
      <c r="AA148" s="12" t="str">
        <f t="shared" si="3348"/>
        <v/>
      </c>
      <c r="AB148" s="12" t="str">
        <f t="shared" si="3349"/>
        <v/>
      </c>
      <c r="AC148" s="12" t="str">
        <f t="shared" si="3350"/>
        <v/>
      </c>
      <c r="AD148" s="12" t="str">
        <f t="shared" si="3351"/>
        <v/>
      </c>
      <c r="AE148" s="12" t="str">
        <f t="shared" si="3352"/>
        <v/>
      </c>
      <c r="AF148" s="12" t="str">
        <f t="shared" si="3353"/>
        <v/>
      </c>
      <c r="AG148" s="12" t="str">
        <f t="shared" si="3354"/>
        <v/>
      </c>
      <c r="AH148" s="12" t="str">
        <f t="shared" si="3355"/>
        <v/>
      </c>
      <c r="AI148" s="12" t="str">
        <f t="shared" si="3356"/>
        <v/>
      </c>
      <c r="AJ148" s="12" t="str">
        <f t="shared" si="3357"/>
        <v/>
      </c>
      <c r="AK148" s="12" t="str">
        <f t="shared" si="3358"/>
        <v/>
      </c>
      <c r="AL148" s="12" t="str">
        <f t="shared" si="3359"/>
        <v/>
      </c>
      <c r="AM148" s="12" t="str">
        <f t="shared" si="3360"/>
        <v/>
      </c>
      <c r="AN148" s="12" t="str">
        <f t="shared" si="3361"/>
        <v/>
      </c>
      <c r="AO148" s="12" t="str">
        <f t="shared" si="3362"/>
        <v/>
      </c>
      <c r="AP148" s="12" t="str">
        <f t="shared" si="3363"/>
        <v/>
      </c>
      <c r="AQ148" s="12" t="str">
        <f t="shared" si="3364"/>
        <v/>
      </c>
      <c r="AR148" s="12" t="str">
        <f t="shared" si="3365"/>
        <v/>
      </c>
      <c r="AS148" s="12" t="str">
        <f t="shared" si="3366"/>
        <v/>
      </c>
      <c r="AT148" s="12" t="str">
        <f t="shared" si="3367"/>
        <v/>
      </c>
      <c r="AU148" s="12" t="str">
        <f t="shared" si="3368"/>
        <v/>
      </c>
      <c r="AV148" s="12" t="str">
        <f t="shared" ref="AS148:BC148" si="3370">IF(AV$3="","",AU148)</f>
        <v/>
      </c>
      <c r="AW148" s="12" t="str">
        <f t="shared" si="3370"/>
        <v/>
      </c>
      <c r="AX148" s="12" t="str">
        <f t="shared" si="3370"/>
        <v/>
      </c>
      <c r="AY148" s="12" t="str">
        <f t="shared" si="3370"/>
        <v/>
      </c>
      <c r="AZ148" s="12" t="str">
        <f t="shared" si="3370"/>
        <v/>
      </c>
      <c r="BA148" s="12" t="str">
        <f t="shared" si="3370"/>
        <v/>
      </c>
      <c r="BB148" s="12" t="str">
        <f t="shared" si="3370"/>
        <v/>
      </c>
      <c r="BC148" s="12" t="str">
        <f t="shared" si="3370"/>
        <v/>
      </c>
    </row>
    <row r="149" spans="1:55" ht="11.25" customHeight="1" x14ac:dyDescent="0.25">
      <c r="A149" s="24">
        <v>4</v>
      </c>
      <c r="B149" s="11" t="s">
        <v>5</v>
      </c>
      <c r="C149" s="123">
        <v>33</v>
      </c>
      <c r="D149" s="12">
        <f t="shared" ref="D149" si="3371">IF(D147="","",(C149+C150))</f>
        <v>33</v>
      </c>
      <c r="E149" s="12">
        <f t="shared" ref="E149" si="3372">IF(E147="","",(D149+D150))</f>
        <v>33</v>
      </c>
      <c r="F149" s="12">
        <f t="shared" ref="F149" si="3373">IF(F147="","",(E149+E150))</f>
        <v>33</v>
      </c>
      <c r="G149" s="195">
        <f t="shared" ref="G149" si="3374">IF(G147="","",(F149+F150))</f>
        <v>12</v>
      </c>
      <c r="H149" s="12">
        <f t="shared" ref="H149" si="3375">IF(H147="","",(G149+G150))</f>
        <v>12</v>
      </c>
      <c r="I149" s="12">
        <f t="shared" ref="I149" si="3376">IF(I147="","",(H149+H150))</f>
        <v>12</v>
      </c>
      <c r="J149" s="195">
        <f t="shared" ref="J149" si="3377">IF(J147="","",(I149+I150))</f>
        <v>12</v>
      </c>
      <c r="K149" s="12">
        <f t="shared" ref="K149" si="3378">IF(K147="","",(J149+J150))</f>
        <v>12</v>
      </c>
      <c r="L149" s="12">
        <f t="shared" ref="L149" si="3379">IF(L147="","",(K149+K150))</f>
        <v>12</v>
      </c>
      <c r="M149" s="12">
        <f t="shared" ref="M149" si="3380">IF(M147="","",(L149+L150))</f>
        <v>12</v>
      </c>
      <c r="N149" s="195" t="str">
        <f t="shared" ref="N149" si="3381">IF(N147="","",(M149+M150))</f>
        <v/>
      </c>
      <c r="O149" s="12" t="str">
        <f t="shared" ref="O149" si="3382">IF(O147="","",(N149+N150))</f>
        <v/>
      </c>
      <c r="P149" s="12" t="str">
        <f t="shared" ref="P149" si="3383">IF(P147="","",(O149+O150))</f>
        <v/>
      </c>
      <c r="Q149" s="12" t="str">
        <f t="shared" ref="Q149" si="3384">IF(Q147="","",(P149+P150))</f>
        <v/>
      </c>
      <c r="R149" s="12" t="str">
        <f t="shared" ref="R149" si="3385">IF(R147="","",(Q149+Q150))</f>
        <v/>
      </c>
      <c r="S149" s="12" t="str">
        <f t="shared" ref="S149" si="3386">IF(S147="","",(R149+R150))</f>
        <v/>
      </c>
      <c r="T149" s="12" t="str">
        <f t="shared" ref="T149" si="3387">IF(T147="","",(S149+S150))</f>
        <v/>
      </c>
      <c r="U149" s="12" t="str">
        <f t="shared" ref="U149" si="3388">IF(U147="","",(T149+T150))</f>
        <v/>
      </c>
      <c r="V149" s="12" t="str">
        <f t="shared" ref="V149" si="3389">IF(V147="","",(U149+U150))</f>
        <v/>
      </c>
      <c r="W149" s="12" t="str">
        <f t="shared" ref="W149" si="3390">IF(W147="","",(V149+V150))</f>
        <v/>
      </c>
      <c r="X149" s="12" t="str">
        <f t="shared" ref="X149" si="3391">IF(X147="","",(W149+W150))</f>
        <v/>
      </c>
      <c r="Y149" s="12" t="str">
        <f t="shared" ref="Y149" si="3392">IF(Y147="","",(X149+X150))</f>
        <v/>
      </c>
      <c r="Z149" s="12" t="str">
        <f t="shared" ref="Z149" si="3393">IF(Z147="","",(Y149+Y150))</f>
        <v/>
      </c>
      <c r="AA149" s="12" t="str">
        <f t="shared" ref="AA149" si="3394">IF(AA147="","",(Z149+Z150))</f>
        <v/>
      </c>
      <c r="AB149" s="12" t="str">
        <f t="shared" ref="AB149" si="3395">IF(AB147="","",(AA149+AA150))</f>
        <v/>
      </c>
      <c r="AC149" s="12" t="str">
        <f t="shared" ref="AC149" si="3396">IF(AC147="","",(AB149+AB150))</f>
        <v/>
      </c>
      <c r="AD149" s="12" t="str">
        <f t="shared" ref="AD149" si="3397">IF(AD147="","",(AC149+AC150))</f>
        <v/>
      </c>
      <c r="AE149" s="12" t="str">
        <f t="shared" ref="AE149" si="3398">IF(AE147="","",(AD149+AD150))</f>
        <v/>
      </c>
      <c r="AF149" s="12" t="str">
        <f t="shared" ref="AF149" si="3399">IF(AF147="","",(AE149+AE150))</f>
        <v/>
      </c>
      <c r="AG149" s="12" t="str">
        <f t="shared" ref="AG149" si="3400">IF(AG147="","",(AF149+AF150))</f>
        <v/>
      </c>
      <c r="AH149" s="12" t="str">
        <f t="shared" ref="AH149" si="3401">IF(AH147="","",(AG149+AG150))</f>
        <v/>
      </c>
      <c r="AI149" s="12" t="str">
        <f t="shared" ref="AI149" si="3402">IF(AI147="","",(AH149+AH150))</f>
        <v/>
      </c>
      <c r="AJ149" s="12" t="str">
        <f t="shared" ref="AJ149" si="3403">IF(AJ147="","",(AI149+AI150))</f>
        <v/>
      </c>
      <c r="AK149" s="12" t="str">
        <f t="shared" ref="AK149" si="3404">IF(AK147="","",(AJ149+AJ150))</f>
        <v/>
      </c>
      <c r="AL149" s="12" t="str">
        <f t="shared" ref="AL149" si="3405">IF(AL147="","",(AK149+AK150))</f>
        <v/>
      </c>
      <c r="AM149" s="12" t="str">
        <f t="shared" ref="AM149" si="3406">IF(AM147="","",(AL149+AL150))</f>
        <v/>
      </c>
      <c r="AN149" s="12" t="str">
        <f t="shared" ref="AN149" si="3407">IF(AN147="","",(AM149+AM150))</f>
        <v/>
      </c>
      <c r="AO149" s="12" t="str">
        <f t="shared" ref="AO149" si="3408">IF(AO147="","",(AN149+AN150))</f>
        <v/>
      </c>
      <c r="AP149" s="12" t="str">
        <f t="shared" ref="AP149" si="3409">IF(AP147="","",(AO149+AO150))</f>
        <v/>
      </c>
      <c r="AQ149" s="12" t="str">
        <f t="shared" ref="AQ149" si="3410">IF(AQ147="","",(AP149+AP150))</f>
        <v/>
      </c>
      <c r="AR149" s="12" t="str">
        <f t="shared" ref="AR149" si="3411">IF(AR147="","",(AQ149+AQ150))</f>
        <v/>
      </c>
      <c r="AS149" s="12" t="str">
        <f t="shared" ref="AS149" si="3412">IF(AS147="","",(AR149+AR150))</f>
        <v/>
      </c>
      <c r="AT149" s="12" t="str">
        <f t="shared" ref="AT149" si="3413">IF(AT147="","",(AS149+AS150))</f>
        <v/>
      </c>
      <c r="AU149" s="12" t="str">
        <f t="shared" ref="AU149" si="3414">IF(AU147="","",(AT149+AT150))</f>
        <v/>
      </c>
      <c r="AV149" s="12" t="str">
        <f t="shared" ref="AS149:BC149" si="3415">IF(AV147="","",(AU149+AU150))</f>
        <v/>
      </c>
      <c r="AW149" s="12" t="str">
        <f t="shared" si="3415"/>
        <v/>
      </c>
      <c r="AX149" s="12" t="str">
        <f t="shared" si="3415"/>
        <v/>
      </c>
      <c r="AY149" s="12" t="str">
        <f t="shared" si="3415"/>
        <v/>
      </c>
      <c r="AZ149" s="12" t="str">
        <f t="shared" si="3415"/>
        <v/>
      </c>
      <c r="BA149" s="12" t="str">
        <f t="shared" si="3415"/>
        <v/>
      </c>
      <c r="BB149" s="12" t="str">
        <f t="shared" si="3415"/>
        <v/>
      </c>
      <c r="BC149" s="12" t="str">
        <f t="shared" si="3415"/>
        <v/>
      </c>
    </row>
    <row r="150" spans="1:55" ht="11.25" customHeight="1" x14ac:dyDescent="0.2">
      <c r="A150" s="14"/>
      <c r="B150" s="11" t="s">
        <v>6</v>
      </c>
      <c r="C150" s="123"/>
      <c r="D150" s="12"/>
      <c r="E150" s="12"/>
      <c r="F150" s="12">
        <v>-21</v>
      </c>
      <c r="G150" s="195"/>
      <c r="H150" s="12"/>
      <c r="I150" s="12"/>
      <c r="J150" s="195"/>
      <c r="K150" s="12"/>
      <c r="L150" s="12"/>
      <c r="M150" s="12"/>
      <c r="N150" s="195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</row>
    <row r="151" spans="1:55" ht="11.25" customHeight="1" x14ac:dyDescent="0.2">
      <c r="A151" s="15"/>
      <c r="B151" s="11" t="s">
        <v>8</v>
      </c>
      <c r="C151" s="129">
        <v>500</v>
      </c>
      <c r="D151" s="16">
        <f t="shared" ref="D151" si="3416">IF(D147="","",C151)</f>
        <v>500</v>
      </c>
      <c r="E151" s="16">
        <f t="shared" ref="E151" si="3417">IF(E147="","",D151)</f>
        <v>500</v>
      </c>
      <c r="F151" s="16">
        <v>600</v>
      </c>
      <c r="G151" s="196">
        <v>600</v>
      </c>
      <c r="H151" s="16">
        <f t="shared" ref="H151" si="3418">IF(H147="","",G151)</f>
        <v>600</v>
      </c>
      <c r="I151" s="16">
        <v>600</v>
      </c>
      <c r="J151" s="196">
        <f t="shared" ref="J151" si="3419">IF(J147="","",I151)</f>
        <v>600</v>
      </c>
      <c r="K151" s="16">
        <f t="shared" ref="K151" si="3420">IF(K147="","",J151)</f>
        <v>600</v>
      </c>
      <c r="L151" s="16">
        <f t="shared" ref="L151" si="3421">IF(L147="","",K151)</f>
        <v>600</v>
      </c>
      <c r="M151" s="16">
        <f t="shared" ref="M151" si="3422">IF(M147="","",L151)</f>
        <v>600</v>
      </c>
      <c r="N151" s="196" t="str">
        <f t="shared" ref="N151" si="3423">IF(N147="","",M151)</f>
        <v/>
      </c>
      <c r="O151" s="16" t="str">
        <f t="shared" ref="O151" si="3424">IF(O147="","",N151)</f>
        <v/>
      </c>
      <c r="P151" s="16" t="str">
        <f t="shared" ref="P151" si="3425">IF(P147="","",O151)</f>
        <v/>
      </c>
      <c r="Q151" s="16" t="str">
        <f t="shared" ref="Q151" si="3426">IF(Q147="","",P151)</f>
        <v/>
      </c>
      <c r="R151" s="16" t="str">
        <f t="shared" ref="R151" si="3427">IF(R147="","",Q151)</f>
        <v/>
      </c>
      <c r="S151" s="16" t="str">
        <f t="shared" ref="S151" si="3428">IF(S147="","",R151)</f>
        <v/>
      </c>
      <c r="T151" s="16" t="str">
        <f t="shared" ref="T151" si="3429">IF(T147="","",S151)</f>
        <v/>
      </c>
      <c r="U151" s="16" t="str">
        <f t="shared" ref="U151" si="3430">IF(U147="","",T151)</f>
        <v/>
      </c>
      <c r="V151" s="16" t="str">
        <f t="shared" ref="V151" si="3431">IF(V147="","",U151)</f>
        <v/>
      </c>
      <c r="W151" s="16" t="str">
        <f t="shared" ref="W151" si="3432">IF(W147="","",V151)</f>
        <v/>
      </c>
      <c r="X151" s="16" t="str">
        <f t="shared" ref="X151" si="3433">IF(X147="","",W151)</f>
        <v/>
      </c>
      <c r="Y151" s="16" t="str">
        <f t="shared" ref="Y151" si="3434">IF(Y147="","",X151)</f>
        <v/>
      </c>
      <c r="Z151" s="16" t="str">
        <f t="shared" ref="Z151" si="3435">IF(Z147="","",Y151)</f>
        <v/>
      </c>
      <c r="AA151" s="16" t="str">
        <f t="shared" ref="AA151" si="3436">IF(AA147="","",Z151)</f>
        <v/>
      </c>
      <c r="AB151" s="16" t="str">
        <f t="shared" ref="AB151" si="3437">IF(AB147="","",AA151)</f>
        <v/>
      </c>
      <c r="AC151" s="16" t="str">
        <f t="shared" ref="AC151" si="3438">IF(AC147="","",AB151)</f>
        <v/>
      </c>
      <c r="AD151" s="16" t="str">
        <f t="shared" ref="AD151" si="3439">IF(AD147="","",AC151)</f>
        <v/>
      </c>
      <c r="AE151" s="16" t="str">
        <f t="shared" ref="AE151" si="3440">IF(AE147="","",AD151)</f>
        <v/>
      </c>
      <c r="AF151" s="16" t="str">
        <f t="shared" ref="AF151" si="3441">IF(AF147="","",AE151)</f>
        <v/>
      </c>
      <c r="AG151" s="16" t="str">
        <f t="shared" ref="AG151" si="3442">IF(AG147="","",AF151)</f>
        <v/>
      </c>
      <c r="AH151" s="16" t="str">
        <f t="shared" ref="AH151" si="3443">IF(AH147="","",AG151)</f>
        <v/>
      </c>
      <c r="AI151" s="16" t="str">
        <f t="shared" ref="AI151" si="3444">IF(AI147="","",AH151)</f>
        <v/>
      </c>
      <c r="AJ151" s="16" t="str">
        <f t="shared" ref="AJ151" si="3445">IF(AJ147="","",AI151)</f>
        <v/>
      </c>
      <c r="AK151" s="16" t="str">
        <f t="shared" ref="AK151" si="3446">IF(AK147="","",AJ151)</f>
        <v/>
      </c>
      <c r="AL151" s="16" t="str">
        <f t="shared" ref="AL151" si="3447">IF(AL147="","",AK151)</f>
        <v/>
      </c>
      <c r="AM151" s="16" t="str">
        <f t="shared" ref="AM151" si="3448">IF(AM147="","",AL151)</f>
        <v/>
      </c>
      <c r="AN151" s="16" t="str">
        <f t="shared" ref="AN151" si="3449">IF(AN147="","",AM151)</f>
        <v/>
      </c>
      <c r="AO151" s="16" t="str">
        <f t="shared" ref="AO151" si="3450">IF(AO147="","",AN151)</f>
        <v/>
      </c>
      <c r="AP151" s="16" t="str">
        <f t="shared" ref="AP151" si="3451">IF(AP147="","",AO151)</f>
        <v/>
      </c>
      <c r="AQ151" s="16" t="str">
        <f t="shared" ref="AQ151" si="3452">IF(AQ147="","",AP151)</f>
        <v/>
      </c>
      <c r="AR151" s="16" t="str">
        <f t="shared" ref="AR151" si="3453">IF(AR147="","",AQ151)</f>
        <v/>
      </c>
      <c r="AS151" s="16" t="str">
        <f t="shared" ref="AS151" si="3454">IF(AS147="","",AR151)</f>
        <v/>
      </c>
      <c r="AT151" s="16" t="str">
        <f t="shared" ref="AT151" si="3455">IF(AT147="","",AS151)</f>
        <v/>
      </c>
      <c r="AU151" s="16" t="str">
        <f t="shared" ref="AU151" si="3456">IF(AU147="","",AT151)</f>
        <v/>
      </c>
      <c r="AV151" s="16" t="str">
        <f t="shared" ref="AS151:BC151" si="3457">IF(AV147="","",AU151)</f>
        <v/>
      </c>
      <c r="AW151" s="16" t="str">
        <f t="shared" si="3457"/>
        <v/>
      </c>
      <c r="AX151" s="16" t="str">
        <f t="shared" si="3457"/>
        <v/>
      </c>
      <c r="AY151" s="16" t="str">
        <f t="shared" si="3457"/>
        <v/>
      </c>
      <c r="AZ151" s="16" t="str">
        <f t="shared" si="3457"/>
        <v/>
      </c>
      <c r="BA151" s="16" t="str">
        <f t="shared" si="3457"/>
        <v/>
      </c>
      <c r="BB151" s="16" t="str">
        <f t="shared" si="3457"/>
        <v/>
      </c>
      <c r="BC151" s="16" t="str">
        <f t="shared" si="3457"/>
        <v/>
      </c>
    </row>
    <row r="152" spans="1:55" ht="11.25" customHeight="1" x14ac:dyDescent="0.2">
      <c r="A152" s="14" t="s">
        <v>9</v>
      </c>
      <c r="B152" s="17" t="s">
        <v>10</v>
      </c>
      <c r="C152" s="133" t="s">
        <v>263</v>
      </c>
      <c r="D152" s="18" t="str">
        <f t="shared" ref="D152" si="3458">IF(D147="","",C152)</f>
        <v>スンスンがまぐち</v>
      </c>
      <c r="E152" s="18" t="str">
        <f t="shared" ref="E152" si="3459">IF(E147="","",D152)</f>
        <v>スンスンがまぐち</v>
      </c>
      <c r="F152" s="18" t="str">
        <f t="shared" ref="F152" si="3460">IF(F147="","",E152)</f>
        <v>スンスンがまぐち</v>
      </c>
      <c r="G152" s="197" t="s">
        <v>267</v>
      </c>
      <c r="H152" s="18" t="str">
        <f t="shared" ref="H152" si="3461">IF(H147="","",G152)</f>
        <v>日焼けモンチッチ</v>
      </c>
      <c r="I152" s="18" t="str">
        <f t="shared" ref="I152" si="3462">IF(I147="","",H152)</f>
        <v>日焼けモンチッチ</v>
      </c>
      <c r="J152" s="197" t="str">
        <f t="shared" ref="J152" si="3463">IF(J147="","",I152)</f>
        <v>日焼けモンチッチ</v>
      </c>
      <c r="K152" s="18" t="str">
        <f t="shared" ref="K152" si="3464">IF(K147="","",J152)</f>
        <v>日焼けモンチッチ</v>
      </c>
      <c r="L152" s="18" t="str">
        <f t="shared" ref="L152" si="3465">IF(L147="","",K152)</f>
        <v>日焼けモンチッチ</v>
      </c>
      <c r="M152" s="18" t="str">
        <f t="shared" ref="M152" si="3466">IF(M147="","",L152)</f>
        <v>日焼けモンチッチ</v>
      </c>
      <c r="N152" s="197" t="str">
        <f t="shared" ref="N152" si="3467">IF(N147="","",M152)</f>
        <v/>
      </c>
      <c r="O152" s="18" t="str">
        <f t="shared" ref="O152" si="3468">IF(O147="","",N152)</f>
        <v/>
      </c>
      <c r="P152" s="18" t="str">
        <f t="shared" ref="P152" si="3469">IF(P147="","",O152)</f>
        <v/>
      </c>
      <c r="Q152" s="18" t="str">
        <f t="shared" ref="Q152" si="3470">IF(Q147="","",P152)</f>
        <v/>
      </c>
      <c r="R152" s="18" t="str">
        <f t="shared" ref="R152" si="3471">IF(R147="","",Q152)</f>
        <v/>
      </c>
      <c r="S152" s="18" t="str">
        <f t="shared" ref="S152" si="3472">IF(S147="","",R152)</f>
        <v/>
      </c>
      <c r="T152" s="18" t="str">
        <f t="shared" ref="T152" si="3473">IF(T147="","",S152)</f>
        <v/>
      </c>
      <c r="U152" s="18" t="str">
        <f t="shared" ref="U152" si="3474">IF(U147="","",T152)</f>
        <v/>
      </c>
      <c r="V152" s="18" t="str">
        <f t="shared" ref="V152" si="3475">IF(V147="","",U152)</f>
        <v/>
      </c>
      <c r="W152" s="18" t="str">
        <f t="shared" ref="W152" si="3476">IF(W147="","",V152)</f>
        <v/>
      </c>
      <c r="X152" s="18" t="str">
        <f t="shared" ref="X152" si="3477">IF(X147="","",W152)</f>
        <v/>
      </c>
      <c r="Y152" s="18" t="str">
        <f t="shared" ref="Y152" si="3478">IF(Y147="","",X152)</f>
        <v/>
      </c>
      <c r="Z152" s="18" t="str">
        <f t="shared" ref="Z152" si="3479">IF(Z147="","",Y152)</f>
        <v/>
      </c>
      <c r="AA152" s="18" t="str">
        <f t="shared" ref="AA152" si="3480">IF(AA147="","",Z152)</f>
        <v/>
      </c>
      <c r="AB152" s="18" t="str">
        <f t="shared" ref="AB152" si="3481">IF(AB147="","",AA152)</f>
        <v/>
      </c>
      <c r="AC152" s="18" t="str">
        <f t="shared" ref="AC152" si="3482">IF(AC147="","",AB152)</f>
        <v/>
      </c>
      <c r="AD152" s="18" t="str">
        <f t="shared" ref="AD152" si="3483">IF(AD147="","",AC152)</f>
        <v/>
      </c>
      <c r="AE152" s="18" t="str">
        <f t="shared" ref="AE152" si="3484">IF(AE147="","",AD152)</f>
        <v/>
      </c>
      <c r="AF152" s="18" t="str">
        <f t="shared" ref="AF152" si="3485">IF(AF147="","",AE152)</f>
        <v/>
      </c>
      <c r="AG152" s="18" t="str">
        <f t="shared" ref="AG152" si="3486">IF(AG147="","",AF152)</f>
        <v/>
      </c>
      <c r="AH152" s="18" t="str">
        <f t="shared" ref="AH152" si="3487">IF(AH147="","",AG152)</f>
        <v/>
      </c>
      <c r="AI152" s="18" t="str">
        <f t="shared" ref="AI152" si="3488">IF(AI147="","",AH152)</f>
        <v/>
      </c>
      <c r="AJ152" s="18" t="str">
        <f t="shared" ref="AJ152" si="3489">IF(AJ147="","",AI152)</f>
        <v/>
      </c>
      <c r="AK152" s="18" t="str">
        <f t="shared" ref="AK152" si="3490">IF(AK147="","",AJ152)</f>
        <v/>
      </c>
      <c r="AL152" s="18" t="str">
        <f t="shared" ref="AL152" si="3491">IF(AL147="","",AK152)</f>
        <v/>
      </c>
      <c r="AM152" s="18" t="str">
        <f t="shared" ref="AM152" si="3492">IF(AM147="","",AL152)</f>
        <v/>
      </c>
      <c r="AN152" s="18" t="str">
        <f t="shared" ref="AN152" si="3493">IF(AN147="","",AM152)</f>
        <v/>
      </c>
      <c r="AO152" s="18" t="str">
        <f t="shared" ref="AO152" si="3494">IF(AO147="","",AN152)</f>
        <v/>
      </c>
      <c r="AP152" s="18" t="str">
        <f t="shared" ref="AP152" si="3495">IF(AP147="","",AO152)</f>
        <v/>
      </c>
      <c r="AQ152" s="18" t="str">
        <f t="shared" ref="AQ152" si="3496">IF(AQ147="","",AP152)</f>
        <v/>
      </c>
      <c r="AR152" s="18" t="str">
        <f t="shared" ref="AR152" si="3497">IF(AR147="","",AQ152)</f>
        <v/>
      </c>
      <c r="AS152" s="18" t="str">
        <f t="shared" ref="AS152" si="3498">IF(AS147="","",AR152)</f>
        <v/>
      </c>
      <c r="AT152" s="18" t="str">
        <f t="shared" ref="AT152" si="3499">IF(AT147="","",AS152)</f>
        <v/>
      </c>
      <c r="AU152" s="18" t="str">
        <f t="shared" ref="AU152" si="3500">IF(AU147="","",AT152)</f>
        <v/>
      </c>
      <c r="AV152" s="18" t="str">
        <f t="shared" ref="AS152:BC152" si="3501">IF(AV147="","",AU152)</f>
        <v/>
      </c>
      <c r="AW152" s="18" t="str">
        <f t="shared" si="3501"/>
        <v/>
      </c>
      <c r="AX152" s="18" t="str">
        <f t="shared" si="3501"/>
        <v/>
      </c>
      <c r="AY152" s="18" t="str">
        <f t="shared" si="3501"/>
        <v/>
      </c>
      <c r="AZ152" s="18" t="str">
        <f t="shared" si="3501"/>
        <v/>
      </c>
      <c r="BA152" s="18" t="str">
        <f t="shared" si="3501"/>
        <v/>
      </c>
      <c r="BB152" s="18" t="str">
        <f t="shared" si="3501"/>
        <v/>
      </c>
      <c r="BC152" s="18" t="str">
        <f t="shared" si="3501"/>
        <v/>
      </c>
    </row>
    <row r="153" spans="1:55" ht="11.25" customHeight="1" x14ac:dyDescent="0.2">
      <c r="A153" s="15">
        <f>AVERAGE(C154:AS154)*30*100</f>
        <v>6000</v>
      </c>
      <c r="B153" s="11" t="s">
        <v>12</v>
      </c>
      <c r="C153" s="123" t="s">
        <v>104</v>
      </c>
      <c r="D153" s="12"/>
      <c r="E153" s="12"/>
      <c r="F153" s="12"/>
      <c r="G153" s="195" t="s">
        <v>268</v>
      </c>
      <c r="H153" s="12"/>
      <c r="I153" s="12"/>
      <c r="J153" s="195" t="s">
        <v>218</v>
      </c>
      <c r="K153" s="12"/>
      <c r="L153" s="12"/>
      <c r="M153" s="12"/>
      <c r="N153" s="195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</row>
    <row r="154" spans="1:55" ht="11.25" customHeight="1" x14ac:dyDescent="0.2">
      <c r="A154" s="15">
        <f t="shared" ref="A154:A157" si="3502">SUM(C154:AS154)</f>
        <v>22</v>
      </c>
      <c r="B154" s="19" t="s">
        <v>13</v>
      </c>
      <c r="C154" s="123">
        <v>0</v>
      </c>
      <c r="D154" s="20">
        <f t="shared" ref="D154:D155" si="3503">IF(D147="","",D147-C147)</f>
        <v>0</v>
      </c>
      <c r="E154" s="20">
        <f t="shared" ref="E154:E155" si="3504">IF(E147="","",E147-D147)</f>
        <v>0</v>
      </c>
      <c r="F154" s="20">
        <f t="shared" ref="F154:F155" si="3505">IF(F147="","",F147-E147)</f>
        <v>7</v>
      </c>
      <c r="G154" s="195">
        <f t="shared" ref="G154:G155" si="3506">IF(G147="","",G147-F147)</f>
        <v>0</v>
      </c>
      <c r="H154" s="20">
        <f t="shared" ref="H154:H155" si="3507">IF(H147="","",H147-G147)</f>
        <v>0</v>
      </c>
      <c r="I154" s="20">
        <f t="shared" ref="I154:I155" si="3508">IF(I147="","",I147-H147)</f>
        <v>15</v>
      </c>
      <c r="J154" s="195">
        <f t="shared" ref="J154:J155" si="3509">IF(J147="","",J147-I147)</f>
        <v>0</v>
      </c>
      <c r="K154" s="20">
        <f t="shared" ref="K154:K155" si="3510">IF(K147="","",K147-J147)</f>
        <v>0</v>
      </c>
      <c r="L154" s="20">
        <f t="shared" ref="L154:L155" si="3511">IF(L147="","",L147-K147)</f>
        <v>0</v>
      </c>
      <c r="M154" s="20">
        <f t="shared" ref="M154:M155" si="3512">IF(M147="","",M147-L147)</f>
        <v>0</v>
      </c>
      <c r="N154" s="195" t="str">
        <f t="shared" ref="N154:N155" si="3513">IF(N147="","",N147-M147)</f>
        <v/>
      </c>
      <c r="O154" s="20" t="str">
        <f t="shared" ref="O154:O155" si="3514">IF(O147="","",O147-N147)</f>
        <v/>
      </c>
      <c r="P154" s="20" t="str">
        <f t="shared" ref="P154:P155" si="3515">IF(P147="","",P147-O147)</f>
        <v/>
      </c>
      <c r="Q154" s="20" t="str">
        <f t="shared" ref="Q154:Q155" si="3516">IF(Q147="","",Q147-P147)</f>
        <v/>
      </c>
      <c r="R154" s="20" t="str">
        <f t="shared" ref="R154:R155" si="3517">IF(R147="","",R147-Q147)</f>
        <v/>
      </c>
      <c r="S154" s="20" t="str">
        <f t="shared" ref="S154:S155" si="3518">IF(S147="","",S147-R147)</f>
        <v/>
      </c>
      <c r="T154" s="20" t="str">
        <f t="shared" ref="T154:T155" si="3519">IF(T147="","",T147-S147)</f>
        <v/>
      </c>
      <c r="U154" s="20" t="str">
        <f t="shared" ref="U154:U155" si="3520">IF(U147="","",U147-T147)</f>
        <v/>
      </c>
      <c r="V154" s="20" t="str">
        <f t="shared" ref="V154:V155" si="3521">IF(V147="","",V147-U147)</f>
        <v/>
      </c>
      <c r="W154" s="20" t="str">
        <f t="shared" ref="W154:W155" si="3522">IF(W147="","",W147-V147)</f>
        <v/>
      </c>
      <c r="X154" s="20" t="str">
        <f t="shared" ref="X154:X155" si="3523">IF(X147="","",X147-W147)</f>
        <v/>
      </c>
      <c r="Y154" s="20" t="str">
        <f t="shared" ref="Y154:Y155" si="3524">IF(Y147="","",Y147-X147)</f>
        <v/>
      </c>
      <c r="Z154" s="20" t="str">
        <f t="shared" ref="Z154:Z155" si="3525">IF(Z147="","",Z147-Y147)</f>
        <v/>
      </c>
      <c r="AA154" s="20" t="str">
        <f t="shared" ref="AA154:AA155" si="3526">IF(AA147="","",AA147-Z147)</f>
        <v/>
      </c>
      <c r="AB154" s="20" t="str">
        <f t="shared" ref="AB154:AB155" si="3527">IF(AB147="","",AB147-AA147)</f>
        <v/>
      </c>
      <c r="AC154" s="20" t="str">
        <f t="shared" ref="AC154:AC155" si="3528">IF(AC147="","",AC147-AB147)</f>
        <v/>
      </c>
      <c r="AD154" s="20" t="str">
        <f t="shared" ref="AD154:AD155" si="3529">IF(AD147="","",AD147-AC147)</f>
        <v/>
      </c>
      <c r="AE154" s="20" t="str">
        <f t="shared" ref="AE154:AE155" si="3530">IF(AE147="","",AE147-AD147)</f>
        <v/>
      </c>
      <c r="AF154" s="20" t="str">
        <f t="shared" ref="AF154:AF155" si="3531">IF(AF147="","",AF147-AE147)</f>
        <v/>
      </c>
      <c r="AG154" s="20" t="str">
        <f t="shared" ref="AG154:AG155" si="3532">IF(AG147="","",AG147-AF147)</f>
        <v/>
      </c>
      <c r="AH154" s="20" t="str">
        <f t="shared" ref="AH154:AH155" si="3533">IF(AH147="","",AH147-AG147)</f>
        <v/>
      </c>
      <c r="AI154" s="20" t="str">
        <f t="shared" ref="AI154:AI155" si="3534">IF(AI147="","",AI147-AH147)</f>
        <v/>
      </c>
      <c r="AJ154" s="20" t="str">
        <f t="shared" ref="AJ154:AJ155" si="3535">IF(AJ147="","",AJ147-AI147)</f>
        <v/>
      </c>
      <c r="AK154" s="20" t="str">
        <f t="shared" ref="AK154:AK155" si="3536">IF(AK147="","",AK147-AJ147)</f>
        <v/>
      </c>
      <c r="AL154" s="20" t="str">
        <f t="shared" ref="AL154:AL155" si="3537">IF(AL147="","",AL147-AK147)</f>
        <v/>
      </c>
      <c r="AM154" s="20" t="str">
        <f t="shared" ref="AM154:AM155" si="3538">IF(AM147="","",AM147-AL147)</f>
        <v/>
      </c>
      <c r="AN154" s="20" t="str">
        <f t="shared" ref="AN154:AN155" si="3539">IF(AN147="","",AN147-AM147)</f>
        <v/>
      </c>
      <c r="AO154" s="20" t="str">
        <f t="shared" ref="AO154:AO155" si="3540">IF(AO147="","",AO147-AN147)</f>
        <v/>
      </c>
      <c r="AP154" s="20" t="str">
        <f t="shared" ref="AP154:AP155" si="3541">IF(AP147="","",AP147-AO147)</f>
        <v/>
      </c>
      <c r="AQ154" s="20" t="str">
        <f t="shared" ref="AQ154:AQ155" si="3542">IF(AQ147="","",AQ147-AP147)</f>
        <v/>
      </c>
      <c r="AR154" s="20" t="str">
        <f t="shared" ref="AR154:AR155" si="3543">IF(AR147="","",AR147-AQ147)</f>
        <v/>
      </c>
      <c r="AS154" s="20" t="str">
        <f t="shared" ref="AS154:AS155" si="3544">IF(AS147="","",AS147-AR147)</f>
        <v/>
      </c>
      <c r="AT154" s="20" t="str">
        <f t="shared" ref="AT154:AT155" si="3545">IF(AT147="","",AT147-AS147)</f>
        <v/>
      </c>
      <c r="AU154" s="20" t="str">
        <f t="shared" ref="AU154:AU155" si="3546">IF(AU147="","",AU147-AT147)</f>
        <v/>
      </c>
      <c r="AV154" s="20" t="str">
        <f t="shared" ref="AS154:BC154" si="3547">IF(AV147="","",AV147-AU147)</f>
        <v/>
      </c>
      <c r="AW154" s="20" t="str">
        <f t="shared" si="3547"/>
        <v/>
      </c>
      <c r="AX154" s="20" t="str">
        <f t="shared" si="3547"/>
        <v/>
      </c>
      <c r="AY154" s="20" t="str">
        <f t="shared" si="3547"/>
        <v/>
      </c>
      <c r="AZ154" s="20" t="str">
        <f t="shared" si="3547"/>
        <v/>
      </c>
      <c r="BA154" s="20" t="str">
        <f t="shared" si="3547"/>
        <v/>
      </c>
      <c r="BB154" s="20" t="str">
        <f t="shared" si="3547"/>
        <v/>
      </c>
      <c r="BC154" s="20" t="str">
        <f t="shared" si="3547"/>
        <v/>
      </c>
    </row>
    <row r="155" spans="1:55" ht="11.25" customHeight="1" x14ac:dyDescent="0.2">
      <c r="A155" s="15">
        <f t="shared" si="3502"/>
        <v>6</v>
      </c>
      <c r="B155" s="19" t="s">
        <v>14</v>
      </c>
      <c r="C155" s="123">
        <v>0</v>
      </c>
      <c r="D155" s="20">
        <f t="shared" si="3503"/>
        <v>0</v>
      </c>
      <c r="E155" s="20">
        <f t="shared" si="3504"/>
        <v>0</v>
      </c>
      <c r="F155" s="20">
        <f t="shared" si="3505"/>
        <v>1</v>
      </c>
      <c r="G155" s="195">
        <f t="shared" si="3506"/>
        <v>0</v>
      </c>
      <c r="H155" s="20">
        <f t="shared" si="3507"/>
        <v>0</v>
      </c>
      <c r="I155" s="20">
        <f t="shared" si="3508"/>
        <v>5</v>
      </c>
      <c r="J155" s="195">
        <f t="shared" si="3509"/>
        <v>0</v>
      </c>
      <c r="K155" s="20">
        <f t="shared" si="3510"/>
        <v>0</v>
      </c>
      <c r="L155" s="20">
        <f t="shared" si="3511"/>
        <v>0</v>
      </c>
      <c r="M155" s="20">
        <f t="shared" si="3512"/>
        <v>0</v>
      </c>
      <c r="N155" s="195" t="str">
        <f t="shared" si="3513"/>
        <v/>
      </c>
      <c r="O155" s="20" t="str">
        <f t="shared" si="3514"/>
        <v/>
      </c>
      <c r="P155" s="20" t="str">
        <f t="shared" si="3515"/>
        <v/>
      </c>
      <c r="Q155" s="20" t="str">
        <f t="shared" si="3516"/>
        <v/>
      </c>
      <c r="R155" s="20" t="str">
        <f t="shared" si="3517"/>
        <v/>
      </c>
      <c r="S155" s="20" t="str">
        <f t="shared" si="3518"/>
        <v/>
      </c>
      <c r="T155" s="20" t="str">
        <f t="shared" si="3519"/>
        <v/>
      </c>
      <c r="U155" s="20" t="str">
        <f t="shared" si="3520"/>
        <v/>
      </c>
      <c r="V155" s="20" t="str">
        <f t="shared" si="3521"/>
        <v/>
      </c>
      <c r="W155" s="20" t="str">
        <f t="shared" si="3522"/>
        <v/>
      </c>
      <c r="X155" s="20" t="str">
        <f t="shared" si="3523"/>
        <v/>
      </c>
      <c r="Y155" s="20" t="str">
        <f t="shared" si="3524"/>
        <v/>
      </c>
      <c r="Z155" s="20" t="str">
        <f t="shared" si="3525"/>
        <v/>
      </c>
      <c r="AA155" s="20" t="str">
        <f t="shared" si="3526"/>
        <v/>
      </c>
      <c r="AB155" s="20" t="str">
        <f t="shared" si="3527"/>
        <v/>
      </c>
      <c r="AC155" s="20" t="str">
        <f t="shared" si="3528"/>
        <v/>
      </c>
      <c r="AD155" s="20" t="str">
        <f t="shared" si="3529"/>
        <v/>
      </c>
      <c r="AE155" s="20" t="str">
        <f t="shared" si="3530"/>
        <v/>
      </c>
      <c r="AF155" s="20" t="str">
        <f t="shared" si="3531"/>
        <v/>
      </c>
      <c r="AG155" s="20" t="str">
        <f t="shared" si="3532"/>
        <v/>
      </c>
      <c r="AH155" s="20" t="str">
        <f t="shared" si="3533"/>
        <v/>
      </c>
      <c r="AI155" s="20" t="str">
        <f t="shared" si="3534"/>
        <v/>
      </c>
      <c r="AJ155" s="20" t="str">
        <f t="shared" si="3535"/>
        <v/>
      </c>
      <c r="AK155" s="20" t="str">
        <f t="shared" si="3536"/>
        <v/>
      </c>
      <c r="AL155" s="20" t="str">
        <f t="shared" si="3537"/>
        <v/>
      </c>
      <c r="AM155" s="20" t="str">
        <f t="shared" si="3538"/>
        <v/>
      </c>
      <c r="AN155" s="20" t="str">
        <f t="shared" si="3539"/>
        <v/>
      </c>
      <c r="AO155" s="20" t="str">
        <f t="shared" si="3540"/>
        <v/>
      </c>
      <c r="AP155" s="20" t="str">
        <f t="shared" si="3541"/>
        <v/>
      </c>
      <c r="AQ155" s="20" t="str">
        <f t="shared" si="3542"/>
        <v/>
      </c>
      <c r="AR155" s="20" t="str">
        <f t="shared" si="3543"/>
        <v/>
      </c>
      <c r="AS155" s="20" t="str">
        <f t="shared" si="3544"/>
        <v/>
      </c>
      <c r="AT155" s="20" t="str">
        <f t="shared" si="3545"/>
        <v/>
      </c>
      <c r="AU155" s="20" t="str">
        <f t="shared" si="3546"/>
        <v/>
      </c>
      <c r="AV155" s="20" t="str">
        <f t="shared" ref="AS155:BC155" si="3548">IF(AV148="","",AV148-AU148)</f>
        <v/>
      </c>
      <c r="AW155" s="20" t="str">
        <f t="shared" si="3548"/>
        <v/>
      </c>
      <c r="AX155" s="20" t="str">
        <f t="shared" si="3548"/>
        <v/>
      </c>
      <c r="AY155" s="20" t="str">
        <f t="shared" si="3548"/>
        <v/>
      </c>
      <c r="AZ155" s="20" t="str">
        <f t="shared" si="3548"/>
        <v/>
      </c>
      <c r="BA155" s="20" t="str">
        <f t="shared" si="3548"/>
        <v/>
      </c>
      <c r="BB155" s="20" t="str">
        <f t="shared" si="3548"/>
        <v/>
      </c>
      <c r="BC155" s="20" t="str">
        <f t="shared" si="3548"/>
        <v/>
      </c>
    </row>
    <row r="156" spans="1:55" ht="11.25" customHeight="1" x14ac:dyDescent="0.2">
      <c r="A156" s="15">
        <f t="shared" si="3502"/>
        <v>0</v>
      </c>
      <c r="B156" s="19" t="s">
        <v>15</v>
      </c>
      <c r="C156" s="123">
        <v>0</v>
      </c>
      <c r="D156" s="20">
        <f t="shared" ref="D156" si="3549">IF(D149="","",C149+C150-D149)</f>
        <v>0</v>
      </c>
      <c r="E156" s="20">
        <f t="shared" ref="E156" si="3550">IF(E149="","",D149+D150-E149)</f>
        <v>0</v>
      </c>
      <c r="F156" s="20">
        <f t="shared" ref="F156" si="3551">IF(F149="","",E149+E150-F149)</f>
        <v>0</v>
      </c>
      <c r="G156" s="195">
        <f t="shared" ref="G156" si="3552">IF(G149="","",F149+F150-G149)</f>
        <v>0</v>
      </c>
      <c r="H156" s="20">
        <f t="shared" ref="H156" si="3553">IF(H149="","",G149+G150-H149)</f>
        <v>0</v>
      </c>
      <c r="I156" s="20">
        <f t="shared" ref="I156" si="3554">IF(I149="","",H149+H150-I149)</f>
        <v>0</v>
      </c>
      <c r="J156" s="195">
        <f t="shared" ref="J156" si="3555">IF(J149="","",I149+I150-J149)</f>
        <v>0</v>
      </c>
      <c r="K156" s="20">
        <f t="shared" ref="K156" si="3556">IF(K149="","",J149+J150-K149)</f>
        <v>0</v>
      </c>
      <c r="L156" s="20">
        <f t="shared" ref="L156" si="3557">IF(L149="","",K149+K150-L149)</f>
        <v>0</v>
      </c>
      <c r="M156" s="20">
        <f t="shared" ref="M156" si="3558">IF(M149="","",L149+L150-M149)</f>
        <v>0</v>
      </c>
      <c r="N156" s="195" t="str">
        <f t="shared" ref="N156" si="3559">IF(N149="","",M149+M150-N149)</f>
        <v/>
      </c>
      <c r="O156" s="20" t="str">
        <f t="shared" ref="O156" si="3560">IF(O149="","",N149+N150-O149)</f>
        <v/>
      </c>
      <c r="P156" s="20" t="str">
        <f t="shared" ref="P156" si="3561">IF(P149="","",O149+O150-P149)</f>
        <v/>
      </c>
      <c r="Q156" s="20" t="str">
        <f t="shared" ref="Q156" si="3562">IF(Q149="","",P149+P150-Q149)</f>
        <v/>
      </c>
      <c r="R156" s="20" t="str">
        <f t="shared" ref="R156" si="3563">IF(R149="","",Q149+Q150-R149)</f>
        <v/>
      </c>
      <c r="S156" s="20" t="str">
        <f t="shared" ref="S156" si="3564">IF(S149="","",R149+R150-S149)</f>
        <v/>
      </c>
      <c r="T156" s="20" t="str">
        <f t="shared" ref="T156" si="3565">IF(T149="","",S149+S150-T149)</f>
        <v/>
      </c>
      <c r="U156" s="20" t="str">
        <f t="shared" ref="U156" si="3566">IF(U149="","",T149+T150-U149)</f>
        <v/>
      </c>
      <c r="V156" s="20" t="str">
        <f t="shared" ref="V156" si="3567">IF(V149="","",U149+U150-V149)</f>
        <v/>
      </c>
      <c r="W156" s="20" t="str">
        <f t="shared" ref="W156" si="3568">IF(W149="","",V149+V150-W149)</f>
        <v/>
      </c>
      <c r="X156" s="20" t="str">
        <f t="shared" ref="X156" si="3569">IF(X149="","",W149+W150-X149)</f>
        <v/>
      </c>
      <c r="Y156" s="20" t="str">
        <f t="shared" ref="Y156" si="3570">IF(Y149="","",X149+X150-Y149)</f>
        <v/>
      </c>
      <c r="Z156" s="20" t="str">
        <f t="shared" ref="Z156" si="3571">IF(Z149="","",Y149+Y150-Z149)</f>
        <v/>
      </c>
      <c r="AA156" s="20" t="str">
        <f t="shared" ref="AA156" si="3572">IF(AA149="","",Z149+Z150-AA149)</f>
        <v/>
      </c>
      <c r="AB156" s="20" t="str">
        <f t="shared" ref="AB156" si="3573">IF(AB149="","",AA149+AA150-AB149)</f>
        <v/>
      </c>
      <c r="AC156" s="20" t="str">
        <f t="shared" ref="AC156" si="3574">IF(AC149="","",AB149+AB150-AC149)</f>
        <v/>
      </c>
      <c r="AD156" s="20" t="str">
        <f t="shared" ref="AD156" si="3575">IF(AD149="","",AC149+AC150-AD149)</f>
        <v/>
      </c>
      <c r="AE156" s="20" t="str">
        <f t="shared" ref="AE156" si="3576">IF(AE149="","",AD149+AD150-AE149)</f>
        <v/>
      </c>
      <c r="AF156" s="20" t="str">
        <f t="shared" ref="AF156" si="3577">IF(AF149="","",AE149+AE150-AF149)</f>
        <v/>
      </c>
      <c r="AG156" s="20" t="str">
        <f t="shared" ref="AG156" si="3578">IF(AG149="","",AF149+AF150-AG149)</f>
        <v/>
      </c>
      <c r="AH156" s="20" t="str">
        <f t="shared" ref="AH156" si="3579">IF(AH149="","",AG149+AG150-AH149)</f>
        <v/>
      </c>
      <c r="AI156" s="20" t="str">
        <f t="shared" ref="AI156" si="3580">IF(AI149="","",AH149+AH150-AI149)</f>
        <v/>
      </c>
      <c r="AJ156" s="20" t="str">
        <f t="shared" ref="AJ156" si="3581">IF(AJ149="","",AI149+AI150-AJ149)</f>
        <v/>
      </c>
      <c r="AK156" s="20" t="str">
        <f t="shared" ref="AK156" si="3582">IF(AK149="","",AJ149+AJ150-AK149)</f>
        <v/>
      </c>
      <c r="AL156" s="20" t="str">
        <f t="shared" ref="AL156" si="3583">IF(AL149="","",AK149+AK150-AL149)</f>
        <v/>
      </c>
      <c r="AM156" s="20" t="str">
        <f t="shared" ref="AM156" si="3584">IF(AM149="","",AL149+AL150-AM149)</f>
        <v/>
      </c>
      <c r="AN156" s="20" t="str">
        <f t="shared" ref="AN156" si="3585">IF(AN149="","",AM149+AM150-AN149)</f>
        <v/>
      </c>
      <c r="AO156" s="20" t="str">
        <f t="shared" ref="AO156" si="3586">IF(AO149="","",AN149+AN150-AO149)</f>
        <v/>
      </c>
      <c r="AP156" s="20" t="str">
        <f t="shared" ref="AP156" si="3587">IF(AP149="","",AO149+AO150-AP149)</f>
        <v/>
      </c>
      <c r="AQ156" s="20" t="str">
        <f t="shared" ref="AQ156" si="3588">IF(AQ149="","",AP149+AP150-AQ149)</f>
        <v/>
      </c>
      <c r="AR156" s="20" t="str">
        <f t="shared" ref="AR156" si="3589">IF(AR149="","",AQ149+AQ150-AR149)</f>
        <v/>
      </c>
      <c r="AS156" s="20" t="str">
        <f t="shared" ref="AS156" si="3590">IF(AS149="","",AR149+AR150-AS149)</f>
        <v/>
      </c>
      <c r="AT156" s="20" t="str">
        <f t="shared" ref="AT156" si="3591">IF(AT149="","",AS149+AS150-AT149)</f>
        <v/>
      </c>
      <c r="AU156" s="20" t="str">
        <f t="shared" ref="AU156" si="3592">IF(AU149="","",AT149+AT150-AU149)</f>
        <v/>
      </c>
      <c r="AV156" s="20" t="str">
        <f t="shared" ref="AS156:BC156" si="3593">IF(AV149="","",AU149+AU150-AV149)</f>
        <v/>
      </c>
      <c r="AW156" s="20" t="str">
        <f t="shared" si="3593"/>
        <v/>
      </c>
      <c r="AX156" s="20" t="str">
        <f t="shared" si="3593"/>
        <v/>
      </c>
      <c r="AY156" s="20" t="str">
        <f t="shared" si="3593"/>
        <v/>
      </c>
      <c r="AZ156" s="20" t="str">
        <f t="shared" si="3593"/>
        <v/>
      </c>
      <c r="BA156" s="20" t="str">
        <f t="shared" si="3593"/>
        <v/>
      </c>
      <c r="BB156" s="20" t="str">
        <f t="shared" si="3593"/>
        <v/>
      </c>
      <c r="BC156" s="20" t="str">
        <f t="shared" si="3593"/>
        <v/>
      </c>
    </row>
    <row r="157" spans="1:55" ht="11.25" customHeight="1" x14ac:dyDescent="0.2">
      <c r="A157" s="15">
        <f t="shared" si="3502"/>
        <v>0</v>
      </c>
      <c r="B157" s="19" t="s">
        <v>16</v>
      </c>
      <c r="C157" s="123">
        <v>0</v>
      </c>
      <c r="D157" s="20">
        <f t="shared" ref="D157:AU157" si="3594">IF(D147="","",D156*D151)</f>
        <v>0</v>
      </c>
      <c r="E157" s="20">
        <f t="shared" si="3594"/>
        <v>0</v>
      </c>
      <c r="F157" s="20">
        <f t="shared" si="3594"/>
        <v>0</v>
      </c>
      <c r="G157" s="195">
        <f t="shared" si="3594"/>
        <v>0</v>
      </c>
      <c r="H157" s="20">
        <f t="shared" si="3594"/>
        <v>0</v>
      </c>
      <c r="I157" s="20">
        <f t="shared" si="3594"/>
        <v>0</v>
      </c>
      <c r="J157" s="195">
        <f t="shared" si="3594"/>
        <v>0</v>
      </c>
      <c r="K157" s="20">
        <f t="shared" si="3594"/>
        <v>0</v>
      </c>
      <c r="L157" s="20">
        <f t="shared" si="3594"/>
        <v>0</v>
      </c>
      <c r="M157" s="20">
        <f t="shared" si="3594"/>
        <v>0</v>
      </c>
      <c r="N157" s="195" t="str">
        <f t="shared" si="3594"/>
        <v/>
      </c>
      <c r="O157" s="20" t="str">
        <f t="shared" si="3594"/>
        <v/>
      </c>
      <c r="P157" s="20" t="str">
        <f t="shared" si="3594"/>
        <v/>
      </c>
      <c r="Q157" s="20" t="str">
        <f t="shared" si="3594"/>
        <v/>
      </c>
      <c r="R157" s="20" t="str">
        <f t="shared" si="3594"/>
        <v/>
      </c>
      <c r="S157" s="20" t="str">
        <f t="shared" si="3594"/>
        <v/>
      </c>
      <c r="T157" s="20" t="str">
        <f t="shared" si="3594"/>
        <v/>
      </c>
      <c r="U157" s="20" t="str">
        <f t="shared" si="3594"/>
        <v/>
      </c>
      <c r="V157" s="20" t="str">
        <f t="shared" si="3594"/>
        <v/>
      </c>
      <c r="W157" s="20" t="str">
        <f t="shared" si="3594"/>
        <v/>
      </c>
      <c r="X157" s="20" t="str">
        <f t="shared" si="3594"/>
        <v/>
      </c>
      <c r="Y157" s="20" t="str">
        <f t="shared" si="3594"/>
        <v/>
      </c>
      <c r="Z157" s="20" t="str">
        <f t="shared" si="3594"/>
        <v/>
      </c>
      <c r="AA157" s="20" t="str">
        <f t="shared" si="3594"/>
        <v/>
      </c>
      <c r="AB157" s="20" t="str">
        <f t="shared" si="3594"/>
        <v/>
      </c>
      <c r="AC157" s="20" t="str">
        <f t="shared" si="3594"/>
        <v/>
      </c>
      <c r="AD157" s="20" t="str">
        <f t="shared" si="3594"/>
        <v/>
      </c>
      <c r="AE157" s="20" t="str">
        <f t="shared" si="3594"/>
        <v/>
      </c>
      <c r="AF157" s="20" t="str">
        <f t="shared" si="3594"/>
        <v/>
      </c>
      <c r="AG157" s="20" t="str">
        <f t="shared" si="3594"/>
        <v/>
      </c>
      <c r="AH157" s="20" t="str">
        <f t="shared" si="3594"/>
        <v/>
      </c>
      <c r="AI157" s="20" t="str">
        <f t="shared" si="3594"/>
        <v/>
      </c>
      <c r="AJ157" s="20" t="str">
        <f t="shared" si="3594"/>
        <v/>
      </c>
      <c r="AK157" s="20" t="str">
        <f t="shared" si="3594"/>
        <v/>
      </c>
      <c r="AL157" s="20" t="str">
        <f t="shared" si="3594"/>
        <v/>
      </c>
      <c r="AM157" s="20" t="str">
        <f t="shared" si="3594"/>
        <v/>
      </c>
      <c r="AN157" s="20" t="str">
        <f t="shared" si="3594"/>
        <v/>
      </c>
      <c r="AO157" s="20" t="str">
        <f t="shared" si="3594"/>
        <v/>
      </c>
      <c r="AP157" s="20" t="str">
        <f t="shared" si="3594"/>
        <v/>
      </c>
      <c r="AQ157" s="20" t="str">
        <f t="shared" si="3594"/>
        <v/>
      </c>
      <c r="AR157" s="20" t="str">
        <f t="shared" si="3594"/>
        <v/>
      </c>
      <c r="AS157" s="20" t="str">
        <f t="shared" si="3594"/>
        <v/>
      </c>
      <c r="AT157" s="20" t="str">
        <f t="shared" si="3594"/>
        <v/>
      </c>
      <c r="AU157" s="20" t="str">
        <f t="shared" si="3594"/>
        <v/>
      </c>
      <c r="AV157" s="20" t="str">
        <f t="shared" ref="AS157:BC157" si="3595">IF(AV147="","",AV156*AV151)</f>
        <v/>
      </c>
      <c r="AW157" s="20" t="str">
        <f t="shared" si="3595"/>
        <v/>
      </c>
      <c r="AX157" s="20" t="str">
        <f t="shared" si="3595"/>
        <v/>
      </c>
      <c r="AY157" s="20" t="str">
        <f t="shared" si="3595"/>
        <v/>
      </c>
      <c r="AZ157" s="20" t="str">
        <f t="shared" si="3595"/>
        <v/>
      </c>
      <c r="BA157" s="20" t="str">
        <f t="shared" si="3595"/>
        <v/>
      </c>
      <c r="BB157" s="20" t="str">
        <f t="shared" si="3595"/>
        <v/>
      </c>
      <c r="BC157" s="20" t="str">
        <f t="shared" si="3595"/>
        <v/>
      </c>
    </row>
    <row r="158" spans="1:55" ht="11.25" customHeight="1" thickBot="1" x14ac:dyDescent="0.25">
      <c r="A158" s="21">
        <f>IF(A157="","",A157/(A154*100))</f>
        <v>0</v>
      </c>
      <c r="B158" s="22" t="s">
        <v>17</v>
      </c>
      <c r="C158" s="140" t="s">
        <v>18</v>
      </c>
      <c r="D158" s="23" t="str">
        <f t="shared" ref="D158:AU158" si="3596">IF(D157="","",IF(D157=0,"",D157/(D154*100)))</f>
        <v/>
      </c>
      <c r="E158" s="23" t="str">
        <f t="shared" si="3596"/>
        <v/>
      </c>
      <c r="F158" s="23" t="str">
        <f t="shared" si="3596"/>
        <v/>
      </c>
      <c r="G158" s="198" t="str">
        <f t="shared" si="3596"/>
        <v/>
      </c>
      <c r="H158" s="23" t="str">
        <f t="shared" si="3596"/>
        <v/>
      </c>
      <c r="I158" s="23" t="str">
        <f t="shared" si="3596"/>
        <v/>
      </c>
      <c r="J158" s="198" t="str">
        <f t="shared" si="3596"/>
        <v/>
      </c>
      <c r="K158" s="23" t="str">
        <f t="shared" si="3596"/>
        <v/>
      </c>
      <c r="L158" s="23" t="str">
        <f t="shared" si="3596"/>
        <v/>
      </c>
      <c r="M158" s="23" t="str">
        <f t="shared" si="3596"/>
        <v/>
      </c>
      <c r="N158" s="198" t="str">
        <f t="shared" si="3596"/>
        <v/>
      </c>
      <c r="O158" s="23" t="str">
        <f t="shared" si="3596"/>
        <v/>
      </c>
      <c r="P158" s="23" t="str">
        <f t="shared" si="3596"/>
        <v/>
      </c>
      <c r="Q158" s="23" t="str">
        <f t="shared" si="3596"/>
        <v/>
      </c>
      <c r="R158" s="23" t="str">
        <f t="shared" si="3596"/>
        <v/>
      </c>
      <c r="S158" s="23" t="str">
        <f t="shared" si="3596"/>
        <v/>
      </c>
      <c r="T158" s="23" t="str">
        <f t="shared" si="3596"/>
        <v/>
      </c>
      <c r="U158" s="23" t="str">
        <f t="shared" si="3596"/>
        <v/>
      </c>
      <c r="V158" s="23" t="str">
        <f t="shared" si="3596"/>
        <v/>
      </c>
      <c r="W158" s="23" t="str">
        <f t="shared" si="3596"/>
        <v/>
      </c>
      <c r="X158" s="23" t="str">
        <f t="shared" si="3596"/>
        <v/>
      </c>
      <c r="Y158" s="23" t="str">
        <f t="shared" si="3596"/>
        <v/>
      </c>
      <c r="Z158" s="23" t="str">
        <f t="shared" si="3596"/>
        <v/>
      </c>
      <c r="AA158" s="23" t="str">
        <f t="shared" si="3596"/>
        <v/>
      </c>
      <c r="AB158" s="23" t="str">
        <f t="shared" si="3596"/>
        <v/>
      </c>
      <c r="AC158" s="23" t="str">
        <f t="shared" si="3596"/>
        <v/>
      </c>
      <c r="AD158" s="23" t="str">
        <f t="shared" si="3596"/>
        <v/>
      </c>
      <c r="AE158" s="23" t="str">
        <f t="shared" si="3596"/>
        <v/>
      </c>
      <c r="AF158" s="23" t="str">
        <f t="shared" si="3596"/>
        <v/>
      </c>
      <c r="AG158" s="23" t="str">
        <f t="shared" si="3596"/>
        <v/>
      </c>
      <c r="AH158" s="23" t="str">
        <f t="shared" si="3596"/>
        <v/>
      </c>
      <c r="AI158" s="23" t="str">
        <f t="shared" si="3596"/>
        <v/>
      </c>
      <c r="AJ158" s="23" t="str">
        <f t="shared" si="3596"/>
        <v/>
      </c>
      <c r="AK158" s="23" t="str">
        <f t="shared" si="3596"/>
        <v/>
      </c>
      <c r="AL158" s="23" t="str">
        <f t="shared" si="3596"/>
        <v/>
      </c>
      <c r="AM158" s="23" t="str">
        <f t="shared" si="3596"/>
        <v/>
      </c>
      <c r="AN158" s="23" t="str">
        <f t="shared" si="3596"/>
        <v/>
      </c>
      <c r="AO158" s="23" t="str">
        <f t="shared" si="3596"/>
        <v/>
      </c>
      <c r="AP158" s="23" t="str">
        <f t="shared" si="3596"/>
        <v/>
      </c>
      <c r="AQ158" s="23" t="str">
        <f t="shared" si="3596"/>
        <v/>
      </c>
      <c r="AR158" s="23" t="str">
        <f t="shared" si="3596"/>
        <v/>
      </c>
      <c r="AS158" s="23" t="str">
        <f t="shared" si="3596"/>
        <v/>
      </c>
      <c r="AT158" s="23" t="str">
        <f t="shared" si="3596"/>
        <v/>
      </c>
      <c r="AU158" s="23" t="str">
        <f t="shared" si="3596"/>
        <v/>
      </c>
      <c r="AV158" s="23" t="str">
        <f t="shared" ref="AS158:BC158" si="3597">IF(AV157="","",IF(AV157=0,"",AV157/(AV154*100)))</f>
        <v/>
      </c>
      <c r="AW158" s="23" t="str">
        <f t="shared" si="3597"/>
        <v/>
      </c>
      <c r="AX158" s="23" t="str">
        <f t="shared" si="3597"/>
        <v/>
      </c>
      <c r="AY158" s="23" t="str">
        <f t="shared" si="3597"/>
        <v/>
      </c>
      <c r="AZ158" s="23" t="str">
        <f t="shared" si="3597"/>
        <v/>
      </c>
      <c r="BA158" s="23" t="str">
        <f t="shared" si="3597"/>
        <v/>
      </c>
      <c r="BB158" s="23" t="str">
        <f t="shared" si="3597"/>
        <v/>
      </c>
      <c r="BC158" s="23" t="str">
        <f t="shared" si="3597"/>
        <v/>
      </c>
    </row>
    <row r="159" spans="1:55" ht="11.25" customHeight="1" x14ac:dyDescent="0.2">
      <c r="A159" s="7" t="s">
        <v>1</v>
      </c>
      <c r="B159" s="8" t="s">
        <v>2</v>
      </c>
      <c r="C159" s="118">
        <v>26427</v>
      </c>
      <c r="D159" s="9">
        <f t="shared" ref="D159:D160" si="3598">IF(D$3="","",C159)</f>
        <v>26427</v>
      </c>
      <c r="E159" s="9">
        <f t="shared" ref="E159:E160" si="3599">IF(E$3="","",D159)</f>
        <v>26427</v>
      </c>
      <c r="F159" s="9">
        <v>26983</v>
      </c>
      <c r="G159" s="194">
        <f t="shared" ref="G159:G160" si="3600">IF(G$3="","",F159)</f>
        <v>26983</v>
      </c>
      <c r="H159" s="9">
        <f t="shared" ref="H159:H160" si="3601">IF(H$3="","",G159)</f>
        <v>26983</v>
      </c>
      <c r="I159" s="9">
        <v>27236</v>
      </c>
      <c r="J159" s="194">
        <f t="shared" ref="J159:J160" si="3602">IF(J$3="","",I159)</f>
        <v>27236</v>
      </c>
      <c r="K159" s="9">
        <f t="shared" ref="K159:K160" si="3603">IF(K$3="","",J159)</f>
        <v>27236</v>
      </c>
      <c r="L159" s="9">
        <f t="shared" ref="L159:L160" si="3604">IF(L$3="","",K159)</f>
        <v>27236</v>
      </c>
      <c r="M159" s="9">
        <f t="shared" ref="M159:M160" si="3605">IF(M$3="","",L159)</f>
        <v>27236</v>
      </c>
      <c r="N159" s="194" t="str">
        <f t="shared" ref="N159:N160" si="3606">IF(N$3="","",M159)</f>
        <v/>
      </c>
      <c r="O159" s="9" t="str">
        <f t="shared" ref="O159:O160" si="3607">IF(O$3="","",N159)</f>
        <v/>
      </c>
      <c r="P159" s="9" t="str">
        <f t="shared" ref="P159:P160" si="3608">IF(P$3="","",O159)</f>
        <v/>
      </c>
      <c r="Q159" s="9" t="str">
        <f t="shared" ref="Q159:Q160" si="3609">IF(Q$3="","",P159)</f>
        <v/>
      </c>
      <c r="R159" s="9" t="str">
        <f t="shared" ref="R159:R160" si="3610">IF(R$3="","",Q159)</f>
        <v/>
      </c>
      <c r="S159" s="9" t="str">
        <f t="shared" ref="S159:S160" si="3611">IF(S$3="","",R159)</f>
        <v/>
      </c>
      <c r="T159" s="9" t="str">
        <f t="shared" ref="T159:T160" si="3612">IF(T$3="","",S159)</f>
        <v/>
      </c>
      <c r="U159" s="9" t="str">
        <f t="shared" ref="U159:U160" si="3613">IF(U$3="","",T159)</f>
        <v/>
      </c>
      <c r="V159" s="9" t="str">
        <f t="shared" ref="V159:V160" si="3614">IF(V$3="","",U159)</f>
        <v/>
      </c>
      <c r="W159" s="9" t="str">
        <f t="shared" ref="W159:W160" si="3615">IF(W$3="","",V159)</f>
        <v/>
      </c>
      <c r="X159" s="9" t="str">
        <f t="shared" ref="X159:X160" si="3616">IF(X$3="","",W159)</f>
        <v/>
      </c>
      <c r="Y159" s="9" t="str">
        <f t="shared" ref="Y159:Y160" si="3617">IF(Y$3="","",X159)</f>
        <v/>
      </c>
      <c r="Z159" s="9" t="str">
        <f t="shared" ref="Z159:Z160" si="3618">IF(Z$3="","",Y159)</f>
        <v/>
      </c>
      <c r="AA159" s="9" t="str">
        <f t="shared" ref="AA159:AA160" si="3619">IF(AA$3="","",Z159)</f>
        <v/>
      </c>
      <c r="AB159" s="9" t="str">
        <f t="shared" ref="AB159:AB160" si="3620">IF(AB$3="","",AA159)</f>
        <v/>
      </c>
      <c r="AC159" s="9" t="str">
        <f t="shared" ref="AC159:AC160" si="3621">IF(AC$3="","",AB159)</f>
        <v/>
      </c>
      <c r="AD159" s="9" t="str">
        <f t="shared" ref="AD159:AD160" si="3622">IF(AD$3="","",AC159)</f>
        <v/>
      </c>
      <c r="AE159" s="9" t="str">
        <f t="shared" ref="AE159:AE160" si="3623">IF(AE$3="","",AD159)</f>
        <v/>
      </c>
      <c r="AF159" s="9" t="str">
        <f t="shared" ref="AF159:AF160" si="3624">IF(AF$3="","",AE159)</f>
        <v/>
      </c>
      <c r="AG159" s="9" t="str">
        <f t="shared" ref="AG159:AG160" si="3625">IF(AG$3="","",AF159)</f>
        <v/>
      </c>
      <c r="AH159" s="9" t="str">
        <f t="shared" ref="AH159:AH160" si="3626">IF(AH$3="","",AG159)</f>
        <v/>
      </c>
      <c r="AI159" s="9" t="str">
        <f t="shared" ref="AI159:AI160" si="3627">IF(AI$3="","",AH159)</f>
        <v/>
      </c>
      <c r="AJ159" s="9" t="str">
        <f t="shared" ref="AJ159:AJ160" si="3628">IF(AJ$3="","",AI159)</f>
        <v/>
      </c>
      <c r="AK159" s="9" t="str">
        <f t="shared" ref="AK159:AK160" si="3629">IF(AK$3="","",AJ159)</f>
        <v/>
      </c>
      <c r="AL159" s="9" t="str">
        <f t="shared" ref="AL159:AL160" si="3630">IF(AL$3="","",AK159)</f>
        <v/>
      </c>
      <c r="AM159" s="9" t="str">
        <f t="shared" ref="AM159:AM160" si="3631">IF(AM$3="","",AL159)</f>
        <v/>
      </c>
      <c r="AN159" s="9" t="str">
        <f t="shared" ref="AN159:AN160" si="3632">IF(AN$3="","",AM159)</f>
        <v/>
      </c>
      <c r="AO159" s="9" t="str">
        <f t="shared" ref="AO159:AO160" si="3633">IF(AO$3="","",AN159)</f>
        <v/>
      </c>
      <c r="AP159" s="9" t="str">
        <f t="shared" ref="AP159:AP160" si="3634">IF(AP$3="","",AO159)</f>
        <v/>
      </c>
      <c r="AQ159" s="9" t="str">
        <f t="shared" ref="AQ159:AQ160" si="3635">IF(AQ$3="","",AP159)</f>
        <v/>
      </c>
      <c r="AR159" s="9" t="str">
        <f t="shared" ref="AR159:AR160" si="3636">IF(AR$3="","",AQ159)</f>
        <v/>
      </c>
      <c r="AS159" s="9" t="str">
        <f t="shared" ref="AS159:AS160" si="3637">IF(AS$3="","",AR159)</f>
        <v/>
      </c>
      <c r="AT159" s="9" t="str">
        <f t="shared" ref="AT159:AT160" si="3638">IF(AT$3="","",AS159)</f>
        <v/>
      </c>
      <c r="AU159" s="9" t="str">
        <f t="shared" ref="AU159:AU160" si="3639">IF(AU$3="","",AT159)</f>
        <v/>
      </c>
      <c r="AV159" s="9" t="str">
        <f t="shared" ref="AS159:BC159" si="3640">IF(AV$3="","",AU159)</f>
        <v/>
      </c>
      <c r="AW159" s="9" t="str">
        <f t="shared" si="3640"/>
        <v/>
      </c>
      <c r="AX159" s="9" t="str">
        <f t="shared" si="3640"/>
        <v/>
      </c>
      <c r="AY159" s="9" t="str">
        <f t="shared" si="3640"/>
        <v/>
      </c>
      <c r="AZ159" s="9" t="str">
        <f t="shared" si="3640"/>
        <v/>
      </c>
      <c r="BA159" s="9" t="str">
        <f t="shared" si="3640"/>
        <v/>
      </c>
      <c r="BB159" s="9" t="str">
        <f t="shared" si="3640"/>
        <v/>
      </c>
      <c r="BC159" s="9" t="str">
        <f t="shared" si="3640"/>
        <v/>
      </c>
    </row>
    <row r="160" spans="1:55" ht="11.25" customHeight="1" x14ac:dyDescent="0.2">
      <c r="A160" s="10" t="s">
        <v>46</v>
      </c>
      <c r="B160" s="11" t="s">
        <v>4</v>
      </c>
      <c r="C160" s="123">
        <v>472</v>
      </c>
      <c r="D160" s="12">
        <f t="shared" si="3598"/>
        <v>472</v>
      </c>
      <c r="E160" s="12">
        <f t="shared" si="3599"/>
        <v>472</v>
      </c>
      <c r="F160" s="12">
        <v>479</v>
      </c>
      <c r="G160" s="195">
        <f t="shared" si="3600"/>
        <v>479</v>
      </c>
      <c r="H160" s="12">
        <f t="shared" si="3601"/>
        <v>479</v>
      </c>
      <c r="I160" s="12">
        <v>481</v>
      </c>
      <c r="J160" s="195">
        <f t="shared" si="3602"/>
        <v>481</v>
      </c>
      <c r="K160" s="12">
        <f t="shared" si="3603"/>
        <v>481</v>
      </c>
      <c r="L160" s="12">
        <f t="shared" si="3604"/>
        <v>481</v>
      </c>
      <c r="M160" s="12">
        <f t="shared" si="3605"/>
        <v>481</v>
      </c>
      <c r="N160" s="195" t="str">
        <f t="shared" si="3606"/>
        <v/>
      </c>
      <c r="O160" s="12" t="str">
        <f t="shared" si="3607"/>
        <v/>
      </c>
      <c r="P160" s="12" t="str">
        <f t="shared" si="3608"/>
        <v/>
      </c>
      <c r="Q160" s="12" t="str">
        <f t="shared" si="3609"/>
        <v/>
      </c>
      <c r="R160" s="12" t="str">
        <f t="shared" si="3610"/>
        <v/>
      </c>
      <c r="S160" s="12" t="str">
        <f t="shared" si="3611"/>
        <v/>
      </c>
      <c r="T160" s="12" t="str">
        <f t="shared" si="3612"/>
        <v/>
      </c>
      <c r="U160" s="12" t="str">
        <f t="shared" si="3613"/>
        <v/>
      </c>
      <c r="V160" s="12" t="str">
        <f t="shared" si="3614"/>
        <v/>
      </c>
      <c r="W160" s="12" t="str">
        <f t="shared" si="3615"/>
        <v/>
      </c>
      <c r="X160" s="12" t="str">
        <f t="shared" si="3616"/>
        <v/>
      </c>
      <c r="Y160" s="12" t="str">
        <f t="shared" si="3617"/>
        <v/>
      </c>
      <c r="Z160" s="12" t="str">
        <f t="shared" si="3618"/>
        <v/>
      </c>
      <c r="AA160" s="12" t="str">
        <f t="shared" si="3619"/>
        <v/>
      </c>
      <c r="AB160" s="12" t="str">
        <f t="shared" si="3620"/>
        <v/>
      </c>
      <c r="AC160" s="12" t="str">
        <f t="shared" si="3621"/>
        <v/>
      </c>
      <c r="AD160" s="12" t="str">
        <f t="shared" si="3622"/>
        <v/>
      </c>
      <c r="AE160" s="12" t="str">
        <f t="shared" si="3623"/>
        <v/>
      </c>
      <c r="AF160" s="12" t="str">
        <f t="shared" si="3624"/>
        <v/>
      </c>
      <c r="AG160" s="12" t="str">
        <f t="shared" si="3625"/>
        <v/>
      </c>
      <c r="AH160" s="12" t="str">
        <f t="shared" si="3626"/>
        <v/>
      </c>
      <c r="AI160" s="12" t="str">
        <f t="shared" si="3627"/>
        <v/>
      </c>
      <c r="AJ160" s="12" t="str">
        <f t="shared" si="3628"/>
        <v/>
      </c>
      <c r="AK160" s="12" t="str">
        <f t="shared" si="3629"/>
        <v/>
      </c>
      <c r="AL160" s="12" t="str">
        <f t="shared" si="3630"/>
        <v/>
      </c>
      <c r="AM160" s="12" t="str">
        <f t="shared" si="3631"/>
        <v/>
      </c>
      <c r="AN160" s="12" t="str">
        <f t="shared" si="3632"/>
        <v/>
      </c>
      <c r="AO160" s="12" t="str">
        <f t="shared" si="3633"/>
        <v/>
      </c>
      <c r="AP160" s="12" t="str">
        <f t="shared" si="3634"/>
        <v/>
      </c>
      <c r="AQ160" s="12" t="str">
        <f t="shared" si="3635"/>
        <v/>
      </c>
      <c r="AR160" s="12" t="str">
        <f t="shared" si="3636"/>
        <v/>
      </c>
      <c r="AS160" s="12" t="str">
        <f t="shared" si="3637"/>
        <v/>
      </c>
      <c r="AT160" s="12" t="str">
        <f t="shared" si="3638"/>
        <v/>
      </c>
      <c r="AU160" s="12" t="str">
        <f t="shared" si="3639"/>
        <v/>
      </c>
      <c r="AV160" s="12" t="str">
        <f t="shared" ref="AS160:BC160" si="3641">IF(AV$3="","",AU160)</f>
        <v/>
      </c>
      <c r="AW160" s="12" t="str">
        <f t="shared" si="3641"/>
        <v/>
      </c>
      <c r="AX160" s="12" t="str">
        <f t="shared" si="3641"/>
        <v/>
      </c>
      <c r="AY160" s="12" t="str">
        <f t="shared" si="3641"/>
        <v/>
      </c>
      <c r="AZ160" s="12" t="str">
        <f t="shared" si="3641"/>
        <v/>
      </c>
      <c r="BA160" s="12" t="str">
        <f t="shared" si="3641"/>
        <v/>
      </c>
      <c r="BB160" s="12" t="str">
        <f t="shared" si="3641"/>
        <v/>
      </c>
      <c r="BC160" s="12" t="str">
        <f t="shared" si="3641"/>
        <v/>
      </c>
    </row>
    <row r="161" spans="1:55" ht="11.25" customHeight="1" x14ac:dyDescent="0.25">
      <c r="A161" s="13"/>
      <c r="B161" s="11" t="s">
        <v>5</v>
      </c>
      <c r="C161" s="123">
        <v>19</v>
      </c>
      <c r="D161" s="12">
        <f t="shared" ref="D161" si="3642">IF(D159="","",(C161+C162))</f>
        <v>19</v>
      </c>
      <c r="E161" s="12">
        <f t="shared" ref="E161" si="3643">IF(E159="","",(D161+D162))</f>
        <v>19</v>
      </c>
      <c r="F161" s="12">
        <v>12</v>
      </c>
      <c r="G161" s="195">
        <f t="shared" ref="G161" si="3644">IF(G159="","",(F161+F162))</f>
        <v>19</v>
      </c>
      <c r="H161" s="12">
        <f t="shared" ref="H161" si="3645">IF(H159="","",(G161+G162))</f>
        <v>19</v>
      </c>
      <c r="I161" s="12">
        <v>16</v>
      </c>
      <c r="J161" s="195">
        <f t="shared" ref="J161" si="3646">IF(J159="","",(I161+I162))</f>
        <v>16</v>
      </c>
      <c r="K161" s="12">
        <f t="shared" ref="K161" si="3647">IF(K159="","",(J161+J162))</f>
        <v>16</v>
      </c>
      <c r="L161" s="12">
        <f t="shared" ref="L161" si="3648">IF(L159="","",(K161+K162))</f>
        <v>16</v>
      </c>
      <c r="M161" s="12">
        <f t="shared" ref="M161" si="3649">IF(M159="","",(L161+L162))</f>
        <v>16</v>
      </c>
      <c r="N161" s="195" t="str">
        <f t="shared" ref="N161" si="3650">IF(N159="","",(M161+M162))</f>
        <v/>
      </c>
      <c r="O161" s="12" t="str">
        <f t="shared" ref="O161" si="3651">IF(O159="","",(N161+N162))</f>
        <v/>
      </c>
      <c r="P161" s="12" t="str">
        <f t="shared" ref="P161" si="3652">IF(P159="","",(O161+O162))</f>
        <v/>
      </c>
      <c r="Q161" s="12" t="str">
        <f t="shared" ref="Q161" si="3653">IF(Q159="","",(P161+P162))</f>
        <v/>
      </c>
      <c r="R161" s="12" t="str">
        <f t="shared" ref="R161" si="3654">IF(R159="","",(Q161+Q162))</f>
        <v/>
      </c>
      <c r="S161" s="12" t="str">
        <f t="shared" ref="S161" si="3655">IF(S159="","",(R161+R162))</f>
        <v/>
      </c>
      <c r="T161" s="12" t="str">
        <f t="shared" ref="T161" si="3656">IF(T159="","",(S161+S162))</f>
        <v/>
      </c>
      <c r="U161" s="12" t="str">
        <f t="shared" ref="U161" si="3657">IF(U159="","",(T161+T162))</f>
        <v/>
      </c>
      <c r="V161" s="12" t="str">
        <f t="shared" ref="V161" si="3658">IF(V159="","",(U161+U162))</f>
        <v/>
      </c>
      <c r="W161" s="12" t="str">
        <f t="shared" ref="W161" si="3659">IF(W159="","",(V161+V162))</f>
        <v/>
      </c>
      <c r="X161" s="12" t="str">
        <f t="shared" ref="X161" si="3660">IF(X159="","",(W161+W162))</f>
        <v/>
      </c>
      <c r="Y161" s="12" t="str">
        <f t="shared" ref="Y161" si="3661">IF(Y159="","",(X161+X162))</f>
        <v/>
      </c>
      <c r="Z161" s="12" t="str">
        <f t="shared" ref="Z161" si="3662">IF(Z159="","",(Y161+Y162))</f>
        <v/>
      </c>
      <c r="AA161" s="12" t="str">
        <f t="shared" ref="AA161" si="3663">IF(AA159="","",(Z161+Z162))</f>
        <v/>
      </c>
      <c r="AB161" s="12" t="str">
        <f t="shared" ref="AB161" si="3664">IF(AB159="","",(AA161+AA162))</f>
        <v/>
      </c>
      <c r="AC161" s="12" t="str">
        <f t="shared" ref="AC161" si="3665">IF(AC159="","",(AB161+AB162))</f>
        <v/>
      </c>
      <c r="AD161" s="12" t="str">
        <f t="shared" ref="AD161" si="3666">IF(AD159="","",(AC161+AC162))</f>
        <v/>
      </c>
      <c r="AE161" s="12" t="str">
        <f t="shared" ref="AE161" si="3667">IF(AE159="","",(AD161+AD162))</f>
        <v/>
      </c>
      <c r="AF161" s="12" t="str">
        <f t="shared" ref="AF161" si="3668">IF(AF159="","",(AE161+AE162))</f>
        <v/>
      </c>
      <c r="AG161" s="12" t="str">
        <f t="shared" ref="AG161" si="3669">IF(AG159="","",(AF161+AF162))</f>
        <v/>
      </c>
      <c r="AH161" s="12" t="str">
        <f t="shared" ref="AH161" si="3670">IF(AH159="","",(AG161+AG162))</f>
        <v/>
      </c>
      <c r="AI161" s="12" t="str">
        <f t="shared" ref="AI161" si="3671">IF(AI159="","",(AH161+AH162))</f>
        <v/>
      </c>
      <c r="AJ161" s="12" t="str">
        <f t="shared" ref="AJ161" si="3672">IF(AJ159="","",(AI161+AI162))</f>
        <v/>
      </c>
      <c r="AK161" s="12" t="str">
        <f t="shared" ref="AK161" si="3673">IF(AK159="","",(AJ161+AJ162))</f>
        <v/>
      </c>
      <c r="AL161" s="12" t="str">
        <f t="shared" ref="AL161" si="3674">IF(AL159="","",(AK161+AK162))</f>
        <v/>
      </c>
      <c r="AM161" s="12" t="str">
        <f t="shared" ref="AM161" si="3675">IF(AM159="","",(AL161+AL162))</f>
        <v/>
      </c>
      <c r="AN161" s="12" t="str">
        <f t="shared" ref="AN161" si="3676">IF(AN159="","",(AM161+AM162))</f>
        <v/>
      </c>
      <c r="AO161" s="12" t="str">
        <f t="shared" ref="AO161" si="3677">IF(AO159="","",(AN161+AN162))</f>
        <v/>
      </c>
      <c r="AP161" s="12" t="str">
        <f t="shared" ref="AP161" si="3678">IF(AP159="","",(AO161+AO162))</f>
        <v/>
      </c>
      <c r="AQ161" s="12" t="str">
        <f t="shared" ref="AQ161" si="3679">IF(AQ159="","",(AP161+AP162))</f>
        <v/>
      </c>
      <c r="AR161" s="12" t="str">
        <f t="shared" ref="AR161" si="3680">IF(AR159="","",(AQ161+AQ162))</f>
        <v/>
      </c>
      <c r="AS161" s="12" t="str">
        <f t="shared" ref="AS161" si="3681">IF(AS159="","",(AR161+AR162))</f>
        <v/>
      </c>
      <c r="AT161" s="12" t="str">
        <f t="shared" ref="AT161" si="3682">IF(AT159="","",(AS161+AS162))</f>
        <v/>
      </c>
      <c r="AU161" s="12" t="str">
        <f t="shared" ref="AU161" si="3683">IF(AU159="","",(AT161+AT162))</f>
        <v/>
      </c>
      <c r="AV161" s="12" t="str">
        <f t="shared" ref="AS161:BC161" si="3684">IF(AV159="","",(AU161+AU162))</f>
        <v/>
      </c>
      <c r="AW161" s="12" t="str">
        <f t="shared" si="3684"/>
        <v/>
      </c>
      <c r="AX161" s="12" t="str">
        <f t="shared" si="3684"/>
        <v/>
      </c>
      <c r="AY161" s="12" t="str">
        <f t="shared" si="3684"/>
        <v/>
      </c>
      <c r="AZ161" s="12" t="str">
        <f t="shared" si="3684"/>
        <v/>
      </c>
      <c r="BA161" s="12" t="str">
        <f t="shared" si="3684"/>
        <v/>
      </c>
      <c r="BB161" s="12" t="str">
        <f t="shared" si="3684"/>
        <v/>
      </c>
      <c r="BC161" s="12" t="str">
        <f t="shared" si="3684"/>
        <v/>
      </c>
    </row>
    <row r="162" spans="1:55" ht="11.25" customHeight="1" x14ac:dyDescent="0.2">
      <c r="A162" s="14"/>
      <c r="B162" s="11" t="s">
        <v>6</v>
      </c>
      <c r="C162" s="123"/>
      <c r="D162" s="12"/>
      <c r="E162" s="12"/>
      <c r="F162" s="12">
        <v>7</v>
      </c>
      <c r="G162" s="195"/>
      <c r="H162" s="12"/>
      <c r="I162" s="12"/>
      <c r="J162" s="195"/>
      <c r="K162" s="12"/>
      <c r="L162" s="12"/>
      <c r="M162" s="12"/>
      <c r="N162" s="195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</row>
    <row r="163" spans="1:55" ht="11.25" customHeight="1" x14ac:dyDescent="0.2">
      <c r="A163" s="15"/>
      <c r="B163" s="11" t="s">
        <v>8</v>
      </c>
      <c r="C163" s="129">
        <v>1500</v>
      </c>
      <c r="D163" s="16">
        <f t="shared" ref="D163" si="3685">IF(D159="","",C163)</f>
        <v>1500</v>
      </c>
      <c r="E163" s="16">
        <f t="shared" ref="E163" si="3686">IF(E159="","",D163)</f>
        <v>1500</v>
      </c>
      <c r="F163" s="16">
        <f t="shared" ref="F163" si="3687">IF(F159="","",E163)</f>
        <v>1500</v>
      </c>
      <c r="G163" s="196">
        <f t="shared" ref="G163" si="3688">IF(G159="","",F163)</f>
        <v>1500</v>
      </c>
      <c r="H163" s="16">
        <f t="shared" ref="H163" si="3689">IF(H159="","",G163)</f>
        <v>1500</v>
      </c>
      <c r="I163" s="16">
        <f t="shared" ref="I163" si="3690">IF(I159="","",H163)</f>
        <v>1500</v>
      </c>
      <c r="J163" s="196">
        <f t="shared" ref="J163" si="3691">IF(J159="","",I163)</f>
        <v>1500</v>
      </c>
      <c r="K163" s="16">
        <f t="shared" ref="K163" si="3692">IF(K159="","",J163)</f>
        <v>1500</v>
      </c>
      <c r="L163" s="16">
        <f t="shared" ref="L163" si="3693">IF(L159="","",K163)</f>
        <v>1500</v>
      </c>
      <c r="M163" s="16">
        <f t="shared" ref="M163" si="3694">IF(M159="","",L163)</f>
        <v>1500</v>
      </c>
      <c r="N163" s="196" t="str">
        <f t="shared" ref="N163" si="3695">IF(N159="","",M163)</f>
        <v/>
      </c>
      <c r="O163" s="16" t="str">
        <f t="shared" ref="O163" si="3696">IF(O159="","",N163)</f>
        <v/>
      </c>
      <c r="P163" s="16" t="str">
        <f t="shared" ref="P163" si="3697">IF(P159="","",O163)</f>
        <v/>
      </c>
      <c r="Q163" s="16" t="str">
        <f t="shared" ref="Q163" si="3698">IF(Q159="","",P163)</f>
        <v/>
      </c>
      <c r="R163" s="16" t="str">
        <f t="shared" ref="R163" si="3699">IF(R159="","",Q163)</f>
        <v/>
      </c>
      <c r="S163" s="16" t="str">
        <f t="shared" ref="S163" si="3700">IF(S159="","",R163)</f>
        <v/>
      </c>
      <c r="T163" s="16" t="str">
        <f t="shared" ref="T163" si="3701">IF(T159="","",S163)</f>
        <v/>
      </c>
      <c r="U163" s="16" t="str">
        <f t="shared" ref="U163" si="3702">IF(U159="","",T163)</f>
        <v/>
      </c>
      <c r="V163" s="16" t="str">
        <f t="shared" ref="V163" si="3703">IF(V159="","",U163)</f>
        <v/>
      </c>
      <c r="W163" s="16" t="str">
        <f t="shared" ref="W163" si="3704">IF(W159="","",V163)</f>
        <v/>
      </c>
      <c r="X163" s="16" t="str">
        <f t="shared" ref="X163" si="3705">IF(X159="","",W163)</f>
        <v/>
      </c>
      <c r="Y163" s="16" t="str">
        <f t="shared" ref="Y163" si="3706">IF(Y159="","",X163)</f>
        <v/>
      </c>
      <c r="Z163" s="16" t="str">
        <f t="shared" ref="Z163" si="3707">IF(Z159="","",Y163)</f>
        <v/>
      </c>
      <c r="AA163" s="16" t="str">
        <f t="shared" ref="AA163" si="3708">IF(AA159="","",Z163)</f>
        <v/>
      </c>
      <c r="AB163" s="16" t="str">
        <f t="shared" ref="AB163" si="3709">IF(AB159="","",AA163)</f>
        <v/>
      </c>
      <c r="AC163" s="16" t="str">
        <f t="shared" ref="AC163" si="3710">IF(AC159="","",AB163)</f>
        <v/>
      </c>
      <c r="AD163" s="16" t="str">
        <f t="shared" ref="AD163" si="3711">IF(AD159="","",AC163)</f>
        <v/>
      </c>
      <c r="AE163" s="16" t="str">
        <f t="shared" ref="AE163" si="3712">IF(AE159="","",AD163)</f>
        <v/>
      </c>
      <c r="AF163" s="16" t="str">
        <f t="shared" ref="AF163" si="3713">IF(AF159="","",AE163)</f>
        <v/>
      </c>
      <c r="AG163" s="16" t="str">
        <f t="shared" ref="AG163" si="3714">IF(AG159="","",AF163)</f>
        <v/>
      </c>
      <c r="AH163" s="16" t="str">
        <f t="shared" ref="AH163" si="3715">IF(AH159="","",AG163)</f>
        <v/>
      </c>
      <c r="AI163" s="16" t="str">
        <f t="shared" ref="AI163" si="3716">IF(AI159="","",AH163)</f>
        <v/>
      </c>
      <c r="AJ163" s="16" t="str">
        <f t="shared" ref="AJ163" si="3717">IF(AJ159="","",AI163)</f>
        <v/>
      </c>
      <c r="AK163" s="16" t="str">
        <f t="shared" ref="AK163" si="3718">IF(AK159="","",AJ163)</f>
        <v/>
      </c>
      <c r="AL163" s="16" t="str">
        <f t="shared" ref="AL163" si="3719">IF(AL159="","",AK163)</f>
        <v/>
      </c>
      <c r="AM163" s="16" t="str">
        <f t="shared" ref="AM163" si="3720">IF(AM159="","",AL163)</f>
        <v/>
      </c>
      <c r="AN163" s="16" t="str">
        <f t="shared" ref="AN163" si="3721">IF(AN159="","",AM163)</f>
        <v/>
      </c>
      <c r="AO163" s="16" t="str">
        <f t="shared" ref="AO163" si="3722">IF(AO159="","",AN163)</f>
        <v/>
      </c>
      <c r="AP163" s="16" t="str">
        <f t="shared" ref="AP163" si="3723">IF(AP159="","",AO163)</f>
        <v/>
      </c>
      <c r="AQ163" s="16" t="str">
        <f t="shared" ref="AQ163" si="3724">IF(AQ159="","",AP163)</f>
        <v/>
      </c>
      <c r="AR163" s="16" t="str">
        <f t="shared" ref="AR163" si="3725">IF(AR159="","",AQ163)</f>
        <v/>
      </c>
      <c r="AS163" s="16" t="str">
        <f t="shared" ref="AS163" si="3726">IF(AS159="","",AR163)</f>
        <v/>
      </c>
      <c r="AT163" s="16" t="str">
        <f t="shared" ref="AT163" si="3727">IF(AT159="","",AS163)</f>
        <v/>
      </c>
      <c r="AU163" s="16" t="str">
        <f t="shared" ref="AU163" si="3728">IF(AU159="","",AT163)</f>
        <v/>
      </c>
      <c r="AV163" s="16" t="str">
        <f t="shared" ref="AS163:BC163" si="3729">IF(AV159="","",AU163)</f>
        <v/>
      </c>
      <c r="AW163" s="16" t="str">
        <f t="shared" si="3729"/>
        <v/>
      </c>
      <c r="AX163" s="16" t="str">
        <f t="shared" si="3729"/>
        <v/>
      </c>
      <c r="AY163" s="16" t="str">
        <f t="shared" si="3729"/>
        <v/>
      </c>
      <c r="AZ163" s="16" t="str">
        <f t="shared" si="3729"/>
        <v/>
      </c>
      <c r="BA163" s="16" t="str">
        <f t="shared" si="3729"/>
        <v/>
      </c>
      <c r="BB163" s="16" t="str">
        <f t="shared" si="3729"/>
        <v/>
      </c>
      <c r="BC163" s="16" t="str">
        <f t="shared" si="3729"/>
        <v/>
      </c>
    </row>
    <row r="164" spans="1:55" ht="11.25" customHeight="1" x14ac:dyDescent="0.2">
      <c r="A164" s="14" t="s">
        <v>9</v>
      </c>
      <c r="B164" s="17" t="s">
        <v>10</v>
      </c>
      <c r="C164" s="133" t="s">
        <v>215</v>
      </c>
      <c r="D164" s="18" t="str">
        <f t="shared" ref="D164" si="3730">IF(D159="","",C164)</f>
        <v>ボンドロ</v>
      </c>
      <c r="E164" s="18" t="str">
        <f t="shared" ref="E164" si="3731">IF(E159="","",D164)</f>
        <v>ボンドロ</v>
      </c>
      <c r="F164" s="18" t="str">
        <f t="shared" ref="F164" si="3732">IF(F159="","",E164)</f>
        <v>ボンドロ</v>
      </c>
      <c r="G164" s="197" t="str">
        <f t="shared" ref="G164" si="3733">IF(G159="","",F164)</f>
        <v>ボンドロ</v>
      </c>
      <c r="H164" s="18" t="str">
        <f t="shared" ref="H164" si="3734">IF(H159="","",G164)</f>
        <v>ボンドロ</v>
      </c>
      <c r="I164" s="18" t="str">
        <f t="shared" ref="I164" si="3735">IF(I159="","",H164)</f>
        <v>ボンドロ</v>
      </c>
      <c r="J164" s="197" t="str">
        <f t="shared" ref="J164" si="3736">IF(J159="","",I164)</f>
        <v>ボンドロ</v>
      </c>
      <c r="K164" s="18" t="str">
        <f t="shared" ref="K164" si="3737">IF(K159="","",J164)</f>
        <v>ボンドロ</v>
      </c>
      <c r="L164" s="18" t="str">
        <f t="shared" ref="L164" si="3738">IF(L159="","",K164)</f>
        <v>ボンドロ</v>
      </c>
      <c r="M164" s="18" t="str">
        <f t="shared" ref="M164" si="3739">IF(M159="","",L164)</f>
        <v>ボンドロ</v>
      </c>
      <c r="N164" s="197" t="str">
        <f t="shared" ref="N164" si="3740">IF(N159="","",M164)</f>
        <v/>
      </c>
      <c r="O164" s="18" t="str">
        <f t="shared" ref="O164" si="3741">IF(O159="","",N164)</f>
        <v/>
      </c>
      <c r="P164" s="18" t="str">
        <f t="shared" ref="P164" si="3742">IF(P159="","",O164)</f>
        <v/>
      </c>
      <c r="Q164" s="18" t="str">
        <f t="shared" ref="Q164" si="3743">IF(Q159="","",P164)</f>
        <v/>
      </c>
      <c r="R164" s="18" t="str">
        <f t="shared" ref="R164" si="3744">IF(R159="","",Q164)</f>
        <v/>
      </c>
      <c r="S164" s="18" t="str">
        <f t="shared" ref="S164" si="3745">IF(S159="","",R164)</f>
        <v/>
      </c>
      <c r="T164" s="18" t="str">
        <f t="shared" ref="T164" si="3746">IF(T159="","",S164)</f>
        <v/>
      </c>
      <c r="U164" s="18" t="str">
        <f t="shared" ref="U164" si="3747">IF(U159="","",T164)</f>
        <v/>
      </c>
      <c r="V164" s="18" t="str">
        <f t="shared" ref="V164" si="3748">IF(V159="","",U164)</f>
        <v/>
      </c>
      <c r="W164" s="18" t="str">
        <f t="shared" ref="W164" si="3749">IF(W159="","",V164)</f>
        <v/>
      </c>
      <c r="X164" s="18" t="str">
        <f t="shared" ref="X164" si="3750">IF(X159="","",W164)</f>
        <v/>
      </c>
      <c r="Y164" s="18" t="str">
        <f t="shared" ref="Y164" si="3751">IF(Y159="","",X164)</f>
        <v/>
      </c>
      <c r="Z164" s="18" t="str">
        <f t="shared" ref="Z164" si="3752">IF(Z159="","",Y164)</f>
        <v/>
      </c>
      <c r="AA164" s="18" t="str">
        <f t="shared" ref="AA164" si="3753">IF(AA159="","",Z164)</f>
        <v/>
      </c>
      <c r="AB164" s="18" t="str">
        <f t="shared" ref="AB164" si="3754">IF(AB159="","",AA164)</f>
        <v/>
      </c>
      <c r="AC164" s="18" t="str">
        <f t="shared" ref="AC164" si="3755">IF(AC159="","",AB164)</f>
        <v/>
      </c>
      <c r="AD164" s="18" t="str">
        <f t="shared" ref="AD164" si="3756">IF(AD159="","",AC164)</f>
        <v/>
      </c>
      <c r="AE164" s="18" t="str">
        <f t="shared" ref="AE164" si="3757">IF(AE159="","",AD164)</f>
        <v/>
      </c>
      <c r="AF164" s="18" t="str">
        <f t="shared" ref="AF164" si="3758">IF(AF159="","",AE164)</f>
        <v/>
      </c>
      <c r="AG164" s="18" t="str">
        <f t="shared" ref="AG164" si="3759">IF(AG159="","",AF164)</f>
        <v/>
      </c>
      <c r="AH164" s="18" t="str">
        <f t="shared" ref="AH164" si="3760">IF(AH159="","",AG164)</f>
        <v/>
      </c>
      <c r="AI164" s="18" t="str">
        <f t="shared" ref="AI164" si="3761">IF(AI159="","",AH164)</f>
        <v/>
      </c>
      <c r="AJ164" s="18" t="str">
        <f t="shared" ref="AJ164" si="3762">IF(AJ159="","",AI164)</f>
        <v/>
      </c>
      <c r="AK164" s="18" t="str">
        <f t="shared" ref="AK164" si="3763">IF(AK159="","",AJ164)</f>
        <v/>
      </c>
      <c r="AL164" s="18" t="str">
        <f t="shared" ref="AL164" si="3764">IF(AL159="","",AK164)</f>
        <v/>
      </c>
      <c r="AM164" s="18" t="str">
        <f t="shared" ref="AM164" si="3765">IF(AM159="","",AL164)</f>
        <v/>
      </c>
      <c r="AN164" s="18" t="str">
        <f t="shared" ref="AN164" si="3766">IF(AN159="","",AM164)</f>
        <v/>
      </c>
      <c r="AO164" s="18" t="str">
        <f t="shared" ref="AO164" si="3767">IF(AO159="","",AN164)</f>
        <v/>
      </c>
      <c r="AP164" s="18" t="str">
        <f t="shared" ref="AP164" si="3768">IF(AP159="","",AO164)</f>
        <v/>
      </c>
      <c r="AQ164" s="18" t="str">
        <f t="shared" ref="AQ164" si="3769">IF(AQ159="","",AP164)</f>
        <v/>
      </c>
      <c r="AR164" s="18" t="str">
        <f t="shared" ref="AR164" si="3770">IF(AR159="","",AQ164)</f>
        <v/>
      </c>
      <c r="AS164" s="18" t="str">
        <f t="shared" ref="AS164" si="3771">IF(AS159="","",AR164)</f>
        <v/>
      </c>
      <c r="AT164" s="18" t="str">
        <f t="shared" ref="AT164" si="3772">IF(AT159="","",AS164)</f>
        <v/>
      </c>
      <c r="AU164" s="18" t="str">
        <f t="shared" ref="AU164" si="3773">IF(AU159="","",AT164)</f>
        <v/>
      </c>
      <c r="AV164" s="18" t="str">
        <f t="shared" ref="AS164:BC164" si="3774">IF(AV159="","",AU164)</f>
        <v/>
      </c>
      <c r="AW164" s="18" t="str">
        <f t="shared" si="3774"/>
        <v/>
      </c>
      <c r="AX164" s="18" t="str">
        <f t="shared" si="3774"/>
        <v/>
      </c>
      <c r="AY164" s="18" t="str">
        <f t="shared" si="3774"/>
        <v/>
      </c>
      <c r="AZ164" s="18" t="str">
        <f t="shared" si="3774"/>
        <v/>
      </c>
      <c r="BA164" s="18" t="str">
        <f t="shared" si="3774"/>
        <v/>
      </c>
      <c r="BB164" s="18" t="str">
        <f t="shared" si="3774"/>
        <v/>
      </c>
      <c r="BC164" s="18" t="str">
        <f t="shared" si="3774"/>
        <v/>
      </c>
    </row>
    <row r="165" spans="1:55" ht="11.25" customHeight="1" x14ac:dyDescent="0.2">
      <c r="A165" s="15">
        <f>AVERAGE(C166:AS166)*30*100</f>
        <v>220636.36363636365</v>
      </c>
      <c r="B165" s="11" t="s">
        <v>12</v>
      </c>
      <c r="C165" s="123"/>
      <c r="D165" s="12"/>
      <c r="E165" s="12"/>
      <c r="F165" s="12"/>
      <c r="G165" s="195"/>
      <c r="H165" s="12"/>
      <c r="I165" s="12"/>
      <c r="J165" s="195"/>
      <c r="K165" s="12"/>
      <c r="L165" s="12"/>
      <c r="M165" s="12"/>
      <c r="N165" s="195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</row>
    <row r="166" spans="1:55" ht="11.25" customHeight="1" x14ac:dyDescent="0.2">
      <c r="A166" s="15">
        <f t="shared" ref="A166:A169" si="3775">SUM(C166:AS166)</f>
        <v>809</v>
      </c>
      <c r="B166" s="19" t="s">
        <v>13</v>
      </c>
      <c r="C166" s="123">
        <v>0</v>
      </c>
      <c r="D166" s="20">
        <f t="shared" ref="D166:D167" si="3776">IF(D159="","",D159-C159)</f>
        <v>0</v>
      </c>
      <c r="E166" s="20">
        <f t="shared" ref="E166:E167" si="3777">IF(E159="","",E159-D159)</f>
        <v>0</v>
      </c>
      <c r="F166" s="20">
        <f t="shared" ref="F166:F167" si="3778">IF(F159="","",F159-E159)</f>
        <v>556</v>
      </c>
      <c r="G166" s="195">
        <f t="shared" ref="G166:G167" si="3779">IF(G159="","",G159-F159)</f>
        <v>0</v>
      </c>
      <c r="H166" s="20">
        <f t="shared" ref="H166:H167" si="3780">IF(H159="","",H159-G159)</f>
        <v>0</v>
      </c>
      <c r="I166" s="20">
        <f t="shared" ref="I166:I167" si="3781">IF(I159="","",I159-H159)</f>
        <v>253</v>
      </c>
      <c r="J166" s="195">
        <f t="shared" ref="J166:J167" si="3782">IF(J159="","",J159-I159)</f>
        <v>0</v>
      </c>
      <c r="K166" s="20">
        <f t="shared" ref="K166:K167" si="3783">IF(K159="","",K159-J159)</f>
        <v>0</v>
      </c>
      <c r="L166" s="20">
        <f t="shared" ref="L166:L167" si="3784">IF(L159="","",L159-K159)</f>
        <v>0</v>
      </c>
      <c r="M166" s="20">
        <f t="shared" ref="M166:M167" si="3785">IF(M159="","",M159-L159)</f>
        <v>0</v>
      </c>
      <c r="N166" s="195" t="str">
        <f t="shared" ref="N166:N167" si="3786">IF(N159="","",N159-M159)</f>
        <v/>
      </c>
      <c r="O166" s="20" t="str">
        <f t="shared" ref="O166:O167" si="3787">IF(O159="","",O159-N159)</f>
        <v/>
      </c>
      <c r="P166" s="20" t="str">
        <f t="shared" ref="P166:P167" si="3788">IF(P159="","",P159-O159)</f>
        <v/>
      </c>
      <c r="Q166" s="20" t="str">
        <f t="shared" ref="Q166:Q167" si="3789">IF(Q159="","",Q159-P159)</f>
        <v/>
      </c>
      <c r="R166" s="20" t="str">
        <f t="shared" ref="R166:R167" si="3790">IF(R159="","",R159-Q159)</f>
        <v/>
      </c>
      <c r="S166" s="20" t="str">
        <f t="shared" ref="S166:S167" si="3791">IF(S159="","",S159-R159)</f>
        <v/>
      </c>
      <c r="T166" s="20" t="str">
        <f t="shared" ref="T166:T167" si="3792">IF(T159="","",T159-S159)</f>
        <v/>
      </c>
      <c r="U166" s="20" t="str">
        <f t="shared" ref="U166:U167" si="3793">IF(U159="","",U159-T159)</f>
        <v/>
      </c>
      <c r="V166" s="20" t="str">
        <f t="shared" ref="V166:V167" si="3794">IF(V159="","",V159-U159)</f>
        <v/>
      </c>
      <c r="W166" s="20" t="str">
        <f t="shared" ref="W166:W167" si="3795">IF(W159="","",W159-V159)</f>
        <v/>
      </c>
      <c r="X166" s="20" t="str">
        <f t="shared" ref="X166:X167" si="3796">IF(X159="","",X159-W159)</f>
        <v/>
      </c>
      <c r="Y166" s="20" t="str">
        <f t="shared" ref="Y166:Y167" si="3797">IF(Y159="","",Y159-X159)</f>
        <v/>
      </c>
      <c r="Z166" s="20" t="str">
        <f t="shared" ref="Z166:Z167" si="3798">IF(Z159="","",Z159-Y159)</f>
        <v/>
      </c>
      <c r="AA166" s="20" t="str">
        <f t="shared" ref="AA166:AA167" si="3799">IF(AA159="","",AA159-Z159)</f>
        <v/>
      </c>
      <c r="AB166" s="20" t="str">
        <f t="shared" ref="AB166:AB167" si="3800">IF(AB159="","",AB159-AA159)</f>
        <v/>
      </c>
      <c r="AC166" s="20" t="str">
        <f t="shared" ref="AC166:AC167" si="3801">IF(AC159="","",AC159-AB159)</f>
        <v/>
      </c>
      <c r="AD166" s="20" t="str">
        <f t="shared" ref="AD166:AD167" si="3802">IF(AD159="","",AD159-AC159)</f>
        <v/>
      </c>
      <c r="AE166" s="20" t="str">
        <f t="shared" ref="AE166:AE167" si="3803">IF(AE159="","",AE159-AD159)</f>
        <v/>
      </c>
      <c r="AF166" s="20" t="str">
        <f t="shared" ref="AF166:AF167" si="3804">IF(AF159="","",AF159-AE159)</f>
        <v/>
      </c>
      <c r="AG166" s="20" t="str">
        <f t="shared" ref="AG166:AG167" si="3805">IF(AG159="","",AG159-AF159)</f>
        <v/>
      </c>
      <c r="AH166" s="20" t="str">
        <f t="shared" ref="AH166:AH167" si="3806">IF(AH159="","",AH159-AG159)</f>
        <v/>
      </c>
      <c r="AI166" s="20" t="str">
        <f t="shared" ref="AI166:AI167" si="3807">IF(AI159="","",AI159-AH159)</f>
        <v/>
      </c>
      <c r="AJ166" s="20" t="str">
        <f t="shared" ref="AJ166:AJ167" si="3808">IF(AJ159="","",AJ159-AI159)</f>
        <v/>
      </c>
      <c r="AK166" s="20" t="str">
        <f t="shared" ref="AK166:AK167" si="3809">IF(AK159="","",AK159-AJ159)</f>
        <v/>
      </c>
      <c r="AL166" s="20" t="str">
        <f t="shared" ref="AL166:AL167" si="3810">IF(AL159="","",AL159-AK159)</f>
        <v/>
      </c>
      <c r="AM166" s="20" t="str">
        <f t="shared" ref="AM166:AM167" si="3811">IF(AM159="","",AM159-AL159)</f>
        <v/>
      </c>
      <c r="AN166" s="20" t="str">
        <f t="shared" ref="AN166:AN167" si="3812">IF(AN159="","",AN159-AM159)</f>
        <v/>
      </c>
      <c r="AO166" s="20" t="str">
        <f t="shared" ref="AO166:AO167" si="3813">IF(AO159="","",AO159-AN159)</f>
        <v/>
      </c>
      <c r="AP166" s="20" t="str">
        <f t="shared" ref="AP166:AP167" si="3814">IF(AP159="","",AP159-AO159)</f>
        <v/>
      </c>
      <c r="AQ166" s="20" t="str">
        <f t="shared" ref="AQ166:AQ167" si="3815">IF(AQ159="","",AQ159-AP159)</f>
        <v/>
      </c>
      <c r="AR166" s="20" t="str">
        <f t="shared" ref="AR166:AR167" si="3816">IF(AR159="","",AR159-AQ159)</f>
        <v/>
      </c>
      <c r="AS166" s="20" t="str">
        <f t="shared" ref="AS166:AS167" si="3817">IF(AS159="","",AS159-AR159)</f>
        <v/>
      </c>
      <c r="AT166" s="20" t="str">
        <f t="shared" ref="AT166:AT167" si="3818">IF(AT159="","",AT159-AS159)</f>
        <v/>
      </c>
      <c r="AU166" s="20" t="str">
        <f t="shared" ref="AU166:AU167" si="3819">IF(AU159="","",AU159-AT159)</f>
        <v/>
      </c>
      <c r="AV166" s="20" t="str">
        <f t="shared" ref="AS166:BC166" si="3820">IF(AV159="","",AV159-AU159)</f>
        <v/>
      </c>
      <c r="AW166" s="20" t="str">
        <f t="shared" si="3820"/>
        <v/>
      </c>
      <c r="AX166" s="20" t="str">
        <f t="shared" si="3820"/>
        <v/>
      </c>
      <c r="AY166" s="20" t="str">
        <f t="shared" si="3820"/>
        <v/>
      </c>
      <c r="AZ166" s="20" t="str">
        <f t="shared" si="3820"/>
        <v/>
      </c>
      <c r="BA166" s="20" t="str">
        <f t="shared" si="3820"/>
        <v/>
      </c>
      <c r="BB166" s="20" t="str">
        <f t="shared" si="3820"/>
        <v/>
      </c>
      <c r="BC166" s="20" t="str">
        <f t="shared" si="3820"/>
        <v/>
      </c>
    </row>
    <row r="167" spans="1:55" ht="11.25" customHeight="1" x14ac:dyDescent="0.2">
      <c r="A167" s="15">
        <f t="shared" si="3775"/>
        <v>9</v>
      </c>
      <c r="B167" s="19" t="s">
        <v>14</v>
      </c>
      <c r="C167" s="123">
        <v>0</v>
      </c>
      <c r="D167" s="20">
        <f t="shared" si="3776"/>
        <v>0</v>
      </c>
      <c r="E167" s="20">
        <f t="shared" si="3777"/>
        <v>0</v>
      </c>
      <c r="F167" s="20">
        <f t="shared" si="3778"/>
        <v>7</v>
      </c>
      <c r="G167" s="195">
        <f t="shared" si="3779"/>
        <v>0</v>
      </c>
      <c r="H167" s="20">
        <f t="shared" si="3780"/>
        <v>0</v>
      </c>
      <c r="I167" s="20">
        <f t="shared" si="3781"/>
        <v>2</v>
      </c>
      <c r="J167" s="195">
        <f t="shared" si="3782"/>
        <v>0</v>
      </c>
      <c r="K167" s="20">
        <f t="shared" si="3783"/>
        <v>0</v>
      </c>
      <c r="L167" s="20">
        <f t="shared" si="3784"/>
        <v>0</v>
      </c>
      <c r="M167" s="20">
        <f t="shared" si="3785"/>
        <v>0</v>
      </c>
      <c r="N167" s="195" t="str">
        <f t="shared" si="3786"/>
        <v/>
      </c>
      <c r="O167" s="20" t="str">
        <f t="shared" si="3787"/>
        <v/>
      </c>
      <c r="P167" s="20" t="str">
        <f t="shared" si="3788"/>
        <v/>
      </c>
      <c r="Q167" s="20" t="str">
        <f t="shared" si="3789"/>
        <v/>
      </c>
      <c r="R167" s="20" t="str">
        <f t="shared" si="3790"/>
        <v/>
      </c>
      <c r="S167" s="20" t="str">
        <f t="shared" si="3791"/>
        <v/>
      </c>
      <c r="T167" s="20" t="str">
        <f t="shared" si="3792"/>
        <v/>
      </c>
      <c r="U167" s="20" t="str">
        <f t="shared" si="3793"/>
        <v/>
      </c>
      <c r="V167" s="20" t="str">
        <f t="shared" si="3794"/>
        <v/>
      </c>
      <c r="W167" s="20" t="str">
        <f t="shared" si="3795"/>
        <v/>
      </c>
      <c r="X167" s="20" t="str">
        <f t="shared" si="3796"/>
        <v/>
      </c>
      <c r="Y167" s="20" t="str">
        <f t="shared" si="3797"/>
        <v/>
      </c>
      <c r="Z167" s="20" t="str">
        <f t="shared" si="3798"/>
        <v/>
      </c>
      <c r="AA167" s="20" t="str">
        <f t="shared" si="3799"/>
        <v/>
      </c>
      <c r="AB167" s="20" t="str">
        <f t="shared" si="3800"/>
        <v/>
      </c>
      <c r="AC167" s="20" t="str">
        <f t="shared" si="3801"/>
        <v/>
      </c>
      <c r="AD167" s="20" t="str">
        <f t="shared" si="3802"/>
        <v/>
      </c>
      <c r="AE167" s="20" t="str">
        <f t="shared" si="3803"/>
        <v/>
      </c>
      <c r="AF167" s="20" t="str">
        <f t="shared" si="3804"/>
        <v/>
      </c>
      <c r="AG167" s="20" t="str">
        <f t="shared" si="3805"/>
        <v/>
      </c>
      <c r="AH167" s="20" t="str">
        <f t="shared" si="3806"/>
        <v/>
      </c>
      <c r="AI167" s="20" t="str">
        <f t="shared" si="3807"/>
        <v/>
      </c>
      <c r="AJ167" s="20" t="str">
        <f t="shared" si="3808"/>
        <v/>
      </c>
      <c r="AK167" s="20" t="str">
        <f t="shared" si="3809"/>
        <v/>
      </c>
      <c r="AL167" s="20" t="str">
        <f t="shared" si="3810"/>
        <v/>
      </c>
      <c r="AM167" s="20" t="str">
        <f t="shared" si="3811"/>
        <v/>
      </c>
      <c r="AN167" s="20" t="str">
        <f t="shared" si="3812"/>
        <v/>
      </c>
      <c r="AO167" s="20" t="str">
        <f t="shared" si="3813"/>
        <v/>
      </c>
      <c r="AP167" s="20" t="str">
        <f t="shared" si="3814"/>
        <v/>
      </c>
      <c r="AQ167" s="20" t="str">
        <f t="shared" si="3815"/>
        <v/>
      </c>
      <c r="AR167" s="20" t="str">
        <f t="shared" si="3816"/>
        <v/>
      </c>
      <c r="AS167" s="20" t="str">
        <f t="shared" si="3817"/>
        <v/>
      </c>
      <c r="AT167" s="20" t="str">
        <f t="shared" si="3818"/>
        <v/>
      </c>
      <c r="AU167" s="20" t="str">
        <f t="shared" si="3819"/>
        <v/>
      </c>
      <c r="AV167" s="20" t="str">
        <f t="shared" ref="AS167:BC167" si="3821">IF(AV160="","",AV160-AU160)</f>
        <v/>
      </c>
      <c r="AW167" s="20" t="str">
        <f t="shared" si="3821"/>
        <v/>
      </c>
      <c r="AX167" s="20" t="str">
        <f t="shared" si="3821"/>
        <v/>
      </c>
      <c r="AY167" s="20" t="str">
        <f t="shared" si="3821"/>
        <v/>
      </c>
      <c r="AZ167" s="20" t="str">
        <f t="shared" si="3821"/>
        <v/>
      </c>
      <c r="BA167" s="20" t="str">
        <f t="shared" si="3821"/>
        <v/>
      </c>
      <c r="BB167" s="20" t="str">
        <f t="shared" si="3821"/>
        <v/>
      </c>
      <c r="BC167" s="20" t="str">
        <f t="shared" si="3821"/>
        <v/>
      </c>
    </row>
    <row r="168" spans="1:55" ht="11.25" customHeight="1" x14ac:dyDescent="0.2">
      <c r="A168" s="15">
        <f t="shared" si="3775"/>
        <v>10</v>
      </c>
      <c r="B168" s="19" t="s">
        <v>15</v>
      </c>
      <c r="C168" s="123">
        <v>0</v>
      </c>
      <c r="D168" s="20">
        <f t="shared" ref="D168" si="3822">IF(D161="","",C161+C162-D161)</f>
        <v>0</v>
      </c>
      <c r="E168" s="20">
        <f t="shared" ref="E168" si="3823">IF(E161="","",D161+D162-E161)</f>
        <v>0</v>
      </c>
      <c r="F168" s="20">
        <f t="shared" ref="F168" si="3824">IF(F161="","",E161+E162-F161)</f>
        <v>7</v>
      </c>
      <c r="G168" s="195">
        <f t="shared" ref="G168" si="3825">IF(G161="","",F161+F162-G161)</f>
        <v>0</v>
      </c>
      <c r="H168" s="20">
        <f t="shared" ref="H168" si="3826">IF(H161="","",G161+G162-H161)</f>
        <v>0</v>
      </c>
      <c r="I168" s="20">
        <f t="shared" ref="I168" si="3827">IF(I161="","",H161+H162-I161)</f>
        <v>3</v>
      </c>
      <c r="J168" s="195">
        <f t="shared" ref="J168" si="3828">IF(J161="","",I161+I162-J161)</f>
        <v>0</v>
      </c>
      <c r="K168" s="20">
        <f t="shared" ref="K168" si="3829">IF(K161="","",J161+J162-K161)</f>
        <v>0</v>
      </c>
      <c r="L168" s="20">
        <f t="shared" ref="L168" si="3830">IF(L161="","",K161+K162-L161)</f>
        <v>0</v>
      </c>
      <c r="M168" s="20">
        <f t="shared" ref="M168" si="3831">IF(M161="","",L161+L162-M161)</f>
        <v>0</v>
      </c>
      <c r="N168" s="195" t="str">
        <f t="shared" ref="N168" si="3832">IF(N161="","",M161+M162-N161)</f>
        <v/>
      </c>
      <c r="O168" s="20" t="str">
        <f t="shared" ref="O168" si="3833">IF(O161="","",N161+N162-O161)</f>
        <v/>
      </c>
      <c r="P168" s="20" t="str">
        <f t="shared" ref="P168" si="3834">IF(P161="","",O161+O162-P161)</f>
        <v/>
      </c>
      <c r="Q168" s="20" t="str">
        <f t="shared" ref="Q168" si="3835">IF(Q161="","",P161+P162-Q161)</f>
        <v/>
      </c>
      <c r="R168" s="20" t="str">
        <f t="shared" ref="R168" si="3836">IF(R161="","",Q161+Q162-R161)</f>
        <v/>
      </c>
      <c r="S168" s="20" t="str">
        <f t="shared" ref="S168" si="3837">IF(S161="","",R161+R162-S161)</f>
        <v/>
      </c>
      <c r="T168" s="20" t="str">
        <f t="shared" ref="T168" si="3838">IF(T161="","",S161+S162-T161)</f>
        <v/>
      </c>
      <c r="U168" s="20" t="str">
        <f t="shared" ref="U168" si="3839">IF(U161="","",T161+T162-U161)</f>
        <v/>
      </c>
      <c r="V168" s="20" t="str">
        <f t="shared" ref="V168" si="3840">IF(V161="","",U161+U162-V161)</f>
        <v/>
      </c>
      <c r="W168" s="20" t="str">
        <f t="shared" ref="W168" si="3841">IF(W161="","",V161+V162-W161)</f>
        <v/>
      </c>
      <c r="X168" s="20" t="str">
        <f t="shared" ref="X168" si="3842">IF(X161="","",W161+W162-X161)</f>
        <v/>
      </c>
      <c r="Y168" s="20" t="str">
        <f t="shared" ref="Y168" si="3843">IF(Y161="","",X161+X162-Y161)</f>
        <v/>
      </c>
      <c r="Z168" s="20" t="str">
        <f t="shared" ref="Z168" si="3844">IF(Z161="","",Y161+Y162-Z161)</f>
        <v/>
      </c>
      <c r="AA168" s="20" t="str">
        <f t="shared" ref="AA168" si="3845">IF(AA161="","",Z161+Z162-AA161)</f>
        <v/>
      </c>
      <c r="AB168" s="20" t="str">
        <f t="shared" ref="AB168" si="3846">IF(AB161="","",AA161+AA162-AB161)</f>
        <v/>
      </c>
      <c r="AC168" s="20" t="str">
        <f t="shared" ref="AC168" si="3847">IF(AC161="","",AB161+AB162-AC161)</f>
        <v/>
      </c>
      <c r="AD168" s="20" t="str">
        <f t="shared" ref="AD168" si="3848">IF(AD161="","",AC161+AC162-AD161)</f>
        <v/>
      </c>
      <c r="AE168" s="20" t="str">
        <f t="shared" ref="AE168" si="3849">IF(AE161="","",AD161+AD162-AE161)</f>
        <v/>
      </c>
      <c r="AF168" s="20" t="str">
        <f t="shared" ref="AF168" si="3850">IF(AF161="","",AE161+AE162-AF161)</f>
        <v/>
      </c>
      <c r="AG168" s="20" t="str">
        <f t="shared" ref="AG168" si="3851">IF(AG161="","",AF161+AF162-AG161)</f>
        <v/>
      </c>
      <c r="AH168" s="20" t="str">
        <f t="shared" ref="AH168" si="3852">IF(AH161="","",AG161+AG162-AH161)</f>
        <v/>
      </c>
      <c r="AI168" s="20" t="str">
        <f t="shared" ref="AI168" si="3853">IF(AI161="","",AH161+AH162-AI161)</f>
        <v/>
      </c>
      <c r="AJ168" s="20" t="str">
        <f t="shared" ref="AJ168" si="3854">IF(AJ161="","",AI161+AI162-AJ161)</f>
        <v/>
      </c>
      <c r="AK168" s="20" t="str">
        <f t="shared" ref="AK168" si="3855">IF(AK161="","",AJ161+AJ162-AK161)</f>
        <v/>
      </c>
      <c r="AL168" s="20" t="str">
        <f t="shared" ref="AL168" si="3856">IF(AL161="","",AK161+AK162-AL161)</f>
        <v/>
      </c>
      <c r="AM168" s="20" t="str">
        <f t="shared" ref="AM168" si="3857">IF(AM161="","",AL161+AL162-AM161)</f>
        <v/>
      </c>
      <c r="AN168" s="20" t="str">
        <f t="shared" ref="AN168" si="3858">IF(AN161="","",AM161+AM162-AN161)</f>
        <v/>
      </c>
      <c r="AO168" s="20" t="str">
        <f t="shared" ref="AO168" si="3859">IF(AO161="","",AN161+AN162-AO161)</f>
        <v/>
      </c>
      <c r="AP168" s="20" t="str">
        <f t="shared" ref="AP168" si="3860">IF(AP161="","",AO161+AO162-AP161)</f>
        <v/>
      </c>
      <c r="AQ168" s="20" t="str">
        <f t="shared" ref="AQ168" si="3861">IF(AQ161="","",AP161+AP162-AQ161)</f>
        <v/>
      </c>
      <c r="AR168" s="20" t="str">
        <f t="shared" ref="AR168" si="3862">IF(AR161="","",AQ161+AQ162-AR161)</f>
        <v/>
      </c>
      <c r="AS168" s="20" t="str">
        <f t="shared" ref="AS168" si="3863">IF(AS161="","",AR161+AR162-AS161)</f>
        <v/>
      </c>
      <c r="AT168" s="20" t="str">
        <f t="shared" ref="AT168" si="3864">IF(AT161="","",AS161+AS162-AT161)</f>
        <v/>
      </c>
      <c r="AU168" s="20" t="str">
        <f t="shared" ref="AU168" si="3865">IF(AU161="","",AT161+AT162-AU161)</f>
        <v/>
      </c>
      <c r="AV168" s="20" t="str">
        <f t="shared" ref="AS168:BC168" si="3866">IF(AV161="","",AU161+AU162-AV161)</f>
        <v/>
      </c>
      <c r="AW168" s="20" t="str">
        <f t="shared" si="3866"/>
        <v/>
      </c>
      <c r="AX168" s="20" t="str">
        <f t="shared" si="3866"/>
        <v/>
      </c>
      <c r="AY168" s="20" t="str">
        <f t="shared" si="3866"/>
        <v/>
      </c>
      <c r="AZ168" s="20" t="str">
        <f t="shared" si="3866"/>
        <v/>
      </c>
      <c r="BA168" s="20" t="str">
        <f t="shared" si="3866"/>
        <v/>
      </c>
      <c r="BB168" s="20" t="str">
        <f t="shared" si="3866"/>
        <v/>
      </c>
      <c r="BC168" s="20" t="str">
        <f t="shared" si="3866"/>
        <v/>
      </c>
    </row>
    <row r="169" spans="1:55" ht="11.25" customHeight="1" x14ac:dyDescent="0.2">
      <c r="A169" s="15">
        <f t="shared" si="3775"/>
        <v>15000</v>
      </c>
      <c r="B169" s="19" t="s">
        <v>16</v>
      </c>
      <c r="C169" s="123">
        <v>0</v>
      </c>
      <c r="D169" s="20">
        <f t="shared" ref="D169:AU169" si="3867">IF(D159="","",D168*D163)</f>
        <v>0</v>
      </c>
      <c r="E169" s="20">
        <f t="shared" si="3867"/>
        <v>0</v>
      </c>
      <c r="F169" s="20">
        <f t="shared" si="3867"/>
        <v>10500</v>
      </c>
      <c r="G169" s="195">
        <f t="shared" si="3867"/>
        <v>0</v>
      </c>
      <c r="H169" s="20">
        <f t="shared" si="3867"/>
        <v>0</v>
      </c>
      <c r="I169" s="20">
        <f t="shared" si="3867"/>
        <v>4500</v>
      </c>
      <c r="J169" s="195">
        <f t="shared" si="3867"/>
        <v>0</v>
      </c>
      <c r="K169" s="20">
        <f t="shared" si="3867"/>
        <v>0</v>
      </c>
      <c r="L169" s="20">
        <f t="shared" si="3867"/>
        <v>0</v>
      </c>
      <c r="M169" s="20">
        <f t="shared" si="3867"/>
        <v>0</v>
      </c>
      <c r="N169" s="195" t="str">
        <f t="shared" si="3867"/>
        <v/>
      </c>
      <c r="O169" s="20" t="str">
        <f t="shared" si="3867"/>
        <v/>
      </c>
      <c r="P169" s="20" t="str">
        <f t="shared" si="3867"/>
        <v/>
      </c>
      <c r="Q169" s="20" t="str">
        <f t="shared" si="3867"/>
        <v/>
      </c>
      <c r="R169" s="20" t="str">
        <f t="shared" si="3867"/>
        <v/>
      </c>
      <c r="S169" s="20" t="str">
        <f t="shared" si="3867"/>
        <v/>
      </c>
      <c r="T169" s="20" t="str">
        <f t="shared" si="3867"/>
        <v/>
      </c>
      <c r="U169" s="20" t="str">
        <f t="shared" si="3867"/>
        <v/>
      </c>
      <c r="V169" s="20" t="str">
        <f t="shared" si="3867"/>
        <v/>
      </c>
      <c r="W169" s="20" t="str">
        <f t="shared" si="3867"/>
        <v/>
      </c>
      <c r="X169" s="20" t="str">
        <f t="shared" si="3867"/>
        <v/>
      </c>
      <c r="Y169" s="20" t="str">
        <f t="shared" si="3867"/>
        <v/>
      </c>
      <c r="Z169" s="20" t="str">
        <f t="shared" si="3867"/>
        <v/>
      </c>
      <c r="AA169" s="20" t="str">
        <f t="shared" si="3867"/>
        <v/>
      </c>
      <c r="AB169" s="20" t="str">
        <f t="shared" si="3867"/>
        <v/>
      </c>
      <c r="AC169" s="20" t="str">
        <f t="shared" si="3867"/>
        <v/>
      </c>
      <c r="AD169" s="20" t="str">
        <f t="shared" si="3867"/>
        <v/>
      </c>
      <c r="AE169" s="20" t="str">
        <f t="shared" si="3867"/>
        <v/>
      </c>
      <c r="AF169" s="20" t="str">
        <f t="shared" si="3867"/>
        <v/>
      </c>
      <c r="AG169" s="20" t="str">
        <f t="shared" si="3867"/>
        <v/>
      </c>
      <c r="AH169" s="20" t="str">
        <f t="shared" si="3867"/>
        <v/>
      </c>
      <c r="AI169" s="20" t="str">
        <f t="shared" si="3867"/>
        <v/>
      </c>
      <c r="AJ169" s="20" t="str">
        <f t="shared" si="3867"/>
        <v/>
      </c>
      <c r="AK169" s="20" t="str">
        <f t="shared" si="3867"/>
        <v/>
      </c>
      <c r="AL169" s="20" t="str">
        <f t="shared" si="3867"/>
        <v/>
      </c>
      <c r="AM169" s="20" t="str">
        <f t="shared" si="3867"/>
        <v/>
      </c>
      <c r="AN169" s="20" t="str">
        <f t="shared" si="3867"/>
        <v/>
      </c>
      <c r="AO169" s="20" t="str">
        <f t="shared" si="3867"/>
        <v/>
      </c>
      <c r="AP169" s="20" t="str">
        <f t="shared" si="3867"/>
        <v/>
      </c>
      <c r="AQ169" s="20" t="str">
        <f t="shared" si="3867"/>
        <v/>
      </c>
      <c r="AR169" s="20" t="str">
        <f t="shared" si="3867"/>
        <v/>
      </c>
      <c r="AS169" s="20" t="str">
        <f t="shared" si="3867"/>
        <v/>
      </c>
      <c r="AT169" s="20" t="str">
        <f t="shared" si="3867"/>
        <v/>
      </c>
      <c r="AU169" s="20" t="str">
        <f t="shared" si="3867"/>
        <v/>
      </c>
      <c r="AV169" s="20" t="str">
        <f t="shared" ref="AS169:BC169" si="3868">IF(AV159="","",AV168*AV163)</f>
        <v/>
      </c>
      <c r="AW169" s="20" t="str">
        <f t="shared" si="3868"/>
        <v/>
      </c>
      <c r="AX169" s="20" t="str">
        <f t="shared" si="3868"/>
        <v/>
      </c>
      <c r="AY169" s="20" t="str">
        <f t="shared" si="3868"/>
        <v/>
      </c>
      <c r="AZ169" s="20" t="str">
        <f t="shared" si="3868"/>
        <v/>
      </c>
      <c r="BA169" s="20" t="str">
        <f t="shared" si="3868"/>
        <v/>
      </c>
      <c r="BB169" s="20" t="str">
        <f t="shared" si="3868"/>
        <v/>
      </c>
      <c r="BC169" s="20" t="str">
        <f t="shared" si="3868"/>
        <v/>
      </c>
    </row>
    <row r="170" spans="1:55" ht="11.25" customHeight="1" thickBot="1" x14ac:dyDescent="0.25">
      <c r="A170" s="21">
        <f>IF(A169="","",A169/(A166*100))</f>
        <v>0.18541409147095178</v>
      </c>
      <c r="B170" s="22" t="s">
        <v>17</v>
      </c>
      <c r="C170" s="140" t="s">
        <v>18</v>
      </c>
      <c r="D170" s="23" t="str">
        <f t="shared" ref="D170:AU170" si="3869">IF(D169="","",IF(D169=0,"",D169/(D166*100)))</f>
        <v/>
      </c>
      <c r="E170" s="23" t="str">
        <f t="shared" si="3869"/>
        <v/>
      </c>
      <c r="F170" s="23">
        <f t="shared" si="3869"/>
        <v>0.18884892086330934</v>
      </c>
      <c r="G170" s="198" t="str">
        <f t="shared" si="3869"/>
        <v/>
      </c>
      <c r="H170" s="23" t="str">
        <f t="shared" si="3869"/>
        <v/>
      </c>
      <c r="I170" s="23">
        <f t="shared" si="3869"/>
        <v>0.17786561264822134</v>
      </c>
      <c r="J170" s="198" t="str">
        <f t="shared" si="3869"/>
        <v/>
      </c>
      <c r="K170" s="23" t="str">
        <f t="shared" si="3869"/>
        <v/>
      </c>
      <c r="L170" s="23" t="str">
        <f t="shared" si="3869"/>
        <v/>
      </c>
      <c r="M170" s="23" t="str">
        <f t="shared" si="3869"/>
        <v/>
      </c>
      <c r="N170" s="198" t="str">
        <f t="shared" si="3869"/>
        <v/>
      </c>
      <c r="O170" s="23" t="str">
        <f t="shared" si="3869"/>
        <v/>
      </c>
      <c r="P170" s="23" t="str">
        <f t="shared" si="3869"/>
        <v/>
      </c>
      <c r="Q170" s="23" t="str">
        <f t="shared" si="3869"/>
        <v/>
      </c>
      <c r="R170" s="23" t="str">
        <f t="shared" si="3869"/>
        <v/>
      </c>
      <c r="S170" s="23" t="str">
        <f t="shared" si="3869"/>
        <v/>
      </c>
      <c r="T170" s="23" t="str">
        <f t="shared" si="3869"/>
        <v/>
      </c>
      <c r="U170" s="23" t="str">
        <f t="shared" si="3869"/>
        <v/>
      </c>
      <c r="V170" s="23" t="str">
        <f t="shared" si="3869"/>
        <v/>
      </c>
      <c r="W170" s="23" t="str">
        <f t="shared" si="3869"/>
        <v/>
      </c>
      <c r="X170" s="23" t="str">
        <f t="shared" si="3869"/>
        <v/>
      </c>
      <c r="Y170" s="23" t="str">
        <f t="shared" si="3869"/>
        <v/>
      </c>
      <c r="Z170" s="23" t="str">
        <f t="shared" si="3869"/>
        <v/>
      </c>
      <c r="AA170" s="23" t="str">
        <f t="shared" si="3869"/>
        <v/>
      </c>
      <c r="AB170" s="23" t="str">
        <f t="shared" si="3869"/>
        <v/>
      </c>
      <c r="AC170" s="23" t="str">
        <f t="shared" si="3869"/>
        <v/>
      </c>
      <c r="AD170" s="23" t="str">
        <f t="shared" si="3869"/>
        <v/>
      </c>
      <c r="AE170" s="23" t="str">
        <f t="shared" si="3869"/>
        <v/>
      </c>
      <c r="AF170" s="23" t="str">
        <f t="shared" si="3869"/>
        <v/>
      </c>
      <c r="AG170" s="23" t="str">
        <f t="shared" si="3869"/>
        <v/>
      </c>
      <c r="AH170" s="23" t="str">
        <f t="shared" si="3869"/>
        <v/>
      </c>
      <c r="AI170" s="23" t="str">
        <f t="shared" si="3869"/>
        <v/>
      </c>
      <c r="AJ170" s="23" t="str">
        <f t="shared" si="3869"/>
        <v/>
      </c>
      <c r="AK170" s="23" t="str">
        <f t="shared" si="3869"/>
        <v/>
      </c>
      <c r="AL170" s="23" t="str">
        <f t="shared" si="3869"/>
        <v/>
      </c>
      <c r="AM170" s="23" t="str">
        <f t="shared" si="3869"/>
        <v/>
      </c>
      <c r="AN170" s="23" t="str">
        <f t="shared" si="3869"/>
        <v/>
      </c>
      <c r="AO170" s="23" t="str">
        <f t="shared" si="3869"/>
        <v/>
      </c>
      <c r="AP170" s="23" t="str">
        <f t="shared" si="3869"/>
        <v/>
      </c>
      <c r="AQ170" s="23" t="str">
        <f t="shared" si="3869"/>
        <v/>
      </c>
      <c r="AR170" s="23" t="str">
        <f t="shared" si="3869"/>
        <v/>
      </c>
      <c r="AS170" s="23" t="str">
        <f t="shared" si="3869"/>
        <v/>
      </c>
      <c r="AT170" s="23" t="str">
        <f t="shared" si="3869"/>
        <v/>
      </c>
      <c r="AU170" s="23" t="str">
        <f t="shared" si="3869"/>
        <v/>
      </c>
      <c r="AV170" s="23" t="str">
        <f t="shared" ref="AS170:BC170" si="3870">IF(AV169="","",IF(AV169=0,"",AV169/(AV166*100)))</f>
        <v/>
      </c>
      <c r="AW170" s="23" t="str">
        <f t="shared" si="3870"/>
        <v/>
      </c>
      <c r="AX170" s="23" t="str">
        <f t="shared" si="3870"/>
        <v/>
      </c>
      <c r="AY170" s="23" t="str">
        <f t="shared" si="3870"/>
        <v/>
      </c>
      <c r="AZ170" s="23" t="str">
        <f t="shared" si="3870"/>
        <v/>
      </c>
      <c r="BA170" s="23" t="str">
        <f t="shared" si="3870"/>
        <v/>
      </c>
      <c r="BB170" s="23" t="str">
        <f t="shared" si="3870"/>
        <v/>
      </c>
      <c r="BC170" s="23" t="str">
        <f t="shared" si="3870"/>
        <v/>
      </c>
    </row>
    <row r="171" spans="1:55" ht="11.25" customHeight="1" x14ac:dyDescent="0.2">
      <c r="A171" s="7" t="s">
        <v>1</v>
      </c>
      <c r="B171" s="8" t="s">
        <v>2</v>
      </c>
      <c r="C171" s="118">
        <v>14373</v>
      </c>
      <c r="D171" s="9">
        <f t="shared" ref="D171:D172" si="3871">IF(D$3="","",C171)</f>
        <v>14373</v>
      </c>
      <c r="E171" s="9">
        <f t="shared" ref="E171:E172" si="3872">IF(E$3="","",D171)</f>
        <v>14373</v>
      </c>
      <c r="F171" s="9">
        <v>14385</v>
      </c>
      <c r="G171" s="194">
        <f t="shared" ref="G171:G172" si="3873">IF(G$3="","",F171)</f>
        <v>14385</v>
      </c>
      <c r="H171" s="9">
        <f t="shared" ref="H171:H172" si="3874">IF(H$3="","",G171)</f>
        <v>14385</v>
      </c>
      <c r="I171" s="9">
        <v>14413</v>
      </c>
      <c r="J171" s="194">
        <f t="shared" ref="J171:J172" si="3875">IF(J$3="","",I171)</f>
        <v>14413</v>
      </c>
      <c r="K171" s="9">
        <f t="shared" ref="K171:K172" si="3876">IF(K$3="","",J171)</f>
        <v>14413</v>
      </c>
      <c r="L171" s="9">
        <f t="shared" ref="L171:L172" si="3877">IF(L$3="","",K171)</f>
        <v>14413</v>
      </c>
      <c r="M171" s="9">
        <f t="shared" ref="M171:M172" si="3878">IF(M$3="","",L171)</f>
        <v>14413</v>
      </c>
      <c r="N171" s="194" t="str">
        <f t="shared" ref="N171:N172" si="3879">IF(N$3="","",M171)</f>
        <v/>
      </c>
      <c r="O171" s="9" t="str">
        <f t="shared" ref="O171:O172" si="3880">IF(O$3="","",N171)</f>
        <v/>
      </c>
      <c r="P171" s="9" t="str">
        <f t="shared" ref="P171:P172" si="3881">IF(P$3="","",O171)</f>
        <v/>
      </c>
      <c r="Q171" s="9" t="str">
        <f t="shared" ref="Q171:Q172" si="3882">IF(Q$3="","",P171)</f>
        <v/>
      </c>
      <c r="R171" s="9" t="str">
        <f t="shared" ref="R171:R172" si="3883">IF(R$3="","",Q171)</f>
        <v/>
      </c>
      <c r="S171" s="9" t="str">
        <f t="shared" ref="S171:S172" si="3884">IF(S$3="","",R171)</f>
        <v/>
      </c>
      <c r="T171" s="9" t="str">
        <f t="shared" ref="T171:T172" si="3885">IF(T$3="","",S171)</f>
        <v/>
      </c>
      <c r="U171" s="9" t="str">
        <f t="shared" ref="U171:U172" si="3886">IF(U$3="","",T171)</f>
        <v/>
      </c>
      <c r="V171" s="9" t="str">
        <f t="shared" ref="V171:V172" si="3887">IF(V$3="","",U171)</f>
        <v/>
      </c>
      <c r="W171" s="9" t="str">
        <f t="shared" ref="W171:W172" si="3888">IF(W$3="","",V171)</f>
        <v/>
      </c>
      <c r="X171" s="9" t="str">
        <f t="shared" ref="X171:X172" si="3889">IF(X$3="","",W171)</f>
        <v/>
      </c>
      <c r="Y171" s="9" t="str">
        <f t="shared" ref="Y171:Y172" si="3890">IF(Y$3="","",X171)</f>
        <v/>
      </c>
      <c r="Z171" s="9" t="str">
        <f t="shared" ref="Z171:Z172" si="3891">IF(Z$3="","",Y171)</f>
        <v/>
      </c>
      <c r="AA171" s="9" t="str">
        <f t="shared" ref="AA171:AA172" si="3892">IF(AA$3="","",Z171)</f>
        <v/>
      </c>
      <c r="AB171" s="9" t="str">
        <f t="shared" ref="AB171:AB172" si="3893">IF(AB$3="","",AA171)</f>
        <v/>
      </c>
      <c r="AC171" s="9" t="str">
        <f t="shared" ref="AC171:AC172" si="3894">IF(AC$3="","",AB171)</f>
        <v/>
      </c>
      <c r="AD171" s="9" t="str">
        <f t="shared" ref="AD171:AD172" si="3895">IF(AD$3="","",AC171)</f>
        <v/>
      </c>
      <c r="AE171" s="9" t="str">
        <f t="shared" ref="AE171:AE172" si="3896">IF(AE$3="","",AD171)</f>
        <v/>
      </c>
      <c r="AF171" s="9" t="str">
        <f t="shared" ref="AF171:AF172" si="3897">IF(AF$3="","",AE171)</f>
        <v/>
      </c>
      <c r="AG171" s="9" t="str">
        <f t="shared" ref="AG171:AG172" si="3898">IF(AG$3="","",AF171)</f>
        <v/>
      </c>
      <c r="AH171" s="9" t="str">
        <f t="shared" ref="AH171:AH172" si="3899">IF(AH$3="","",AG171)</f>
        <v/>
      </c>
      <c r="AI171" s="9" t="str">
        <f t="shared" ref="AI171:AI172" si="3900">IF(AI$3="","",AH171)</f>
        <v/>
      </c>
      <c r="AJ171" s="9" t="str">
        <f t="shared" ref="AJ171:AJ172" si="3901">IF(AJ$3="","",AI171)</f>
        <v/>
      </c>
      <c r="AK171" s="9" t="str">
        <f t="shared" ref="AK171:AK172" si="3902">IF(AK$3="","",AJ171)</f>
        <v/>
      </c>
      <c r="AL171" s="9" t="str">
        <f t="shared" ref="AL171:AL172" si="3903">IF(AL$3="","",AK171)</f>
        <v/>
      </c>
      <c r="AM171" s="9" t="str">
        <f t="shared" ref="AM171:AM172" si="3904">IF(AM$3="","",AL171)</f>
        <v/>
      </c>
      <c r="AN171" s="9" t="str">
        <f t="shared" ref="AN171:AN172" si="3905">IF(AN$3="","",AM171)</f>
        <v/>
      </c>
      <c r="AO171" s="9" t="str">
        <f t="shared" ref="AO171:AO172" si="3906">IF(AO$3="","",AN171)</f>
        <v/>
      </c>
      <c r="AP171" s="9" t="str">
        <f t="shared" ref="AP171:AP172" si="3907">IF(AP$3="","",AO171)</f>
        <v/>
      </c>
      <c r="AQ171" s="9" t="str">
        <f t="shared" ref="AQ171:AQ172" si="3908">IF(AQ$3="","",AP171)</f>
        <v/>
      </c>
      <c r="AR171" s="9" t="str">
        <f t="shared" ref="AR171:AR172" si="3909">IF(AR$3="","",AQ171)</f>
        <v/>
      </c>
      <c r="AS171" s="9" t="str">
        <f t="shared" ref="AS171:AS172" si="3910">IF(AS$3="","",AR171)</f>
        <v/>
      </c>
      <c r="AT171" s="9" t="str">
        <f t="shared" ref="AT171:AT172" si="3911">IF(AT$3="","",AS171)</f>
        <v/>
      </c>
      <c r="AU171" s="9" t="str">
        <f t="shared" ref="AU171:AU172" si="3912">IF(AU$3="","",AT171)</f>
        <v/>
      </c>
      <c r="AV171" s="9" t="str">
        <f t="shared" ref="AS171:BC171" si="3913">IF(AV$3="","",AU171)</f>
        <v/>
      </c>
      <c r="AW171" s="9" t="str">
        <f t="shared" si="3913"/>
        <v/>
      </c>
      <c r="AX171" s="9" t="str">
        <f t="shared" si="3913"/>
        <v/>
      </c>
      <c r="AY171" s="9" t="str">
        <f t="shared" si="3913"/>
        <v/>
      </c>
      <c r="AZ171" s="9" t="str">
        <f t="shared" si="3913"/>
        <v/>
      </c>
      <c r="BA171" s="9" t="str">
        <f t="shared" si="3913"/>
        <v/>
      </c>
      <c r="BB171" s="9" t="str">
        <f t="shared" si="3913"/>
        <v/>
      </c>
      <c r="BC171" s="9" t="str">
        <f t="shared" si="3913"/>
        <v/>
      </c>
    </row>
    <row r="172" spans="1:55" ht="11.25" customHeight="1" x14ac:dyDescent="0.2">
      <c r="A172" s="10" t="s">
        <v>47</v>
      </c>
      <c r="B172" s="11" t="s">
        <v>4</v>
      </c>
      <c r="C172" s="123">
        <v>540</v>
      </c>
      <c r="D172" s="12">
        <f t="shared" si="3871"/>
        <v>540</v>
      </c>
      <c r="E172" s="12">
        <f t="shared" si="3872"/>
        <v>540</v>
      </c>
      <c r="F172" s="12">
        <f t="shared" ref="F172" si="3914">IF(F$3="","",E172)</f>
        <v>540</v>
      </c>
      <c r="G172" s="195">
        <f t="shared" si="3873"/>
        <v>540</v>
      </c>
      <c r="H172" s="12">
        <f t="shared" si="3874"/>
        <v>540</v>
      </c>
      <c r="I172" s="12">
        <f t="shared" ref="I171:I172" si="3915">IF(I$3="","",H172)</f>
        <v>540</v>
      </c>
      <c r="J172" s="195">
        <f t="shared" si="3875"/>
        <v>540</v>
      </c>
      <c r="K172" s="12">
        <f t="shared" si="3876"/>
        <v>540</v>
      </c>
      <c r="L172" s="12">
        <f t="shared" si="3877"/>
        <v>540</v>
      </c>
      <c r="M172" s="12">
        <f t="shared" si="3878"/>
        <v>540</v>
      </c>
      <c r="N172" s="195" t="str">
        <f t="shared" si="3879"/>
        <v/>
      </c>
      <c r="O172" s="12" t="str">
        <f t="shared" si="3880"/>
        <v/>
      </c>
      <c r="P172" s="12" t="str">
        <f t="shared" si="3881"/>
        <v/>
      </c>
      <c r="Q172" s="12" t="str">
        <f t="shared" si="3882"/>
        <v/>
      </c>
      <c r="R172" s="12" t="str">
        <f t="shared" si="3883"/>
        <v/>
      </c>
      <c r="S172" s="12" t="str">
        <f t="shared" si="3884"/>
        <v/>
      </c>
      <c r="T172" s="12" t="str">
        <f t="shared" si="3885"/>
        <v/>
      </c>
      <c r="U172" s="12" t="str">
        <f t="shared" si="3886"/>
        <v/>
      </c>
      <c r="V172" s="12" t="str">
        <f t="shared" si="3887"/>
        <v/>
      </c>
      <c r="W172" s="12" t="str">
        <f t="shared" si="3888"/>
        <v/>
      </c>
      <c r="X172" s="12" t="str">
        <f t="shared" si="3889"/>
        <v/>
      </c>
      <c r="Y172" s="12" t="str">
        <f t="shared" si="3890"/>
        <v/>
      </c>
      <c r="Z172" s="12" t="str">
        <f t="shared" si="3891"/>
        <v/>
      </c>
      <c r="AA172" s="12" t="str">
        <f t="shared" si="3892"/>
        <v/>
      </c>
      <c r="AB172" s="12" t="str">
        <f t="shared" si="3893"/>
        <v/>
      </c>
      <c r="AC172" s="12" t="str">
        <f t="shared" si="3894"/>
        <v/>
      </c>
      <c r="AD172" s="12" t="str">
        <f t="shared" si="3895"/>
        <v/>
      </c>
      <c r="AE172" s="12" t="str">
        <f t="shared" si="3896"/>
        <v/>
      </c>
      <c r="AF172" s="12" t="str">
        <f t="shared" si="3897"/>
        <v/>
      </c>
      <c r="AG172" s="12" t="str">
        <f t="shared" si="3898"/>
        <v/>
      </c>
      <c r="AH172" s="12" t="str">
        <f t="shared" si="3899"/>
        <v/>
      </c>
      <c r="AI172" s="12" t="str">
        <f t="shared" si="3900"/>
        <v/>
      </c>
      <c r="AJ172" s="12" t="str">
        <f t="shared" si="3901"/>
        <v/>
      </c>
      <c r="AK172" s="12" t="str">
        <f t="shared" si="3902"/>
        <v/>
      </c>
      <c r="AL172" s="12" t="str">
        <f t="shared" si="3903"/>
        <v/>
      </c>
      <c r="AM172" s="12" t="str">
        <f t="shared" si="3904"/>
        <v/>
      </c>
      <c r="AN172" s="12" t="str">
        <f t="shared" si="3905"/>
        <v/>
      </c>
      <c r="AO172" s="12" t="str">
        <f t="shared" si="3906"/>
        <v/>
      </c>
      <c r="AP172" s="12" t="str">
        <f t="shared" si="3907"/>
        <v/>
      </c>
      <c r="AQ172" s="12" t="str">
        <f t="shared" si="3908"/>
        <v/>
      </c>
      <c r="AR172" s="12" t="str">
        <f t="shared" si="3909"/>
        <v/>
      </c>
      <c r="AS172" s="12" t="str">
        <f t="shared" si="3910"/>
        <v/>
      </c>
      <c r="AT172" s="12" t="str">
        <f t="shared" si="3911"/>
        <v/>
      </c>
      <c r="AU172" s="12" t="str">
        <f t="shared" si="3912"/>
        <v/>
      </c>
      <c r="AV172" s="12" t="str">
        <f t="shared" ref="AS172:BC172" si="3916">IF(AV$3="","",AU172)</f>
        <v/>
      </c>
      <c r="AW172" s="12" t="str">
        <f t="shared" si="3916"/>
        <v/>
      </c>
      <c r="AX172" s="12" t="str">
        <f t="shared" si="3916"/>
        <v/>
      </c>
      <c r="AY172" s="12" t="str">
        <f t="shared" si="3916"/>
        <v/>
      </c>
      <c r="AZ172" s="12" t="str">
        <f t="shared" si="3916"/>
        <v/>
      </c>
      <c r="BA172" s="12" t="str">
        <f t="shared" si="3916"/>
        <v/>
      </c>
      <c r="BB172" s="12" t="str">
        <f t="shared" si="3916"/>
        <v/>
      </c>
      <c r="BC172" s="12" t="str">
        <f t="shared" si="3916"/>
        <v/>
      </c>
    </row>
    <row r="173" spans="1:55" ht="11.25" customHeight="1" x14ac:dyDescent="0.25">
      <c r="A173" s="13"/>
      <c r="B173" s="11" t="s">
        <v>5</v>
      </c>
      <c r="C173" s="123">
        <v>10</v>
      </c>
      <c r="D173" s="12">
        <f t="shared" ref="D173" si="3917">IF(D171="","",(C173+C174))</f>
        <v>10</v>
      </c>
      <c r="E173" s="12">
        <f t="shared" ref="E173" si="3918">IF(E171="","",(D173+D174))</f>
        <v>10</v>
      </c>
      <c r="F173" s="12">
        <f t="shared" ref="F173" si="3919">IF(F171="","",(E173+E174))</f>
        <v>10</v>
      </c>
      <c r="G173" s="195">
        <f t="shared" ref="G173" si="3920">IF(G171="","",(F173+F174))</f>
        <v>10</v>
      </c>
      <c r="H173" s="12">
        <f t="shared" ref="H173" si="3921">IF(H171="","",(G173+G174))</f>
        <v>10</v>
      </c>
      <c r="I173" s="12">
        <f t="shared" ref="I173" si="3922">IF(I171="","",(H173+H174))</f>
        <v>10</v>
      </c>
      <c r="J173" s="195">
        <f t="shared" ref="J173" si="3923">IF(J171="","",(I173+I174))</f>
        <v>13</v>
      </c>
      <c r="K173" s="12">
        <f t="shared" ref="K173" si="3924">IF(K171="","",(J173+J174))</f>
        <v>13</v>
      </c>
      <c r="L173" s="12">
        <f t="shared" ref="L173" si="3925">IF(L171="","",(K173+K174))</f>
        <v>13</v>
      </c>
      <c r="M173" s="12">
        <f t="shared" ref="M173" si="3926">IF(M171="","",(L173+L174))</f>
        <v>13</v>
      </c>
      <c r="N173" s="195" t="str">
        <f t="shared" ref="N173" si="3927">IF(N171="","",(M173+M174))</f>
        <v/>
      </c>
      <c r="O173" s="12" t="str">
        <f t="shared" ref="O173" si="3928">IF(O171="","",(N173+N174))</f>
        <v/>
      </c>
      <c r="P173" s="12" t="str">
        <f t="shared" ref="P173" si="3929">IF(P171="","",(O173+O174))</f>
        <v/>
      </c>
      <c r="Q173" s="12" t="str">
        <f t="shared" ref="Q173" si="3930">IF(Q171="","",(P173+P174))</f>
        <v/>
      </c>
      <c r="R173" s="12" t="str">
        <f t="shared" ref="R173" si="3931">IF(R171="","",(Q173+Q174))</f>
        <v/>
      </c>
      <c r="S173" s="12" t="str">
        <f t="shared" ref="S173" si="3932">IF(S171="","",(R173+R174))</f>
        <v/>
      </c>
      <c r="T173" s="12" t="str">
        <f t="shared" ref="T173" si="3933">IF(T171="","",(S173+S174))</f>
        <v/>
      </c>
      <c r="U173" s="12" t="str">
        <f t="shared" ref="U173" si="3934">IF(U171="","",(T173+T174))</f>
        <v/>
      </c>
      <c r="V173" s="12" t="str">
        <f t="shared" ref="V173" si="3935">IF(V171="","",(U173+U174))</f>
        <v/>
      </c>
      <c r="W173" s="12" t="str">
        <f t="shared" ref="W173" si="3936">IF(W171="","",(V173+V174))</f>
        <v/>
      </c>
      <c r="X173" s="12" t="str">
        <f t="shared" ref="X173" si="3937">IF(X171="","",(W173+W174))</f>
        <v/>
      </c>
      <c r="Y173" s="12" t="str">
        <f t="shared" ref="Y173" si="3938">IF(Y171="","",(X173+X174))</f>
        <v/>
      </c>
      <c r="Z173" s="12" t="str">
        <f t="shared" ref="Z173" si="3939">IF(Z171="","",(Y173+Y174))</f>
        <v/>
      </c>
      <c r="AA173" s="12" t="str">
        <f t="shared" ref="AA173" si="3940">IF(AA171="","",(Z173+Z174))</f>
        <v/>
      </c>
      <c r="AB173" s="12" t="str">
        <f t="shared" ref="AB173" si="3941">IF(AB171="","",(AA173+AA174))</f>
        <v/>
      </c>
      <c r="AC173" s="12" t="str">
        <f t="shared" ref="AC173" si="3942">IF(AC171="","",(AB173+AB174))</f>
        <v/>
      </c>
      <c r="AD173" s="12" t="str">
        <f t="shared" ref="AD173" si="3943">IF(AD171="","",(AC173+AC174))</f>
        <v/>
      </c>
      <c r="AE173" s="12" t="str">
        <f t="shared" ref="AE173" si="3944">IF(AE171="","",(AD173+AD174))</f>
        <v/>
      </c>
      <c r="AF173" s="12" t="str">
        <f t="shared" ref="AF173" si="3945">IF(AF171="","",(AE173+AE174))</f>
        <v/>
      </c>
      <c r="AG173" s="12" t="str">
        <f t="shared" ref="AG173" si="3946">IF(AG171="","",(AF173+AF174))</f>
        <v/>
      </c>
      <c r="AH173" s="12" t="str">
        <f t="shared" ref="AH173" si="3947">IF(AH171="","",(AG173+AG174))</f>
        <v/>
      </c>
      <c r="AI173" s="12" t="str">
        <f t="shared" ref="AI173" si="3948">IF(AI171="","",(AH173+AH174))</f>
        <v/>
      </c>
      <c r="AJ173" s="12" t="str">
        <f t="shared" ref="AJ173" si="3949">IF(AJ171="","",(AI173+AI174))</f>
        <v/>
      </c>
      <c r="AK173" s="12" t="str">
        <f t="shared" ref="AK173" si="3950">IF(AK171="","",(AJ173+AJ174))</f>
        <v/>
      </c>
      <c r="AL173" s="12" t="str">
        <f t="shared" ref="AL173" si="3951">IF(AL171="","",(AK173+AK174))</f>
        <v/>
      </c>
      <c r="AM173" s="12" t="str">
        <f t="shared" ref="AM173" si="3952">IF(AM171="","",(AL173+AL174))</f>
        <v/>
      </c>
      <c r="AN173" s="12" t="str">
        <f t="shared" ref="AN173" si="3953">IF(AN171="","",(AM173+AM174))</f>
        <v/>
      </c>
      <c r="AO173" s="12" t="str">
        <f t="shared" ref="AO173" si="3954">IF(AO171="","",(AN173+AN174))</f>
        <v/>
      </c>
      <c r="AP173" s="12" t="str">
        <f t="shared" ref="AP173" si="3955">IF(AP171="","",(AO173+AO174))</f>
        <v/>
      </c>
      <c r="AQ173" s="12" t="str">
        <f t="shared" ref="AQ173" si="3956">IF(AQ171="","",(AP173+AP174))</f>
        <v/>
      </c>
      <c r="AR173" s="12" t="str">
        <f t="shared" ref="AR173" si="3957">IF(AR171="","",(AQ173+AQ174))</f>
        <v/>
      </c>
      <c r="AS173" s="12" t="str">
        <f t="shared" ref="AS173" si="3958">IF(AS171="","",(AR173+AR174))</f>
        <v/>
      </c>
      <c r="AT173" s="12" t="str">
        <f t="shared" ref="AT173" si="3959">IF(AT171="","",(AS173+AS174))</f>
        <v/>
      </c>
      <c r="AU173" s="12" t="str">
        <f t="shared" ref="AU173" si="3960">IF(AU171="","",(AT173+AT174))</f>
        <v/>
      </c>
      <c r="AV173" s="12" t="str">
        <f t="shared" ref="AS173:BC173" si="3961">IF(AV171="","",(AU173+AU174))</f>
        <v/>
      </c>
      <c r="AW173" s="12" t="str">
        <f t="shared" si="3961"/>
        <v/>
      </c>
      <c r="AX173" s="12" t="str">
        <f t="shared" si="3961"/>
        <v/>
      </c>
      <c r="AY173" s="12" t="str">
        <f t="shared" si="3961"/>
        <v/>
      </c>
      <c r="AZ173" s="12" t="str">
        <f t="shared" si="3961"/>
        <v/>
      </c>
      <c r="BA173" s="12" t="str">
        <f t="shared" si="3961"/>
        <v/>
      </c>
      <c r="BB173" s="12" t="str">
        <f t="shared" si="3961"/>
        <v/>
      </c>
      <c r="BC173" s="12" t="str">
        <f t="shared" si="3961"/>
        <v/>
      </c>
    </row>
    <row r="174" spans="1:55" ht="11.25" customHeight="1" x14ac:dyDescent="0.2">
      <c r="A174" s="14"/>
      <c r="B174" s="11" t="s">
        <v>6</v>
      </c>
      <c r="C174" s="123"/>
      <c r="D174" s="12"/>
      <c r="E174" s="12"/>
      <c r="F174" s="12"/>
      <c r="G174" s="195"/>
      <c r="H174" s="12"/>
      <c r="I174" s="12">
        <v>3</v>
      </c>
      <c r="J174" s="195"/>
      <c r="K174" s="12"/>
      <c r="L174" s="12"/>
      <c r="M174" s="12"/>
      <c r="N174" s="195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</row>
    <row r="175" spans="1:55" ht="11.25" customHeight="1" x14ac:dyDescent="0.2">
      <c r="A175" s="15"/>
      <c r="B175" s="11" t="s">
        <v>8</v>
      </c>
      <c r="C175" s="129">
        <v>1100</v>
      </c>
      <c r="D175" s="16">
        <f t="shared" ref="D175" si="3962">IF(D171="","",C175)</f>
        <v>1100</v>
      </c>
      <c r="E175" s="16">
        <f t="shared" ref="E175" si="3963">IF(E171="","",D175)</f>
        <v>1100</v>
      </c>
      <c r="F175" s="16">
        <f t="shared" ref="F175" si="3964">IF(F171="","",E175)</f>
        <v>1100</v>
      </c>
      <c r="G175" s="196">
        <f t="shared" ref="G175" si="3965">IF(G171="","",F175)</f>
        <v>1100</v>
      </c>
      <c r="H175" s="16">
        <f t="shared" ref="H175" si="3966">IF(H171="","",G175)</f>
        <v>1100</v>
      </c>
      <c r="I175" s="16">
        <f t="shared" ref="I175" si="3967">IF(I171="","",H175)</f>
        <v>1100</v>
      </c>
      <c r="J175" s="196">
        <f t="shared" ref="J175" si="3968">IF(J171="","",I175)</f>
        <v>1100</v>
      </c>
      <c r="K175" s="16">
        <f t="shared" ref="K175" si="3969">IF(K171="","",J175)</f>
        <v>1100</v>
      </c>
      <c r="L175" s="16">
        <f t="shared" ref="L175" si="3970">IF(L171="","",K175)</f>
        <v>1100</v>
      </c>
      <c r="M175" s="16">
        <f t="shared" ref="M175" si="3971">IF(M171="","",L175)</f>
        <v>1100</v>
      </c>
      <c r="N175" s="196" t="str">
        <f t="shared" ref="N175" si="3972">IF(N171="","",M175)</f>
        <v/>
      </c>
      <c r="O175" s="16" t="str">
        <f t="shared" ref="O175" si="3973">IF(O171="","",N175)</f>
        <v/>
      </c>
      <c r="P175" s="16" t="str">
        <f t="shared" ref="P175" si="3974">IF(P171="","",O175)</f>
        <v/>
      </c>
      <c r="Q175" s="16" t="str">
        <f t="shared" ref="Q175" si="3975">IF(Q171="","",P175)</f>
        <v/>
      </c>
      <c r="R175" s="16" t="str">
        <f t="shared" ref="R175" si="3976">IF(R171="","",Q175)</f>
        <v/>
      </c>
      <c r="S175" s="16" t="str">
        <f t="shared" ref="S175" si="3977">IF(S171="","",R175)</f>
        <v/>
      </c>
      <c r="T175" s="16" t="str">
        <f t="shared" ref="T175" si="3978">IF(T171="","",S175)</f>
        <v/>
      </c>
      <c r="U175" s="16" t="str">
        <f t="shared" ref="U175" si="3979">IF(U171="","",T175)</f>
        <v/>
      </c>
      <c r="V175" s="16" t="str">
        <f t="shared" ref="V175" si="3980">IF(V171="","",U175)</f>
        <v/>
      </c>
      <c r="W175" s="16" t="str">
        <f t="shared" ref="W175" si="3981">IF(W171="","",V175)</f>
        <v/>
      </c>
      <c r="X175" s="16" t="str">
        <f t="shared" ref="X175" si="3982">IF(X171="","",W175)</f>
        <v/>
      </c>
      <c r="Y175" s="16" t="str">
        <f t="shared" ref="Y175" si="3983">IF(Y171="","",X175)</f>
        <v/>
      </c>
      <c r="Z175" s="16" t="str">
        <f t="shared" ref="Z175" si="3984">IF(Z171="","",Y175)</f>
        <v/>
      </c>
      <c r="AA175" s="16" t="str">
        <f t="shared" ref="AA175" si="3985">IF(AA171="","",Z175)</f>
        <v/>
      </c>
      <c r="AB175" s="16" t="str">
        <f t="shared" ref="AB175" si="3986">IF(AB171="","",AA175)</f>
        <v/>
      </c>
      <c r="AC175" s="16" t="str">
        <f t="shared" ref="AC175" si="3987">IF(AC171="","",AB175)</f>
        <v/>
      </c>
      <c r="AD175" s="16" t="str">
        <f t="shared" ref="AD175" si="3988">IF(AD171="","",AC175)</f>
        <v/>
      </c>
      <c r="AE175" s="16" t="str">
        <f t="shared" ref="AE175" si="3989">IF(AE171="","",AD175)</f>
        <v/>
      </c>
      <c r="AF175" s="16" t="str">
        <f t="shared" ref="AF175" si="3990">IF(AF171="","",AE175)</f>
        <v/>
      </c>
      <c r="AG175" s="16" t="str">
        <f t="shared" ref="AG175" si="3991">IF(AG171="","",AF175)</f>
        <v/>
      </c>
      <c r="AH175" s="16" t="str">
        <f t="shared" ref="AH175" si="3992">IF(AH171="","",AG175)</f>
        <v/>
      </c>
      <c r="AI175" s="16" t="str">
        <f t="shared" ref="AI175" si="3993">IF(AI171="","",AH175)</f>
        <v/>
      </c>
      <c r="AJ175" s="16" t="str">
        <f t="shared" ref="AJ175" si="3994">IF(AJ171="","",AI175)</f>
        <v/>
      </c>
      <c r="AK175" s="16" t="str">
        <f t="shared" ref="AK175" si="3995">IF(AK171="","",AJ175)</f>
        <v/>
      </c>
      <c r="AL175" s="16" t="str">
        <f t="shared" ref="AL175" si="3996">IF(AL171="","",AK175)</f>
        <v/>
      </c>
      <c r="AM175" s="16" t="str">
        <f t="shared" ref="AM175" si="3997">IF(AM171="","",AL175)</f>
        <v/>
      </c>
      <c r="AN175" s="16" t="str">
        <f t="shared" ref="AN175" si="3998">IF(AN171="","",AM175)</f>
        <v/>
      </c>
      <c r="AO175" s="16" t="str">
        <f t="shared" ref="AO175" si="3999">IF(AO171="","",AN175)</f>
        <v/>
      </c>
      <c r="AP175" s="16" t="str">
        <f t="shared" ref="AP175" si="4000">IF(AP171="","",AO175)</f>
        <v/>
      </c>
      <c r="AQ175" s="16" t="str">
        <f t="shared" ref="AQ175" si="4001">IF(AQ171="","",AP175)</f>
        <v/>
      </c>
      <c r="AR175" s="16" t="str">
        <f t="shared" ref="AR175" si="4002">IF(AR171="","",AQ175)</f>
        <v/>
      </c>
      <c r="AS175" s="16" t="str">
        <f t="shared" ref="AS175" si="4003">IF(AS171="","",AR175)</f>
        <v/>
      </c>
      <c r="AT175" s="16" t="str">
        <f t="shared" ref="AT175" si="4004">IF(AT171="","",AS175)</f>
        <v/>
      </c>
      <c r="AU175" s="16" t="str">
        <f t="shared" ref="AU175" si="4005">IF(AU171="","",AT175)</f>
        <v/>
      </c>
      <c r="AV175" s="16" t="str">
        <f t="shared" ref="AS175:BC175" si="4006">IF(AV171="","",AU175)</f>
        <v/>
      </c>
      <c r="AW175" s="16" t="str">
        <f t="shared" si="4006"/>
        <v/>
      </c>
      <c r="AX175" s="16" t="str">
        <f t="shared" si="4006"/>
        <v/>
      </c>
      <c r="AY175" s="16" t="str">
        <f t="shared" si="4006"/>
        <v/>
      </c>
      <c r="AZ175" s="16" t="str">
        <f t="shared" si="4006"/>
        <v/>
      </c>
      <c r="BA175" s="16" t="str">
        <f t="shared" si="4006"/>
        <v/>
      </c>
      <c r="BB175" s="16" t="str">
        <f t="shared" si="4006"/>
        <v/>
      </c>
      <c r="BC175" s="16" t="str">
        <f t="shared" si="4006"/>
        <v/>
      </c>
    </row>
    <row r="176" spans="1:55" ht="11.25" customHeight="1" x14ac:dyDescent="0.2">
      <c r="A176" s="14" t="s">
        <v>9</v>
      </c>
      <c r="B176" s="17" t="s">
        <v>10</v>
      </c>
      <c r="C176" s="133" t="s">
        <v>258</v>
      </c>
      <c r="D176" s="18" t="str">
        <f t="shared" ref="D176" si="4007">IF(D171="","",C176)</f>
        <v>極とろアイススクイーズ</v>
      </c>
      <c r="E176" s="18" t="str">
        <f t="shared" ref="E176" si="4008">IF(E171="","",D176)</f>
        <v>極とろアイススクイーズ</v>
      </c>
      <c r="F176" s="18" t="str">
        <f t="shared" ref="F176" si="4009">IF(F171="","",E176)</f>
        <v>極とろアイススクイーズ</v>
      </c>
      <c r="G176" s="197" t="str">
        <f t="shared" ref="G176" si="4010">IF(G171="","",F176)</f>
        <v>極とろアイススクイーズ</v>
      </c>
      <c r="H176" s="18" t="str">
        <f t="shared" ref="H176" si="4011">IF(H171="","",G176)</f>
        <v>極とろアイススクイーズ</v>
      </c>
      <c r="I176" s="18" t="str">
        <f t="shared" ref="I176" si="4012">IF(I171="","",H176)</f>
        <v>極とろアイススクイーズ</v>
      </c>
      <c r="J176" s="197" t="s">
        <v>290</v>
      </c>
      <c r="K176" s="18" t="str">
        <f t="shared" ref="K176" si="4013">IF(K171="","",J176)</f>
        <v>サンリオエナメルポーチ</v>
      </c>
      <c r="L176" s="18" t="str">
        <f t="shared" ref="L176" si="4014">IF(L171="","",K176)</f>
        <v>サンリオエナメルポーチ</v>
      </c>
      <c r="M176" s="18" t="str">
        <f t="shared" ref="M176" si="4015">IF(M171="","",L176)</f>
        <v>サンリオエナメルポーチ</v>
      </c>
      <c r="N176" s="197" t="str">
        <f t="shared" ref="N176" si="4016">IF(N171="","",M176)</f>
        <v/>
      </c>
      <c r="O176" s="18" t="str">
        <f t="shared" ref="O176" si="4017">IF(O171="","",N176)</f>
        <v/>
      </c>
      <c r="P176" s="18" t="str">
        <f t="shared" ref="P176" si="4018">IF(P171="","",O176)</f>
        <v/>
      </c>
      <c r="Q176" s="18" t="str">
        <f t="shared" ref="Q176" si="4019">IF(Q171="","",P176)</f>
        <v/>
      </c>
      <c r="R176" s="18" t="str">
        <f t="shared" ref="R176" si="4020">IF(R171="","",Q176)</f>
        <v/>
      </c>
      <c r="S176" s="18" t="str">
        <f t="shared" ref="S176" si="4021">IF(S171="","",R176)</f>
        <v/>
      </c>
      <c r="T176" s="18" t="str">
        <f t="shared" ref="T176" si="4022">IF(T171="","",S176)</f>
        <v/>
      </c>
      <c r="U176" s="18" t="str">
        <f t="shared" ref="U176" si="4023">IF(U171="","",T176)</f>
        <v/>
      </c>
      <c r="V176" s="18" t="str">
        <f t="shared" ref="V176" si="4024">IF(V171="","",U176)</f>
        <v/>
      </c>
      <c r="W176" s="18" t="str">
        <f t="shared" ref="W176" si="4025">IF(W171="","",V176)</f>
        <v/>
      </c>
      <c r="X176" s="18" t="str">
        <f t="shared" ref="X176" si="4026">IF(X171="","",W176)</f>
        <v/>
      </c>
      <c r="Y176" s="18" t="str">
        <f t="shared" ref="Y176" si="4027">IF(Y171="","",X176)</f>
        <v/>
      </c>
      <c r="Z176" s="18" t="str">
        <f t="shared" ref="Z176" si="4028">IF(Z171="","",Y176)</f>
        <v/>
      </c>
      <c r="AA176" s="18" t="str">
        <f t="shared" ref="AA176" si="4029">IF(AA171="","",Z176)</f>
        <v/>
      </c>
      <c r="AB176" s="18" t="str">
        <f t="shared" ref="AB176" si="4030">IF(AB171="","",AA176)</f>
        <v/>
      </c>
      <c r="AC176" s="18" t="str">
        <f t="shared" ref="AC176" si="4031">IF(AC171="","",AB176)</f>
        <v/>
      </c>
      <c r="AD176" s="18" t="str">
        <f t="shared" ref="AD176" si="4032">IF(AD171="","",AC176)</f>
        <v/>
      </c>
      <c r="AE176" s="18" t="str">
        <f t="shared" ref="AE176" si="4033">IF(AE171="","",AD176)</f>
        <v/>
      </c>
      <c r="AF176" s="18" t="str">
        <f t="shared" ref="AF176" si="4034">IF(AF171="","",AE176)</f>
        <v/>
      </c>
      <c r="AG176" s="18" t="str">
        <f t="shared" ref="AG176" si="4035">IF(AG171="","",AF176)</f>
        <v/>
      </c>
      <c r="AH176" s="18" t="str">
        <f t="shared" ref="AH176" si="4036">IF(AH171="","",AG176)</f>
        <v/>
      </c>
      <c r="AI176" s="18" t="str">
        <f t="shared" ref="AI176" si="4037">IF(AI171="","",AH176)</f>
        <v/>
      </c>
      <c r="AJ176" s="18" t="str">
        <f t="shared" ref="AJ176" si="4038">IF(AJ171="","",AI176)</f>
        <v/>
      </c>
      <c r="AK176" s="18" t="str">
        <f t="shared" ref="AK176" si="4039">IF(AK171="","",AJ176)</f>
        <v/>
      </c>
      <c r="AL176" s="18" t="str">
        <f t="shared" ref="AL176" si="4040">IF(AL171="","",AK176)</f>
        <v/>
      </c>
      <c r="AM176" s="18" t="str">
        <f t="shared" ref="AM176" si="4041">IF(AM171="","",AL176)</f>
        <v/>
      </c>
      <c r="AN176" s="18" t="str">
        <f t="shared" ref="AN176" si="4042">IF(AN171="","",AM176)</f>
        <v/>
      </c>
      <c r="AO176" s="18" t="str">
        <f t="shared" ref="AO176" si="4043">IF(AO171="","",AN176)</f>
        <v/>
      </c>
      <c r="AP176" s="18" t="str">
        <f t="shared" ref="AP176" si="4044">IF(AP171="","",AO176)</f>
        <v/>
      </c>
      <c r="AQ176" s="18" t="str">
        <f t="shared" ref="AQ176" si="4045">IF(AQ171="","",AP176)</f>
        <v/>
      </c>
      <c r="AR176" s="18" t="str">
        <f t="shared" ref="AR176" si="4046">IF(AR171="","",AQ176)</f>
        <v/>
      </c>
      <c r="AS176" s="18" t="str">
        <f t="shared" ref="AS176" si="4047">IF(AS171="","",AR176)</f>
        <v/>
      </c>
      <c r="AT176" s="18" t="str">
        <f t="shared" ref="AT176" si="4048">IF(AT171="","",AS176)</f>
        <v/>
      </c>
      <c r="AU176" s="18" t="str">
        <f t="shared" ref="AU176" si="4049">IF(AU171="","",AT176)</f>
        <v/>
      </c>
      <c r="AV176" s="18" t="str">
        <f t="shared" ref="AS176:BC176" si="4050">IF(AV171="","",AU176)</f>
        <v/>
      </c>
      <c r="AW176" s="18" t="str">
        <f t="shared" si="4050"/>
        <v/>
      </c>
      <c r="AX176" s="18" t="str">
        <f t="shared" si="4050"/>
        <v/>
      </c>
      <c r="AY176" s="18" t="str">
        <f t="shared" si="4050"/>
        <v/>
      </c>
      <c r="AZ176" s="18" t="str">
        <f t="shared" si="4050"/>
        <v/>
      </c>
      <c r="BA176" s="18" t="str">
        <f t="shared" si="4050"/>
        <v/>
      </c>
      <c r="BB176" s="18" t="str">
        <f t="shared" si="4050"/>
        <v/>
      </c>
      <c r="BC176" s="18" t="str">
        <f t="shared" si="4050"/>
        <v/>
      </c>
    </row>
    <row r="177" spans="1:55" ht="11.25" customHeight="1" x14ac:dyDescent="0.2">
      <c r="A177" s="15">
        <f>AVERAGE(C178:AS178)*30*100</f>
        <v>10909.09090909091</v>
      </c>
      <c r="B177" s="11" t="s">
        <v>12</v>
      </c>
      <c r="C177" s="123" t="s">
        <v>264</v>
      </c>
      <c r="D177" s="12"/>
      <c r="E177" s="12"/>
      <c r="F177" s="12"/>
      <c r="G177" s="195"/>
      <c r="H177" s="12"/>
      <c r="I177" s="12"/>
      <c r="J177" s="195" t="s">
        <v>291</v>
      </c>
      <c r="K177" s="12"/>
      <c r="L177" s="12"/>
      <c r="M177" s="12"/>
      <c r="N177" s="195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</row>
    <row r="178" spans="1:55" ht="11.25" customHeight="1" x14ac:dyDescent="0.2">
      <c r="A178" s="15">
        <f t="shared" ref="A178:A181" si="4051">SUM(C178:AS178)</f>
        <v>40</v>
      </c>
      <c r="B178" s="19" t="s">
        <v>13</v>
      </c>
      <c r="C178" s="123">
        <v>0</v>
      </c>
      <c r="D178" s="20">
        <f t="shared" ref="D178:D179" si="4052">IF(D171="","",D171-C171)</f>
        <v>0</v>
      </c>
      <c r="E178" s="20">
        <f t="shared" ref="E178:E179" si="4053">IF(E171="","",E171-D171)</f>
        <v>0</v>
      </c>
      <c r="F178" s="20">
        <f t="shared" ref="F178:F179" si="4054">IF(F171="","",F171-E171)</f>
        <v>12</v>
      </c>
      <c r="G178" s="195">
        <f t="shared" ref="G178:G179" si="4055">IF(G171="","",G171-F171)</f>
        <v>0</v>
      </c>
      <c r="H178" s="20">
        <f t="shared" ref="H178:H179" si="4056">IF(H171="","",H171-G171)</f>
        <v>0</v>
      </c>
      <c r="I178" s="20">
        <f t="shared" ref="I178:I179" si="4057">IF(I171="","",I171-H171)</f>
        <v>28</v>
      </c>
      <c r="J178" s="195">
        <f t="shared" ref="J178:J179" si="4058">IF(J171="","",J171-I171)</f>
        <v>0</v>
      </c>
      <c r="K178" s="20">
        <f t="shared" ref="K178:K179" si="4059">IF(K171="","",K171-J171)</f>
        <v>0</v>
      </c>
      <c r="L178" s="20">
        <f t="shared" ref="L178:L179" si="4060">IF(L171="","",L171-K171)</f>
        <v>0</v>
      </c>
      <c r="M178" s="20">
        <f t="shared" ref="M178:M179" si="4061">IF(M171="","",M171-L171)</f>
        <v>0</v>
      </c>
      <c r="N178" s="195" t="str">
        <f t="shared" ref="N178:N179" si="4062">IF(N171="","",N171-M171)</f>
        <v/>
      </c>
      <c r="O178" s="20" t="str">
        <f t="shared" ref="O178:O179" si="4063">IF(O171="","",O171-N171)</f>
        <v/>
      </c>
      <c r="P178" s="20" t="str">
        <f t="shared" ref="P178:P179" si="4064">IF(P171="","",P171-O171)</f>
        <v/>
      </c>
      <c r="Q178" s="20" t="str">
        <f t="shared" ref="Q178:Q179" si="4065">IF(Q171="","",Q171-P171)</f>
        <v/>
      </c>
      <c r="R178" s="20" t="str">
        <f t="shared" ref="R178:R179" si="4066">IF(R171="","",R171-Q171)</f>
        <v/>
      </c>
      <c r="S178" s="20" t="str">
        <f t="shared" ref="S178:S179" si="4067">IF(S171="","",S171-R171)</f>
        <v/>
      </c>
      <c r="T178" s="20" t="str">
        <f t="shared" ref="T178:T179" si="4068">IF(T171="","",T171-S171)</f>
        <v/>
      </c>
      <c r="U178" s="20" t="str">
        <f t="shared" ref="U178:U179" si="4069">IF(U171="","",U171-T171)</f>
        <v/>
      </c>
      <c r="V178" s="20" t="str">
        <f t="shared" ref="V178:V179" si="4070">IF(V171="","",V171-U171)</f>
        <v/>
      </c>
      <c r="W178" s="20" t="str">
        <f t="shared" ref="W178:W179" si="4071">IF(W171="","",W171-V171)</f>
        <v/>
      </c>
      <c r="X178" s="20" t="str">
        <f t="shared" ref="X178:X179" si="4072">IF(X171="","",X171-W171)</f>
        <v/>
      </c>
      <c r="Y178" s="20" t="str">
        <f t="shared" ref="Y178:Y179" si="4073">IF(Y171="","",Y171-X171)</f>
        <v/>
      </c>
      <c r="Z178" s="20" t="str">
        <f t="shared" ref="Z178:Z179" si="4074">IF(Z171="","",Z171-Y171)</f>
        <v/>
      </c>
      <c r="AA178" s="20" t="str">
        <f t="shared" ref="AA178:AA179" si="4075">IF(AA171="","",AA171-Z171)</f>
        <v/>
      </c>
      <c r="AB178" s="20" t="str">
        <f t="shared" ref="AB178:AB179" si="4076">IF(AB171="","",AB171-AA171)</f>
        <v/>
      </c>
      <c r="AC178" s="20" t="str">
        <f t="shared" ref="AC178:AC179" si="4077">IF(AC171="","",AC171-AB171)</f>
        <v/>
      </c>
      <c r="AD178" s="20" t="str">
        <f t="shared" ref="AD178:AD179" si="4078">IF(AD171="","",AD171-AC171)</f>
        <v/>
      </c>
      <c r="AE178" s="20" t="str">
        <f t="shared" ref="AE178:AE179" si="4079">IF(AE171="","",AE171-AD171)</f>
        <v/>
      </c>
      <c r="AF178" s="20" t="str">
        <f t="shared" ref="AF178:AF179" si="4080">IF(AF171="","",AF171-AE171)</f>
        <v/>
      </c>
      <c r="AG178" s="20" t="str">
        <f t="shared" ref="AG178:AG179" si="4081">IF(AG171="","",AG171-AF171)</f>
        <v/>
      </c>
      <c r="AH178" s="20" t="str">
        <f t="shared" ref="AH178:AH179" si="4082">IF(AH171="","",AH171-AG171)</f>
        <v/>
      </c>
      <c r="AI178" s="20" t="str">
        <f t="shared" ref="AI178:AI179" si="4083">IF(AI171="","",AI171-AH171)</f>
        <v/>
      </c>
      <c r="AJ178" s="20" t="str">
        <f t="shared" ref="AJ178:AJ179" si="4084">IF(AJ171="","",AJ171-AI171)</f>
        <v/>
      </c>
      <c r="AK178" s="20" t="str">
        <f t="shared" ref="AK178:AK179" si="4085">IF(AK171="","",AK171-AJ171)</f>
        <v/>
      </c>
      <c r="AL178" s="20" t="str">
        <f t="shared" ref="AL178:AL179" si="4086">IF(AL171="","",AL171-AK171)</f>
        <v/>
      </c>
      <c r="AM178" s="20" t="str">
        <f t="shared" ref="AM178:AM179" si="4087">IF(AM171="","",AM171-AL171)</f>
        <v/>
      </c>
      <c r="AN178" s="20" t="str">
        <f t="shared" ref="AN178:AN179" si="4088">IF(AN171="","",AN171-AM171)</f>
        <v/>
      </c>
      <c r="AO178" s="20" t="str">
        <f t="shared" ref="AO178:AO179" si="4089">IF(AO171="","",AO171-AN171)</f>
        <v/>
      </c>
      <c r="AP178" s="20" t="str">
        <f t="shared" ref="AP178:AP179" si="4090">IF(AP171="","",AP171-AO171)</f>
        <v/>
      </c>
      <c r="AQ178" s="20" t="str">
        <f t="shared" ref="AQ178:AQ179" si="4091">IF(AQ171="","",AQ171-AP171)</f>
        <v/>
      </c>
      <c r="AR178" s="20" t="str">
        <f t="shared" ref="AR178:AR179" si="4092">IF(AR171="","",AR171-AQ171)</f>
        <v/>
      </c>
      <c r="AS178" s="20" t="str">
        <f t="shared" ref="AS178:AS179" si="4093">IF(AS171="","",AS171-AR171)</f>
        <v/>
      </c>
      <c r="AT178" s="20" t="str">
        <f t="shared" ref="AT178:AT179" si="4094">IF(AT171="","",AT171-AS171)</f>
        <v/>
      </c>
      <c r="AU178" s="20" t="str">
        <f t="shared" ref="AU178:AU179" si="4095">IF(AU171="","",AU171-AT171)</f>
        <v/>
      </c>
      <c r="AV178" s="20" t="str">
        <f t="shared" ref="AS178:BC178" si="4096">IF(AV171="","",AV171-AU171)</f>
        <v/>
      </c>
      <c r="AW178" s="20" t="str">
        <f t="shared" si="4096"/>
        <v/>
      </c>
      <c r="AX178" s="20" t="str">
        <f t="shared" si="4096"/>
        <v/>
      </c>
      <c r="AY178" s="20" t="str">
        <f t="shared" si="4096"/>
        <v/>
      </c>
      <c r="AZ178" s="20" t="str">
        <f t="shared" si="4096"/>
        <v/>
      </c>
      <c r="BA178" s="20" t="str">
        <f t="shared" si="4096"/>
        <v/>
      </c>
      <c r="BB178" s="20" t="str">
        <f t="shared" si="4096"/>
        <v/>
      </c>
      <c r="BC178" s="20" t="str">
        <f t="shared" si="4096"/>
        <v/>
      </c>
    </row>
    <row r="179" spans="1:55" ht="11.25" customHeight="1" x14ac:dyDescent="0.2">
      <c r="A179" s="15">
        <f t="shared" si="4051"/>
        <v>0</v>
      </c>
      <c r="B179" s="19" t="s">
        <v>14</v>
      </c>
      <c r="C179" s="123">
        <v>0</v>
      </c>
      <c r="D179" s="20">
        <f t="shared" si="4052"/>
        <v>0</v>
      </c>
      <c r="E179" s="20">
        <f t="shared" si="4053"/>
        <v>0</v>
      </c>
      <c r="F179" s="20">
        <f t="shared" si="4054"/>
        <v>0</v>
      </c>
      <c r="G179" s="195">
        <f t="shared" si="4055"/>
        <v>0</v>
      </c>
      <c r="H179" s="20">
        <f t="shared" si="4056"/>
        <v>0</v>
      </c>
      <c r="I179" s="20">
        <f t="shared" si="4057"/>
        <v>0</v>
      </c>
      <c r="J179" s="195">
        <f t="shared" si="4058"/>
        <v>0</v>
      </c>
      <c r="K179" s="20">
        <f t="shared" si="4059"/>
        <v>0</v>
      </c>
      <c r="L179" s="20">
        <f t="shared" si="4060"/>
        <v>0</v>
      </c>
      <c r="M179" s="20">
        <f t="shared" si="4061"/>
        <v>0</v>
      </c>
      <c r="N179" s="195" t="str">
        <f t="shared" si="4062"/>
        <v/>
      </c>
      <c r="O179" s="20" t="str">
        <f t="shared" si="4063"/>
        <v/>
      </c>
      <c r="P179" s="20" t="str">
        <f t="shared" si="4064"/>
        <v/>
      </c>
      <c r="Q179" s="20" t="str">
        <f t="shared" si="4065"/>
        <v/>
      </c>
      <c r="R179" s="20" t="str">
        <f t="shared" si="4066"/>
        <v/>
      </c>
      <c r="S179" s="20" t="str">
        <f t="shared" si="4067"/>
        <v/>
      </c>
      <c r="T179" s="20" t="str">
        <f t="shared" si="4068"/>
        <v/>
      </c>
      <c r="U179" s="20" t="str">
        <f t="shared" si="4069"/>
        <v/>
      </c>
      <c r="V179" s="20" t="str">
        <f t="shared" si="4070"/>
        <v/>
      </c>
      <c r="W179" s="20" t="str">
        <f t="shared" si="4071"/>
        <v/>
      </c>
      <c r="X179" s="20" t="str">
        <f t="shared" si="4072"/>
        <v/>
      </c>
      <c r="Y179" s="20" t="str">
        <f t="shared" si="4073"/>
        <v/>
      </c>
      <c r="Z179" s="20" t="str">
        <f t="shared" si="4074"/>
        <v/>
      </c>
      <c r="AA179" s="20" t="str">
        <f t="shared" si="4075"/>
        <v/>
      </c>
      <c r="AB179" s="20" t="str">
        <f t="shared" si="4076"/>
        <v/>
      </c>
      <c r="AC179" s="20" t="str">
        <f t="shared" si="4077"/>
        <v/>
      </c>
      <c r="AD179" s="20" t="str">
        <f t="shared" si="4078"/>
        <v/>
      </c>
      <c r="AE179" s="20" t="str">
        <f t="shared" si="4079"/>
        <v/>
      </c>
      <c r="AF179" s="20" t="str">
        <f t="shared" si="4080"/>
        <v/>
      </c>
      <c r="AG179" s="20" t="str">
        <f t="shared" si="4081"/>
        <v/>
      </c>
      <c r="AH179" s="20" t="str">
        <f t="shared" si="4082"/>
        <v/>
      </c>
      <c r="AI179" s="20" t="str">
        <f t="shared" si="4083"/>
        <v/>
      </c>
      <c r="AJ179" s="20" t="str">
        <f t="shared" si="4084"/>
        <v/>
      </c>
      <c r="AK179" s="20" t="str">
        <f t="shared" si="4085"/>
        <v/>
      </c>
      <c r="AL179" s="20" t="str">
        <f t="shared" si="4086"/>
        <v/>
      </c>
      <c r="AM179" s="20" t="str">
        <f t="shared" si="4087"/>
        <v/>
      </c>
      <c r="AN179" s="20" t="str">
        <f t="shared" si="4088"/>
        <v/>
      </c>
      <c r="AO179" s="20" t="str">
        <f t="shared" si="4089"/>
        <v/>
      </c>
      <c r="AP179" s="20" t="str">
        <f t="shared" si="4090"/>
        <v/>
      </c>
      <c r="AQ179" s="20" t="str">
        <f t="shared" si="4091"/>
        <v/>
      </c>
      <c r="AR179" s="20" t="str">
        <f t="shared" si="4092"/>
        <v/>
      </c>
      <c r="AS179" s="20" t="str">
        <f t="shared" si="4093"/>
        <v/>
      </c>
      <c r="AT179" s="20" t="str">
        <f t="shared" si="4094"/>
        <v/>
      </c>
      <c r="AU179" s="20" t="str">
        <f t="shared" si="4095"/>
        <v/>
      </c>
      <c r="AV179" s="20" t="str">
        <f t="shared" ref="AS179:BC179" si="4097">IF(AV172="","",AV172-AU172)</f>
        <v/>
      </c>
      <c r="AW179" s="20" t="str">
        <f t="shared" si="4097"/>
        <v/>
      </c>
      <c r="AX179" s="20" t="str">
        <f t="shared" si="4097"/>
        <v/>
      </c>
      <c r="AY179" s="20" t="str">
        <f t="shared" si="4097"/>
        <v/>
      </c>
      <c r="AZ179" s="20" t="str">
        <f t="shared" si="4097"/>
        <v/>
      </c>
      <c r="BA179" s="20" t="str">
        <f t="shared" si="4097"/>
        <v/>
      </c>
      <c r="BB179" s="20" t="str">
        <f t="shared" si="4097"/>
        <v/>
      </c>
      <c r="BC179" s="20" t="str">
        <f t="shared" si="4097"/>
        <v/>
      </c>
    </row>
    <row r="180" spans="1:55" ht="11.25" customHeight="1" x14ac:dyDescent="0.2">
      <c r="A180" s="15">
        <f t="shared" si="4051"/>
        <v>0</v>
      </c>
      <c r="B180" s="19" t="s">
        <v>15</v>
      </c>
      <c r="C180" s="123">
        <v>0</v>
      </c>
      <c r="D180" s="20">
        <f t="shared" ref="D180" si="4098">IF(D173="","",C173+C174-D173)</f>
        <v>0</v>
      </c>
      <c r="E180" s="20">
        <f t="shared" ref="E180" si="4099">IF(E173="","",D173+D174-E173)</f>
        <v>0</v>
      </c>
      <c r="F180" s="20">
        <f t="shared" ref="F180" si="4100">IF(F173="","",E173+E174-F173)</f>
        <v>0</v>
      </c>
      <c r="G180" s="195">
        <f t="shared" ref="G180" si="4101">IF(G173="","",F173+F174-G173)</f>
        <v>0</v>
      </c>
      <c r="H180" s="20">
        <f t="shared" ref="H180" si="4102">IF(H173="","",G173+G174-H173)</f>
        <v>0</v>
      </c>
      <c r="I180" s="20">
        <f t="shared" ref="I180" si="4103">IF(I173="","",H173+H174-I173)</f>
        <v>0</v>
      </c>
      <c r="J180" s="195">
        <f t="shared" ref="J180" si="4104">IF(J173="","",I173+I174-J173)</f>
        <v>0</v>
      </c>
      <c r="K180" s="20">
        <f t="shared" ref="K180" si="4105">IF(K173="","",J173+J174-K173)</f>
        <v>0</v>
      </c>
      <c r="L180" s="20">
        <f t="shared" ref="L180" si="4106">IF(L173="","",K173+K174-L173)</f>
        <v>0</v>
      </c>
      <c r="M180" s="20">
        <f t="shared" ref="M180" si="4107">IF(M173="","",L173+L174-M173)</f>
        <v>0</v>
      </c>
      <c r="N180" s="195" t="str">
        <f t="shared" ref="N180" si="4108">IF(N173="","",M173+M174-N173)</f>
        <v/>
      </c>
      <c r="O180" s="20" t="str">
        <f t="shared" ref="O180" si="4109">IF(O173="","",N173+N174-O173)</f>
        <v/>
      </c>
      <c r="P180" s="20" t="str">
        <f t="shared" ref="P180" si="4110">IF(P173="","",O173+O174-P173)</f>
        <v/>
      </c>
      <c r="Q180" s="20" t="str">
        <f t="shared" ref="Q180" si="4111">IF(Q173="","",P173+P174-Q173)</f>
        <v/>
      </c>
      <c r="R180" s="20" t="str">
        <f t="shared" ref="R180" si="4112">IF(R173="","",Q173+Q174-R173)</f>
        <v/>
      </c>
      <c r="S180" s="20" t="str">
        <f t="shared" ref="S180" si="4113">IF(S173="","",R173+R174-S173)</f>
        <v/>
      </c>
      <c r="T180" s="20" t="str">
        <f t="shared" ref="T180" si="4114">IF(T173="","",S173+S174-T173)</f>
        <v/>
      </c>
      <c r="U180" s="20" t="str">
        <f t="shared" ref="U180" si="4115">IF(U173="","",T173+T174-U173)</f>
        <v/>
      </c>
      <c r="V180" s="20" t="str">
        <f t="shared" ref="V180" si="4116">IF(V173="","",U173+U174-V173)</f>
        <v/>
      </c>
      <c r="W180" s="20" t="str">
        <f t="shared" ref="W180" si="4117">IF(W173="","",V173+V174-W173)</f>
        <v/>
      </c>
      <c r="X180" s="20" t="str">
        <f t="shared" ref="X180" si="4118">IF(X173="","",W173+W174-X173)</f>
        <v/>
      </c>
      <c r="Y180" s="20" t="str">
        <f t="shared" ref="Y180" si="4119">IF(Y173="","",X173+X174-Y173)</f>
        <v/>
      </c>
      <c r="Z180" s="20" t="str">
        <f t="shared" ref="Z180" si="4120">IF(Z173="","",Y173+Y174-Z173)</f>
        <v/>
      </c>
      <c r="AA180" s="20" t="str">
        <f t="shared" ref="AA180" si="4121">IF(AA173="","",Z173+Z174-AA173)</f>
        <v/>
      </c>
      <c r="AB180" s="20" t="str">
        <f t="shared" ref="AB180" si="4122">IF(AB173="","",AA173+AA174-AB173)</f>
        <v/>
      </c>
      <c r="AC180" s="20" t="str">
        <f t="shared" ref="AC180" si="4123">IF(AC173="","",AB173+AB174-AC173)</f>
        <v/>
      </c>
      <c r="AD180" s="20" t="str">
        <f t="shared" ref="AD180" si="4124">IF(AD173="","",AC173+AC174-AD173)</f>
        <v/>
      </c>
      <c r="AE180" s="20" t="str">
        <f t="shared" ref="AE180" si="4125">IF(AE173="","",AD173+AD174-AE173)</f>
        <v/>
      </c>
      <c r="AF180" s="20" t="str">
        <f t="shared" ref="AF180" si="4126">IF(AF173="","",AE173+AE174-AF173)</f>
        <v/>
      </c>
      <c r="AG180" s="20" t="str">
        <f t="shared" ref="AG180" si="4127">IF(AG173="","",AF173+AF174-AG173)</f>
        <v/>
      </c>
      <c r="AH180" s="20" t="str">
        <f t="shared" ref="AH180" si="4128">IF(AH173="","",AG173+AG174-AH173)</f>
        <v/>
      </c>
      <c r="AI180" s="20" t="str">
        <f t="shared" ref="AI180" si="4129">IF(AI173="","",AH173+AH174-AI173)</f>
        <v/>
      </c>
      <c r="AJ180" s="20" t="str">
        <f t="shared" ref="AJ180" si="4130">IF(AJ173="","",AI173+AI174-AJ173)</f>
        <v/>
      </c>
      <c r="AK180" s="20" t="str">
        <f t="shared" ref="AK180" si="4131">IF(AK173="","",AJ173+AJ174-AK173)</f>
        <v/>
      </c>
      <c r="AL180" s="20" t="str">
        <f t="shared" ref="AL180" si="4132">IF(AL173="","",AK173+AK174-AL173)</f>
        <v/>
      </c>
      <c r="AM180" s="20" t="str">
        <f t="shared" ref="AM180" si="4133">IF(AM173="","",AL173+AL174-AM173)</f>
        <v/>
      </c>
      <c r="AN180" s="20" t="str">
        <f t="shared" ref="AN180" si="4134">IF(AN173="","",AM173+AM174-AN173)</f>
        <v/>
      </c>
      <c r="AO180" s="20" t="str">
        <f t="shared" ref="AO180" si="4135">IF(AO173="","",AN173+AN174-AO173)</f>
        <v/>
      </c>
      <c r="AP180" s="20" t="str">
        <f t="shared" ref="AP180" si="4136">IF(AP173="","",AO173+AO174-AP173)</f>
        <v/>
      </c>
      <c r="AQ180" s="20" t="str">
        <f t="shared" ref="AQ180" si="4137">IF(AQ173="","",AP173+AP174-AQ173)</f>
        <v/>
      </c>
      <c r="AR180" s="20" t="str">
        <f t="shared" ref="AR180" si="4138">IF(AR173="","",AQ173+AQ174-AR173)</f>
        <v/>
      </c>
      <c r="AS180" s="20" t="str">
        <f t="shared" ref="AS180" si="4139">IF(AS173="","",AR173+AR174-AS173)</f>
        <v/>
      </c>
      <c r="AT180" s="20" t="str">
        <f t="shared" ref="AT180" si="4140">IF(AT173="","",AS173+AS174-AT173)</f>
        <v/>
      </c>
      <c r="AU180" s="20" t="str">
        <f t="shared" ref="AU180" si="4141">IF(AU173="","",AT173+AT174-AU173)</f>
        <v/>
      </c>
      <c r="AV180" s="20" t="str">
        <f t="shared" ref="AS180:BC180" si="4142">IF(AV173="","",AU173+AU174-AV173)</f>
        <v/>
      </c>
      <c r="AW180" s="20" t="str">
        <f t="shared" si="4142"/>
        <v/>
      </c>
      <c r="AX180" s="20" t="str">
        <f t="shared" si="4142"/>
        <v/>
      </c>
      <c r="AY180" s="20" t="str">
        <f t="shared" si="4142"/>
        <v/>
      </c>
      <c r="AZ180" s="20" t="str">
        <f t="shared" si="4142"/>
        <v/>
      </c>
      <c r="BA180" s="20" t="str">
        <f t="shared" si="4142"/>
        <v/>
      </c>
      <c r="BB180" s="20" t="str">
        <f t="shared" si="4142"/>
        <v/>
      </c>
      <c r="BC180" s="20" t="str">
        <f t="shared" si="4142"/>
        <v/>
      </c>
    </row>
    <row r="181" spans="1:55" ht="11.25" customHeight="1" x14ac:dyDescent="0.2">
      <c r="A181" s="15">
        <f t="shared" si="4051"/>
        <v>0</v>
      </c>
      <c r="B181" s="19" t="s">
        <v>16</v>
      </c>
      <c r="C181" s="123">
        <v>0</v>
      </c>
      <c r="D181" s="20">
        <f t="shared" ref="D181:AU181" si="4143">IF(D171="","",D180*D175)</f>
        <v>0</v>
      </c>
      <c r="E181" s="20">
        <f t="shared" si="4143"/>
        <v>0</v>
      </c>
      <c r="F181" s="20">
        <f t="shared" si="4143"/>
        <v>0</v>
      </c>
      <c r="G181" s="195">
        <f t="shared" si="4143"/>
        <v>0</v>
      </c>
      <c r="H181" s="20">
        <f t="shared" si="4143"/>
        <v>0</v>
      </c>
      <c r="I181" s="20">
        <f t="shared" si="4143"/>
        <v>0</v>
      </c>
      <c r="J181" s="195">
        <f t="shared" si="4143"/>
        <v>0</v>
      </c>
      <c r="K181" s="20">
        <f t="shared" si="4143"/>
        <v>0</v>
      </c>
      <c r="L181" s="20">
        <f t="shared" si="4143"/>
        <v>0</v>
      </c>
      <c r="M181" s="20">
        <f t="shared" si="4143"/>
        <v>0</v>
      </c>
      <c r="N181" s="195" t="str">
        <f t="shared" si="4143"/>
        <v/>
      </c>
      <c r="O181" s="20" t="str">
        <f t="shared" si="4143"/>
        <v/>
      </c>
      <c r="P181" s="20" t="str">
        <f t="shared" si="4143"/>
        <v/>
      </c>
      <c r="Q181" s="20" t="str">
        <f t="shared" si="4143"/>
        <v/>
      </c>
      <c r="R181" s="20" t="str">
        <f t="shared" si="4143"/>
        <v/>
      </c>
      <c r="S181" s="20" t="str">
        <f t="shared" si="4143"/>
        <v/>
      </c>
      <c r="T181" s="20" t="str">
        <f t="shared" si="4143"/>
        <v/>
      </c>
      <c r="U181" s="20" t="str">
        <f t="shared" si="4143"/>
        <v/>
      </c>
      <c r="V181" s="20" t="str">
        <f t="shared" si="4143"/>
        <v/>
      </c>
      <c r="W181" s="20" t="str">
        <f t="shared" si="4143"/>
        <v/>
      </c>
      <c r="X181" s="20" t="str">
        <f t="shared" si="4143"/>
        <v/>
      </c>
      <c r="Y181" s="20" t="str">
        <f t="shared" si="4143"/>
        <v/>
      </c>
      <c r="Z181" s="20" t="str">
        <f t="shared" si="4143"/>
        <v/>
      </c>
      <c r="AA181" s="20" t="str">
        <f t="shared" si="4143"/>
        <v/>
      </c>
      <c r="AB181" s="20" t="str">
        <f t="shared" si="4143"/>
        <v/>
      </c>
      <c r="AC181" s="20" t="str">
        <f t="shared" si="4143"/>
        <v/>
      </c>
      <c r="AD181" s="20" t="str">
        <f t="shared" si="4143"/>
        <v/>
      </c>
      <c r="AE181" s="20" t="str">
        <f t="shared" si="4143"/>
        <v/>
      </c>
      <c r="AF181" s="20" t="str">
        <f t="shared" si="4143"/>
        <v/>
      </c>
      <c r="AG181" s="20" t="str">
        <f t="shared" si="4143"/>
        <v/>
      </c>
      <c r="AH181" s="20" t="str">
        <f t="shared" si="4143"/>
        <v/>
      </c>
      <c r="AI181" s="20" t="str">
        <f t="shared" si="4143"/>
        <v/>
      </c>
      <c r="AJ181" s="20" t="str">
        <f t="shared" si="4143"/>
        <v/>
      </c>
      <c r="AK181" s="20" t="str">
        <f t="shared" si="4143"/>
        <v/>
      </c>
      <c r="AL181" s="20" t="str">
        <f t="shared" si="4143"/>
        <v/>
      </c>
      <c r="AM181" s="20" t="str">
        <f t="shared" si="4143"/>
        <v/>
      </c>
      <c r="AN181" s="20" t="str">
        <f t="shared" si="4143"/>
        <v/>
      </c>
      <c r="AO181" s="20" t="str">
        <f t="shared" si="4143"/>
        <v/>
      </c>
      <c r="AP181" s="20" t="str">
        <f t="shared" si="4143"/>
        <v/>
      </c>
      <c r="AQ181" s="20" t="str">
        <f t="shared" si="4143"/>
        <v/>
      </c>
      <c r="AR181" s="20" t="str">
        <f t="shared" si="4143"/>
        <v/>
      </c>
      <c r="AS181" s="20" t="str">
        <f t="shared" si="4143"/>
        <v/>
      </c>
      <c r="AT181" s="20" t="str">
        <f t="shared" si="4143"/>
        <v/>
      </c>
      <c r="AU181" s="20" t="str">
        <f t="shared" si="4143"/>
        <v/>
      </c>
      <c r="AV181" s="20" t="str">
        <f t="shared" ref="AS181:BC181" si="4144">IF(AV171="","",AV180*AV175)</f>
        <v/>
      </c>
      <c r="AW181" s="20" t="str">
        <f t="shared" si="4144"/>
        <v/>
      </c>
      <c r="AX181" s="20" t="str">
        <f t="shared" si="4144"/>
        <v/>
      </c>
      <c r="AY181" s="20" t="str">
        <f t="shared" si="4144"/>
        <v/>
      </c>
      <c r="AZ181" s="20" t="str">
        <f t="shared" si="4144"/>
        <v/>
      </c>
      <c r="BA181" s="20" t="str">
        <f t="shared" si="4144"/>
        <v/>
      </c>
      <c r="BB181" s="20" t="str">
        <f t="shared" si="4144"/>
        <v/>
      </c>
      <c r="BC181" s="20" t="str">
        <f t="shared" si="4144"/>
        <v/>
      </c>
    </row>
    <row r="182" spans="1:55" ht="11.25" customHeight="1" thickBot="1" x14ac:dyDescent="0.25">
      <c r="A182" s="21">
        <f>IF(A181="","",A181/(A178*100))</f>
        <v>0</v>
      </c>
      <c r="B182" s="22" t="s">
        <v>17</v>
      </c>
      <c r="C182" s="140" t="s">
        <v>18</v>
      </c>
      <c r="D182" s="23" t="str">
        <f t="shared" ref="D182:AU182" si="4145">IF(D181="","",IF(D181=0,"",D181/(D178*100)))</f>
        <v/>
      </c>
      <c r="E182" s="23" t="str">
        <f t="shared" si="4145"/>
        <v/>
      </c>
      <c r="F182" s="23" t="str">
        <f t="shared" si="4145"/>
        <v/>
      </c>
      <c r="G182" s="198" t="str">
        <f t="shared" si="4145"/>
        <v/>
      </c>
      <c r="H182" s="23" t="str">
        <f t="shared" si="4145"/>
        <v/>
      </c>
      <c r="I182" s="23" t="str">
        <f t="shared" si="4145"/>
        <v/>
      </c>
      <c r="J182" s="198" t="str">
        <f t="shared" si="4145"/>
        <v/>
      </c>
      <c r="K182" s="23" t="str">
        <f t="shared" si="4145"/>
        <v/>
      </c>
      <c r="L182" s="23" t="str">
        <f t="shared" si="4145"/>
        <v/>
      </c>
      <c r="M182" s="23" t="str">
        <f t="shared" si="4145"/>
        <v/>
      </c>
      <c r="N182" s="198" t="str">
        <f t="shared" si="4145"/>
        <v/>
      </c>
      <c r="O182" s="23" t="str">
        <f t="shared" si="4145"/>
        <v/>
      </c>
      <c r="P182" s="23" t="str">
        <f t="shared" si="4145"/>
        <v/>
      </c>
      <c r="Q182" s="23" t="str">
        <f t="shared" si="4145"/>
        <v/>
      </c>
      <c r="R182" s="23" t="str">
        <f t="shared" si="4145"/>
        <v/>
      </c>
      <c r="S182" s="23" t="str">
        <f t="shared" si="4145"/>
        <v/>
      </c>
      <c r="T182" s="23" t="str">
        <f t="shared" si="4145"/>
        <v/>
      </c>
      <c r="U182" s="23" t="str">
        <f t="shared" si="4145"/>
        <v/>
      </c>
      <c r="V182" s="23" t="str">
        <f t="shared" si="4145"/>
        <v/>
      </c>
      <c r="W182" s="23" t="str">
        <f t="shared" si="4145"/>
        <v/>
      </c>
      <c r="X182" s="23" t="str">
        <f t="shared" si="4145"/>
        <v/>
      </c>
      <c r="Y182" s="23" t="str">
        <f t="shared" si="4145"/>
        <v/>
      </c>
      <c r="Z182" s="23" t="str">
        <f t="shared" si="4145"/>
        <v/>
      </c>
      <c r="AA182" s="23" t="str">
        <f t="shared" si="4145"/>
        <v/>
      </c>
      <c r="AB182" s="23" t="str">
        <f t="shared" si="4145"/>
        <v/>
      </c>
      <c r="AC182" s="23" t="str">
        <f t="shared" si="4145"/>
        <v/>
      </c>
      <c r="AD182" s="23" t="str">
        <f t="shared" si="4145"/>
        <v/>
      </c>
      <c r="AE182" s="23" t="str">
        <f t="shared" si="4145"/>
        <v/>
      </c>
      <c r="AF182" s="23" t="str">
        <f t="shared" si="4145"/>
        <v/>
      </c>
      <c r="AG182" s="23" t="str">
        <f t="shared" si="4145"/>
        <v/>
      </c>
      <c r="AH182" s="23" t="str">
        <f t="shared" si="4145"/>
        <v/>
      </c>
      <c r="AI182" s="23" t="str">
        <f t="shared" si="4145"/>
        <v/>
      </c>
      <c r="AJ182" s="23" t="str">
        <f t="shared" si="4145"/>
        <v/>
      </c>
      <c r="AK182" s="23" t="str">
        <f t="shared" si="4145"/>
        <v/>
      </c>
      <c r="AL182" s="23" t="str">
        <f t="shared" si="4145"/>
        <v/>
      </c>
      <c r="AM182" s="23" t="str">
        <f t="shared" si="4145"/>
        <v/>
      </c>
      <c r="AN182" s="23" t="str">
        <f t="shared" si="4145"/>
        <v/>
      </c>
      <c r="AO182" s="23" t="str">
        <f t="shared" si="4145"/>
        <v/>
      </c>
      <c r="AP182" s="23" t="str">
        <f t="shared" si="4145"/>
        <v/>
      </c>
      <c r="AQ182" s="23" t="str">
        <f t="shared" si="4145"/>
        <v/>
      </c>
      <c r="AR182" s="23" t="str">
        <f t="shared" si="4145"/>
        <v/>
      </c>
      <c r="AS182" s="23" t="str">
        <f t="shared" si="4145"/>
        <v/>
      </c>
      <c r="AT182" s="23" t="str">
        <f t="shared" si="4145"/>
        <v/>
      </c>
      <c r="AU182" s="23" t="str">
        <f t="shared" si="4145"/>
        <v/>
      </c>
      <c r="AV182" s="23" t="str">
        <f t="shared" ref="AS182:BC182" si="4146">IF(AV181="","",IF(AV181=0,"",AV181/(AV178*100)))</f>
        <v/>
      </c>
      <c r="AW182" s="23" t="str">
        <f t="shared" si="4146"/>
        <v/>
      </c>
      <c r="AX182" s="23" t="str">
        <f t="shared" si="4146"/>
        <v/>
      </c>
      <c r="AY182" s="23" t="str">
        <f t="shared" si="4146"/>
        <v/>
      </c>
      <c r="AZ182" s="23" t="str">
        <f t="shared" si="4146"/>
        <v/>
      </c>
      <c r="BA182" s="23" t="str">
        <f t="shared" si="4146"/>
        <v/>
      </c>
      <c r="BB182" s="23" t="str">
        <f t="shared" si="4146"/>
        <v/>
      </c>
      <c r="BC182" s="23" t="str">
        <f t="shared" si="4146"/>
        <v/>
      </c>
    </row>
    <row r="183" spans="1:55" ht="11.25" customHeight="1" x14ac:dyDescent="0.2">
      <c r="A183" s="7" t="s">
        <v>1</v>
      </c>
      <c r="B183" s="8" t="s">
        <v>2</v>
      </c>
      <c r="C183" s="118">
        <v>6478</v>
      </c>
      <c r="D183" s="9">
        <f t="shared" ref="D183:D184" si="4147">IF(D$3="","",C183)</f>
        <v>6478</v>
      </c>
      <c r="E183" s="9">
        <f t="shared" ref="E183:E184" si="4148">IF(E$3="","",D183)</f>
        <v>6478</v>
      </c>
      <c r="F183" s="9">
        <v>6723</v>
      </c>
      <c r="G183" s="194">
        <f t="shared" ref="G183:G184" si="4149">IF(G$3="","",F183)</f>
        <v>6723</v>
      </c>
      <c r="H183" s="9">
        <f t="shared" ref="H183:H184" si="4150">IF(H$3="","",G183)</f>
        <v>6723</v>
      </c>
      <c r="I183" s="9">
        <v>6932</v>
      </c>
      <c r="J183" s="194">
        <f t="shared" ref="J183:J184" si="4151">IF(J$3="","",I183)</f>
        <v>6932</v>
      </c>
      <c r="K183" s="9">
        <f t="shared" ref="K183:K184" si="4152">IF(K$3="","",J183)</f>
        <v>6932</v>
      </c>
      <c r="L183" s="9">
        <f t="shared" ref="L183:L184" si="4153">IF(L$3="","",K183)</f>
        <v>6932</v>
      </c>
      <c r="M183" s="9">
        <f t="shared" ref="M183:M184" si="4154">IF(M$3="","",L183)</f>
        <v>6932</v>
      </c>
      <c r="N183" s="194" t="str">
        <f t="shared" ref="N183:N184" si="4155">IF(N$3="","",M183)</f>
        <v/>
      </c>
      <c r="O183" s="9" t="str">
        <f t="shared" ref="O183:O184" si="4156">IF(O$3="","",N183)</f>
        <v/>
      </c>
      <c r="P183" s="9" t="str">
        <f t="shared" ref="P183:P184" si="4157">IF(P$3="","",O183)</f>
        <v/>
      </c>
      <c r="Q183" s="9" t="str">
        <f t="shared" ref="Q183:Q184" si="4158">IF(Q$3="","",P183)</f>
        <v/>
      </c>
      <c r="R183" s="9" t="str">
        <f t="shared" ref="R183:R184" si="4159">IF(R$3="","",Q183)</f>
        <v/>
      </c>
      <c r="S183" s="9" t="str">
        <f t="shared" ref="S183:S184" si="4160">IF(S$3="","",R183)</f>
        <v/>
      </c>
      <c r="T183" s="9" t="str">
        <f t="shared" ref="T183:T184" si="4161">IF(T$3="","",S183)</f>
        <v/>
      </c>
      <c r="U183" s="9" t="str">
        <f t="shared" ref="U183:U184" si="4162">IF(U$3="","",T183)</f>
        <v/>
      </c>
      <c r="V183" s="9" t="str">
        <f t="shared" ref="V183:V184" si="4163">IF(V$3="","",U183)</f>
        <v/>
      </c>
      <c r="W183" s="9" t="str">
        <f t="shared" ref="W183:W184" si="4164">IF(W$3="","",V183)</f>
        <v/>
      </c>
      <c r="X183" s="9" t="str">
        <f t="shared" ref="X183:X184" si="4165">IF(X$3="","",W183)</f>
        <v/>
      </c>
      <c r="Y183" s="9" t="str">
        <f t="shared" ref="Y183:Y184" si="4166">IF(Y$3="","",X183)</f>
        <v/>
      </c>
      <c r="Z183" s="9" t="str">
        <f t="shared" ref="Z183:Z184" si="4167">IF(Z$3="","",Y183)</f>
        <v/>
      </c>
      <c r="AA183" s="9" t="str">
        <f t="shared" ref="AA183:AA184" si="4168">IF(AA$3="","",Z183)</f>
        <v/>
      </c>
      <c r="AB183" s="9" t="str">
        <f t="shared" ref="AB183:AB184" si="4169">IF(AB$3="","",AA183)</f>
        <v/>
      </c>
      <c r="AC183" s="9" t="str">
        <f t="shared" ref="AC183:AC184" si="4170">IF(AC$3="","",AB183)</f>
        <v/>
      </c>
      <c r="AD183" s="9" t="str">
        <f t="shared" ref="AD183:AD184" si="4171">IF(AD$3="","",AC183)</f>
        <v/>
      </c>
      <c r="AE183" s="9" t="str">
        <f t="shared" ref="AE183:AE184" si="4172">IF(AE$3="","",AD183)</f>
        <v/>
      </c>
      <c r="AF183" s="9" t="str">
        <f t="shared" ref="AF183:AF184" si="4173">IF(AF$3="","",AE183)</f>
        <v/>
      </c>
      <c r="AG183" s="9" t="str">
        <f t="shared" ref="AG183:AG184" si="4174">IF(AG$3="","",AF183)</f>
        <v/>
      </c>
      <c r="AH183" s="9" t="str">
        <f t="shared" ref="AH183:AH184" si="4175">IF(AH$3="","",AG183)</f>
        <v/>
      </c>
      <c r="AI183" s="9" t="str">
        <f t="shared" ref="AI183:AI184" si="4176">IF(AI$3="","",AH183)</f>
        <v/>
      </c>
      <c r="AJ183" s="9" t="str">
        <f t="shared" ref="AJ183:AJ184" si="4177">IF(AJ$3="","",AI183)</f>
        <v/>
      </c>
      <c r="AK183" s="9" t="str">
        <f t="shared" ref="AK183:AK184" si="4178">IF(AK$3="","",AJ183)</f>
        <v/>
      </c>
      <c r="AL183" s="9" t="str">
        <f t="shared" ref="AL183:AL184" si="4179">IF(AL$3="","",AK183)</f>
        <v/>
      </c>
      <c r="AM183" s="9" t="str">
        <f t="shared" ref="AM183:AM184" si="4180">IF(AM$3="","",AL183)</f>
        <v/>
      </c>
      <c r="AN183" s="9" t="str">
        <f t="shared" ref="AN183:AN184" si="4181">IF(AN$3="","",AM183)</f>
        <v/>
      </c>
      <c r="AO183" s="9" t="str">
        <f t="shared" ref="AO183:AO184" si="4182">IF(AO$3="","",AN183)</f>
        <v/>
      </c>
      <c r="AP183" s="9" t="str">
        <f t="shared" ref="AP183:AP184" si="4183">IF(AP$3="","",AO183)</f>
        <v/>
      </c>
      <c r="AQ183" s="9" t="str">
        <f t="shared" ref="AQ183:AQ184" si="4184">IF(AQ$3="","",AP183)</f>
        <v/>
      </c>
      <c r="AR183" s="9" t="str">
        <f t="shared" ref="AR183:AR184" si="4185">IF(AR$3="","",AQ183)</f>
        <v/>
      </c>
      <c r="AS183" s="9" t="str">
        <f t="shared" ref="AS183:AS184" si="4186">IF(AS$3="","",AR183)</f>
        <v/>
      </c>
      <c r="AT183" s="9" t="str">
        <f t="shared" ref="AT183:AT184" si="4187">IF(AT$3="","",AS183)</f>
        <v/>
      </c>
      <c r="AU183" s="9" t="str">
        <f t="shared" ref="AU183:AU184" si="4188">IF(AU$3="","",AT183)</f>
        <v/>
      </c>
      <c r="AV183" s="9" t="str">
        <f t="shared" ref="AS183:BC183" si="4189">IF(AV$3="","",AU183)</f>
        <v/>
      </c>
      <c r="AW183" s="9" t="str">
        <f t="shared" si="4189"/>
        <v/>
      </c>
      <c r="AX183" s="9" t="str">
        <f t="shared" si="4189"/>
        <v/>
      </c>
      <c r="AY183" s="9" t="str">
        <f t="shared" si="4189"/>
        <v/>
      </c>
      <c r="AZ183" s="9" t="str">
        <f t="shared" si="4189"/>
        <v/>
      </c>
      <c r="BA183" s="9" t="str">
        <f t="shared" si="4189"/>
        <v/>
      </c>
      <c r="BB183" s="9" t="str">
        <f t="shared" si="4189"/>
        <v/>
      </c>
      <c r="BC183" s="9" t="str">
        <f t="shared" si="4189"/>
        <v/>
      </c>
    </row>
    <row r="184" spans="1:55" ht="11.25" customHeight="1" x14ac:dyDescent="0.2">
      <c r="A184" s="10" t="s">
        <v>49</v>
      </c>
      <c r="B184" s="11" t="s">
        <v>4</v>
      </c>
      <c r="C184" s="123">
        <v>506</v>
      </c>
      <c r="D184" s="12">
        <f t="shared" si="4147"/>
        <v>506</v>
      </c>
      <c r="E184" s="12">
        <f t="shared" si="4148"/>
        <v>506</v>
      </c>
      <c r="F184" s="12">
        <v>511</v>
      </c>
      <c r="G184" s="195">
        <f t="shared" si="4149"/>
        <v>511</v>
      </c>
      <c r="H184" s="12">
        <f t="shared" si="4150"/>
        <v>511</v>
      </c>
      <c r="I184" s="12">
        <v>512</v>
      </c>
      <c r="J184" s="195">
        <f t="shared" si="4151"/>
        <v>512</v>
      </c>
      <c r="K184" s="12">
        <f t="shared" si="4152"/>
        <v>512</v>
      </c>
      <c r="L184" s="12">
        <f t="shared" si="4153"/>
        <v>512</v>
      </c>
      <c r="M184" s="12">
        <f t="shared" si="4154"/>
        <v>512</v>
      </c>
      <c r="N184" s="195" t="str">
        <f t="shared" si="4155"/>
        <v/>
      </c>
      <c r="O184" s="12" t="str">
        <f t="shared" si="4156"/>
        <v/>
      </c>
      <c r="P184" s="12" t="str">
        <f t="shared" si="4157"/>
        <v/>
      </c>
      <c r="Q184" s="12" t="str">
        <f t="shared" si="4158"/>
        <v/>
      </c>
      <c r="R184" s="12" t="str">
        <f t="shared" si="4159"/>
        <v/>
      </c>
      <c r="S184" s="12" t="str">
        <f t="shared" si="4160"/>
        <v/>
      </c>
      <c r="T184" s="12" t="str">
        <f t="shared" si="4161"/>
        <v/>
      </c>
      <c r="U184" s="12" t="str">
        <f t="shared" si="4162"/>
        <v/>
      </c>
      <c r="V184" s="12" t="str">
        <f t="shared" si="4163"/>
        <v/>
      </c>
      <c r="W184" s="12" t="str">
        <f t="shared" si="4164"/>
        <v/>
      </c>
      <c r="X184" s="12" t="str">
        <f t="shared" si="4165"/>
        <v/>
      </c>
      <c r="Y184" s="12" t="str">
        <f t="shared" si="4166"/>
        <v/>
      </c>
      <c r="Z184" s="12" t="str">
        <f t="shared" si="4167"/>
        <v/>
      </c>
      <c r="AA184" s="12" t="str">
        <f t="shared" si="4168"/>
        <v/>
      </c>
      <c r="AB184" s="12" t="str">
        <f t="shared" si="4169"/>
        <v/>
      </c>
      <c r="AC184" s="12" t="str">
        <f t="shared" si="4170"/>
        <v/>
      </c>
      <c r="AD184" s="12" t="str">
        <f t="shared" si="4171"/>
        <v/>
      </c>
      <c r="AE184" s="12" t="str">
        <f t="shared" si="4172"/>
        <v/>
      </c>
      <c r="AF184" s="12" t="str">
        <f t="shared" si="4173"/>
        <v/>
      </c>
      <c r="AG184" s="12" t="str">
        <f t="shared" si="4174"/>
        <v/>
      </c>
      <c r="AH184" s="12" t="str">
        <f t="shared" si="4175"/>
        <v/>
      </c>
      <c r="AI184" s="12" t="str">
        <f t="shared" si="4176"/>
        <v/>
      </c>
      <c r="AJ184" s="12" t="str">
        <f t="shared" si="4177"/>
        <v/>
      </c>
      <c r="AK184" s="12" t="str">
        <f t="shared" si="4178"/>
        <v/>
      </c>
      <c r="AL184" s="12" t="str">
        <f t="shared" si="4179"/>
        <v/>
      </c>
      <c r="AM184" s="12" t="str">
        <f t="shared" si="4180"/>
        <v/>
      </c>
      <c r="AN184" s="12" t="str">
        <f t="shared" si="4181"/>
        <v/>
      </c>
      <c r="AO184" s="12" t="str">
        <f t="shared" si="4182"/>
        <v/>
      </c>
      <c r="AP184" s="12" t="str">
        <f t="shared" si="4183"/>
        <v/>
      </c>
      <c r="AQ184" s="12" t="str">
        <f t="shared" si="4184"/>
        <v/>
      </c>
      <c r="AR184" s="12" t="str">
        <f t="shared" si="4185"/>
        <v/>
      </c>
      <c r="AS184" s="12" t="str">
        <f t="shared" si="4186"/>
        <v/>
      </c>
      <c r="AT184" s="12" t="str">
        <f t="shared" si="4187"/>
        <v/>
      </c>
      <c r="AU184" s="12" t="str">
        <f t="shared" si="4188"/>
        <v/>
      </c>
      <c r="AV184" s="12" t="str">
        <f t="shared" ref="AS184:BC184" si="4190">IF(AV$3="","",AU184)</f>
        <v/>
      </c>
      <c r="AW184" s="12" t="str">
        <f t="shared" si="4190"/>
        <v/>
      </c>
      <c r="AX184" s="12" t="str">
        <f t="shared" si="4190"/>
        <v/>
      </c>
      <c r="AY184" s="12" t="str">
        <f t="shared" si="4190"/>
        <v/>
      </c>
      <c r="AZ184" s="12" t="str">
        <f t="shared" si="4190"/>
        <v/>
      </c>
      <c r="BA184" s="12" t="str">
        <f t="shared" si="4190"/>
        <v/>
      </c>
      <c r="BB184" s="12" t="str">
        <f t="shared" si="4190"/>
        <v/>
      </c>
      <c r="BC184" s="12" t="str">
        <f t="shared" si="4190"/>
        <v/>
      </c>
    </row>
    <row r="185" spans="1:55" ht="11.25" customHeight="1" x14ac:dyDescent="0.25">
      <c r="A185" s="13"/>
      <c r="B185" s="11" t="s">
        <v>5</v>
      </c>
      <c r="C185" s="123">
        <v>13</v>
      </c>
      <c r="D185" s="12">
        <f t="shared" ref="D185" si="4191">IF(D183="","",(C185+C186))</f>
        <v>13</v>
      </c>
      <c r="E185" s="12">
        <f t="shared" ref="E185" si="4192">IF(E183="","",(D185+D186))</f>
        <v>13</v>
      </c>
      <c r="F185" s="12">
        <v>8</v>
      </c>
      <c r="G185" s="195">
        <f t="shared" ref="G185" si="4193">IF(G183="","",(F185+F186))</f>
        <v>17</v>
      </c>
      <c r="H185" s="12">
        <f t="shared" ref="H185" si="4194">IF(H183="","",(G185+G186))</f>
        <v>17</v>
      </c>
      <c r="I185" s="12">
        <v>16</v>
      </c>
      <c r="J185" s="195">
        <f t="shared" ref="J185" si="4195">IF(J183="","",(I185+I186))</f>
        <v>26</v>
      </c>
      <c r="K185" s="12">
        <f t="shared" ref="K185" si="4196">IF(K183="","",(J185+J186))</f>
        <v>26</v>
      </c>
      <c r="L185" s="12">
        <f t="shared" ref="L185" si="4197">IF(L183="","",(K185+K186))</f>
        <v>26</v>
      </c>
      <c r="M185" s="12">
        <f t="shared" ref="M185" si="4198">IF(M183="","",(L185+L186))</f>
        <v>26</v>
      </c>
      <c r="N185" s="195" t="str">
        <f t="shared" ref="N185" si="4199">IF(N183="","",(M185+M186))</f>
        <v/>
      </c>
      <c r="O185" s="12" t="str">
        <f t="shared" ref="O185" si="4200">IF(O183="","",(N185+N186))</f>
        <v/>
      </c>
      <c r="P185" s="12" t="str">
        <f t="shared" ref="P185" si="4201">IF(P183="","",(O185+O186))</f>
        <v/>
      </c>
      <c r="Q185" s="12" t="str">
        <f t="shared" ref="Q185" si="4202">IF(Q183="","",(P185+P186))</f>
        <v/>
      </c>
      <c r="R185" s="12" t="str">
        <f t="shared" ref="R185" si="4203">IF(R183="","",(Q185+Q186))</f>
        <v/>
      </c>
      <c r="S185" s="12" t="str">
        <f t="shared" ref="S185" si="4204">IF(S183="","",(R185+R186))</f>
        <v/>
      </c>
      <c r="T185" s="12" t="str">
        <f t="shared" ref="T185" si="4205">IF(T183="","",(S185+S186))</f>
        <v/>
      </c>
      <c r="U185" s="12" t="str">
        <f t="shared" ref="U185" si="4206">IF(U183="","",(T185+T186))</f>
        <v/>
      </c>
      <c r="V185" s="12" t="str">
        <f t="shared" ref="V185" si="4207">IF(V183="","",(U185+U186))</f>
        <v/>
      </c>
      <c r="W185" s="12" t="str">
        <f t="shared" ref="W185" si="4208">IF(W183="","",(V185+V186))</f>
        <v/>
      </c>
      <c r="X185" s="12" t="str">
        <f t="shared" ref="X185" si="4209">IF(X183="","",(W185+W186))</f>
        <v/>
      </c>
      <c r="Y185" s="12" t="str">
        <f t="shared" ref="Y185" si="4210">IF(Y183="","",(X185+X186))</f>
        <v/>
      </c>
      <c r="Z185" s="12" t="str">
        <f t="shared" ref="Z185" si="4211">IF(Z183="","",(Y185+Y186))</f>
        <v/>
      </c>
      <c r="AA185" s="12" t="str">
        <f t="shared" ref="AA185" si="4212">IF(AA183="","",(Z185+Z186))</f>
        <v/>
      </c>
      <c r="AB185" s="12" t="str">
        <f t="shared" ref="AB185" si="4213">IF(AB183="","",(AA185+AA186))</f>
        <v/>
      </c>
      <c r="AC185" s="12" t="str">
        <f t="shared" ref="AC185" si="4214">IF(AC183="","",(AB185+AB186))</f>
        <v/>
      </c>
      <c r="AD185" s="12" t="str">
        <f t="shared" ref="AD185" si="4215">IF(AD183="","",(AC185+AC186))</f>
        <v/>
      </c>
      <c r="AE185" s="12" t="str">
        <f t="shared" ref="AE185" si="4216">IF(AE183="","",(AD185+AD186))</f>
        <v/>
      </c>
      <c r="AF185" s="12" t="str">
        <f t="shared" ref="AF185" si="4217">IF(AF183="","",(AE185+AE186))</f>
        <v/>
      </c>
      <c r="AG185" s="12" t="str">
        <f t="shared" ref="AG185" si="4218">IF(AG183="","",(AF185+AF186))</f>
        <v/>
      </c>
      <c r="AH185" s="12" t="str">
        <f t="shared" ref="AH185" si="4219">IF(AH183="","",(AG185+AG186))</f>
        <v/>
      </c>
      <c r="AI185" s="12" t="str">
        <f t="shared" ref="AI185" si="4220">IF(AI183="","",(AH185+AH186))</f>
        <v/>
      </c>
      <c r="AJ185" s="12" t="str">
        <f t="shared" ref="AJ185" si="4221">IF(AJ183="","",(AI185+AI186))</f>
        <v/>
      </c>
      <c r="AK185" s="12" t="str">
        <f t="shared" ref="AK185" si="4222">IF(AK183="","",(AJ185+AJ186))</f>
        <v/>
      </c>
      <c r="AL185" s="12" t="str">
        <f t="shared" ref="AL185" si="4223">IF(AL183="","",(AK185+AK186))</f>
        <v/>
      </c>
      <c r="AM185" s="12" t="str">
        <f t="shared" ref="AM185" si="4224">IF(AM183="","",(AL185+AL186))</f>
        <v/>
      </c>
      <c r="AN185" s="12" t="str">
        <f t="shared" ref="AN185" si="4225">IF(AN183="","",(AM185+AM186))</f>
        <v/>
      </c>
      <c r="AO185" s="12" t="str">
        <f t="shared" ref="AO185" si="4226">IF(AO183="","",(AN185+AN186))</f>
        <v/>
      </c>
      <c r="AP185" s="12" t="str">
        <f t="shared" ref="AP185" si="4227">IF(AP183="","",(AO185+AO186))</f>
        <v/>
      </c>
      <c r="AQ185" s="12" t="str">
        <f t="shared" ref="AQ185" si="4228">IF(AQ183="","",(AP185+AP186))</f>
        <v/>
      </c>
      <c r="AR185" s="12" t="str">
        <f t="shared" ref="AR185" si="4229">IF(AR183="","",(AQ185+AQ186))</f>
        <v/>
      </c>
      <c r="AS185" s="12" t="str">
        <f t="shared" ref="AS185" si="4230">IF(AS183="","",(AR185+AR186))</f>
        <v/>
      </c>
      <c r="AT185" s="12" t="str">
        <f t="shared" ref="AT185" si="4231">IF(AT183="","",(AS185+AS186))</f>
        <v/>
      </c>
      <c r="AU185" s="12" t="str">
        <f t="shared" ref="AU185" si="4232">IF(AU183="","",(AT185+AT186))</f>
        <v/>
      </c>
      <c r="AV185" s="12" t="str">
        <f t="shared" ref="AS185:BC185" si="4233">IF(AV183="","",(AU185+AU186))</f>
        <v/>
      </c>
      <c r="AW185" s="12" t="str">
        <f t="shared" si="4233"/>
        <v/>
      </c>
      <c r="AX185" s="12" t="str">
        <f t="shared" si="4233"/>
        <v/>
      </c>
      <c r="AY185" s="12" t="str">
        <f t="shared" si="4233"/>
        <v/>
      </c>
      <c r="AZ185" s="12" t="str">
        <f t="shared" si="4233"/>
        <v/>
      </c>
      <c r="BA185" s="12" t="str">
        <f t="shared" si="4233"/>
        <v/>
      </c>
      <c r="BB185" s="12" t="str">
        <f t="shared" si="4233"/>
        <v/>
      </c>
      <c r="BC185" s="12" t="str">
        <f t="shared" si="4233"/>
        <v/>
      </c>
    </row>
    <row r="186" spans="1:55" ht="11.25" customHeight="1" x14ac:dyDescent="0.2">
      <c r="A186" s="14"/>
      <c r="B186" s="11" t="s">
        <v>6</v>
      </c>
      <c r="C186" s="123"/>
      <c r="D186" s="12"/>
      <c r="E186" s="12"/>
      <c r="F186" s="12">
        <v>9</v>
      </c>
      <c r="G186" s="195"/>
      <c r="H186" s="12"/>
      <c r="I186" s="12">
        <v>10</v>
      </c>
      <c r="J186" s="195"/>
      <c r="K186" s="12"/>
      <c r="L186" s="12"/>
      <c r="M186" s="12"/>
      <c r="N186" s="195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</row>
    <row r="187" spans="1:55" ht="11.25" customHeight="1" x14ac:dyDescent="0.2">
      <c r="A187" s="15"/>
      <c r="B187" s="11" t="s">
        <v>8</v>
      </c>
      <c r="C187" s="129">
        <v>1000</v>
      </c>
      <c r="D187" s="16">
        <f t="shared" ref="D187" si="4234">IF(D183="","",C187)</f>
        <v>1000</v>
      </c>
      <c r="E187" s="16">
        <f t="shared" ref="E187" si="4235">IF(E183="","",D187)</f>
        <v>1000</v>
      </c>
      <c r="F187" s="16">
        <f t="shared" ref="F187" si="4236">IF(F183="","",E187)</f>
        <v>1000</v>
      </c>
      <c r="G187" s="196">
        <f t="shared" ref="G187" si="4237">IF(G183="","",F187)</f>
        <v>1000</v>
      </c>
      <c r="H187" s="16">
        <f t="shared" ref="H187" si="4238">IF(H183="","",G187)</f>
        <v>1000</v>
      </c>
      <c r="I187" s="16">
        <f t="shared" ref="I187" si="4239">IF(I183="","",H187)</f>
        <v>1000</v>
      </c>
      <c r="J187" s="196">
        <f t="shared" ref="J187" si="4240">IF(J183="","",I187)</f>
        <v>1000</v>
      </c>
      <c r="K187" s="16">
        <f t="shared" ref="K187" si="4241">IF(K183="","",J187)</f>
        <v>1000</v>
      </c>
      <c r="L187" s="16">
        <f t="shared" ref="L187" si="4242">IF(L183="","",K187)</f>
        <v>1000</v>
      </c>
      <c r="M187" s="16">
        <f t="shared" ref="M187" si="4243">IF(M183="","",L187)</f>
        <v>1000</v>
      </c>
      <c r="N187" s="196" t="str">
        <f t="shared" ref="N187" si="4244">IF(N183="","",M187)</f>
        <v/>
      </c>
      <c r="O187" s="16" t="str">
        <f t="shared" ref="O187" si="4245">IF(O183="","",N187)</f>
        <v/>
      </c>
      <c r="P187" s="16" t="str">
        <f t="shared" ref="P187" si="4246">IF(P183="","",O187)</f>
        <v/>
      </c>
      <c r="Q187" s="16" t="str">
        <f t="shared" ref="Q187" si="4247">IF(Q183="","",P187)</f>
        <v/>
      </c>
      <c r="R187" s="16" t="str">
        <f t="shared" ref="R187" si="4248">IF(R183="","",Q187)</f>
        <v/>
      </c>
      <c r="S187" s="16" t="str">
        <f t="shared" ref="S187" si="4249">IF(S183="","",R187)</f>
        <v/>
      </c>
      <c r="T187" s="16" t="str">
        <f t="shared" ref="T187" si="4250">IF(T183="","",S187)</f>
        <v/>
      </c>
      <c r="U187" s="16" t="str">
        <f t="shared" ref="U187" si="4251">IF(U183="","",T187)</f>
        <v/>
      </c>
      <c r="V187" s="16" t="str">
        <f t="shared" ref="V187" si="4252">IF(V183="","",U187)</f>
        <v/>
      </c>
      <c r="W187" s="16" t="str">
        <f t="shared" ref="W187" si="4253">IF(W183="","",V187)</f>
        <v/>
      </c>
      <c r="X187" s="16" t="str">
        <f t="shared" ref="X187" si="4254">IF(X183="","",W187)</f>
        <v/>
      </c>
      <c r="Y187" s="16" t="str">
        <f t="shared" ref="Y187" si="4255">IF(Y183="","",X187)</f>
        <v/>
      </c>
      <c r="Z187" s="16" t="str">
        <f t="shared" ref="Z187" si="4256">IF(Z183="","",Y187)</f>
        <v/>
      </c>
      <c r="AA187" s="16" t="str">
        <f t="shared" ref="AA187" si="4257">IF(AA183="","",Z187)</f>
        <v/>
      </c>
      <c r="AB187" s="16" t="str">
        <f t="shared" ref="AB187" si="4258">IF(AB183="","",AA187)</f>
        <v/>
      </c>
      <c r="AC187" s="16" t="str">
        <f t="shared" ref="AC187" si="4259">IF(AC183="","",AB187)</f>
        <v/>
      </c>
      <c r="AD187" s="16" t="str">
        <f t="shared" ref="AD187" si="4260">IF(AD183="","",AC187)</f>
        <v/>
      </c>
      <c r="AE187" s="16" t="str">
        <f t="shared" ref="AE187" si="4261">IF(AE183="","",AD187)</f>
        <v/>
      </c>
      <c r="AF187" s="16" t="str">
        <f t="shared" ref="AF187" si="4262">IF(AF183="","",AE187)</f>
        <v/>
      </c>
      <c r="AG187" s="16" t="str">
        <f t="shared" ref="AG187" si="4263">IF(AG183="","",AF187)</f>
        <v/>
      </c>
      <c r="AH187" s="16" t="str">
        <f t="shared" ref="AH187" si="4264">IF(AH183="","",AG187)</f>
        <v/>
      </c>
      <c r="AI187" s="16" t="str">
        <f t="shared" ref="AI187" si="4265">IF(AI183="","",AH187)</f>
        <v/>
      </c>
      <c r="AJ187" s="16" t="str">
        <f t="shared" ref="AJ187" si="4266">IF(AJ183="","",AI187)</f>
        <v/>
      </c>
      <c r="AK187" s="16" t="str">
        <f t="shared" ref="AK187" si="4267">IF(AK183="","",AJ187)</f>
        <v/>
      </c>
      <c r="AL187" s="16" t="str">
        <f t="shared" ref="AL187" si="4268">IF(AL183="","",AK187)</f>
        <v/>
      </c>
      <c r="AM187" s="16" t="str">
        <f t="shared" ref="AM187" si="4269">IF(AM183="","",AL187)</f>
        <v/>
      </c>
      <c r="AN187" s="16" t="str">
        <f t="shared" ref="AN187" si="4270">IF(AN183="","",AM187)</f>
        <v/>
      </c>
      <c r="AO187" s="16" t="str">
        <f t="shared" ref="AO187" si="4271">IF(AO183="","",AN187)</f>
        <v/>
      </c>
      <c r="AP187" s="16" t="str">
        <f t="shared" ref="AP187" si="4272">IF(AP183="","",AO187)</f>
        <v/>
      </c>
      <c r="AQ187" s="16" t="str">
        <f t="shared" ref="AQ187" si="4273">IF(AQ183="","",AP187)</f>
        <v/>
      </c>
      <c r="AR187" s="16" t="str">
        <f t="shared" ref="AR187" si="4274">IF(AR183="","",AQ187)</f>
        <v/>
      </c>
      <c r="AS187" s="16" t="str">
        <f t="shared" ref="AS187" si="4275">IF(AS183="","",AR187)</f>
        <v/>
      </c>
      <c r="AT187" s="16" t="str">
        <f t="shared" ref="AT187" si="4276">IF(AT183="","",AS187)</f>
        <v/>
      </c>
      <c r="AU187" s="16" t="str">
        <f t="shared" ref="AU187" si="4277">IF(AU183="","",AT187)</f>
        <v/>
      </c>
      <c r="AV187" s="16" t="str">
        <f t="shared" ref="AS187:BC187" si="4278">IF(AV183="","",AU187)</f>
        <v/>
      </c>
      <c r="AW187" s="16" t="str">
        <f t="shared" si="4278"/>
        <v/>
      </c>
      <c r="AX187" s="16" t="str">
        <f t="shared" si="4278"/>
        <v/>
      </c>
      <c r="AY187" s="16" t="str">
        <f t="shared" si="4278"/>
        <v/>
      </c>
      <c r="AZ187" s="16" t="str">
        <f t="shared" si="4278"/>
        <v/>
      </c>
      <c r="BA187" s="16" t="str">
        <f t="shared" si="4278"/>
        <v/>
      </c>
      <c r="BB187" s="16" t="str">
        <f t="shared" si="4278"/>
        <v/>
      </c>
      <c r="BC187" s="16" t="str">
        <f t="shared" si="4278"/>
        <v/>
      </c>
    </row>
    <row r="188" spans="1:55" ht="11.25" customHeight="1" x14ac:dyDescent="0.2">
      <c r="A188" s="14" t="s">
        <v>9</v>
      </c>
      <c r="B188" s="17" t="s">
        <v>10</v>
      </c>
      <c r="C188" s="133" t="s">
        <v>252</v>
      </c>
      <c r="D188" s="18" t="str">
        <f t="shared" ref="D188" si="4279">IF(D183="","",C188)</f>
        <v>極とろスクイーズ</v>
      </c>
      <c r="E188" s="18" t="str">
        <f t="shared" ref="E188" si="4280">IF(E183="","",D188)</f>
        <v>極とろスクイーズ</v>
      </c>
      <c r="F188" s="18" t="str">
        <f t="shared" ref="F188" si="4281">IF(F183="","",E188)</f>
        <v>極とろスクイーズ</v>
      </c>
      <c r="G188" s="197" t="str">
        <f t="shared" ref="G188" si="4282">IF(G183="","",F188)</f>
        <v>極とろスクイーズ</v>
      </c>
      <c r="H188" s="18" t="str">
        <f t="shared" ref="H188" si="4283">IF(H183="","",G188)</f>
        <v>極とろスクイーズ</v>
      </c>
      <c r="I188" s="18" t="str">
        <f t="shared" ref="I188" si="4284">IF(I183="","",H188)</f>
        <v>極とろスクイーズ</v>
      </c>
      <c r="J188" s="197" t="str">
        <f t="shared" ref="J188" si="4285">IF(J183="","",I188)</f>
        <v>極とろスクイーズ</v>
      </c>
      <c r="K188" s="18" t="str">
        <f t="shared" ref="K188" si="4286">IF(K183="","",J188)</f>
        <v>極とろスクイーズ</v>
      </c>
      <c r="L188" s="18" t="str">
        <f t="shared" ref="L188" si="4287">IF(L183="","",K188)</f>
        <v>極とろスクイーズ</v>
      </c>
      <c r="M188" s="18" t="str">
        <f t="shared" ref="M188" si="4288">IF(M183="","",L188)</f>
        <v>極とろスクイーズ</v>
      </c>
      <c r="N188" s="197" t="str">
        <f t="shared" ref="N188" si="4289">IF(N183="","",M188)</f>
        <v/>
      </c>
      <c r="O188" s="18" t="str">
        <f t="shared" ref="O188" si="4290">IF(O183="","",N188)</f>
        <v/>
      </c>
      <c r="P188" s="18" t="str">
        <f t="shared" ref="P188" si="4291">IF(P183="","",O188)</f>
        <v/>
      </c>
      <c r="Q188" s="18" t="str">
        <f t="shared" ref="Q188" si="4292">IF(Q183="","",P188)</f>
        <v/>
      </c>
      <c r="R188" s="18" t="str">
        <f t="shared" ref="R188" si="4293">IF(R183="","",Q188)</f>
        <v/>
      </c>
      <c r="S188" s="18" t="str">
        <f t="shared" ref="S188" si="4294">IF(S183="","",R188)</f>
        <v/>
      </c>
      <c r="T188" s="18" t="str">
        <f t="shared" ref="T188" si="4295">IF(T183="","",S188)</f>
        <v/>
      </c>
      <c r="U188" s="18" t="str">
        <f t="shared" ref="U188" si="4296">IF(U183="","",T188)</f>
        <v/>
      </c>
      <c r="V188" s="18" t="str">
        <f t="shared" ref="V188" si="4297">IF(V183="","",U188)</f>
        <v/>
      </c>
      <c r="W188" s="18" t="str">
        <f t="shared" ref="W188" si="4298">IF(W183="","",V188)</f>
        <v/>
      </c>
      <c r="X188" s="18" t="str">
        <f t="shared" ref="X188" si="4299">IF(X183="","",W188)</f>
        <v/>
      </c>
      <c r="Y188" s="18" t="str">
        <f t="shared" ref="Y188" si="4300">IF(Y183="","",X188)</f>
        <v/>
      </c>
      <c r="Z188" s="18" t="str">
        <f t="shared" ref="Z188" si="4301">IF(Z183="","",Y188)</f>
        <v/>
      </c>
      <c r="AA188" s="18" t="str">
        <f t="shared" ref="AA188" si="4302">IF(AA183="","",Z188)</f>
        <v/>
      </c>
      <c r="AB188" s="18" t="str">
        <f t="shared" ref="AB188" si="4303">IF(AB183="","",AA188)</f>
        <v/>
      </c>
      <c r="AC188" s="18" t="str">
        <f t="shared" ref="AC188" si="4304">IF(AC183="","",AB188)</f>
        <v/>
      </c>
      <c r="AD188" s="18" t="str">
        <f t="shared" ref="AD188" si="4305">IF(AD183="","",AC188)</f>
        <v/>
      </c>
      <c r="AE188" s="18" t="str">
        <f t="shared" ref="AE188" si="4306">IF(AE183="","",AD188)</f>
        <v/>
      </c>
      <c r="AF188" s="18" t="str">
        <f t="shared" ref="AF188" si="4307">IF(AF183="","",AE188)</f>
        <v/>
      </c>
      <c r="AG188" s="18" t="str">
        <f t="shared" ref="AG188" si="4308">IF(AG183="","",AF188)</f>
        <v/>
      </c>
      <c r="AH188" s="18" t="str">
        <f t="shared" ref="AH188" si="4309">IF(AH183="","",AG188)</f>
        <v/>
      </c>
      <c r="AI188" s="18" t="str">
        <f t="shared" ref="AI188" si="4310">IF(AI183="","",AH188)</f>
        <v/>
      </c>
      <c r="AJ188" s="18" t="str">
        <f t="shared" ref="AJ188" si="4311">IF(AJ183="","",AI188)</f>
        <v/>
      </c>
      <c r="AK188" s="18" t="str">
        <f t="shared" ref="AK188" si="4312">IF(AK183="","",AJ188)</f>
        <v/>
      </c>
      <c r="AL188" s="18" t="str">
        <f t="shared" ref="AL188" si="4313">IF(AL183="","",AK188)</f>
        <v/>
      </c>
      <c r="AM188" s="18" t="str">
        <f t="shared" ref="AM188" si="4314">IF(AM183="","",AL188)</f>
        <v/>
      </c>
      <c r="AN188" s="18" t="str">
        <f t="shared" ref="AN188" si="4315">IF(AN183="","",AM188)</f>
        <v/>
      </c>
      <c r="AO188" s="18" t="str">
        <f t="shared" ref="AO188" si="4316">IF(AO183="","",AN188)</f>
        <v/>
      </c>
      <c r="AP188" s="18" t="str">
        <f t="shared" ref="AP188" si="4317">IF(AP183="","",AO188)</f>
        <v/>
      </c>
      <c r="AQ188" s="18" t="str">
        <f t="shared" ref="AQ188" si="4318">IF(AQ183="","",AP188)</f>
        <v/>
      </c>
      <c r="AR188" s="18" t="str">
        <f t="shared" ref="AR188" si="4319">IF(AR183="","",AQ188)</f>
        <v/>
      </c>
      <c r="AS188" s="18" t="str">
        <f t="shared" ref="AS188" si="4320">IF(AS183="","",AR188)</f>
        <v/>
      </c>
      <c r="AT188" s="18" t="str">
        <f t="shared" ref="AT188" si="4321">IF(AT183="","",AS188)</f>
        <v/>
      </c>
      <c r="AU188" s="18" t="str">
        <f t="shared" ref="AU188" si="4322">IF(AU183="","",AT188)</f>
        <v/>
      </c>
      <c r="AV188" s="18" t="str">
        <f t="shared" ref="AS188:BC188" si="4323">IF(AV183="","",AU188)</f>
        <v/>
      </c>
      <c r="AW188" s="18" t="str">
        <f t="shared" si="4323"/>
        <v/>
      </c>
      <c r="AX188" s="18" t="str">
        <f t="shared" si="4323"/>
        <v/>
      </c>
      <c r="AY188" s="18" t="str">
        <f t="shared" si="4323"/>
        <v/>
      </c>
      <c r="AZ188" s="18" t="str">
        <f t="shared" si="4323"/>
        <v/>
      </c>
      <c r="BA188" s="18" t="str">
        <f t="shared" si="4323"/>
        <v/>
      </c>
      <c r="BB188" s="18" t="str">
        <f t="shared" si="4323"/>
        <v/>
      </c>
      <c r="BC188" s="18" t="str">
        <f t="shared" si="4323"/>
        <v/>
      </c>
    </row>
    <row r="189" spans="1:55" ht="11.25" customHeight="1" x14ac:dyDescent="0.2">
      <c r="A189" s="15">
        <f>AVERAGE(C190:AS190)*30*100</f>
        <v>123818.18181818182</v>
      </c>
      <c r="B189" s="11" t="s">
        <v>12</v>
      </c>
      <c r="C189" s="123" t="s">
        <v>266</v>
      </c>
      <c r="D189" s="12"/>
      <c r="E189" s="12"/>
      <c r="F189" s="12"/>
      <c r="G189" s="195"/>
      <c r="H189" s="12"/>
      <c r="I189" s="12"/>
      <c r="J189" s="195"/>
      <c r="K189" s="12"/>
      <c r="L189" s="12"/>
      <c r="M189" s="12"/>
      <c r="N189" s="195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</row>
    <row r="190" spans="1:55" ht="11.25" customHeight="1" x14ac:dyDescent="0.2">
      <c r="A190" s="15">
        <f t="shared" ref="A190:A193" si="4324">SUM(C190:AS190)</f>
        <v>454</v>
      </c>
      <c r="B190" s="19" t="s">
        <v>13</v>
      </c>
      <c r="C190" s="123">
        <v>0</v>
      </c>
      <c r="D190" s="20">
        <f t="shared" ref="D190:D191" si="4325">IF(D183="","",D183-C183)</f>
        <v>0</v>
      </c>
      <c r="E190" s="20">
        <f t="shared" ref="E190:E191" si="4326">IF(E183="","",E183-D183)</f>
        <v>0</v>
      </c>
      <c r="F190" s="20">
        <f t="shared" ref="F190:F191" si="4327">IF(F183="","",F183-E183)</f>
        <v>245</v>
      </c>
      <c r="G190" s="195">
        <f t="shared" ref="G190:G191" si="4328">IF(G183="","",G183-F183)</f>
        <v>0</v>
      </c>
      <c r="H190" s="20">
        <f t="shared" ref="H190:H191" si="4329">IF(H183="","",H183-G183)</f>
        <v>0</v>
      </c>
      <c r="I190" s="20">
        <f t="shared" ref="I190:I191" si="4330">IF(I183="","",I183-H183)</f>
        <v>209</v>
      </c>
      <c r="J190" s="195">
        <f t="shared" ref="J190:J191" si="4331">IF(J183="","",J183-I183)</f>
        <v>0</v>
      </c>
      <c r="K190" s="20">
        <f t="shared" ref="K190:K191" si="4332">IF(K183="","",K183-J183)</f>
        <v>0</v>
      </c>
      <c r="L190" s="20">
        <f t="shared" ref="L190:L191" si="4333">IF(L183="","",L183-K183)</f>
        <v>0</v>
      </c>
      <c r="M190" s="20">
        <f t="shared" ref="M190:M191" si="4334">IF(M183="","",M183-L183)</f>
        <v>0</v>
      </c>
      <c r="N190" s="195" t="str">
        <f t="shared" ref="N190:N191" si="4335">IF(N183="","",N183-M183)</f>
        <v/>
      </c>
      <c r="O190" s="20" t="str">
        <f t="shared" ref="O190:O191" si="4336">IF(O183="","",O183-N183)</f>
        <v/>
      </c>
      <c r="P190" s="20" t="str">
        <f t="shared" ref="P190:P191" si="4337">IF(P183="","",P183-O183)</f>
        <v/>
      </c>
      <c r="Q190" s="20" t="str">
        <f t="shared" ref="Q190:Q191" si="4338">IF(Q183="","",Q183-P183)</f>
        <v/>
      </c>
      <c r="R190" s="20" t="str">
        <f t="shared" ref="R190:R191" si="4339">IF(R183="","",R183-Q183)</f>
        <v/>
      </c>
      <c r="S190" s="20" t="str">
        <f t="shared" ref="S190:S191" si="4340">IF(S183="","",S183-R183)</f>
        <v/>
      </c>
      <c r="T190" s="20" t="str">
        <f t="shared" ref="T190:T191" si="4341">IF(T183="","",T183-S183)</f>
        <v/>
      </c>
      <c r="U190" s="20" t="str">
        <f t="shared" ref="U190:U191" si="4342">IF(U183="","",U183-T183)</f>
        <v/>
      </c>
      <c r="V190" s="20" t="str">
        <f t="shared" ref="V190:V191" si="4343">IF(V183="","",V183-U183)</f>
        <v/>
      </c>
      <c r="W190" s="20" t="str">
        <f t="shared" ref="W190:W191" si="4344">IF(W183="","",W183-V183)</f>
        <v/>
      </c>
      <c r="X190" s="20" t="str">
        <f t="shared" ref="X190:X191" si="4345">IF(X183="","",X183-W183)</f>
        <v/>
      </c>
      <c r="Y190" s="20" t="str">
        <f t="shared" ref="Y190:Y191" si="4346">IF(Y183="","",Y183-X183)</f>
        <v/>
      </c>
      <c r="Z190" s="20" t="str">
        <f t="shared" ref="Z190:Z191" si="4347">IF(Z183="","",Z183-Y183)</f>
        <v/>
      </c>
      <c r="AA190" s="20" t="str">
        <f t="shared" ref="AA190:AA191" si="4348">IF(AA183="","",AA183-Z183)</f>
        <v/>
      </c>
      <c r="AB190" s="20" t="str">
        <f t="shared" ref="AB190:AB191" si="4349">IF(AB183="","",AB183-AA183)</f>
        <v/>
      </c>
      <c r="AC190" s="20" t="str">
        <f t="shared" ref="AC190:AC191" si="4350">IF(AC183="","",AC183-AB183)</f>
        <v/>
      </c>
      <c r="AD190" s="20" t="str">
        <f t="shared" ref="AD190:AD191" si="4351">IF(AD183="","",AD183-AC183)</f>
        <v/>
      </c>
      <c r="AE190" s="20" t="str">
        <f t="shared" ref="AE190:AE191" si="4352">IF(AE183="","",AE183-AD183)</f>
        <v/>
      </c>
      <c r="AF190" s="20" t="str">
        <f t="shared" ref="AF190:AF191" si="4353">IF(AF183="","",AF183-AE183)</f>
        <v/>
      </c>
      <c r="AG190" s="20" t="str">
        <f t="shared" ref="AG190:AG191" si="4354">IF(AG183="","",AG183-AF183)</f>
        <v/>
      </c>
      <c r="AH190" s="20" t="str">
        <f t="shared" ref="AH190:AH191" si="4355">IF(AH183="","",AH183-AG183)</f>
        <v/>
      </c>
      <c r="AI190" s="20" t="str">
        <f t="shared" ref="AI190:AI191" si="4356">IF(AI183="","",AI183-AH183)</f>
        <v/>
      </c>
      <c r="AJ190" s="20" t="str">
        <f t="shared" ref="AJ190:AJ191" si="4357">IF(AJ183="","",AJ183-AI183)</f>
        <v/>
      </c>
      <c r="AK190" s="20" t="str">
        <f t="shared" ref="AK190:AK191" si="4358">IF(AK183="","",AK183-AJ183)</f>
        <v/>
      </c>
      <c r="AL190" s="20" t="str">
        <f t="shared" ref="AL190:AL191" si="4359">IF(AL183="","",AL183-AK183)</f>
        <v/>
      </c>
      <c r="AM190" s="20" t="str">
        <f t="shared" ref="AM190:AM191" si="4360">IF(AM183="","",AM183-AL183)</f>
        <v/>
      </c>
      <c r="AN190" s="20" t="str">
        <f t="shared" ref="AN190:AN191" si="4361">IF(AN183="","",AN183-AM183)</f>
        <v/>
      </c>
      <c r="AO190" s="20" t="str">
        <f t="shared" ref="AO190:AO191" si="4362">IF(AO183="","",AO183-AN183)</f>
        <v/>
      </c>
      <c r="AP190" s="20" t="str">
        <f t="shared" ref="AP190:AP191" si="4363">IF(AP183="","",AP183-AO183)</f>
        <v/>
      </c>
      <c r="AQ190" s="20" t="str">
        <f t="shared" ref="AQ190:AQ191" si="4364">IF(AQ183="","",AQ183-AP183)</f>
        <v/>
      </c>
      <c r="AR190" s="20" t="str">
        <f t="shared" ref="AR190:AR191" si="4365">IF(AR183="","",AR183-AQ183)</f>
        <v/>
      </c>
      <c r="AS190" s="20" t="str">
        <f t="shared" ref="AS190:AS191" si="4366">IF(AS183="","",AS183-AR183)</f>
        <v/>
      </c>
      <c r="AT190" s="20" t="str">
        <f t="shared" ref="AT190:AT191" si="4367">IF(AT183="","",AT183-AS183)</f>
        <v/>
      </c>
      <c r="AU190" s="20" t="str">
        <f t="shared" ref="AU190:AU191" si="4368">IF(AU183="","",AU183-AT183)</f>
        <v/>
      </c>
      <c r="AV190" s="20" t="str">
        <f t="shared" ref="AS190:BC190" si="4369">IF(AV183="","",AV183-AU183)</f>
        <v/>
      </c>
      <c r="AW190" s="20" t="str">
        <f t="shared" si="4369"/>
        <v/>
      </c>
      <c r="AX190" s="20" t="str">
        <f t="shared" si="4369"/>
        <v/>
      </c>
      <c r="AY190" s="20" t="str">
        <f t="shared" si="4369"/>
        <v/>
      </c>
      <c r="AZ190" s="20" t="str">
        <f t="shared" si="4369"/>
        <v/>
      </c>
      <c r="BA190" s="20" t="str">
        <f t="shared" si="4369"/>
        <v/>
      </c>
      <c r="BB190" s="20" t="str">
        <f t="shared" si="4369"/>
        <v/>
      </c>
      <c r="BC190" s="20" t="str">
        <f t="shared" si="4369"/>
        <v/>
      </c>
    </row>
    <row r="191" spans="1:55" ht="11.25" customHeight="1" x14ac:dyDescent="0.2">
      <c r="A191" s="15">
        <f t="shared" si="4324"/>
        <v>6</v>
      </c>
      <c r="B191" s="19" t="s">
        <v>14</v>
      </c>
      <c r="C191" s="123">
        <v>0</v>
      </c>
      <c r="D191" s="20">
        <f t="shared" si="4325"/>
        <v>0</v>
      </c>
      <c r="E191" s="20">
        <f t="shared" si="4326"/>
        <v>0</v>
      </c>
      <c r="F191" s="20">
        <f t="shared" si="4327"/>
        <v>5</v>
      </c>
      <c r="G191" s="195">
        <f t="shared" si="4328"/>
        <v>0</v>
      </c>
      <c r="H191" s="20">
        <f t="shared" si="4329"/>
        <v>0</v>
      </c>
      <c r="I191" s="20">
        <f t="shared" si="4330"/>
        <v>1</v>
      </c>
      <c r="J191" s="195">
        <f t="shared" si="4331"/>
        <v>0</v>
      </c>
      <c r="K191" s="20">
        <f t="shared" si="4332"/>
        <v>0</v>
      </c>
      <c r="L191" s="20">
        <f t="shared" si="4333"/>
        <v>0</v>
      </c>
      <c r="M191" s="20">
        <f t="shared" si="4334"/>
        <v>0</v>
      </c>
      <c r="N191" s="195" t="str">
        <f t="shared" si="4335"/>
        <v/>
      </c>
      <c r="O191" s="20" t="str">
        <f t="shared" si="4336"/>
        <v/>
      </c>
      <c r="P191" s="20" t="str">
        <f t="shared" si="4337"/>
        <v/>
      </c>
      <c r="Q191" s="20" t="str">
        <f t="shared" si="4338"/>
        <v/>
      </c>
      <c r="R191" s="20" t="str">
        <f t="shared" si="4339"/>
        <v/>
      </c>
      <c r="S191" s="20" t="str">
        <f t="shared" si="4340"/>
        <v/>
      </c>
      <c r="T191" s="20" t="str">
        <f t="shared" si="4341"/>
        <v/>
      </c>
      <c r="U191" s="20" t="str">
        <f t="shared" si="4342"/>
        <v/>
      </c>
      <c r="V191" s="20" t="str">
        <f t="shared" si="4343"/>
        <v/>
      </c>
      <c r="W191" s="20" t="str">
        <f t="shared" si="4344"/>
        <v/>
      </c>
      <c r="X191" s="20" t="str">
        <f t="shared" si="4345"/>
        <v/>
      </c>
      <c r="Y191" s="20" t="str">
        <f t="shared" si="4346"/>
        <v/>
      </c>
      <c r="Z191" s="20" t="str">
        <f t="shared" si="4347"/>
        <v/>
      </c>
      <c r="AA191" s="20" t="str">
        <f t="shared" si="4348"/>
        <v/>
      </c>
      <c r="AB191" s="20" t="str">
        <f t="shared" si="4349"/>
        <v/>
      </c>
      <c r="AC191" s="20" t="str">
        <f t="shared" si="4350"/>
        <v/>
      </c>
      <c r="AD191" s="20" t="str">
        <f t="shared" si="4351"/>
        <v/>
      </c>
      <c r="AE191" s="20" t="str">
        <f t="shared" si="4352"/>
        <v/>
      </c>
      <c r="AF191" s="20" t="str">
        <f t="shared" si="4353"/>
        <v/>
      </c>
      <c r="AG191" s="20" t="str">
        <f t="shared" si="4354"/>
        <v/>
      </c>
      <c r="AH191" s="20" t="str">
        <f t="shared" si="4355"/>
        <v/>
      </c>
      <c r="AI191" s="20" t="str">
        <f t="shared" si="4356"/>
        <v/>
      </c>
      <c r="AJ191" s="20" t="str">
        <f t="shared" si="4357"/>
        <v/>
      </c>
      <c r="AK191" s="20" t="str">
        <f t="shared" si="4358"/>
        <v/>
      </c>
      <c r="AL191" s="20" t="str">
        <f t="shared" si="4359"/>
        <v/>
      </c>
      <c r="AM191" s="20" t="str">
        <f t="shared" si="4360"/>
        <v/>
      </c>
      <c r="AN191" s="20" t="str">
        <f t="shared" si="4361"/>
        <v/>
      </c>
      <c r="AO191" s="20" t="str">
        <f t="shared" si="4362"/>
        <v/>
      </c>
      <c r="AP191" s="20" t="str">
        <f t="shared" si="4363"/>
        <v/>
      </c>
      <c r="AQ191" s="20" t="str">
        <f t="shared" si="4364"/>
        <v/>
      </c>
      <c r="AR191" s="20" t="str">
        <f t="shared" si="4365"/>
        <v/>
      </c>
      <c r="AS191" s="20" t="str">
        <f t="shared" si="4366"/>
        <v/>
      </c>
      <c r="AT191" s="20" t="str">
        <f t="shared" si="4367"/>
        <v/>
      </c>
      <c r="AU191" s="20" t="str">
        <f t="shared" si="4368"/>
        <v/>
      </c>
      <c r="AV191" s="20" t="str">
        <f t="shared" ref="AS191:BC191" si="4370">IF(AV184="","",AV184-AU184)</f>
        <v/>
      </c>
      <c r="AW191" s="20" t="str">
        <f t="shared" si="4370"/>
        <v/>
      </c>
      <c r="AX191" s="20" t="str">
        <f t="shared" si="4370"/>
        <v/>
      </c>
      <c r="AY191" s="20" t="str">
        <f t="shared" si="4370"/>
        <v/>
      </c>
      <c r="AZ191" s="20" t="str">
        <f t="shared" si="4370"/>
        <v/>
      </c>
      <c r="BA191" s="20" t="str">
        <f t="shared" si="4370"/>
        <v/>
      </c>
      <c r="BB191" s="20" t="str">
        <f t="shared" si="4370"/>
        <v/>
      </c>
      <c r="BC191" s="20" t="str">
        <f t="shared" si="4370"/>
        <v/>
      </c>
    </row>
    <row r="192" spans="1:55" ht="11.25" customHeight="1" x14ac:dyDescent="0.2">
      <c r="A192" s="15">
        <f t="shared" si="4324"/>
        <v>6</v>
      </c>
      <c r="B192" s="19" t="s">
        <v>15</v>
      </c>
      <c r="C192" s="123">
        <v>0</v>
      </c>
      <c r="D192" s="20">
        <f t="shared" ref="D192" si="4371">IF(D185="","",C185+C186-D185)</f>
        <v>0</v>
      </c>
      <c r="E192" s="20">
        <f t="shared" ref="E192" si="4372">IF(E185="","",D185+D186-E185)</f>
        <v>0</v>
      </c>
      <c r="F192" s="20">
        <f t="shared" ref="F192" si="4373">IF(F185="","",E185+E186-F185)</f>
        <v>5</v>
      </c>
      <c r="G192" s="195">
        <f t="shared" ref="G192" si="4374">IF(G185="","",F185+F186-G185)</f>
        <v>0</v>
      </c>
      <c r="H192" s="20">
        <f t="shared" ref="H192" si="4375">IF(H185="","",G185+G186-H185)</f>
        <v>0</v>
      </c>
      <c r="I192" s="20">
        <f t="shared" ref="I192" si="4376">IF(I185="","",H185+H186-I185)</f>
        <v>1</v>
      </c>
      <c r="J192" s="195">
        <f t="shared" ref="J192" si="4377">IF(J185="","",I185+I186-J185)</f>
        <v>0</v>
      </c>
      <c r="K192" s="20">
        <f t="shared" ref="K192" si="4378">IF(K185="","",J185+J186-K185)</f>
        <v>0</v>
      </c>
      <c r="L192" s="20">
        <f t="shared" ref="L192" si="4379">IF(L185="","",K185+K186-L185)</f>
        <v>0</v>
      </c>
      <c r="M192" s="20">
        <f t="shared" ref="M192" si="4380">IF(M185="","",L185+L186-M185)</f>
        <v>0</v>
      </c>
      <c r="N192" s="195" t="str">
        <f t="shared" ref="N192" si="4381">IF(N185="","",M185+M186-N185)</f>
        <v/>
      </c>
      <c r="O192" s="20" t="str">
        <f t="shared" ref="O192" si="4382">IF(O185="","",N185+N186-O185)</f>
        <v/>
      </c>
      <c r="P192" s="20" t="str">
        <f t="shared" ref="P192" si="4383">IF(P185="","",O185+O186-P185)</f>
        <v/>
      </c>
      <c r="Q192" s="20" t="str">
        <f t="shared" ref="Q192" si="4384">IF(Q185="","",P185+P186-Q185)</f>
        <v/>
      </c>
      <c r="R192" s="20" t="str">
        <f t="shared" ref="R192" si="4385">IF(R185="","",Q185+Q186-R185)</f>
        <v/>
      </c>
      <c r="S192" s="20" t="str">
        <f t="shared" ref="S192" si="4386">IF(S185="","",R185+R186-S185)</f>
        <v/>
      </c>
      <c r="T192" s="20" t="str">
        <f t="shared" ref="T192" si="4387">IF(T185="","",S185+S186-T185)</f>
        <v/>
      </c>
      <c r="U192" s="20" t="str">
        <f t="shared" ref="U192" si="4388">IF(U185="","",T185+T186-U185)</f>
        <v/>
      </c>
      <c r="V192" s="20" t="str">
        <f t="shared" ref="V192" si="4389">IF(V185="","",U185+U186-V185)</f>
        <v/>
      </c>
      <c r="W192" s="20" t="str">
        <f t="shared" ref="W192" si="4390">IF(W185="","",V185+V186-W185)</f>
        <v/>
      </c>
      <c r="X192" s="20" t="str">
        <f t="shared" ref="X192" si="4391">IF(X185="","",W185+W186-X185)</f>
        <v/>
      </c>
      <c r="Y192" s="20" t="str">
        <f t="shared" ref="Y192" si="4392">IF(Y185="","",X185+X186-Y185)</f>
        <v/>
      </c>
      <c r="Z192" s="20" t="str">
        <f t="shared" ref="Z192" si="4393">IF(Z185="","",Y185+Y186-Z185)</f>
        <v/>
      </c>
      <c r="AA192" s="20" t="str">
        <f t="shared" ref="AA192" si="4394">IF(AA185="","",Z185+Z186-AA185)</f>
        <v/>
      </c>
      <c r="AB192" s="20" t="str">
        <f t="shared" ref="AB192" si="4395">IF(AB185="","",AA185+AA186-AB185)</f>
        <v/>
      </c>
      <c r="AC192" s="20" t="str">
        <f t="shared" ref="AC192" si="4396">IF(AC185="","",AB185+AB186-AC185)</f>
        <v/>
      </c>
      <c r="AD192" s="20" t="str">
        <f t="shared" ref="AD192" si="4397">IF(AD185="","",AC185+AC186-AD185)</f>
        <v/>
      </c>
      <c r="AE192" s="20" t="str">
        <f t="shared" ref="AE192" si="4398">IF(AE185="","",AD185+AD186-AE185)</f>
        <v/>
      </c>
      <c r="AF192" s="20" t="str">
        <f t="shared" ref="AF192" si="4399">IF(AF185="","",AE185+AE186-AF185)</f>
        <v/>
      </c>
      <c r="AG192" s="20" t="str">
        <f t="shared" ref="AG192" si="4400">IF(AG185="","",AF185+AF186-AG185)</f>
        <v/>
      </c>
      <c r="AH192" s="20" t="str">
        <f t="shared" ref="AH192" si="4401">IF(AH185="","",AG185+AG186-AH185)</f>
        <v/>
      </c>
      <c r="AI192" s="20" t="str">
        <f t="shared" ref="AI192" si="4402">IF(AI185="","",AH185+AH186-AI185)</f>
        <v/>
      </c>
      <c r="AJ192" s="20" t="str">
        <f t="shared" ref="AJ192" si="4403">IF(AJ185="","",AI185+AI186-AJ185)</f>
        <v/>
      </c>
      <c r="AK192" s="20" t="str">
        <f t="shared" ref="AK192" si="4404">IF(AK185="","",AJ185+AJ186-AK185)</f>
        <v/>
      </c>
      <c r="AL192" s="20" t="str">
        <f t="shared" ref="AL192" si="4405">IF(AL185="","",AK185+AK186-AL185)</f>
        <v/>
      </c>
      <c r="AM192" s="20" t="str">
        <f t="shared" ref="AM192" si="4406">IF(AM185="","",AL185+AL186-AM185)</f>
        <v/>
      </c>
      <c r="AN192" s="20" t="str">
        <f t="shared" ref="AN192" si="4407">IF(AN185="","",AM185+AM186-AN185)</f>
        <v/>
      </c>
      <c r="AO192" s="20" t="str">
        <f t="shared" ref="AO192" si="4408">IF(AO185="","",AN185+AN186-AO185)</f>
        <v/>
      </c>
      <c r="AP192" s="20" t="str">
        <f t="shared" ref="AP192" si="4409">IF(AP185="","",AO185+AO186-AP185)</f>
        <v/>
      </c>
      <c r="AQ192" s="20" t="str">
        <f t="shared" ref="AQ192" si="4410">IF(AQ185="","",AP185+AP186-AQ185)</f>
        <v/>
      </c>
      <c r="AR192" s="20" t="str">
        <f t="shared" ref="AR192" si="4411">IF(AR185="","",AQ185+AQ186-AR185)</f>
        <v/>
      </c>
      <c r="AS192" s="20" t="str">
        <f t="shared" ref="AS192" si="4412">IF(AS185="","",AR185+AR186-AS185)</f>
        <v/>
      </c>
      <c r="AT192" s="20" t="str">
        <f t="shared" ref="AT192" si="4413">IF(AT185="","",AS185+AS186-AT185)</f>
        <v/>
      </c>
      <c r="AU192" s="20" t="str">
        <f t="shared" ref="AU192" si="4414">IF(AU185="","",AT185+AT186-AU185)</f>
        <v/>
      </c>
      <c r="AV192" s="20" t="str">
        <f t="shared" ref="AS192:BC192" si="4415">IF(AV185="","",AU185+AU186-AV185)</f>
        <v/>
      </c>
      <c r="AW192" s="20" t="str">
        <f t="shared" si="4415"/>
        <v/>
      </c>
      <c r="AX192" s="20" t="str">
        <f t="shared" si="4415"/>
        <v/>
      </c>
      <c r="AY192" s="20" t="str">
        <f t="shared" si="4415"/>
        <v/>
      </c>
      <c r="AZ192" s="20" t="str">
        <f t="shared" si="4415"/>
        <v/>
      </c>
      <c r="BA192" s="20" t="str">
        <f t="shared" si="4415"/>
        <v/>
      </c>
      <c r="BB192" s="20" t="str">
        <f t="shared" si="4415"/>
        <v/>
      </c>
      <c r="BC192" s="20" t="str">
        <f t="shared" si="4415"/>
        <v/>
      </c>
    </row>
    <row r="193" spans="1:55" ht="11.25" customHeight="1" x14ac:dyDescent="0.2">
      <c r="A193" s="15">
        <f t="shared" si="4324"/>
        <v>6000</v>
      </c>
      <c r="B193" s="19" t="s">
        <v>16</v>
      </c>
      <c r="C193" s="123">
        <v>0</v>
      </c>
      <c r="D193" s="20">
        <f t="shared" ref="D193:AU193" si="4416">IF(D183="","",D192*D187)</f>
        <v>0</v>
      </c>
      <c r="E193" s="20">
        <f t="shared" si="4416"/>
        <v>0</v>
      </c>
      <c r="F193" s="20">
        <f t="shared" si="4416"/>
        <v>5000</v>
      </c>
      <c r="G193" s="195">
        <f t="shared" si="4416"/>
        <v>0</v>
      </c>
      <c r="H193" s="20">
        <f t="shared" si="4416"/>
        <v>0</v>
      </c>
      <c r="I193" s="20">
        <f t="shared" si="4416"/>
        <v>1000</v>
      </c>
      <c r="J193" s="195">
        <f t="shared" si="4416"/>
        <v>0</v>
      </c>
      <c r="K193" s="20">
        <f t="shared" si="4416"/>
        <v>0</v>
      </c>
      <c r="L193" s="20">
        <f t="shared" si="4416"/>
        <v>0</v>
      </c>
      <c r="M193" s="20">
        <f t="shared" si="4416"/>
        <v>0</v>
      </c>
      <c r="N193" s="195" t="str">
        <f t="shared" si="4416"/>
        <v/>
      </c>
      <c r="O193" s="20" t="str">
        <f t="shared" si="4416"/>
        <v/>
      </c>
      <c r="P193" s="20" t="str">
        <f t="shared" si="4416"/>
        <v/>
      </c>
      <c r="Q193" s="20" t="str">
        <f t="shared" si="4416"/>
        <v/>
      </c>
      <c r="R193" s="20" t="str">
        <f t="shared" si="4416"/>
        <v/>
      </c>
      <c r="S193" s="20" t="str">
        <f t="shared" si="4416"/>
        <v/>
      </c>
      <c r="T193" s="20" t="str">
        <f t="shared" si="4416"/>
        <v/>
      </c>
      <c r="U193" s="20" t="str">
        <f t="shared" si="4416"/>
        <v/>
      </c>
      <c r="V193" s="20" t="str">
        <f t="shared" si="4416"/>
        <v/>
      </c>
      <c r="W193" s="20" t="str">
        <f t="shared" si="4416"/>
        <v/>
      </c>
      <c r="X193" s="20" t="str">
        <f t="shared" si="4416"/>
        <v/>
      </c>
      <c r="Y193" s="20" t="str">
        <f t="shared" si="4416"/>
        <v/>
      </c>
      <c r="Z193" s="20" t="str">
        <f t="shared" si="4416"/>
        <v/>
      </c>
      <c r="AA193" s="20" t="str">
        <f t="shared" si="4416"/>
        <v/>
      </c>
      <c r="AB193" s="20" t="str">
        <f t="shared" si="4416"/>
        <v/>
      </c>
      <c r="AC193" s="20" t="str">
        <f t="shared" si="4416"/>
        <v/>
      </c>
      <c r="AD193" s="20" t="str">
        <f t="shared" si="4416"/>
        <v/>
      </c>
      <c r="AE193" s="20" t="str">
        <f t="shared" si="4416"/>
        <v/>
      </c>
      <c r="AF193" s="20" t="str">
        <f t="shared" si="4416"/>
        <v/>
      </c>
      <c r="AG193" s="20" t="str">
        <f t="shared" si="4416"/>
        <v/>
      </c>
      <c r="AH193" s="20" t="str">
        <f t="shared" si="4416"/>
        <v/>
      </c>
      <c r="AI193" s="20" t="str">
        <f t="shared" si="4416"/>
        <v/>
      </c>
      <c r="AJ193" s="20" t="str">
        <f t="shared" si="4416"/>
        <v/>
      </c>
      <c r="AK193" s="20" t="str">
        <f t="shared" si="4416"/>
        <v/>
      </c>
      <c r="AL193" s="20" t="str">
        <f t="shared" si="4416"/>
        <v/>
      </c>
      <c r="AM193" s="20" t="str">
        <f t="shared" si="4416"/>
        <v/>
      </c>
      <c r="AN193" s="20" t="str">
        <f t="shared" si="4416"/>
        <v/>
      </c>
      <c r="AO193" s="20" t="str">
        <f t="shared" si="4416"/>
        <v/>
      </c>
      <c r="AP193" s="20" t="str">
        <f t="shared" si="4416"/>
        <v/>
      </c>
      <c r="AQ193" s="20" t="str">
        <f t="shared" si="4416"/>
        <v/>
      </c>
      <c r="AR193" s="20" t="str">
        <f t="shared" si="4416"/>
        <v/>
      </c>
      <c r="AS193" s="20" t="str">
        <f t="shared" si="4416"/>
        <v/>
      </c>
      <c r="AT193" s="20" t="str">
        <f t="shared" si="4416"/>
        <v/>
      </c>
      <c r="AU193" s="20" t="str">
        <f t="shared" si="4416"/>
        <v/>
      </c>
      <c r="AV193" s="20" t="str">
        <f t="shared" ref="AS193:BC193" si="4417">IF(AV183="","",AV192*AV187)</f>
        <v/>
      </c>
      <c r="AW193" s="20" t="str">
        <f t="shared" si="4417"/>
        <v/>
      </c>
      <c r="AX193" s="20" t="str">
        <f t="shared" si="4417"/>
        <v/>
      </c>
      <c r="AY193" s="20" t="str">
        <f t="shared" si="4417"/>
        <v/>
      </c>
      <c r="AZ193" s="20" t="str">
        <f t="shared" si="4417"/>
        <v/>
      </c>
      <c r="BA193" s="20" t="str">
        <f t="shared" si="4417"/>
        <v/>
      </c>
      <c r="BB193" s="20" t="str">
        <f t="shared" si="4417"/>
        <v/>
      </c>
      <c r="BC193" s="20" t="str">
        <f t="shared" si="4417"/>
        <v/>
      </c>
    </row>
    <row r="194" spans="1:55" ht="11.25" customHeight="1" thickBot="1" x14ac:dyDescent="0.25">
      <c r="A194" s="200">
        <f>IF(A193="","",A193/(A190*100))</f>
        <v>0.13215859030837004</v>
      </c>
      <c r="B194" s="201" t="s">
        <v>17</v>
      </c>
      <c r="C194" s="202" t="s">
        <v>18</v>
      </c>
      <c r="D194" s="203" t="str">
        <f t="shared" ref="D194:AU194" si="4418">IF(D193="","",IF(D193=0,"",D193/(D190*100)))</f>
        <v/>
      </c>
      <c r="E194" s="203" t="str">
        <f t="shared" si="4418"/>
        <v/>
      </c>
      <c r="F194" s="203">
        <f t="shared" si="4418"/>
        <v>0.20408163265306123</v>
      </c>
      <c r="G194" s="204" t="str">
        <f t="shared" si="4418"/>
        <v/>
      </c>
      <c r="H194" s="203" t="str">
        <f t="shared" si="4418"/>
        <v/>
      </c>
      <c r="I194" s="203">
        <f t="shared" si="4418"/>
        <v>4.784688995215311E-2</v>
      </c>
      <c r="J194" s="204" t="str">
        <f t="shared" si="4418"/>
        <v/>
      </c>
      <c r="K194" s="203" t="str">
        <f t="shared" si="4418"/>
        <v/>
      </c>
      <c r="L194" s="203" t="str">
        <f t="shared" si="4418"/>
        <v/>
      </c>
      <c r="M194" s="203" t="str">
        <f t="shared" si="4418"/>
        <v/>
      </c>
      <c r="N194" s="204" t="str">
        <f t="shared" si="4418"/>
        <v/>
      </c>
      <c r="O194" s="203" t="str">
        <f t="shared" si="4418"/>
        <v/>
      </c>
      <c r="P194" s="203" t="str">
        <f t="shared" si="4418"/>
        <v/>
      </c>
      <c r="Q194" s="203" t="str">
        <f t="shared" si="4418"/>
        <v/>
      </c>
      <c r="R194" s="203" t="str">
        <f t="shared" si="4418"/>
        <v/>
      </c>
      <c r="S194" s="203" t="str">
        <f t="shared" si="4418"/>
        <v/>
      </c>
      <c r="T194" s="203" t="str">
        <f t="shared" si="4418"/>
        <v/>
      </c>
      <c r="U194" s="203" t="str">
        <f t="shared" si="4418"/>
        <v/>
      </c>
      <c r="V194" s="203" t="str">
        <f t="shared" si="4418"/>
        <v/>
      </c>
      <c r="W194" s="203" t="str">
        <f t="shared" si="4418"/>
        <v/>
      </c>
      <c r="X194" s="203" t="str">
        <f t="shared" si="4418"/>
        <v/>
      </c>
      <c r="Y194" s="203" t="str">
        <f t="shared" si="4418"/>
        <v/>
      </c>
      <c r="Z194" s="203" t="str">
        <f t="shared" si="4418"/>
        <v/>
      </c>
      <c r="AA194" s="203" t="str">
        <f t="shared" si="4418"/>
        <v/>
      </c>
      <c r="AB194" s="203" t="str">
        <f t="shared" si="4418"/>
        <v/>
      </c>
      <c r="AC194" s="203" t="str">
        <f t="shared" si="4418"/>
        <v/>
      </c>
      <c r="AD194" s="203" t="str">
        <f t="shared" si="4418"/>
        <v/>
      </c>
      <c r="AE194" s="203" t="str">
        <f t="shared" si="4418"/>
        <v/>
      </c>
      <c r="AF194" s="203" t="str">
        <f t="shared" si="4418"/>
        <v/>
      </c>
      <c r="AG194" s="203" t="str">
        <f t="shared" si="4418"/>
        <v/>
      </c>
      <c r="AH194" s="203" t="str">
        <f t="shared" si="4418"/>
        <v/>
      </c>
      <c r="AI194" s="203" t="str">
        <f t="shared" si="4418"/>
        <v/>
      </c>
      <c r="AJ194" s="203" t="str">
        <f t="shared" si="4418"/>
        <v/>
      </c>
      <c r="AK194" s="203" t="str">
        <f t="shared" si="4418"/>
        <v/>
      </c>
      <c r="AL194" s="203" t="str">
        <f t="shared" si="4418"/>
        <v/>
      </c>
      <c r="AM194" s="203" t="str">
        <f t="shared" si="4418"/>
        <v/>
      </c>
      <c r="AN194" s="203" t="str">
        <f t="shared" si="4418"/>
        <v/>
      </c>
      <c r="AO194" s="203" t="str">
        <f t="shared" si="4418"/>
        <v/>
      </c>
      <c r="AP194" s="203" t="str">
        <f t="shared" si="4418"/>
        <v/>
      </c>
      <c r="AQ194" s="203" t="str">
        <f t="shared" si="4418"/>
        <v/>
      </c>
      <c r="AR194" s="203" t="str">
        <f t="shared" si="4418"/>
        <v/>
      </c>
      <c r="AS194" s="203" t="str">
        <f t="shared" si="4418"/>
        <v/>
      </c>
      <c r="AT194" s="203" t="str">
        <f t="shared" si="4418"/>
        <v/>
      </c>
      <c r="AU194" s="203" t="str">
        <f t="shared" si="4418"/>
        <v/>
      </c>
      <c r="AV194" s="203" t="str">
        <f t="shared" ref="AS194:BC194" si="4419">IF(AV193="","",IF(AV193=0,"",AV193/(AV190*100)))</f>
        <v/>
      </c>
      <c r="AW194" s="203" t="str">
        <f t="shared" si="4419"/>
        <v/>
      </c>
      <c r="AX194" s="203" t="str">
        <f t="shared" si="4419"/>
        <v/>
      </c>
      <c r="AY194" s="203" t="str">
        <f t="shared" si="4419"/>
        <v/>
      </c>
      <c r="AZ194" s="203" t="str">
        <f t="shared" si="4419"/>
        <v/>
      </c>
      <c r="BA194" s="203" t="str">
        <f t="shared" si="4419"/>
        <v/>
      </c>
      <c r="BB194" s="203" t="str">
        <f t="shared" si="4419"/>
        <v/>
      </c>
      <c r="BC194" s="203" t="str">
        <f t="shared" si="4419"/>
        <v/>
      </c>
    </row>
    <row r="195" spans="1:55" ht="11.25" customHeight="1" x14ac:dyDescent="0.2">
      <c r="A195" s="208" t="s">
        <v>1</v>
      </c>
      <c r="B195" s="209" t="s">
        <v>2</v>
      </c>
      <c r="C195" s="210">
        <v>0</v>
      </c>
      <c r="D195" s="211">
        <v>0</v>
      </c>
      <c r="E195" s="211">
        <v>0</v>
      </c>
      <c r="F195" s="211">
        <v>0</v>
      </c>
      <c r="G195" s="212">
        <f t="shared" ref="G195:G196" si="4420">IF(G$3="","",F195)</f>
        <v>0</v>
      </c>
      <c r="H195" s="211">
        <f t="shared" ref="H195:H196" si="4421">IF(H$3="","",G195)</f>
        <v>0</v>
      </c>
      <c r="I195" s="211">
        <v>139</v>
      </c>
      <c r="J195" s="212">
        <f t="shared" ref="J195:J196" si="4422">IF(J$3="","",I195)</f>
        <v>139</v>
      </c>
      <c r="K195" s="211">
        <f t="shared" ref="K195:K196" si="4423">IF(K$3="","",J195)</f>
        <v>139</v>
      </c>
      <c r="L195" s="211">
        <f t="shared" ref="L195:L196" si="4424">IF(L$3="","",K195)</f>
        <v>139</v>
      </c>
      <c r="M195" s="211">
        <f t="shared" ref="M195:M196" si="4425">IF(M$3="","",L195)</f>
        <v>139</v>
      </c>
      <c r="N195" s="212" t="str">
        <f t="shared" ref="N195:N196" si="4426">IF(N$3="","",M195)</f>
        <v/>
      </c>
      <c r="O195" s="211" t="str">
        <f t="shared" ref="O195:O196" si="4427">IF(O$3="","",N195)</f>
        <v/>
      </c>
      <c r="P195" s="211" t="str">
        <f t="shared" ref="P195:P196" si="4428">IF(P$3="","",O195)</f>
        <v/>
      </c>
      <c r="Q195" s="211" t="str">
        <f t="shared" ref="Q195:Q196" si="4429">IF(Q$3="","",P195)</f>
        <v/>
      </c>
      <c r="R195" s="211" t="str">
        <f t="shared" ref="R195:R196" si="4430">IF(R$3="","",Q195)</f>
        <v/>
      </c>
      <c r="S195" s="211" t="str">
        <f t="shared" ref="S195:S196" si="4431">IF(S$3="","",R195)</f>
        <v/>
      </c>
      <c r="T195" s="211" t="str">
        <f t="shared" ref="T195:T196" si="4432">IF(T$3="","",S195)</f>
        <v/>
      </c>
      <c r="U195" s="211" t="str">
        <f t="shared" ref="U195:U196" si="4433">IF(U$3="","",T195)</f>
        <v/>
      </c>
      <c r="V195" s="211" t="str">
        <f t="shared" ref="V195:V196" si="4434">IF(V$3="","",U195)</f>
        <v/>
      </c>
      <c r="W195" s="211" t="str">
        <f t="shared" ref="W195:W196" si="4435">IF(W$3="","",V195)</f>
        <v/>
      </c>
      <c r="X195" s="211" t="str">
        <f t="shared" ref="X195:X196" si="4436">IF(X$3="","",W195)</f>
        <v/>
      </c>
      <c r="Y195" s="211" t="str">
        <f t="shared" ref="Y195:Y196" si="4437">IF(Y$3="","",X195)</f>
        <v/>
      </c>
      <c r="Z195" s="211" t="str">
        <f t="shared" ref="Z195:Z196" si="4438">IF(Z$3="","",Y195)</f>
        <v/>
      </c>
      <c r="AA195" s="211" t="str">
        <f t="shared" ref="AA195:AA196" si="4439">IF(AA$3="","",Z195)</f>
        <v/>
      </c>
      <c r="AB195" s="211" t="str">
        <f t="shared" ref="AB195:AB196" si="4440">IF(AB$3="","",AA195)</f>
        <v/>
      </c>
      <c r="AC195" s="211" t="str">
        <f t="shared" ref="AC195:AC196" si="4441">IF(AC$3="","",AB195)</f>
        <v/>
      </c>
      <c r="AD195" s="211" t="str">
        <f t="shared" ref="AD195:AD196" si="4442">IF(AD$3="","",AC195)</f>
        <v/>
      </c>
      <c r="AE195" s="211" t="str">
        <f t="shared" ref="AE195:AE196" si="4443">IF(AE$3="","",AD195)</f>
        <v/>
      </c>
      <c r="AF195" s="211" t="str">
        <f t="shared" ref="AF195:AF196" si="4444">IF(AF$3="","",AE195)</f>
        <v/>
      </c>
      <c r="AG195" s="211" t="str">
        <f t="shared" ref="AG195:AG196" si="4445">IF(AG$3="","",AF195)</f>
        <v/>
      </c>
      <c r="AH195" s="211" t="str">
        <f t="shared" ref="AH195:AH196" si="4446">IF(AH$3="","",AG195)</f>
        <v/>
      </c>
      <c r="AI195" s="211" t="str">
        <f t="shared" ref="AI195:AI196" si="4447">IF(AI$3="","",AH195)</f>
        <v/>
      </c>
      <c r="AJ195" s="211" t="str">
        <f t="shared" ref="AJ195:AJ196" si="4448">IF(AJ$3="","",AI195)</f>
        <v/>
      </c>
      <c r="AK195" s="211" t="str">
        <f t="shared" ref="AK195:AK196" si="4449">IF(AK$3="","",AJ195)</f>
        <v/>
      </c>
      <c r="AL195" s="211" t="str">
        <f t="shared" ref="AL195:AL196" si="4450">IF(AL$3="","",AK195)</f>
        <v/>
      </c>
      <c r="AM195" s="211" t="str">
        <f t="shared" ref="AM195:AM196" si="4451">IF(AM$3="","",AL195)</f>
        <v/>
      </c>
      <c r="AN195" s="211" t="str">
        <f t="shared" ref="AN195:AN196" si="4452">IF(AN$3="","",AM195)</f>
        <v/>
      </c>
      <c r="AO195" s="211" t="str">
        <f t="shared" ref="AO195:AO196" si="4453">IF(AO$3="","",AN195)</f>
        <v/>
      </c>
      <c r="AP195" s="211" t="str">
        <f t="shared" ref="AP195:AP196" si="4454">IF(AP$3="","",AO195)</f>
        <v/>
      </c>
      <c r="AQ195" s="211" t="str">
        <f t="shared" ref="AQ195:AQ196" si="4455">IF(AQ$3="","",AP195)</f>
        <v/>
      </c>
      <c r="AR195" s="211" t="str">
        <f t="shared" ref="AR195:AR196" si="4456">IF(AR$3="","",AQ195)</f>
        <v/>
      </c>
      <c r="AS195" s="211" t="str">
        <f t="shared" ref="AS195:AS196" si="4457">IF(AS$3="","",AR195)</f>
        <v/>
      </c>
      <c r="AT195" s="211" t="str">
        <f t="shared" ref="AT195:AT196" si="4458">IF(AT$3="","",AS195)</f>
        <v/>
      </c>
      <c r="AU195" s="211" t="str">
        <f t="shared" ref="AU195:AU196" si="4459">IF(AU$3="","",AT195)</f>
        <v/>
      </c>
      <c r="AV195" s="211" t="str">
        <f t="shared" ref="AV195:AV196" si="4460">IF(AV$3="","",AU195)</f>
        <v/>
      </c>
      <c r="AW195" s="211" t="str">
        <f t="shared" ref="AW195:AW196" si="4461">IF(AW$3="","",AV195)</f>
        <v/>
      </c>
      <c r="AX195" s="211" t="str">
        <f t="shared" ref="AX195:AX196" si="4462">IF(AX$3="","",AW195)</f>
        <v/>
      </c>
      <c r="AY195" s="211" t="str">
        <f t="shared" ref="AY195:AY196" si="4463">IF(AY$3="","",AX195)</f>
        <v/>
      </c>
      <c r="AZ195" s="211" t="str">
        <f t="shared" ref="AZ195:AZ196" si="4464">IF(AZ$3="","",AY195)</f>
        <v/>
      </c>
      <c r="BA195" s="211" t="str">
        <f t="shared" ref="BA195:BA196" si="4465">IF(BA$3="","",AZ195)</f>
        <v/>
      </c>
      <c r="BB195" s="211" t="str">
        <f t="shared" ref="BB195:BB196" si="4466">IF(BB$3="","",BA195)</f>
        <v/>
      </c>
      <c r="BC195" s="213" t="str">
        <f t="shared" ref="BC195:BC196" si="4467">IF(BC$3="","",BB195)</f>
        <v/>
      </c>
    </row>
    <row r="196" spans="1:55" ht="11.25" customHeight="1" x14ac:dyDescent="0.2">
      <c r="A196" s="214" t="s">
        <v>269</v>
      </c>
      <c r="B196" s="11" t="s">
        <v>4</v>
      </c>
      <c r="C196" s="123">
        <v>0</v>
      </c>
      <c r="D196" s="12">
        <v>0</v>
      </c>
      <c r="E196" s="12">
        <v>0</v>
      </c>
      <c r="F196" s="12">
        <v>0</v>
      </c>
      <c r="G196" s="195">
        <f t="shared" si="4420"/>
        <v>0</v>
      </c>
      <c r="H196" s="12">
        <f t="shared" si="4421"/>
        <v>0</v>
      </c>
      <c r="I196" s="12">
        <v>5</v>
      </c>
      <c r="J196" s="195">
        <f t="shared" si="4422"/>
        <v>5</v>
      </c>
      <c r="K196" s="12">
        <f t="shared" si="4423"/>
        <v>5</v>
      </c>
      <c r="L196" s="12">
        <f t="shared" si="4424"/>
        <v>5</v>
      </c>
      <c r="M196" s="12">
        <f t="shared" si="4425"/>
        <v>5</v>
      </c>
      <c r="N196" s="195" t="str">
        <f t="shared" si="4426"/>
        <v/>
      </c>
      <c r="O196" s="12" t="str">
        <f t="shared" si="4427"/>
        <v/>
      </c>
      <c r="P196" s="12" t="str">
        <f t="shared" si="4428"/>
        <v/>
      </c>
      <c r="Q196" s="12" t="str">
        <f t="shared" si="4429"/>
        <v/>
      </c>
      <c r="R196" s="12" t="str">
        <f t="shared" si="4430"/>
        <v/>
      </c>
      <c r="S196" s="12" t="str">
        <f t="shared" si="4431"/>
        <v/>
      </c>
      <c r="T196" s="12" t="str">
        <f t="shared" si="4432"/>
        <v/>
      </c>
      <c r="U196" s="12" t="str">
        <f t="shared" si="4433"/>
        <v/>
      </c>
      <c r="V196" s="12" t="str">
        <f t="shared" si="4434"/>
        <v/>
      </c>
      <c r="W196" s="12" t="str">
        <f t="shared" si="4435"/>
        <v/>
      </c>
      <c r="X196" s="12" t="str">
        <f t="shared" si="4436"/>
        <v/>
      </c>
      <c r="Y196" s="12" t="str">
        <f t="shared" si="4437"/>
        <v/>
      </c>
      <c r="Z196" s="12" t="str">
        <f t="shared" si="4438"/>
        <v/>
      </c>
      <c r="AA196" s="12" t="str">
        <f t="shared" si="4439"/>
        <v/>
      </c>
      <c r="AB196" s="12" t="str">
        <f t="shared" si="4440"/>
        <v/>
      </c>
      <c r="AC196" s="12" t="str">
        <f t="shared" si="4441"/>
        <v/>
      </c>
      <c r="AD196" s="12" t="str">
        <f t="shared" si="4442"/>
        <v/>
      </c>
      <c r="AE196" s="12" t="str">
        <f t="shared" si="4443"/>
        <v/>
      </c>
      <c r="AF196" s="12" t="str">
        <f t="shared" si="4444"/>
        <v/>
      </c>
      <c r="AG196" s="12" t="str">
        <f t="shared" si="4445"/>
        <v/>
      </c>
      <c r="AH196" s="12" t="str">
        <f t="shared" si="4446"/>
        <v/>
      </c>
      <c r="AI196" s="12" t="str">
        <f t="shared" si="4447"/>
        <v/>
      </c>
      <c r="AJ196" s="12" t="str">
        <f t="shared" si="4448"/>
        <v/>
      </c>
      <c r="AK196" s="12" t="str">
        <f t="shared" si="4449"/>
        <v/>
      </c>
      <c r="AL196" s="12" t="str">
        <f t="shared" si="4450"/>
        <v/>
      </c>
      <c r="AM196" s="12" t="str">
        <f t="shared" si="4451"/>
        <v/>
      </c>
      <c r="AN196" s="12" t="str">
        <f t="shared" si="4452"/>
        <v/>
      </c>
      <c r="AO196" s="12" t="str">
        <f t="shared" si="4453"/>
        <v/>
      </c>
      <c r="AP196" s="12" t="str">
        <f t="shared" si="4454"/>
        <v/>
      </c>
      <c r="AQ196" s="12" t="str">
        <f t="shared" si="4455"/>
        <v/>
      </c>
      <c r="AR196" s="12" t="str">
        <f t="shared" si="4456"/>
        <v/>
      </c>
      <c r="AS196" s="12" t="str">
        <f t="shared" si="4457"/>
        <v/>
      </c>
      <c r="AT196" s="12" t="str">
        <f t="shared" si="4458"/>
        <v/>
      </c>
      <c r="AU196" s="12" t="str">
        <f t="shared" si="4459"/>
        <v/>
      </c>
      <c r="AV196" s="12" t="str">
        <f t="shared" si="4460"/>
        <v/>
      </c>
      <c r="AW196" s="12" t="str">
        <f t="shared" si="4461"/>
        <v/>
      </c>
      <c r="AX196" s="12" t="str">
        <f t="shared" si="4462"/>
        <v/>
      </c>
      <c r="AY196" s="12" t="str">
        <f t="shared" si="4463"/>
        <v/>
      </c>
      <c r="AZ196" s="12" t="str">
        <f t="shared" si="4464"/>
        <v/>
      </c>
      <c r="BA196" s="12" t="str">
        <f t="shared" si="4465"/>
        <v/>
      </c>
      <c r="BB196" s="12" t="str">
        <f t="shared" si="4466"/>
        <v/>
      </c>
      <c r="BC196" s="215" t="str">
        <f t="shared" si="4467"/>
        <v/>
      </c>
    </row>
    <row r="197" spans="1:55" ht="11.25" customHeight="1" x14ac:dyDescent="0.25">
      <c r="A197" s="216">
        <v>1</v>
      </c>
      <c r="B197" s="11" t="s">
        <v>5</v>
      </c>
      <c r="C197" s="123">
        <v>11</v>
      </c>
      <c r="D197" s="12">
        <v>11</v>
      </c>
      <c r="E197" s="12">
        <v>11</v>
      </c>
      <c r="F197" s="12">
        <v>11</v>
      </c>
      <c r="G197" s="195">
        <f t="shared" ref="G197" si="4468">IF(G195="","",(F197+F198))</f>
        <v>11</v>
      </c>
      <c r="H197" s="12">
        <f t="shared" ref="H197" si="4469">IF(H195="","",(G197+G198))</f>
        <v>11</v>
      </c>
      <c r="I197" s="12">
        <v>6</v>
      </c>
      <c r="J197" s="195">
        <f t="shared" ref="J197" si="4470">IF(J195="","",(I197+I198))</f>
        <v>6</v>
      </c>
      <c r="K197" s="12">
        <f t="shared" ref="K197" si="4471">IF(K195="","",(J197+J198))</f>
        <v>6</v>
      </c>
      <c r="L197" s="12">
        <f t="shared" ref="L197" si="4472">IF(L195="","",(K197+K198))</f>
        <v>6</v>
      </c>
      <c r="M197" s="12">
        <f t="shared" ref="M197" si="4473">IF(M195="","",(L197+L198))</f>
        <v>6</v>
      </c>
      <c r="N197" s="195" t="str">
        <f t="shared" ref="N197" si="4474">IF(N195="","",(M197+M198))</f>
        <v/>
      </c>
      <c r="O197" s="12" t="str">
        <f t="shared" ref="O197" si="4475">IF(O195="","",(N197+N198))</f>
        <v/>
      </c>
      <c r="P197" s="12" t="str">
        <f t="shared" ref="P197" si="4476">IF(P195="","",(O197+O198))</f>
        <v/>
      </c>
      <c r="Q197" s="12" t="str">
        <f t="shared" ref="Q197" si="4477">IF(Q195="","",(P197+P198))</f>
        <v/>
      </c>
      <c r="R197" s="12" t="str">
        <f t="shared" ref="R197" si="4478">IF(R195="","",(Q197+Q198))</f>
        <v/>
      </c>
      <c r="S197" s="12" t="str">
        <f t="shared" ref="S197" si="4479">IF(S195="","",(R197+R198))</f>
        <v/>
      </c>
      <c r="T197" s="12" t="str">
        <f t="shared" ref="T197" si="4480">IF(T195="","",(S197+S198))</f>
        <v/>
      </c>
      <c r="U197" s="12" t="str">
        <f t="shared" ref="U197" si="4481">IF(U195="","",(T197+T198))</f>
        <v/>
      </c>
      <c r="V197" s="12" t="str">
        <f t="shared" ref="V197" si="4482">IF(V195="","",(U197+U198))</f>
        <v/>
      </c>
      <c r="W197" s="12" t="str">
        <f t="shared" ref="W197" si="4483">IF(W195="","",(V197+V198))</f>
        <v/>
      </c>
      <c r="X197" s="12" t="str">
        <f t="shared" ref="X197" si="4484">IF(X195="","",(W197+W198))</f>
        <v/>
      </c>
      <c r="Y197" s="12" t="str">
        <f t="shared" ref="Y197" si="4485">IF(Y195="","",(X197+X198))</f>
        <v/>
      </c>
      <c r="Z197" s="12" t="str">
        <f t="shared" ref="Z197" si="4486">IF(Z195="","",(Y197+Y198))</f>
        <v/>
      </c>
      <c r="AA197" s="12" t="str">
        <f t="shared" ref="AA197" si="4487">IF(AA195="","",(Z197+Z198))</f>
        <v/>
      </c>
      <c r="AB197" s="12" t="str">
        <f t="shared" ref="AB197" si="4488">IF(AB195="","",(AA197+AA198))</f>
        <v/>
      </c>
      <c r="AC197" s="12" t="str">
        <f t="shared" ref="AC197" si="4489">IF(AC195="","",(AB197+AB198))</f>
        <v/>
      </c>
      <c r="AD197" s="12" t="str">
        <f t="shared" ref="AD197" si="4490">IF(AD195="","",(AC197+AC198))</f>
        <v/>
      </c>
      <c r="AE197" s="12" t="str">
        <f t="shared" ref="AE197" si="4491">IF(AE195="","",(AD197+AD198))</f>
        <v/>
      </c>
      <c r="AF197" s="12" t="str">
        <f t="shared" ref="AF197" si="4492">IF(AF195="","",(AE197+AE198))</f>
        <v/>
      </c>
      <c r="AG197" s="12" t="str">
        <f t="shared" ref="AG197" si="4493">IF(AG195="","",(AF197+AF198))</f>
        <v/>
      </c>
      <c r="AH197" s="12" t="str">
        <f t="shared" ref="AH197" si="4494">IF(AH195="","",(AG197+AG198))</f>
        <v/>
      </c>
      <c r="AI197" s="12" t="str">
        <f t="shared" ref="AI197" si="4495">IF(AI195="","",(AH197+AH198))</f>
        <v/>
      </c>
      <c r="AJ197" s="12" t="str">
        <f t="shared" ref="AJ197" si="4496">IF(AJ195="","",(AI197+AI198))</f>
        <v/>
      </c>
      <c r="AK197" s="12" t="str">
        <f t="shared" ref="AK197" si="4497">IF(AK195="","",(AJ197+AJ198))</f>
        <v/>
      </c>
      <c r="AL197" s="12" t="str">
        <f t="shared" ref="AL197" si="4498">IF(AL195="","",(AK197+AK198))</f>
        <v/>
      </c>
      <c r="AM197" s="12" t="str">
        <f t="shared" ref="AM197" si="4499">IF(AM195="","",(AL197+AL198))</f>
        <v/>
      </c>
      <c r="AN197" s="12" t="str">
        <f t="shared" ref="AN197" si="4500">IF(AN195="","",(AM197+AM198))</f>
        <v/>
      </c>
      <c r="AO197" s="12" t="str">
        <f t="shared" ref="AO197" si="4501">IF(AO195="","",(AN197+AN198))</f>
        <v/>
      </c>
      <c r="AP197" s="12" t="str">
        <f t="shared" ref="AP197" si="4502">IF(AP195="","",(AO197+AO198))</f>
        <v/>
      </c>
      <c r="AQ197" s="12" t="str">
        <f t="shared" ref="AQ197" si="4503">IF(AQ195="","",(AP197+AP198))</f>
        <v/>
      </c>
      <c r="AR197" s="12" t="str">
        <f t="shared" ref="AR197" si="4504">IF(AR195="","",(AQ197+AQ198))</f>
        <v/>
      </c>
      <c r="AS197" s="12" t="str">
        <f t="shared" ref="AS197" si="4505">IF(AS195="","",(AR197+AR198))</f>
        <v/>
      </c>
      <c r="AT197" s="12" t="str">
        <f t="shared" ref="AT197" si="4506">IF(AT195="","",(AS197+AS198))</f>
        <v/>
      </c>
      <c r="AU197" s="12" t="str">
        <f t="shared" ref="AU197" si="4507">IF(AU195="","",(AT197+AT198))</f>
        <v/>
      </c>
      <c r="AV197" s="12" t="str">
        <f t="shared" ref="AV197" si="4508">IF(AV195="","",(AU197+AU198))</f>
        <v/>
      </c>
      <c r="AW197" s="12" t="str">
        <f t="shared" ref="AW197" si="4509">IF(AW195="","",(AV197+AV198))</f>
        <v/>
      </c>
      <c r="AX197" s="12" t="str">
        <f t="shared" ref="AX197" si="4510">IF(AX195="","",(AW197+AW198))</f>
        <v/>
      </c>
      <c r="AY197" s="12" t="str">
        <f t="shared" ref="AY197" si="4511">IF(AY195="","",(AX197+AX198))</f>
        <v/>
      </c>
      <c r="AZ197" s="12" t="str">
        <f t="shared" ref="AZ197" si="4512">IF(AZ195="","",(AY197+AY198))</f>
        <v/>
      </c>
      <c r="BA197" s="12" t="str">
        <f t="shared" ref="BA197" si="4513">IF(BA195="","",(AZ197+AZ198))</f>
        <v/>
      </c>
      <c r="BB197" s="12" t="str">
        <f t="shared" ref="BB197" si="4514">IF(BB195="","",(BA197+BA198))</f>
        <v/>
      </c>
      <c r="BC197" s="215" t="str">
        <f t="shared" ref="BC197" si="4515">IF(BC195="","",(BB197+BB198))</f>
        <v/>
      </c>
    </row>
    <row r="198" spans="1:55" ht="11.25" customHeight="1" x14ac:dyDescent="0.25">
      <c r="A198" s="217" t="s">
        <v>20</v>
      </c>
      <c r="B198" s="11" t="s">
        <v>6</v>
      </c>
      <c r="C198" s="123"/>
      <c r="D198" s="12"/>
      <c r="E198" s="12"/>
      <c r="F198" s="12"/>
      <c r="G198" s="195"/>
      <c r="H198" s="12"/>
      <c r="I198" s="12"/>
      <c r="J198" s="195"/>
      <c r="K198" s="12"/>
      <c r="L198" s="12"/>
      <c r="M198" s="12"/>
      <c r="N198" s="195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215"/>
    </row>
    <row r="199" spans="1:55" ht="11.25" customHeight="1" x14ac:dyDescent="0.25">
      <c r="A199" s="218">
        <f>+(A202+A214+A226+A238)*100</f>
        <v>24800</v>
      </c>
      <c r="B199" s="11" t="s">
        <v>8</v>
      </c>
      <c r="C199" s="129">
        <v>700</v>
      </c>
      <c r="D199" s="206">
        <v>700</v>
      </c>
      <c r="E199" s="206">
        <v>700</v>
      </c>
      <c r="F199" s="206">
        <v>600</v>
      </c>
      <c r="G199" s="207">
        <f t="shared" ref="G199" si="4516">IF(G195="","",F199)</f>
        <v>600</v>
      </c>
      <c r="H199" s="206">
        <f t="shared" ref="H199" si="4517">IF(H195="","",G199)</f>
        <v>600</v>
      </c>
      <c r="I199" s="206">
        <f t="shared" ref="I199" si="4518">IF(I195="","",H199)</f>
        <v>600</v>
      </c>
      <c r="J199" s="207">
        <f t="shared" ref="J199" si="4519">IF(J195="","",I199)</f>
        <v>600</v>
      </c>
      <c r="K199" s="206">
        <f t="shared" ref="K199" si="4520">IF(K195="","",J199)</f>
        <v>600</v>
      </c>
      <c r="L199" s="206">
        <f t="shared" ref="L199" si="4521">IF(L195="","",K199)</f>
        <v>600</v>
      </c>
      <c r="M199" s="206">
        <f t="shared" ref="M199" si="4522">IF(M195="","",L199)</f>
        <v>600</v>
      </c>
      <c r="N199" s="207" t="str">
        <f t="shared" ref="N199" si="4523">IF(N195="","",M199)</f>
        <v/>
      </c>
      <c r="O199" s="206" t="str">
        <f t="shared" ref="O199" si="4524">IF(O195="","",N199)</f>
        <v/>
      </c>
      <c r="P199" s="206" t="str">
        <f t="shared" ref="P199" si="4525">IF(P195="","",O199)</f>
        <v/>
      </c>
      <c r="Q199" s="206" t="str">
        <f t="shared" ref="Q199" si="4526">IF(Q195="","",P199)</f>
        <v/>
      </c>
      <c r="R199" s="206" t="str">
        <f t="shared" ref="R199" si="4527">IF(R195="","",Q199)</f>
        <v/>
      </c>
      <c r="S199" s="206" t="str">
        <f t="shared" ref="S199" si="4528">IF(S195="","",R199)</f>
        <v/>
      </c>
      <c r="T199" s="206" t="str">
        <f t="shared" ref="T199" si="4529">IF(T195="","",S199)</f>
        <v/>
      </c>
      <c r="U199" s="206" t="str">
        <f t="shared" ref="U199" si="4530">IF(U195="","",T199)</f>
        <v/>
      </c>
      <c r="V199" s="206" t="str">
        <f t="shared" ref="V199" si="4531">IF(V195="","",U199)</f>
        <v/>
      </c>
      <c r="W199" s="206" t="str">
        <f t="shared" ref="W199" si="4532">IF(W195="","",V199)</f>
        <v/>
      </c>
      <c r="X199" s="206" t="str">
        <f t="shared" ref="X199" si="4533">IF(X195="","",W199)</f>
        <v/>
      </c>
      <c r="Y199" s="206" t="str">
        <f t="shared" ref="Y199" si="4534">IF(Y195="","",X199)</f>
        <v/>
      </c>
      <c r="Z199" s="206" t="str">
        <f t="shared" ref="Z199" si="4535">IF(Z195="","",Y199)</f>
        <v/>
      </c>
      <c r="AA199" s="206" t="str">
        <f t="shared" ref="AA199" si="4536">IF(AA195="","",Z199)</f>
        <v/>
      </c>
      <c r="AB199" s="206" t="str">
        <f t="shared" ref="AB199" si="4537">IF(AB195="","",AA199)</f>
        <v/>
      </c>
      <c r="AC199" s="206" t="str">
        <f t="shared" ref="AC199" si="4538">IF(AC195="","",AB199)</f>
        <v/>
      </c>
      <c r="AD199" s="206" t="str">
        <f t="shared" ref="AD199" si="4539">IF(AD195="","",AC199)</f>
        <v/>
      </c>
      <c r="AE199" s="206" t="str">
        <f t="shared" ref="AE199" si="4540">IF(AE195="","",AD199)</f>
        <v/>
      </c>
      <c r="AF199" s="206" t="str">
        <f t="shared" ref="AF199" si="4541">IF(AF195="","",AE199)</f>
        <v/>
      </c>
      <c r="AG199" s="206" t="str">
        <f t="shared" ref="AG199" si="4542">IF(AG195="","",AF199)</f>
        <v/>
      </c>
      <c r="AH199" s="206" t="str">
        <f t="shared" ref="AH199" si="4543">IF(AH195="","",AG199)</f>
        <v/>
      </c>
      <c r="AI199" s="206" t="str">
        <f t="shared" ref="AI199" si="4544">IF(AI195="","",AH199)</f>
        <v/>
      </c>
      <c r="AJ199" s="206" t="str">
        <f t="shared" ref="AJ199" si="4545">IF(AJ195="","",AI199)</f>
        <v/>
      </c>
      <c r="AK199" s="206" t="str">
        <f t="shared" ref="AK199" si="4546">IF(AK195="","",AJ199)</f>
        <v/>
      </c>
      <c r="AL199" s="206" t="str">
        <f t="shared" ref="AL199" si="4547">IF(AL195="","",AK199)</f>
        <v/>
      </c>
      <c r="AM199" s="206" t="str">
        <f t="shared" ref="AM199" si="4548">IF(AM195="","",AL199)</f>
        <v/>
      </c>
      <c r="AN199" s="206" t="str">
        <f t="shared" ref="AN199" si="4549">IF(AN195="","",AM199)</f>
        <v/>
      </c>
      <c r="AO199" s="206" t="str">
        <f t="shared" ref="AO199" si="4550">IF(AO195="","",AN199)</f>
        <v/>
      </c>
      <c r="AP199" s="206" t="str">
        <f t="shared" ref="AP199" si="4551">IF(AP195="","",AO199)</f>
        <v/>
      </c>
      <c r="AQ199" s="206" t="str">
        <f t="shared" ref="AQ199" si="4552">IF(AQ195="","",AP199)</f>
        <v/>
      </c>
      <c r="AR199" s="206" t="str">
        <f t="shared" ref="AR199" si="4553">IF(AR195="","",AQ199)</f>
        <v/>
      </c>
      <c r="AS199" s="206" t="str">
        <f t="shared" ref="AS199" si="4554">IF(AS195="","",AR199)</f>
        <v/>
      </c>
      <c r="AT199" s="206" t="str">
        <f t="shared" ref="AT199" si="4555">IF(AT195="","",AS199)</f>
        <v/>
      </c>
      <c r="AU199" s="206" t="str">
        <f t="shared" ref="AU199" si="4556">IF(AU195="","",AT199)</f>
        <v/>
      </c>
      <c r="AV199" s="206" t="str">
        <f t="shared" ref="AV199" si="4557">IF(AV195="","",AU199)</f>
        <v/>
      </c>
      <c r="AW199" s="206" t="str">
        <f t="shared" ref="AW199" si="4558">IF(AW195="","",AV199)</f>
        <v/>
      </c>
      <c r="AX199" s="206" t="str">
        <f t="shared" ref="AX199" si="4559">IF(AX195="","",AW199)</f>
        <v/>
      </c>
      <c r="AY199" s="206" t="str">
        <f t="shared" ref="AY199" si="4560">IF(AY195="","",AX199)</f>
        <v/>
      </c>
      <c r="AZ199" s="206" t="str">
        <f t="shared" ref="AZ199" si="4561">IF(AZ195="","",AY199)</f>
        <v/>
      </c>
      <c r="BA199" s="206" t="str">
        <f t="shared" ref="BA199" si="4562">IF(BA195="","",AZ199)</f>
        <v/>
      </c>
      <c r="BB199" s="206" t="str">
        <f t="shared" ref="BB199" si="4563">IF(BB195="","",BA199)</f>
        <v/>
      </c>
      <c r="BC199" s="219" t="str">
        <f t="shared" ref="BC199" si="4564">IF(BC195="","",BB199)</f>
        <v/>
      </c>
    </row>
    <row r="200" spans="1:55" ht="11.25" customHeight="1" x14ac:dyDescent="0.2">
      <c r="A200" s="220" t="s">
        <v>9</v>
      </c>
      <c r="B200" s="17" t="s">
        <v>10</v>
      </c>
      <c r="C200" s="133" t="s">
        <v>278</v>
      </c>
      <c r="D200" s="18" t="s">
        <v>278</v>
      </c>
      <c r="E200" s="18" t="s">
        <v>278</v>
      </c>
      <c r="F200" s="18" t="s">
        <v>278</v>
      </c>
      <c r="G200" s="197" t="str">
        <f t="shared" ref="G200" si="4565">IF(G195="","",F200)</f>
        <v>たまごっちキーリング</v>
      </c>
      <c r="H200" s="18" t="str">
        <f t="shared" ref="H200" si="4566">IF(H195="","",G200)</f>
        <v>たまごっちキーリング</v>
      </c>
      <c r="I200" s="18" t="str">
        <f t="shared" ref="I200" si="4567">IF(I195="","",H200)</f>
        <v>たまごっちキーリング</v>
      </c>
      <c r="J200" s="197" t="str">
        <f t="shared" ref="J200" si="4568">IF(J195="","",I200)</f>
        <v>たまごっちキーリング</v>
      </c>
      <c r="K200" s="18" t="str">
        <f t="shared" ref="K200" si="4569">IF(K195="","",J200)</f>
        <v>たまごっちキーリング</v>
      </c>
      <c r="L200" s="18" t="str">
        <f t="shared" ref="L200" si="4570">IF(L195="","",K200)</f>
        <v>たまごっちキーリング</v>
      </c>
      <c r="M200" s="18" t="str">
        <f t="shared" ref="M200" si="4571">IF(M195="","",L200)</f>
        <v>たまごっちキーリング</v>
      </c>
      <c r="N200" s="197" t="str">
        <f t="shared" ref="N200" si="4572">IF(N195="","",M200)</f>
        <v/>
      </c>
      <c r="O200" s="18" t="str">
        <f t="shared" ref="O200" si="4573">IF(O195="","",N200)</f>
        <v/>
      </c>
      <c r="P200" s="18" t="str">
        <f t="shared" ref="P200" si="4574">IF(P195="","",O200)</f>
        <v/>
      </c>
      <c r="Q200" s="18" t="str">
        <f t="shared" ref="Q200" si="4575">IF(Q195="","",P200)</f>
        <v/>
      </c>
      <c r="R200" s="18" t="str">
        <f t="shared" ref="R200" si="4576">IF(R195="","",Q200)</f>
        <v/>
      </c>
      <c r="S200" s="18" t="str">
        <f t="shared" ref="S200" si="4577">IF(S195="","",R200)</f>
        <v/>
      </c>
      <c r="T200" s="18" t="str">
        <f t="shared" ref="T200" si="4578">IF(T195="","",S200)</f>
        <v/>
      </c>
      <c r="U200" s="18" t="str">
        <f t="shared" ref="U200" si="4579">IF(U195="","",T200)</f>
        <v/>
      </c>
      <c r="V200" s="18" t="str">
        <f t="shared" ref="V200" si="4580">IF(V195="","",U200)</f>
        <v/>
      </c>
      <c r="W200" s="18" t="str">
        <f t="shared" ref="W200" si="4581">IF(W195="","",V200)</f>
        <v/>
      </c>
      <c r="X200" s="18" t="str">
        <f t="shared" ref="X200" si="4582">IF(X195="","",W200)</f>
        <v/>
      </c>
      <c r="Y200" s="18" t="str">
        <f t="shared" ref="Y200" si="4583">IF(Y195="","",X200)</f>
        <v/>
      </c>
      <c r="Z200" s="18" t="str">
        <f t="shared" ref="Z200" si="4584">IF(Z195="","",Y200)</f>
        <v/>
      </c>
      <c r="AA200" s="18" t="str">
        <f t="shared" ref="AA200" si="4585">IF(AA195="","",Z200)</f>
        <v/>
      </c>
      <c r="AB200" s="18" t="str">
        <f t="shared" ref="AB200" si="4586">IF(AB195="","",AA200)</f>
        <v/>
      </c>
      <c r="AC200" s="18" t="str">
        <f t="shared" ref="AC200" si="4587">IF(AC195="","",AB200)</f>
        <v/>
      </c>
      <c r="AD200" s="18" t="str">
        <f t="shared" ref="AD200" si="4588">IF(AD195="","",AC200)</f>
        <v/>
      </c>
      <c r="AE200" s="18" t="str">
        <f t="shared" ref="AE200" si="4589">IF(AE195="","",AD200)</f>
        <v/>
      </c>
      <c r="AF200" s="18" t="str">
        <f t="shared" ref="AF200" si="4590">IF(AF195="","",AE200)</f>
        <v/>
      </c>
      <c r="AG200" s="18" t="str">
        <f t="shared" ref="AG200" si="4591">IF(AG195="","",AF200)</f>
        <v/>
      </c>
      <c r="AH200" s="18" t="str">
        <f t="shared" ref="AH200" si="4592">IF(AH195="","",AG200)</f>
        <v/>
      </c>
      <c r="AI200" s="18" t="str">
        <f t="shared" ref="AI200" si="4593">IF(AI195="","",AH200)</f>
        <v/>
      </c>
      <c r="AJ200" s="18" t="str">
        <f t="shared" ref="AJ200" si="4594">IF(AJ195="","",AI200)</f>
        <v/>
      </c>
      <c r="AK200" s="18" t="str">
        <f t="shared" ref="AK200" si="4595">IF(AK195="","",AJ200)</f>
        <v/>
      </c>
      <c r="AL200" s="18" t="str">
        <f t="shared" ref="AL200" si="4596">IF(AL195="","",AK200)</f>
        <v/>
      </c>
      <c r="AM200" s="18" t="str">
        <f t="shared" ref="AM200" si="4597">IF(AM195="","",AL200)</f>
        <v/>
      </c>
      <c r="AN200" s="18" t="str">
        <f t="shared" ref="AN200" si="4598">IF(AN195="","",AM200)</f>
        <v/>
      </c>
      <c r="AO200" s="18" t="str">
        <f t="shared" ref="AO200" si="4599">IF(AO195="","",AN200)</f>
        <v/>
      </c>
      <c r="AP200" s="18" t="str">
        <f t="shared" ref="AP200" si="4600">IF(AP195="","",AO200)</f>
        <v/>
      </c>
      <c r="AQ200" s="18" t="str">
        <f t="shared" ref="AQ200" si="4601">IF(AQ195="","",AP200)</f>
        <v/>
      </c>
      <c r="AR200" s="18" t="str">
        <f t="shared" ref="AR200" si="4602">IF(AR195="","",AQ200)</f>
        <v/>
      </c>
      <c r="AS200" s="18" t="str">
        <f t="shared" ref="AS200" si="4603">IF(AS195="","",AR200)</f>
        <v/>
      </c>
      <c r="AT200" s="18" t="str">
        <f t="shared" ref="AT200" si="4604">IF(AT195="","",AS200)</f>
        <v/>
      </c>
      <c r="AU200" s="18" t="str">
        <f t="shared" ref="AU200" si="4605">IF(AU195="","",AT200)</f>
        <v/>
      </c>
      <c r="AV200" s="18" t="str">
        <f t="shared" ref="AV200" si="4606">IF(AV195="","",AU200)</f>
        <v/>
      </c>
      <c r="AW200" s="18" t="str">
        <f t="shared" ref="AW200" si="4607">IF(AW195="","",AV200)</f>
        <v/>
      </c>
      <c r="AX200" s="18" t="str">
        <f t="shared" ref="AX200" si="4608">IF(AX195="","",AW200)</f>
        <v/>
      </c>
      <c r="AY200" s="18" t="str">
        <f t="shared" ref="AY200" si="4609">IF(AY195="","",AX200)</f>
        <v/>
      </c>
      <c r="AZ200" s="18" t="str">
        <f t="shared" ref="AZ200" si="4610">IF(AZ195="","",AY200)</f>
        <v/>
      </c>
      <c r="BA200" s="18" t="str">
        <f t="shared" ref="BA200" si="4611">IF(BA195="","",AZ200)</f>
        <v/>
      </c>
      <c r="BB200" s="18" t="str">
        <f t="shared" ref="BB200" si="4612">IF(BB195="","",BA200)</f>
        <v/>
      </c>
      <c r="BC200" s="221" t="str">
        <f t="shared" ref="BC200" si="4613">IF(BC195="","",BB200)</f>
        <v/>
      </c>
    </row>
    <row r="201" spans="1:55" ht="11.25" customHeight="1" x14ac:dyDescent="0.2">
      <c r="A201" s="222">
        <f>AVERAGE(C202:AS202)*30*100</f>
        <v>37909.090909090912</v>
      </c>
      <c r="B201" s="11" t="s">
        <v>12</v>
      </c>
      <c r="C201" s="123"/>
      <c r="D201" s="12"/>
      <c r="E201" s="12"/>
      <c r="F201" s="12"/>
      <c r="G201" s="195"/>
      <c r="H201" s="12"/>
      <c r="I201" s="12"/>
      <c r="J201" s="195" t="s">
        <v>295</v>
      </c>
      <c r="K201" s="12"/>
      <c r="L201" s="12"/>
      <c r="M201" s="12"/>
      <c r="N201" s="195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215"/>
    </row>
    <row r="202" spans="1:55" ht="11.25" customHeight="1" x14ac:dyDescent="0.2">
      <c r="A202" s="222">
        <f t="shared" ref="A202:A205" si="4614">SUM(C202:AS202)</f>
        <v>139</v>
      </c>
      <c r="B202" s="19" t="s">
        <v>13</v>
      </c>
      <c r="C202" s="123">
        <v>0</v>
      </c>
      <c r="D202" s="20">
        <v>0</v>
      </c>
      <c r="E202" s="20">
        <v>0</v>
      </c>
      <c r="F202" s="20">
        <v>0</v>
      </c>
      <c r="G202" s="195">
        <f t="shared" ref="G202:G203" si="4615">IF(G195="","",G195-F195)</f>
        <v>0</v>
      </c>
      <c r="H202" s="20">
        <f t="shared" ref="H202:H203" si="4616">IF(H195="","",H195-G195)</f>
        <v>0</v>
      </c>
      <c r="I202" s="20">
        <f t="shared" ref="I202:I203" si="4617">IF(I195="","",I195-H195)</f>
        <v>139</v>
      </c>
      <c r="J202" s="195">
        <f t="shared" ref="J202:J203" si="4618">IF(J195="","",J195-I195)</f>
        <v>0</v>
      </c>
      <c r="K202" s="20">
        <f t="shared" ref="K202:K203" si="4619">IF(K195="","",K195-J195)</f>
        <v>0</v>
      </c>
      <c r="L202" s="20">
        <f t="shared" ref="L202:L203" si="4620">IF(L195="","",L195-K195)</f>
        <v>0</v>
      </c>
      <c r="M202" s="20">
        <f t="shared" ref="M202:M203" si="4621">IF(M195="","",M195-L195)</f>
        <v>0</v>
      </c>
      <c r="N202" s="195" t="str">
        <f t="shared" ref="N202:N203" si="4622">IF(N195="","",N195-M195)</f>
        <v/>
      </c>
      <c r="O202" s="20" t="str">
        <f t="shared" ref="O202:O203" si="4623">IF(O195="","",O195-N195)</f>
        <v/>
      </c>
      <c r="P202" s="20" t="str">
        <f t="shared" ref="P202:P203" si="4624">IF(P195="","",P195-O195)</f>
        <v/>
      </c>
      <c r="Q202" s="20" t="str">
        <f t="shared" ref="Q202:Q203" si="4625">IF(Q195="","",Q195-P195)</f>
        <v/>
      </c>
      <c r="R202" s="20" t="str">
        <f t="shared" ref="R202:R203" si="4626">IF(R195="","",R195-Q195)</f>
        <v/>
      </c>
      <c r="S202" s="20" t="str">
        <f t="shared" ref="S202:S203" si="4627">IF(S195="","",S195-R195)</f>
        <v/>
      </c>
      <c r="T202" s="20" t="str">
        <f t="shared" ref="T202:T203" si="4628">IF(T195="","",T195-S195)</f>
        <v/>
      </c>
      <c r="U202" s="20" t="str">
        <f t="shared" ref="U202:U203" si="4629">IF(U195="","",U195-T195)</f>
        <v/>
      </c>
      <c r="V202" s="20" t="str">
        <f t="shared" ref="V202:V203" si="4630">IF(V195="","",V195-U195)</f>
        <v/>
      </c>
      <c r="W202" s="20" t="str">
        <f t="shared" ref="W202:W203" si="4631">IF(W195="","",W195-V195)</f>
        <v/>
      </c>
      <c r="X202" s="20" t="str">
        <f t="shared" ref="X202:X203" si="4632">IF(X195="","",X195-W195)</f>
        <v/>
      </c>
      <c r="Y202" s="20" t="str">
        <f t="shared" ref="Y202:Y203" si="4633">IF(Y195="","",Y195-X195)</f>
        <v/>
      </c>
      <c r="Z202" s="20" t="str">
        <f t="shared" ref="Z202:Z203" si="4634">IF(Z195="","",Z195-Y195)</f>
        <v/>
      </c>
      <c r="AA202" s="20" t="str">
        <f t="shared" ref="AA202:AA203" si="4635">IF(AA195="","",AA195-Z195)</f>
        <v/>
      </c>
      <c r="AB202" s="20" t="str">
        <f t="shared" ref="AB202:AB203" si="4636">IF(AB195="","",AB195-AA195)</f>
        <v/>
      </c>
      <c r="AC202" s="20" t="str">
        <f t="shared" ref="AC202:AC203" si="4637">IF(AC195="","",AC195-AB195)</f>
        <v/>
      </c>
      <c r="AD202" s="20" t="str">
        <f t="shared" ref="AD202:AD203" si="4638">IF(AD195="","",AD195-AC195)</f>
        <v/>
      </c>
      <c r="AE202" s="20" t="str">
        <f t="shared" ref="AE202:AE203" si="4639">IF(AE195="","",AE195-AD195)</f>
        <v/>
      </c>
      <c r="AF202" s="20" t="str">
        <f t="shared" ref="AF202:AF203" si="4640">IF(AF195="","",AF195-AE195)</f>
        <v/>
      </c>
      <c r="AG202" s="20" t="str">
        <f t="shared" ref="AG202:AG203" si="4641">IF(AG195="","",AG195-AF195)</f>
        <v/>
      </c>
      <c r="AH202" s="20" t="str">
        <f t="shared" ref="AH202:AH203" si="4642">IF(AH195="","",AH195-AG195)</f>
        <v/>
      </c>
      <c r="AI202" s="20" t="str">
        <f t="shared" ref="AI202:AI203" si="4643">IF(AI195="","",AI195-AH195)</f>
        <v/>
      </c>
      <c r="AJ202" s="20" t="str">
        <f t="shared" ref="AJ202:AJ203" si="4644">IF(AJ195="","",AJ195-AI195)</f>
        <v/>
      </c>
      <c r="AK202" s="20" t="str">
        <f t="shared" ref="AK202:AK203" si="4645">IF(AK195="","",AK195-AJ195)</f>
        <v/>
      </c>
      <c r="AL202" s="20" t="str">
        <f t="shared" ref="AL202:AL203" si="4646">IF(AL195="","",AL195-AK195)</f>
        <v/>
      </c>
      <c r="AM202" s="20" t="str">
        <f t="shared" ref="AM202:AM203" si="4647">IF(AM195="","",AM195-AL195)</f>
        <v/>
      </c>
      <c r="AN202" s="20" t="str">
        <f t="shared" ref="AN202:AN203" si="4648">IF(AN195="","",AN195-AM195)</f>
        <v/>
      </c>
      <c r="AO202" s="20" t="str">
        <f t="shared" ref="AO202:AO203" si="4649">IF(AO195="","",AO195-AN195)</f>
        <v/>
      </c>
      <c r="AP202" s="20" t="str">
        <f t="shared" ref="AP202:AP203" si="4650">IF(AP195="","",AP195-AO195)</f>
        <v/>
      </c>
      <c r="AQ202" s="20" t="str">
        <f t="shared" ref="AQ202:AQ203" si="4651">IF(AQ195="","",AQ195-AP195)</f>
        <v/>
      </c>
      <c r="AR202" s="20" t="str">
        <f t="shared" ref="AR202:AR203" si="4652">IF(AR195="","",AR195-AQ195)</f>
        <v/>
      </c>
      <c r="AS202" s="20" t="str">
        <f t="shared" ref="AS202:AS203" si="4653">IF(AS195="","",AS195-AR195)</f>
        <v/>
      </c>
      <c r="AT202" s="20" t="str">
        <f t="shared" ref="AT202:AT203" si="4654">IF(AT195="","",AT195-AS195)</f>
        <v/>
      </c>
      <c r="AU202" s="20" t="str">
        <f t="shared" ref="AU202:AU203" si="4655">IF(AU195="","",AU195-AT195)</f>
        <v/>
      </c>
      <c r="AV202" s="20" t="str">
        <f t="shared" ref="AV202:AV203" si="4656">IF(AV195="","",AV195-AU195)</f>
        <v/>
      </c>
      <c r="AW202" s="20" t="str">
        <f t="shared" ref="AW202:AW203" si="4657">IF(AW195="","",AW195-AV195)</f>
        <v/>
      </c>
      <c r="AX202" s="20" t="str">
        <f t="shared" ref="AX202:AX203" si="4658">IF(AX195="","",AX195-AW195)</f>
        <v/>
      </c>
      <c r="AY202" s="20" t="str">
        <f t="shared" ref="AY202:AY203" si="4659">IF(AY195="","",AY195-AX195)</f>
        <v/>
      </c>
      <c r="AZ202" s="20" t="str">
        <f t="shared" ref="AZ202:AZ203" si="4660">IF(AZ195="","",AZ195-AY195)</f>
        <v/>
      </c>
      <c r="BA202" s="20" t="str">
        <f t="shared" ref="BA202:BA203" si="4661">IF(BA195="","",BA195-AZ195)</f>
        <v/>
      </c>
      <c r="BB202" s="20" t="str">
        <f t="shared" ref="BB202:BB203" si="4662">IF(BB195="","",BB195-BA195)</f>
        <v/>
      </c>
      <c r="BC202" s="223" t="str">
        <f t="shared" ref="BC202:BC203" si="4663">IF(BC195="","",BC195-BB195)</f>
        <v/>
      </c>
    </row>
    <row r="203" spans="1:55" ht="11.25" customHeight="1" x14ac:dyDescent="0.2">
      <c r="A203" s="222">
        <f t="shared" si="4614"/>
        <v>5</v>
      </c>
      <c r="B203" s="19" t="s">
        <v>14</v>
      </c>
      <c r="C203" s="123">
        <v>0</v>
      </c>
      <c r="D203" s="20">
        <v>0</v>
      </c>
      <c r="E203" s="20">
        <v>0</v>
      </c>
      <c r="F203" s="20">
        <v>0</v>
      </c>
      <c r="G203" s="195">
        <f t="shared" si="4615"/>
        <v>0</v>
      </c>
      <c r="H203" s="20">
        <f t="shared" si="4616"/>
        <v>0</v>
      </c>
      <c r="I203" s="20">
        <f t="shared" si="4617"/>
        <v>5</v>
      </c>
      <c r="J203" s="195">
        <f t="shared" si="4618"/>
        <v>0</v>
      </c>
      <c r="K203" s="20">
        <f t="shared" si="4619"/>
        <v>0</v>
      </c>
      <c r="L203" s="20">
        <f t="shared" si="4620"/>
        <v>0</v>
      </c>
      <c r="M203" s="20">
        <f t="shared" si="4621"/>
        <v>0</v>
      </c>
      <c r="N203" s="195" t="str">
        <f t="shared" si="4622"/>
        <v/>
      </c>
      <c r="O203" s="20" t="str">
        <f t="shared" si="4623"/>
        <v/>
      </c>
      <c r="P203" s="20" t="str">
        <f t="shared" si="4624"/>
        <v/>
      </c>
      <c r="Q203" s="20" t="str">
        <f t="shared" si="4625"/>
        <v/>
      </c>
      <c r="R203" s="20" t="str">
        <f t="shared" si="4626"/>
        <v/>
      </c>
      <c r="S203" s="20" t="str">
        <f t="shared" si="4627"/>
        <v/>
      </c>
      <c r="T203" s="20" t="str">
        <f t="shared" si="4628"/>
        <v/>
      </c>
      <c r="U203" s="20" t="str">
        <f t="shared" si="4629"/>
        <v/>
      </c>
      <c r="V203" s="20" t="str">
        <f t="shared" si="4630"/>
        <v/>
      </c>
      <c r="W203" s="20" t="str">
        <f t="shared" si="4631"/>
        <v/>
      </c>
      <c r="X203" s="20" t="str">
        <f t="shared" si="4632"/>
        <v/>
      </c>
      <c r="Y203" s="20" t="str">
        <f t="shared" si="4633"/>
        <v/>
      </c>
      <c r="Z203" s="20" t="str">
        <f t="shared" si="4634"/>
        <v/>
      </c>
      <c r="AA203" s="20" t="str">
        <f t="shared" si="4635"/>
        <v/>
      </c>
      <c r="AB203" s="20" t="str">
        <f t="shared" si="4636"/>
        <v/>
      </c>
      <c r="AC203" s="20" t="str">
        <f t="shared" si="4637"/>
        <v/>
      </c>
      <c r="AD203" s="20" t="str">
        <f t="shared" si="4638"/>
        <v/>
      </c>
      <c r="AE203" s="20" t="str">
        <f t="shared" si="4639"/>
        <v/>
      </c>
      <c r="AF203" s="20" t="str">
        <f t="shared" si="4640"/>
        <v/>
      </c>
      <c r="AG203" s="20" t="str">
        <f t="shared" si="4641"/>
        <v/>
      </c>
      <c r="AH203" s="20" t="str">
        <f t="shared" si="4642"/>
        <v/>
      </c>
      <c r="AI203" s="20" t="str">
        <f t="shared" si="4643"/>
        <v/>
      </c>
      <c r="AJ203" s="20" t="str">
        <f t="shared" si="4644"/>
        <v/>
      </c>
      <c r="AK203" s="20" t="str">
        <f t="shared" si="4645"/>
        <v/>
      </c>
      <c r="AL203" s="20" t="str">
        <f t="shared" si="4646"/>
        <v/>
      </c>
      <c r="AM203" s="20" t="str">
        <f t="shared" si="4647"/>
        <v/>
      </c>
      <c r="AN203" s="20" t="str">
        <f t="shared" si="4648"/>
        <v/>
      </c>
      <c r="AO203" s="20" t="str">
        <f t="shared" si="4649"/>
        <v/>
      </c>
      <c r="AP203" s="20" t="str">
        <f t="shared" si="4650"/>
        <v/>
      </c>
      <c r="AQ203" s="20" t="str">
        <f t="shared" si="4651"/>
        <v/>
      </c>
      <c r="AR203" s="20" t="str">
        <f t="shared" si="4652"/>
        <v/>
      </c>
      <c r="AS203" s="20" t="str">
        <f t="shared" si="4653"/>
        <v/>
      </c>
      <c r="AT203" s="20" t="str">
        <f t="shared" si="4654"/>
        <v/>
      </c>
      <c r="AU203" s="20" t="str">
        <f t="shared" si="4655"/>
        <v/>
      </c>
      <c r="AV203" s="20" t="str">
        <f t="shared" si="4656"/>
        <v/>
      </c>
      <c r="AW203" s="20" t="str">
        <f t="shared" si="4657"/>
        <v/>
      </c>
      <c r="AX203" s="20" t="str">
        <f t="shared" si="4658"/>
        <v/>
      </c>
      <c r="AY203" s="20" t="str">
        <f t="shared" si="4659"/>
        <v/>
      </c>
      <c r="AZ203" s="20" t="str">
        <f t="shared" si="4660"/>
        <v/>
      </c>
      <c r="BA203" s="20" t="str">
        <f t="shared" si="4661"/>
        <v/>
      </c>
      <c r="BB203" s="20" t="str">
        <f t="shared" si="4662"/>
        <v/>
      </c>
      <c r="BC203" s="223" t="str">
        <f t="shared" si="4663"/>
        <v/>
      </c>
    </row>
    <row r="204" spans="1:55" ht="11.25" customHeight="1" x14ac:dyDescent="0.2">
      <c r="A204" s="222">
        <f t="shared" si="4614"/>
        <v>5</v>
      </c>
      <c r="B204" s="19" t="s">
        <v>15</v>
      </c>
      <c r="C204" s="123">
        <v>0</v>
      </c>
      <c r="D204" s="20">
        <v>0</v>
      </c>
      <c r="E204" s="20">
        <v>0</v>
      </c>
      <c r="F204" s="20">
        <v>0</v>
      </c>
      <c r="G204" s="195">
        <f t="shared" ref="G204" si="4664">IF(G197="","",F197+F198-G197)</f>
        <v>0</v>
      </c>
      <c r="H204" s="20">
        <f t="shared" ref="H204" si="4665">IF(H197="","",G197+G198-H197)</f>
        <v>0</v>
      </c>
      <c r="I204" s="20">
        <f t="shared" ref="I204" si="4666">IF(I197="","",H197+H198-I197)</f>
        <v>5</v>
      </c>
      <c r="J204" s="195">
        <f t="shared" ref="J204" si="4667">IF(J197="","",I197+I198-J197)</f>
        <v>0</v>
      </c>
      <c r="K204" s="20">
        <f t="shared" ref="K204" si="4668">IF(K197="","",J197+J198-K197)</f>
        <v>0</v>
      </c>
      <c r="L204" s="20">
        <f t="shared" ref="L204" si="4669">IF(L197="","",K197+K198-L197)</f>
        <v>0</v>
      </c>
      <c r="M204" s="20">
        <f t="shared" ref="M204" si="4670">IF(M197="","",L197+L198-M197)</f>
        <v>0</v>
      </c>
      <c r="N204" s="195" t="str">
        <f t="shared" ref="N204" si="4671">IF(N197="","",M197+M198-N197)</f>
        <v/>
      </c>
      <c r="O204" s="20" t="str">
        <f t="shared" ref="O204" si="4672">IF(O197="","",N197+N198-O197)</f>
        <v/>
      </c>
      <c r="P204" s="20" t="str">
        <f t="shared" ref="P204" si="4673">IF(P197="","",O197+O198-P197)</f>
        <v/>
      </c>
      <c r="Q204" s="20" t="str">
        <f t="shared" ref="Q204" si="4674">IF(Q197="","",P197+P198-Q197)</f>
        <v/>
      </c>
      <c r="R204" s="20" t="str">
        <f t="shared" ref="R204" si="4675">IF(R197="","",Q197+Q198-R197)</f>
        <v/>
      </c>
      <c r="S204" s="20" t="str">
        <f t="shared" ref="S204" si="4676">IF(S197="","",R197+R198-S197)</f>
        <v/>
      </c>
      <c r="T204" s="20" t="str">
        <f t="shared" ref="T204" si="4677">IF(T197="","",S197+S198-T197)</f>
        <v/>
      </c>
      <c r="U204" s="20" t="str">
        <f t="shared" ref="U204" si="4678">IF(U197="","",T197+T198-U197)</f>
        <v/>
      </c>
      <c r="V204" s="20" t="str">
        <f t="shared" ref="V204" si="4679">IF(V197="","",U197+U198-V197)</f>
        <v/>
      </c>
      <c r="W204" s="20" t="str">
        <f t="shared" ref="W204" si="4680">IF(W197="","",V197+V198-W197)</f>
        <v/>
      </c>
      <c r="X204" s="20" t="str">
        <f t="shared" ref="X204" si="4681">IF(X197="","",W197+W198-X197)</f>
        <v/>
      </c>
      <c r="Y204" s="20" t="str">
        <f t="shared" ref="Y204" si="4682">IF(Y197="","",X197+X198-Y197)</f>
        <v/>
      </c>
      <c r="Z204" s="20" t="str">
        <f t="shared" ref="Z204" si="4683">IF(Z197="","",Y197+Y198-Z197)</f>
        <v/>
      </c>
      <c r="AA204" s="20" t="str">
        <f t="shared" ref="AA204" si="4684">IF(AA197="","",Z197+Z198-AA197)</f>
        <v/>
      </c>
      <c r="AB204" s="20" t="str">
        <f t="shared" ref="AB204" si="4685">IF(AB197="","",AA197+AA198-AB197)</f>
        <v/>
      </c>
      <c r="AC204" s="20" t="str">
        <f t="shared" ref="AC204" si="4686">IF(AC197="","",AB197+AB198-AC197)</f>
        <v/>
      </c>
      <c r="AD204" s="20" t="str">
        <f t="shared" ref="AD204" si="4687">IF(AD197="","",AC197+AC198-AD197)</f>
        <v/>
      </c>
      <c r="AE204" s="20" t="str">
        <f t="shared" ref="AE204" si="4688">IF(AE197="","",AD197+AD198-AE197)</f>
        <v/>
      </c>
      <c r="AF204" s="20" t="str">
        <f t="shared" ref="AF204" si="4689">IF(AF197="","",AE197+AE198-AF197)</f>
        <v/>
      </c>
      <c r="AG204" s="20" t="str">
        <f t="shared" ref="AG204" si="4690">IF(AG197="","",AF197+AF198-AG197)</f>
        <v/>
      </c>
      <c r="AH204" s="20" t="str">
        <f t="shared" ref="AH204" si="4691">IF(AH197="","",AG197+AG198-AH197)</f>
        <v/>
      </c>
      <c r="AI204" s="20" t="str">
        <f t="shared" ref="AI204" si="4692">IF(AI197="","",AH197+AH198-AI197)</f>
        <v/>
      </c>
      <c r="AJ204" s="20" t="str">
        <f t="shared" ref="AJ204" si="4693">IF(AJ197="","",AI197+AI198-AJ197)</f>
        <v/>
      </c>
      <c r="AK204" s="20" t="str">
        <f t="shared" ref="AK204" si="4694">IF(AK197="","",AJ197+AJ198-AK197)</f>
        <v/>
      </c>
      <c r="AL204" s="20" t="str">
        <f t="shared" ref="AL204" si="4695">IF(AL197="","",AK197+AK198-AL197)</f>
        <v/>
      </c>
      <c r="AM204" s="20" t="str">
        <f t="shared" ref="AM204" si="4696">IF(AM197="","",AL197+AL198-AM197)</f>
        <v/>
      </c>
      <c r="AN204" s="20" t="str">
        <f t="shared" ref="AN204" si="4697">IF(AN197="","",AM197+AM198-AN197)</f>
        <v/>
      </c>
      <c r="AO204" s="20" t="str">
        <f t="shared" ref="AO204" si="4698">IF(AO197="","",AN197+AN198-AO197)</f>
        <v/>
      </c>
      <c r="AP204" s="20" t="str">
        <f t="shared" ref="AP204" si="4699">IF(AP197="","",AO197+AO198-AP197)</f>
        <v/>
      </c>
      <c r="AQ204" s="20" t="str">
        <f t="shared" ref="AQ204" si="4700">IF(AQ197="","",AP197+AP198-AQ197)</f>
        <v/>
      </c>
      <c r="AR204" s="20" t="str">
        <f t="shared" ref="AR204" si="4701">IF(AR197="","",AQ197+AQ198-AR197)</f>
        <v/>
      </c>
      <c r="AS204" s="20" t="str">
        <f t="shared" ref="AS204" si="4702">IF(AS197="","",AR197+AR198-AS197)</f>
        <v/>
      </c>
      <c r="AT204" s="20" t="str">
        <f t="shared" ref="AT204" si="4703">IF(AT197="","",AS197+AS198-AT197)</f>
        <v/>
      </c>
      <c r="AU204" s="20" t="str">
        <f t="shared" ref="AU204" si="4704">IF(AU197="","",AT197+AT198-AU197)</f>
        <v/>
      </c>
      <c r="AV204" s="20" t="str">
        <f t="shared" ref="AV204" si="4705">IF(AV197="","",AU197+AU198-AV197)</f>
        <v/>
      </c>
      <c r="AW204" s="20" t="str">
        <f t="shared" ref="AW204" si="4706">IF(AW197="","",AV197+AV198-AW197)</f>
        <v/>
      </c>
      <c r="AX204" s="20" t="str">
        <f t="shared" ref="AX204" si="4707">IF(AX197="","",AW197+AW198-AX197)</f>
        <v/>
      </c>
      <c r="AY204" s="20" t="str">
        <f t="shared" ref="AY204" si="4708">IF(AY197="","",AX197+AX198-AY197)</f>
        <v/>
      </c>
      <c r="AZ204" s="20" t="str">
        <f t="shared" ref="AZ204" si="4709">IF(AZ197="","",AY197+AY198-AZ197)</f>
        <v/>
      </c>
      <c r="BA204" s="20" t="str">
        <f t="shared" ref="BA204" si="4710">IF(BA197="","",AZ197+AZ198-BA197)</f>
        <v/>
      </c>
      <c r="BB204" s="20" t="str">
        <f t="shared" ref="BB204" si="4711">IF(BB197="","",BA197+BA198-BB197)</f>
        <v/>
      </c>
      <c r="BC204" s="223" t="str">
        <f t="shared" ref="BC204" si="4712">IF(BC197="","",BB197+BB198-BC197)</f>
        <v/>
      </c>
    </row>
    <row r="205" spans="1:55" ht="11.25" customHeight="1" x14ac:dyDescent="0.2">
      <c r="A205" s="222">
        <f t="shared" si="4614"/>
        <v>3000</v>
      </c>
      <c r="B205" s="19" t="s">
        <v>16</v>
      </c>
      <c r="C205" s="123">
        <v>0</v>
      </c>
      <c r="D205" s="20">
        <v>0</v>
      </c>
      <c r="E205" s="20">
        <v>0</v>
      </c>
      <c r="F205" s="20">
        <v>0</v>
      </c>
      <c r="G205" s="195">
        <f t="shared" ref="D205:BC205" si="4713">IF(G195="","",G204*G199)</f>
        <v>0</v>
      </c>
      <c r="H205" s="20">
        <f t="shared" si="4713"/>
        <v>0</v>
      </c>
      <c r="I205" s="20">
        <f t="shared" si="4713"/>
        <v>3000</v>
      </c>
      <c r="J205" s="195">
        <f t="shared" si="4713"/>
        <v>0</v>
      </c>
      <c r="K205" s="20">
        <f t="shared" si="4713"/>
        <v>0</v>
      </c>
      <c r="L205" s="20">
        <f t="shared" si="4713"/>
        <v>0</v>
      </c>
      <c r="M205" s="20">
        <f t="shared" si="4713"/>
        <v>0</v>
      </c>
      <c r="N205" s="195" t="str">
        <f t="shared" si="4713"/>
        <v/>
      </c>
      <c r="O205" s="20" t="str">
        <f t="shared" si="4713"/>
        <v/>
      </c>
      <c r="P205" s="20" t="str">
        <f t="shared" si="4713"/>
        <v/>
      </c>
      <c r="Q205" s="20" t="str">
        <f t="shared" si="4713"/>
        <v/>
      </c>
      <c r="R205" s="20" t="str">
        <f t="shared" si="4713"/>
        <v/>
      </c>
      <c r="S205" s="20" t="str">
        <f t="shared" si="4713"/>
        <v/>
      </c>
      <c r="T205" s="20" t="str">
        <f t="shared" si="4713"/>
        <v/>
      </c>
      <c r="U205" s="20" t="str">
        <f t="shared" si="4713"/>
        <v/>
      </c>
      <c r="V205" s="20" t="str">
        <f t="shared" si="4713"/>
        <v/>
      </c>
      <c r="W205" s="20" t="str">
        <f t="shared" si="4713"/>
        <v/>
      </c>
      <c r="X205" s="20" t="str">
        <f t="shared" si="4713"/>
        <v/>
      </c>
      <c r="Y205" s="20" t="str">
        <f t="shared" si="4713"/>
        <v/>
      </c>
      <c r="Z205" s="20" t="str">
        <f t="shared" si="4713"/>
        <v/>
      </c>
      <c r="AA205" s="20" t="str">
        <f t="shared" si="4713"/>
        <v/>
      </c>
      <c r="AB205" s="20" t="str">
        <f t="shared" si="4713"/>
        <v/>
      </c>
      <c r="AC205" s="20" t="str">
        <f t="shared" si="4713"/>
        <v/>
      </c>
      <c r="AD205" s="20" t="str">
        <f t="shared" si="4713"/>
        <v/>
      </c>
      <c r="AE205" s="20" t="str">
        <f t="shared" si="4713"/>
        <v/>
      </c>
      <c r="AF205" s="20" t="str">
        <f t="shared" si="4713"/>
        <v/>
      </c>
      <c r="AG205" s="20" t="str">
        <f t="shared" si="4713"/>
        <v/>
      </c>
      <c r="AH205" s="20" t="str">
        <f t="shared" si="4713"/>
        <v/>
      </c>
      <c r="AI205" s="20" t="str">
        <f t="shared" si="4713"/>
        <v/>
      </c>
      <c r="AJ205" s="20" t="str">
        <f t="shared" si="4713"/>
        <v/>
      </c>
      <c r="AK205" s="20" t="str">
        <f t="shared" si="4713"/>
        <v/>
      </c>
      <c r="AL205" s="20" t="str">
        <f t="shared" si="4713"/>
        <v/>
      </c>
      <c r="AM205" s="20" t="str">
        <f t="shared" si="4713"/>
        <v/>
      </c>
      <c r="AN205" s="20" t="str">
        <f t="shared" si="4713"/>
        <v/>
      </c>
      <c r="AO205" s="20" t="str">
        <f t="shared" si="4713"/>
        <v/>
      </c>
      <c r="AP205" s="20" t="str">
        <f t="shared" si="4713"/>
        <v/>
      </c>
      <c r="AQ205" s="20" t="str">
        <f t="shared" si="4713"/>
        <v/>
      </c>
      <c r="AR205" s="20" t="str">
        <f t="shared" si="4713"/>
        <v/>
      </c>
      <c r="AS205" s="20" t="str">
        <f t="shared" si="4713"/>
        <v/>
      </c>
      <c r="AT205" s="20" t="str">
        <f t="shared" si="4713"/>
        <v/>
      </c>
      <c r="AU205" s="20" t="str">
        <f t="shared" si="4713"/>
        <v/>
      </c>
      <c r="AV205" s="20" t="str">
        <f t="shared" si="4713"/>
        <v/>
      </c>
      <c r="AW205" s="20" t="str">
        <f t="shared" si="4713"/>
        <v/>
      </c>
      <c r="AX205" s="20" t="str">
        <f t="shared" si="4713"/>
        <v/>
      </c>
      <c r="AY205" s="20" t="str">
        <f t="shared" si="4713"/>
        <v/>
      </c>
      <c r="AZ205" s="20" t="str">
        <f t="shared" si="4713"/>
        <v/>
      </c>
      <c r="BA205" s="20" t="str">
        <f t="shared" si="4713"/>
        <v/>
      </c>
      <c r="BB205" s="20" t="str">
        <f t="shared" si="4713"/>
        <v/>
      </c>
      <c r="BC205" s="223" t="str">
        <f t="shared" si="4713"/>
        <v/>
      </c>
    </row>
    <row r="206" spans="1:55" ht="11.25" customHeight="1" thickBot="1" x14ac:dyDescent="0.25">
      <c r="A206" s="224">
        <f>IF(A205="","",A205/(A202*100))</f>
        <v>0.21582733812949639</v>
      </c>
      <c r="B206" s="19" t="s">
        <v>17</v>
      </c>
      <c r="C206" s="146" t="s">
        <v>18</v>
      </c>
      <c r="D206" s="27" t="s">
        <v>18</v>
      </c>
      <c r="E206" s="27" t="s">
        <v>18</v>
      </c>
      <c r="F206" s="27" t="s">
        <v>18</v>
      </c>
      <c r="G206" s="199" t="str">
        <f t="shared" ref="D206:BC206" si="4714">IF(G205="","",IF(G205=0,"",G205/(G202*100)))</f>
        <v/>
      </c>
      <c r="H206" s="27" t="str">
        <f t="shared" si="4714"/>
        <v/>
      </c>
      <c r="I206" s="27">
        <f t="shared" si="4714"/>
        <v>0.21582733812949639</v>
      </c>
      <c r="J206" s="199" t="str">
        <f t="shared" si="4714"/>
        <v/>
      </c>
      <c r="K206" s="27" t="str">
        <f t="shared" si="4714"/>
        <v/>
      </c>
      <c r="L206" s="27" t="str">
        <f t="shared" si="4714"/>
        <v/>
      </c>
      <c r="M206" s="27" t="str">
        <f t="shared" si="4714"/>
        <v/>
      </c>
      <c r="N206" s="199" t="str">
        <f t="shared" si="4714"/>
        <v/>
      </c>
      <c r="O206" s="27" t="str">
        <f t="shared" si="4714"/>
        <v/>
      </c>
      <c r="P206" s="27" t="str">
        <f t="shared" si="4714"/>
        <v/>
      </c>
      <c r="Q206" s="27" t="str">
        <f t="shared" si="4714"/>
        <v/>
      </c>
      <c r="R206" s="27" t="str">
        <f t="shared" si="4714"/>
        <v/>
      </c>
      <c r="S206" s="27" t="str">
        <f t="shared" si="4714"/>
        <v/>
      </c>
      <c r="T206" s="27" t="str">
        <f t="shared" si="4714"/>
        <v/>
      </c>
      <c r="U206" s="27" t="str">
        <f t="shared" si="4714"/>
        <v/>
      </c>
      <c r="V206" s="27" t="str">
        <f t="shared" si="4714"/>
        <v/>
      </c>
      <c r="W206" s="27" t="str">
        <f t="shared" si="4714"/>
        <v/>
      </c>
      <c r="X206" s="27" t="str">
        <f t="shared" si="4714"/>
        <v/>
      </c>
      <c r="Y206" s="27" t="str">
        <f t="shared" si="4714"/>
        <v/>
      </c>
      <c r="Z206" s="27" t="str">
        <f t="shared" si="4714"/>
        <v/>
      </c>
      <c r="AA206" s="27" t="str">
        <f t="shared" si="4714"/>
        <v/>
      </c>
      <c r="AB206" s="27" t="str">
        <f t="shared" si="4714"/>
        <v/>
      </c>
      <c r="AC206" s="27" t="str">
        <f t="shared" si="4714"/>
        <v/>
      </c>
      <c r="AD206" s="27" t="str">
        <f t="shared" si="4714"/>
        <v/>
      </c>
      <c r="AE206" s="27" t="str">
        <f t="shared" si="4714"/>
        <v/>
      </c>
      <c r="AF206" s="27" t="str">
        <f t="shared" si="4714"/>
        <v/>
      </c>
      <c r="AG206" s="27" t="str">
        <f t="shared" si="4714"/>
        <v/>
      </c>
      <c r="AH206" s="27" t="str">
        <f t="shared" si="4714"/>
        <v/>
      </c>
      <c r="AI206" s="27" t="str">
        <f t="shared" si="4714"/>
        <v/>
      </c>
      <c r="AJ206" s="27" t="str">
        <f t="shared" si="4714"/>
        <v/>
      </c>
      <c r="AK206" s="27" t="str">
        <f t="shared" si="4714"/>
        <v/>
      </c>
      <c r="AL206" s="27" t="str">
        <f t="shared" si="4714"/>
        <v/>
      </c>
      <c r="AM206" s="27" t="str">
        <f t="shared" si="4714"/>
        <v/>
      </c>
      <c r="AN206" s="27" t="str">
        <f t="shared" si="4714"/>
        <v/>
      </c>
      <c r="AO206" s="27" t="str">
        <f t="shared" si="4714"/>
        <v/>
      </c>
      <c r="AP206" s="27" t="str">
        <f t="shared" si="4714"/>
        <v/>
      </c>
      <c r="AQ206" s="27" t="str">
        <f t="shared" si="4714"/>
        <v/>
      </c>
      <c r="AR206" s="27" t="str">
        <f t="shared" si="4714"/>
        <v/>
      </c>
      <c r="AS206" s="27" t="str">
        <f t="shared" si="4714"/>
        <v/>
      </c>
      <c r="AT206" s="27" t="str">
        <f t="shared" si="4714"/>
        <v/>
      </c>
      <c r="AU206" s="27" t="str">
        <f t="shared" si="4714"/>
        <v/>
      </c>
      <c r="AV206" s="27" t="str">
        <f t="shared" si="4714"/>
        <v/>
      </c>
      <c r="AW206" s="27" t="str">
        <f t="shared" si="4714"/>
        <v/>
      </c>
      <c r="AX206" s="27" t="str">
        <f t="shared" si="4714"/>
        <v/>
      </c>
      <c r="AY206" s="27" t="str">
        <f t="shared" si="4714"/>
        <v/>
      </c>
      <c r="AZ206" s="27" t="str">
        <f t="shared" si="4714"/>
        <v/>
      </c>
      <c r="BA206" s="27" t="str">
        <f t="shared" si="4714"/>
        <v/>
      </c>
      <c r="BB206" s="27" t="str">
        <f t="shared" si="4714"/>
        <v/>
      </c>
      <c r="BC206" s="225" t="str">
        <f t="shared" si="4714"/>
        <v/>
      </c>
    </row>
    <row r="207" spans="1:55" ht="11.25" customHeight="1" x14ac:dyDescent="0.2">
      <c r="A207" s="226" t="s">
        <v>1</v>
      </c>
      <c r="B207" s="205" t="s">
        <v>2</v>
      </c>
      <c r="C207" s="129">
        <v>0</v>
      </c>
      <c r="D207" s="206">
        <v>0</v>
      </c>
      <c r="E207" s="206">
        <v>0</v>
      </c>
      <c r="F207" s="206">
        <v>0</v>
      </c>
      <c r="G207" s="207">
        <f t="shared" ref="G207:G208" si="4715">IF(G$3="","",F207)</f>
        <v>0</v>
      </c>
      <c r="H207" s="206">
        <f t="shared" ref="H207:H208" si="4716">IF(H$3="","",G207)</f>
        <v>0</v>
      </c>
      <c r="I207" s="206">
        <v>22</v>
      </c>
      <c r="J207" s="207">
        <f t="shared" ref="J207:J208" si="4717">IF(J$3="","",I207)</f>
        <v>22</v>
      </c>
      <c r="K207" s="206">
        <f t="shared" ref="K207:K208" si="4718">IF(K$3="","",J207)</f>
        <v>22</v>
      </c>
      <c r="L207" s="206">
        <f t="shared" ref="L207:L208" si="4719">IF(L$3="","",K207)</f>
        <v>22</v>
      </c>
      <c r="M207" s="206">
        <f t="shared" ref="M207:M208" si="4720">IF(M$3="","",L207)</f>
        <v>22</v>
      </c>
      <c r="N207" s="207" t="str">
        <f t="shared" ref="N207:N208" si="4721">IF(N$3="","",M207)</f>
        <v/>
      </c>
      <c r="O207" s="206" t="str">
        <f t="shared" ref="O207:O208" si="4722">IF(O$3="","",N207)</f>
        <v/>
      </c>
      <c r="P207" s="206" t="str">
        <f t="shared" ref="P207:P208" si="4723">IF(P$3="","",O207)</f>
        <v/>
      </c>
      <c r="Q207" s="206" t="str">
        <f t="shared" ref="Q207:Q208" si="4724">IF(Q$3="","",P207)</f>
        <v/>
      </c>
      <c r="R207" s="206" t="str">
        <f t="shared" ref="R207:R208" si="4725">IF(R$3="","",Q207)</f>
        <v/>
      </c>
      <c r="S207" s="206" t="str">
        <f t="shared" ref="S207:S208" si="4726">IF(S$3="","",R207)</f>
        <v/>
      </c>
      <c r="T207" s="206" t="str">
        <f t="shared" ref="T207:T208" si="4727">IF(T$3="","",S207)</f>
        <v/>
      </c>
      <c r="U207" s="206" t="str">
        <f t="shared" ref="U207:U208" si="4728">IF(U$3="","",T207)</f>
        <v/>
      </c>
      <c r="V207" s="206" t="str">
        <f t="shared" ref="V207:V208" si="4729">IF(V$3="","",U207)</f>
        <v/>
      </c>
      <c r="W207" s="206" t="str">
        <f t="shared" ref="W207:W208" si="4730">IF(W$3="","",V207)</f>
        <v/>
      </c>
      <c r="X207" s="206" t="str">
        <f t="shared" ref="X207:X208" si="4731">IF(X$3="","",W207)</f>
        <v/>
      </c>
      <c r="Y207" s="206" t="str">
        <f t="shared" ref="Y207:Y208" si="4732">IF(Y$3="","",X207)</f>
        <v/>
      </c>
      <c r="Z207" s="206" t="str">
        <f t="shared" ref="Z207:Z208" si="4733">IF(Z$3="","",Y207)</f>
        <v/>
      </c>
      <c r="AA207" s="206" t="str">
        <f t="shared" ref="AA207:AA208" si="4734">IF(AA$3="","",Z207)</f>
        <v/>
      </c>
      <c r="AB207" s="206" t="str">
        <f t="shared" ref="AB207:AB208" si="4735">IF(AB$3="","",AA207)</f>
        <v/>
      </c>
      <c r="AC207" s="206" t="str">
        <f t="shared" ref="AC207:AC208" si="4736">IF(AC$3="","",AB207)</f>
        <v/>
      </c>
      <c r="AD207" s="206" t="str">
        <f t="shared" ref="AD207:AD208" si="4737">IF(AD$3="","",AC207)</f>
        <v/>
      </c>
      <c r="AE207" s="206" t="str">
        <f t="shared" ref="AE207:AE208" si="4738">IF(AE$3="","",AD207)</f>
        <v/>
      </c>
      <c r="AF207" s="206" t="str">
        <f t="shared" ref="AF207:AF208" si="4739">IF(AF$3="","",AE207)</f>
        <v/>
      </c>
      <c r="AG207" s="206" t="str">
        <f t="shared" ref="AG207:AG208" si="4740">IF(AG$3="","",AF207)</f>
        <v/>
      </c>
      <c r="AH207" s="206" t="str">
        <f t="shared" ref="AH207:AH208" si="4741">IF(AH$3="","",AG207)</f>
        <v/>
      </c>
      <c r="AI207" s="206" t="str">
        <f t="shared" ref="AI207:AI208" si="4742">IF(AI$3="","",AH207)</f>
        <v/>
      </c>
      <c r="AJ207" s="206" t="str">
        <f t="shared" ref="AJ207:AJ208" si="4743">IF(AJ$3="","",AI207)</f>
        <v/>
      </c>
      <c r="AK207" s="206" t="str">
        <f t="shared" ref="AK207:AK208" si="4744">IF(AK$3="","",AJ207)</f>
        <v/>
      </c>
      <c r="AL207" s="206" t="str">
        <f t="shared" ref="AL207:AL208" si="4745">IF(AL$3="","",AK207)</f>
        <v/>
      </c>
      <c r="AM207" s="206" t="str">
        <f t="shared" ref="AM207:AM208" si="4746">IF(AM$3="","",AL207)</f>
        <v/>
      </c>
      <c r="AN207" s="206" t="str">
        <f t="shared" ref="AN207:AN208" si="4747">IF(AN$3="","",AM207)</f>
        <v/>
      </c>
      <c r="AO207" s="206" t="str">
        <f t="shared" ref="AO207:AO208" si="4748">IF(AO$3="","",AN207)</f>
        <v/>
      </c>
      <c r="AP207" s="206" t="str">
        <f t="shared" ref="AP207:AP208" si="4749">IF(AP$3="","",AO207)</f>
        <v/>
      </c>
      <c r="AQ207" s="206" t="str">
        <f t="shared" ref="AQ207:AQ208" si="4750">IF(AQ$3="","",AP207)</f>
        <v/>
      </c>
      <c r="AR207" s="206" t="str">
        <f t="shared" ref="AR207:AR208" si="4751">IF(AR$3="","",AQ207)</f>
        <v/>
      </c>
      <c r="AS207" s="206" t="str">
        <f t="shared" ref="AS207:AS208" si="4752">IF(AS$3="","",AR207)</f>
        <v/>
      </c>
      <c r="AT207" s="206" t="str">
        <f t="shared" ref="AT207:AT208" si="4753">IF(AT$3="","",AS207)</f>
        <v/>
      </c>
      <c r="AU207" s="206" t="str">
        <f t="shared" ref="AU207:AU208" si="4754">IF(AU$3="","",AT207)</f>
        <v/>
      </c>
      <c r="AV207" s="206" t="str">
        <f t="shared" ref="AV207:AV208" si="4755">IF(AV$3="","",AU207)</f>
        <v/>
      </c>
      <c r="AW207" s="206" t="str">
        <f t="shared" ref="AW207:AW208" si="4756">IF(AW$3="","",AV207)</f>
        <v/>
      </c>
      <c r="AX207" s="206" t="str">
        <f t="shared" ref="AX207:AX208" si="4757">IF(AX$3="","",AW207)</f>
        <v/>
      </c>
      <c r="AY207" s="206" t="str">
        <f t="shared" ref="AY207:AY208" si="4758">IF(AY$3="","",AX207)</f>
        <v/>
      </c>
      <c r="AZ207" s="206" t="str">
        <f t="shared" ref="AZ207:AZ208" si="4759">IF(AZ$3="","",AY207)</f>
        <v/>
      </c>
      <c r="BA207" s="206" t="str">
        <f t="shared" ref="BA207:BA208" si="4760">IF(BA$3="","",AZ207)</f>
        <v/>
      </c>
      <c r="BB207" s="206" t="str">
        <f t="shared" ref="BB207:BB208" si="4761">IF(BB$3="","",BA207)</f>
        <v/>
      </c>
      <c r="BC207" s="219" t="str">
        <f t="shared" ref="BC207:BC208" si="4762">IF(BC$3="","",BB207)</f>
        <v/>
      </c>
    </row>
    <row r="208" spans="1:55" ht="11.25" customHeight="1" x14ac:dyDescent="0.2">
      <c r="A208" s="214" t="str">
        <f>A196</f>
        <v>BUZZ＃4</v>
      </c>
      <c r="B208" s="11" t="s">
        <v>4</v>
      </c>
      <c r="C208" s="123">
        <v>0</v>
      </c>
      <c r="D208" s="12">
        <v>0</v>
      </c>
      <c r="E208" s="12">
        <v>0</v>
      </c>
      <c r="F208" s="12">
        <v>0</v>
      </c>
      <c r="G208" s="195">
        <f t="shared" si="4715"/>
        <v>0</v>
      </c>
      <c r="H208" s="12">
        <f t="shared" si="4716"/>
        <v>0</v>
      </c>
      <c r="I208" s="12">
        <v>3</v>
      </c>
      <c r="J208" s="195">
        <f t="shared" si="4717"/>
        <v>3</v>
      </c>
      <c r="K208" s="12">
        <f t="shared" si="4718"/>
        <v>3</v>
      </c>
      <c r="L208" s="12">
        <f t="shared" si="4719"/>
        <v>3</v>
      </c>
      <c r="M208" s="12">
        <f t="shared" si="4720"/>
        <v>3</v>
      </c>
      <c r="N208" s="195" t="str">
        <f t="shared" si="4721"/>
        <v/>
      </c>
      <c r="O208" s="12" t="str">
        <f t="shared" si="4722"/>
        <v/>
      </c>
      <c r="P208" s="12" t="str">
        <f t="shared" si="4723"/>
        <v/>
      </c>
      <c r="Q208" s="12" t="str">
        <f t="shared" si="4724"/>
        <v/>
      </c>
      <c r="R208" s="12" t="str">
        <f t="shared" si="4725"/>
        <v/>
      </c>
      <c r="S208" s="12" t="str">
        <f t="shared" si="4726"/>
        <v/>
      </c>
      <c r="T208" s="12" t="str">
        <f t="shared" si="4727"/>
        <v/>
      </c>
      <c r="U208" s="12" t="str">
        <f t="shared" si="4728"/>
        <v/>
      </c>
      <c r="V208" s="12" t="str">
        <f t="shared" si="4729"/>
        <v/>
      </c>
      <c r="W208" s="12" t="str">
        <f t="shared" si="4730"/>
        <v/>
      </c>
      <c r="X208" s="12" t="str">
        <f t="shared" si="4731"/>
        <v/>
      </c>
      <c r="Y208" s="12" t="str">
        <f t="shared" si="4732"/>
        <v/>
      </c>
      <c r="Z208" s="12" t="str">
        <f t="shared" si="4733"/>
        <v/>
      </c>
      <c r="AA208" s="12" t="str">
        <f t="shared" si="4734"/>
        <v/>
      </c>
      <c r="AB208" s="12" t="str">
        <f t="shared" si="4735"/>
        <v/>
      </c>
      <c r="AC208" s="12" t="str">
        <f t="shared" si="4736"/>
        <v/>
      </c>
      <c r="AD208" s="12" t="str">
        <f t="shared" si="4737"/>
        <v/>
      </c>
      <c r="AE208" s="12" t="str">
        <f t="shared" si="4738"/>
        <v/>
      </c>
      <c r="AF208" s="12" t="str">
        <f t="shared" si="4739"/>
        <v/>
      </c>
      <c r="AG208" s="12" t="str">
        <f t="shared" si="4740"/>
        <v/>
      </c>
      <c r="AH208" s="12" t="str">
        <f t="shared" si="4741"/>
        <v/>
      </c>
      <c r="AI208" s="12" t="str">
        <f t="shared" si="4742"/>
        <v/>
      </c>
      <c r="AJ208" s="12" t="str">
        <f t="shared" si="4743"/>
        <v/>
      </c>
      <c r="AK208" s="12" t="str">
        <f t="shared" si="4744"/>
        <v/>
      </c>
      <c r="AL208" s="12" t="str">
        <f t="shared" si="4745"/>
        <v/>
      </c>
      <c r="AM208" s="12" t="str">
        <f t="shared" si="4746"/>
        <v/>
      </c>
      <c r="AN208" s="12" t="str">
        <f t="shared" si="4747"/>
        <v/>
      </c>
      <c r="AO208" s="12" t="str">
        <f t="shared" si="4748"/>
        <v/>
      </c>
      <c r="AP208" s="12" t="str">
        <f t="shared" si="4749"/>
        <v/>
      </c>
      <c r="AQ208" s="12" t="str">
        <f t="shared" si="4750"/>
        <v/>
      </c>
      <c r="AR208" s="12" t="str">
        <f t="shared" si="4751"/>
        <v/>
      </c>
      <c r="AS208" s="12" t="str">
        <f t="shared" si="4752"/>
        <v/>
      </c>
      <c r="AT208" s="12" t="str">
        <f t="shared" si="4753"/>
        <v/>
      </c>
      <c r="AU208" s="12" t="str">
        <f t="shared" si="4754"/>
        <v/>
      </c>
      <c r="AV208" s="12" t="str">
        <f t="shared" si="4755"/>
        <v/>
      </c>
      <c r="AW208" s="12" t="str">
        <f t="shared" si="4756"/>
        <v/>
      </c>
      <c r="AX208" s="12" t="str">
        <f t="shared" si="4757"/>
        <v/>
      </c>
      <c r="AY208" s="12" t="str">
        <f t="shared" si="4758"/>
        <v/>
      </c>
      <c r="AZ208" s="12" t="str">
        <f t="shared" si="4759"/>
        <v/>
      </c>
      <c r="BA208" s="12" t="str">
        <f t="shared" si="4760"/>
        <v/>
      </c>
      <c r="BB208" s="12" t="str">
        <f t="shared" si="4761"/>
        <v/>
      </c>
      <c r="BC208" s="215" t="str">
        <f t="shared" si="4762"/>
        <v/>
      </c>
    </row>
    <row r="209" spans="1:55" ht="11.25" customHeight="1" x14ac:dyDescent="0.25">
      <c r="A209" s="216">
        <v>2</v>
      </c>
      <c r="B209" s="11" t="s">
        <v>5</v>
      </c>
      <c r="C209" s="123">
        <v>9</v>
      </c>
      <c r="D209" s="12">
        <v>9</v>
      </c>
      <c r="E209" s="12">
        <v>9</v>
      </c>
      <c r="F209" s="12">
        <v>9</v>
      </c>
      <c r="G209" s="195">
        <f t="shared" ref="G209" si="4763">IF(G207="","",(F209+F210))</f>
        <v>9</v>
      </c>
      <c r="H209" s="12">
        <f t="shared" ref="H209" si="4764">IF(H207="","",(G209+G210))</f>
        <v>9</v>
      </c>
      <c r="I209" s="12">
        <f t="shared" ref="I209" si="4765">IF(I207="","",(H209+H210))</f>
        <v>9</v>
      </c>
      <c r="J209" s="195">
        <f t="shared" ref="J209" si="4766">IF(J207="","",(I209+I210))</f>
        <v>15</v>
      </c>
      <c r="K209" s="12">
        <f t="shared" ref="K209" si="4767">IF(K207="","",(J209+J210))</f>
        <v>15</v>
      </c>
      <c r="L209" s="12">
        <f t="shared" ref="L209" si="4768">IF(L207="","",(K209+K210))</f>
        <v>15</v>
      </c>
      <c r="M209" s="12">
        <f t="shared" ref="M209" si="4769">IF(M207="","",(L209+L210))</f>
        <v>15</v>
      </c>
      <c r="N209" s="195" t="str">
        <f t="shared" ref="N209" si="4770">IF(N207="","",(M209+M210))</f>
        <v/>
      </c>
      <c r="O209" s="12" t="str">
        <f t="shared" ref="O209" si="4771">IF(O207="","",(N209+N210))</f>
        <v/>
      </c>
      <c r="P209" s="12" t="str">
        <f t="shared" ref="P209" si="4772">IF(P207="","",(O209+O210))</f>
        <v/>
      </c>
      <c r="Q209" s="12" t="str">
        <f t="shared" ref="Q209" si="4773">IF(Q207="","",(P209+P210))</f>
        <v/>
      </c>
      <c r="R209" s="12" t="str">
        <f t="shared" ref="R209" si="4774">IF(R207="","",(Q209+Q210))</f>
        <v/>
      </c>
      <c r="S209" s="12" t="str">
        <f t="shared" ref="S209" si="4775">IF(S207="","",(R209+R210))</f>
        <v/>
      </c>
      <c r="T209" s="12" t="str">
        <f t="shared" ref="T209" si="4776">IF(T207="","",(S209+S210))</f>
        <v/>
      </c>
      <c r="U209" s="12" t="str">
        <f t="shared" ref="U209" si="4777">IF(U207="","",(T209+T210))</f>
        <v/>
      </c>
      <c r="V209" s="12" t="str">
        <f t="shared" ref="V209" si="4778">IF(V207="","",(U209+U210))</f>
        <v/>
      </c>
      <c r="W209" s="12" t="str">
        <f t="shared" ref="W209" si="4779">IF(W207="","",(V209+V210))</f>
        <v/>
      </c>
      <c r="X209" s="12" t="str">
        <f t="shared" ref="X209" si="4780">IF(X207="","",(W209+W210))</f>
        <v/>
      </c>
      <c r="Y209" s="12" t="str">
        <f t="shared" ref="Y209" si="4781">IF(Y207="","",(X209+X210))</f>
        <v/>
      </c>
      <c r="Z209" s="12" t="str">
        <f t="shared" ref="Z209" si="4782">IF(Z207="","",(Y209+Y210))</f>
        <v/>
      </c>
      <c r="AA209" s="12" t="str">
        <f t="shared" ref="AA209" si="4783">IF(AA207="","",(Z209+Z210))</f>
        <v/>
      </c>
      <c r="AB209" s="12" t="str">
        <f t="shared" ref="AB209" si="4784">IF(AB207="","",(AA209+AA210))</f>
        <v/>
      </c>
      <c r="AC209" s="12" t="str">
        <f t="shared" ref="AC209" si="4785">IF(AC207="","",(AB209+AB210))</f>
        <v/>
      </c>
      <c r="AD209" s="12" t="str">
        <f t="shared" ref="AD209" si="4786">IF(AD207="","",(AC209+AC210))</f>
        <v/>
      </c>
      <c r="AE209" s="12" t="str">
        <f t="shared" ref="AE209" si="4787">IF(AE207="","",(AD209+AD210))</f>
        <v/>
      </c>
      <c r="AF209" s="12" t="str">
        <f t="shared" ref="AF209" si="4788">IF(AF207="","",(AE209+AE210))</f>
        <v/>
      </c>
      <c r="AG209" s="12" t="str">
        <f t="shared" ref="AG209" si="4789">IF(AG207="","",(AF209+AF210))</f>
        <v/>
      </c>
      <c r="AH209" s="12" t="str">
        <f t="shared" ref="AH209" si="4790">IF(AH207="","",(AG209+AG210))</f>
        <v/>
      </c>
      <c r="AI209" s="12" t="str">
        <f t="shared" ref="AI209" si="4791">IF(AI207="","",(AH209+AH210))</f>
        <v/>
      </c>
      <c r="AJ209" s="12" t="str">
        <f t="shared" ref="AJ209" si="4792">IF(AJ207="","",(AI209+AI210))</f>
        <v/>
      </c>
      <c r="AK209" s="12" t="str">
        <f t="shared" ref="AK209" si="4793">IF(AK207="","",(AJ209+AJ210))</f>
        <v/>
      </c>
      <c r="AL209" s="12" t="str">
        <f t="shared" ref="AL209" si="4794">IF(AL207="","",(AK209+AK210))</f>
        <v/>
      </c>
      <c r="AM209" s="12" t="str">
        <f t="shared" ref="AM209" si="4795">IF(AM207="","",(AL209+AL210))</f>
        <v/>
      </c>
      <c r="AN209" s="12" t="str">
        <f t="shared" ref="AN209" si="4796">IF(AN207="","",(AM209+AM210))</f>
        <v/>
      </c>
      <c r="AO209" s="12" t="str">
        <f t="shared" ref="AO209" si="4797">IF(AO207="","",(AN209+AN210))</f>
        <v/>
      </c>
      <c r="AP209" s="12" t="str">
        <f t="shared" ref="AP209" si="4798">IF(AP207="","",(AO209+AO210))</f>
        <v/>
      </c>
      <c r="AQ209" s="12" t="str">
        <f t="shared" ref="AQ209" si="4799">IF(AQ207="","",(AP209+AP210))</f>
        <v/>
      </c>
      <c r="AR209" s="12" t="str">
        <f t="shared" ref="AR209" si="4800">IF(AR207="","",(AQ209+AQ210))</f>
        <v/>
      </c>
      <c r="AS209" s="12" t="str">
        <f t="shared" ref="AS209" si="4801">IF(AS207="","",(AR209+AR210))</f>
        <v/>
      </c>
      <c r="AT209" s="12" t="str">
        <f t="shared" ref="AT209" si="4802">IF(AT207="","",(AS209+AS210))</f>
        <v/>
      </c>
      <c r="AU209" s="12" t="str">
        <f t="shared" ref="AU209" si="4803">IF(AU207="","",(AT209+AT210))</f>
        <v/>
      </c>
      <c r="AV209" s="12" t="str">
        <f t="shared" ref="AV209" si="4804">IF(AV207="","",(AU209+AU210))</f>
        <v/>
      </c>
      <c r="AW209" s="12" t="str">
        <f t="shared" ref="AW209" si="4805">IF(AW207="","",(AV209+AV210))</f>
        <v/>
      </c>
      <c r="AX209" s="12" t="str">
        <f t="shared" ref="AX209" si="4806">IF(AX207="","",(AW209+AW210))</f>
        <v/>
      </c>
      <c r="AY209" s="12" t="str">
        <f t="shared" ref="AY209" si="4807">IF(AY207="","",(AX209+AX210))</f>
        <v/>
      </c>
      <c r="AZ209" s="12" t="str">
        <f t="shared" ref="AZ209" si="4808">IF(AZ207="","",(AY209+AY210))</f>
        <v/>
      </c>
      <c r="BA209" s="12" t="str">
        <f t="shared" ref="BA209" si="4809">IF(BA207="","",(AZ209+AZ210))</f>
        <v/>
      </c>
      <c r="BB209" s="12" t="str">
        <f t="shared" ref="BB209" si="4810">IF(BB207="","",(BA209+BA210))</f>
        <v/>
      </c>
      <c r="BC209" s="215" t="str">
        <f t="shared" ref="BC209" si="4811">IF(BC207="","",(BB209+BB210))</f>
        <v/>
      </c>
    </row>
    <row r="210" spans="1:55" ht="11.25" customHeight="1" x14ac:dyDescent="0.2">
      <c r="A210" s="220"/>
      <c r="B210" s="11" t="s">
        <v>6</v>
      </c>
      <c r="C210" s="123"/>
      <c r="D210" s="12"/>
      <c r="E210" s="12"/>
      <c r="F210" s="12"/>
      <c r="G210" s="195"/>
      <c r="H210" s="12"/>
      <c r="I210" s="12">
        <v>6</v>
      </c>
      <c r="J210" s="195"/>
      <c r="K210" s="12"/>
      <c r="L210" s="12"/>
      <c r="M210" s="12"/>
      <c r="N210" s="195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215"/>
    </row>
    <row r="211" spans="1:55" ht="11.25" customHeight="1" x14ac:dyDescent="0.2">
      <c r="A211" s="222"/>
      <c r="B211" s="11" t="s">
        <v>8</v>
      </c>
      <c r="C211" s="129">
        <v>800</v>
      </c>
      <c r="D211" s="206">
        <v>800</v>
      </c>
      <c r="E211" s="206">
        <v>800</v>
      </c>
      <c r="F211" s="206">
        <v>800</v>
      </c>
      <c r="G211" s="207">
        <f t="shared" ref="G211" si="4812">IF(G207="","",F211)</f>
        <v>800</v>
      </c>
      <c r="H211" s="206">
        <f t="shared" ref="H211" si="4813">IF(H207="","",G211)</f>
        <v>800</v>
      </c>
      <c r="I211" s="206">
        <f t="shared" ref="I211" si="4814">IF(I207="","",H211)</f>
        <v>800</v>
      </c>
      <c r="J211" s="207">
        <f t="shared" ref="J211" si="4815">IF(J207="","",I211)</f>
        <v>800</v>
      </c>
      <c r="K211" s="206">
        <f t="shared" ref="K211" si="4816">IF(K207="","",J211)</f>
        <v>800</v>
      </c>
      <c r="L211" s="206">
        <f t="shared" ref="L211" si="4817">IF(L207="","",K211)</f>
        <v>800</v>
      </c>
      <c r="M211" s="206">
        <f t="shared" ref="M211" si="4818">IF(M207="","",L211)</f>
        <v>800</v>
      </c>
      <c r="N211" s="207" t="str">
        <f t="shared" ref="N211" si="4819">IF(N207="","",M211)</f>
        <v/>
      </c>
      <c r="O211" s="206" t="str">
        <f t="shared" ref="O211" si="4820">IF(O207="","",N211)</f>
        <v/>
      </c>
      <c r="P211" s="206" t="str">
        <f t="shared" ref="P211" si="4821">IF(P207="","",O211)</f>
        <v/>
      </c>
      <c r="Q211" s="206" t="str">
        <f t="shared" ref="Q211" si="4822">IF(Q207="","",P211)</f>
        <v/>
      </c>
      <c r="R211" s="206" t="str">
        <f t="shared" ref="R211" si="4823">IF(R207="","",Q211)</f>
        <v/>
      </c>
      <c r="S211" s="206" t="str">
        <f t="shared" ref="S211" si="4824">IF(S207="","",R211)</f>
        <v/>
      </c>
      <c r="T211" s="206" t="str">
        <f t="shared" ref="T211" si="4825">IF(T207="","",S211)</f>
        <v/>
      </c>
      <c r="U211" s="206" t="str">
        <f t="shared" ref="U211" si="4826">IF(U207="","",T211)</f>
        <v/>
      </c>
      <c r="V211" s="206" t="str">
        <f t="shared" ref="V211" si="4827">IF(V207="","",U211)</f>
        <v/>
      </c>
      <c r="W211" s="206" t="str">
        <f t="shared" ref="W211" si="4828">IF(W207="","",V211)</f>
        <v/>
      </c>
      <c r="X211" s="206" t="str">
        <f t="shared" ref="X211" si="4829">IF(X207="","",W211)</f>
        <v/>
      </c>
      <c r="Y211" s="206" t="str">
        <f t="shared" ref="Y211" si="4830">IF(Y207="","",X211)</f>
        <v/>
      </c>
      <c r="Z211" s="206" t="str">
        <f t="shared" ref="Z211" si="4831">IF(Z207="","",Y211)</f>
        <v/>
      </c>
      <c r="AA211" s="206" t="str">
        <f t="shared" ref="AA211" si="4832">IF(AA207="","",Z211)</f>
        <v/>
      </c>
      <c r="AB211" s="206" t="str">
        <f t="shared" ref="AB211" si="4833">IF(AB207="","",AA211)</f>
        <v/>
      </c>
      <c r="AC211" s="206" t="str">
        <f t="shared" ref="AC211" si="4834">IF(AC207="","",AB211)</f>
        <v/>
      </c>
      <c r="AD211" s="206" t="str">
        <f t="shared" ref="AD211" si="4835">IF(AD207="","",AC211)</f>
        <v/>
      </c>
      <c r="AE211" s="206" t="str">
        <f t="shared" ref="AE211" si="4836">IF(AE207="","",AD211)</f>
        <v/>
      </c>
      <c r="AF211" s="206" t="str">
        <f t="shared" ref="AF211" si="4837">IF(AF207="","",AE211)</f>
        <v/>
      </c>
      <c r="AG211" s="206" t="str">
        <f t="shared" ref="AG211" si="4838">IF(AG207="","",AF211)</f>
        <v/>
      </c>
      <c r="AH211" s="206" t="str">
        <f t="shared" ref="AH211" si="4839">IF(AH207="","",AG211)</f>
        <v/>
      </c>
      <c r="AI211" s="206" t="str">
        <f t="shared" ref="AI211" si="4840">IF(AI207="","",AH211)</f>
        <v/>
      </c>
      <c r="AJ211" s="206" t="str">
        <f t="shared" ref="AJ211" si="4841">IF(AJ207="","",AI211)</f>
        <v/>
      </c>
      <c r="AK211" s="206" t="str">
        <f t="shared" ref="AK211" si="4842">IF(AK207="","",AJ211)</f>
        <v/>
      </c>
      <c r="AL211" s="206" t="str">
        <f t="shared" ref="AL211" si="4843">IF(AL207="","",AK211)</f>
        <v/>
      </c>
      <c r="AM211" s="206" t="str">
        <f t="shared" ref="AM211" si="4844">IF(AM207="","",AL211)</f>
        <v/>
      </c>
      <c r="AN211" s="206" t="str">
        <f t="shared" ref="AN211" si="4845">IF(AN207="","",AM211)</f>
        <v/>
      </c>
      <c r="AO211" s="206" t="str">
        <f t="shared" ref="AO211" si="4846">IF(AO207="","",AN211)</f>
        <v/>
      </c>
      <c r="AP211" s="206" t="str">
        <f t="shared" ref="AP211" si="4847">IF(AP207="","",AO211)</f>
        <v/>
      </c>
      <c r="AQ211" s="206" t="str">
        <f t="shared" ref="AQ211" si="4848">IF(AQ207="","",AP211)</f>
        <v/>
      </c>
      <c r="AR211" s="206" t="str">
        <f t="shared" ref="AR211" si="4849">IF(AR207="","",AQ211)</f>
        <v/>
      </c>
      <c r="AS211" s="206" t="str">
        <f t="shared" ref="AS211" si="4850">IF(AS207="","",AR211)</f>
        <v/>
      </c>
      <c r="AT211" s="206" t="str">
        <f t="shared" ref="AT211" si="4851">IF(AT207="","",AS211)</f>
        <v/>
      </c>
      <c r="AU211" s="206" t="str">
        <f t="shared" ref="AU211" si="4852">IF(AU207="","",AT211)</f>
        <v/>
      </c>
      <c r="AV211" s="206" t="str">
        <f t="shared" ref="AV211" si="4853">IF(AV207="","",AU211)</f>
        <v/>
      </c>
      <c r="AW211" s="206" t="str">
        <f t="shared" ref="AW211" si="4854">IF(AW207="","",AV211)</f>
        <v/>
      </c>
      <c r="AX211" s="206" t="str">
        <f t="shared" ref="AX211" si="4855">IF(AX207="","",AW211)</f>
        <v/>
      </c>
      <c r="AY211" s="206" t="str">
        <f t="shared" ref="AY211" si="4856">IF(AY207="","",AX211)</f>
        <v/>
      </c>
      <c r="AZ211" s="206" t="str">
        <f t="shared" ref="AZ211" si="4857">IF(AZ207="","",AY211)</f>
        <v/>
      </c>
      <c r="BA211" s="206" t="str">
        <f t="shared" ref="BA211" si="4858">IF(BA207="","",AZ211)</f>
        <v/>
      </c>
      <c r="BB211" s="206" t="str">
        <f t="shared" ref="BB211" si="4859">IF(BB207="","",BA211)</f>
        <v/>
      </c>
      <c r="BC211" s="219" t="str">
        <f t="shared" ref="BC211" si="4860">IF(BC207="","",BB211)</f>
        <v/>
      </c>
    </row>
    <row r="212" spans="1:55" ht="11.25" customHeight="1" x14ac:dyDescent="0.2">
      <c r="A212" s="220" t="s">
        <v>9</v>
      </c>
      <c r="B212" s="17" t="s">
        <v>10</v>
      </c>
      <c r="C212" s="133" t="s">
        <v>279</v>
      </c>
      <c r="D212" s="18" t="s">
        <v>279</v>
      </c>
      <c r="E212" s="18" t="s">
        <v>279</v>
      </c>
      <c r="F212" s="18" t="s">
        <v>279</v>
      </c>
      <c r="G212" s="197" t="str">
        <f t="shared" ref="G212" si="4861">IF(G207="","",F212)</f>
        <v>キティファー付きポーチ</v>
      </c>
      <c r="H212" s="18" t="str">
        <f t="shared" ref="H212" si="4862">IF(H207="","",G212)</f>
        <v>キティファー付きポーチ</v>
      </c>
      <c r="I212" s="18" t="str">
        <f t="shared" ref="I212" si="4863">IF(I207="","",H212)</f>
        <v>キティファー付きポーチ</v>
      </c>
      <c r="J212" s="197" t="s">
        <v>296</v>
      </c>
      <c r="K212" s="18" t="str">
        <f t="shared" ref="K212" si="4864">IF(K207="","",J212)</f>
        <v>マロッシュイヤホン</v>
      </c>
      <c r="L212" s="18" t="str">
        <f t="shared" ref="L212" si="4865">IF(L207="","",K212)</f>
        <v>マロッシュイヤホン</v>
      </c>
      <c r="M212" s="18" t="str">
        <f t="shared" ref="M212" si="4866">IF(M207="","",L212)</f>
        <v>マロッシュイヤホン</v>
      </c>
      <c r="N212" s="197" t="str">
        <f t="shared" ref="N212" si="4867">IF(N207="","",M212)</f>
        <v/>
      </c>
      <c r="O212" s="18" t="str">
        <f t="shared" ref="O212" si="4868">IF(O207="","",N212)</f>
        <v/>
      </c>
      <c r="P212" s="18" t="str">
        <f t="shared" ref="P212" si="4869">IF(P207="","",O212)</f>
        <v/>
      </c>
      <c r="Q212" s="18" t="str">
        <f t="shared" ref="Q212" si="4870">IF(Q207="","",P212)</f>
        <v/>
      </c>
      <c r="R212" s="18" t="str">
        <f t="shared" ref="R212" si="4871">IF(R207="","",Q212)</f>
        <v/>
      </c>
      <c r="S212" s="18" t="str">
        <f t="shared" ref="S212" si="4872">IF(S207="","",R212)</f>
        <v/>
      </c>
      <c r="T212" s="18" t="str">
        <f t="shared" ref="T212" si="4873">IF(T207="","",S212)</f>
        <v/>
      </c>
      <c r="U212" s="18" t="str">
        <f t="shared" ref="U212" si="4874">IF(U207="","",T212)</f>
        <v/>
      </c>
      <c r="V212" s="18" t="str">
        <f t="shared" ref="V212" si="4875">IF(V207="","",U212)</f>
        <v/>
      </c>
      <c r="W212" s="18" t="str">
        <f t="shared" ref="W212" si="4876">IF(W207="","",V212)</f>
        <v/>
      </c>
      <c r="X212" s="18" t="str">
        <f t="shared" ref="X212" si="4877">IF(X207="","",W212)</f>
        <v/>
      </c>
      <c r="Y212" s="18" t="str">
        <f t="shared" ref="Y212" si="4878">IF(Y207="","",X212)</f>
        <v/>
      </c>
      <c r="Z212" s="18" t="str">
        <f t="shared" ref="Z212" si="4879">IF(Z207="","",Y212)</f>
        <v/>
      </c>
      <c r="AA212" s="18" t="str">
        <f t="shared" ref="AA212" si="4880">IF(AA207="","",Z212)</f>
        <v/>
      </c>
      <c r="AB212" s="18" t="str">
        <f t="shared" ref="AB212" si="4881">IF(AB207="","",AA212)</f>
        <v/>
      </c>
      <c r="AC212" s="18" t="str">
        <f t="shared" ref="AC212" si="4882">IF(AC207="","",AB212)</f>
        <v/>
      </c>
      <c r="AD212" s="18" t="str">
        <f t="shared" ref="AD212" si="4883">IF(AD207="","",AC212)</f>
        <v/>
      </c>
      <c r="AE212" s="18" t="str">
        <f t="shared" ref="AE212" si="4884">IF(AE207="","",AD212)</f>
        <v/>
      </c>
      <c r="AF212" s="18" t="str">
        <f t="shared" ref="AF212" si="4885">IF(AF207="","",AE212)</f>
        <v/>
      </c>
      <c r="AG212" s="18" t="str">
        <f t="shared" ref="AG212" si="4886">IF(AG207="","",AF212)</f>
        <v/>
      </c>
      <c r="AH212" s="18" t="str">
        <f t="shared" ref="AH212" si="4887">IF(AH207="","",AG212)</f>
        <v/>
      </c>
      <c r="AI212" s="18" t="str">
        <f t="shared" ref="AI212" si="4888">IF(AI207="","",AH212)</f>
        <v/>
      </c>
      <c r="AJ212" s="18" t="str">
        <f t="shared" ref="AJ212" si="4889">IF(AJ207="","",AI212)</f>
        <v/>
      </c>
      <c r="AK212" s="18" t="str">
        <f t="shared" ref="AK212" si="4890">IF(AK207="","",AJ212)</f>
        <v/>
      </c>
      <c r="AL212" s="18" t="str">
        <f t="shared" ref="AL212" si="4891">IF(AL207="","",AK212)</f>
        <v/>
      </c>
      <c r="AM212" s="18" t="str">
        <f t="shared" ref="AM212" si="4892">IF(AM207="","",AL212)</f>
        <v/>
      </c>
      <c r="AN212" s="18" t="str">
        <f t="shared" ref="AN212" si="4893">IF(AN207="","",AM212)</f>
        <v/>
      </c>
      <c r="AO212" s="18" t="str">
        <f t="shared" ref="AO212" si="4894">IF(AO207="","",AN212)</f>
        <v/>
      </c>
      <c r="AP212" s="18" t="str">
        <f t="shared" ref="AP212" si="4895">IF(AP207="","",AO212)</f>
        <v/>
      </c>
      <c r="AQ212" s="18" t="str">
        <f t="shared" ref="AQ212" si="4896">IF(AQ207="","",AP212)</f>
        <v/>
      </c>
      <c r="AR212" s="18" t="str">
        <f t="shared" ref="AR212" si="4897">IF(AR207="","",AQ212)</f>
        <v/>
      </c>
      <c r="AS212" s="18" t="str">
        <f t="shared" ref="AS212" si="4898">IF(AS207="","",AR212)</f>
        <v/>
      </c>
      <c r="AT212" s="18" t="str">
        <f t="shared" ref="AT212" si="4899">IF(AT207="","",AS212)</f>
        <v/>
      </c>
      <c r="AU212" s="18" t="str">
        <f t="shared" ref="AU212" si="4900">IF(AU207="","",AT212)</f>
        <v/>
      </c>
      <c r="AV212" s="18" t="str">
        <f t="shared" ref="AV212" si="4901">IF(AV207="","",AU212)</f>
        <v/>
      </c>
      <c r="AW212" s="18" t="str">
        <f t="shared" ref="AW212" si="4902">IF(AW207="","",AV212)</f>
        <v/>
      </c>
      <c r="AX212" s="18" t="str">
        <f t="shared" ref="AX212" si="4903">IF(AX207="","",AW212)</f>
        <v/>
      </c>
      <c r="AY212" s="18" t="str">
        <f t="shared" ref="AY212" si="4904">IF(AY207="","",AX212)</f>
        <v/>
      </c>
      <c r="AZ212" s="18" t="str">
        <f t="shared" ref="AZ212" si="4905">IF(AZ207="","",AY212)</f>
        <v/>
      </c>
      <c r="BA212" s="18" t="str">
        <f t="shared" ref="BA212" si="4906">IF(BA207="","",AZ212)</f>
        <v/>
      </c>
      <c r="BB212" s="18" t="str">
        <f t="shared" ref="BB212" si="4907">IF(BB207="","",BA212)</f>
        <v/>
      </c>
      <c r="BC212" s="221" t="str">
        <f t="shared" ref="BC212" si="4908">IF(BC207="","",BB212)</f>
        <v/>
      </c>
    </row>
    <row r="213" spans="1:55" ht="11.25" customHeight="1" x14ac:dyDescent="0.2">
      <c r="A213" s="222">
        <f>AVERAGE(C214:AS214)*30*100</f>
        <v>6000</v>
      </c>
      <c r="B213" s="11" t="s">
        <v>12</v>
      </c>
      <c r="C213" s="123"/>
      <c r="D213" s="12"/>
      <c r="E213" s="12"/>
      <c r="F213" s="12"/>
      <c r="G213" s="195"/>
      <c r="H213" s="12"/>
      <c r="I213" s="12"/>
      <c r="J213" s="195" t="s">
        <v>297</v>
      </c>
      <c r="K213" s="12"/>
      <c r="L213" s="12"/>
      <c r="M213" s="12"/>
      <c r="N213" s="195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215"/>
    </row>
    <row r="214" spans="1:55" ht="11.25" customHeight="1" x14ac:dyDescent="0.2">
      <c r="A214" s="222">
        <f t="shared" ref="A214:A217" si="4909">SUM(C214:AS214)</f>
        <v>22</v>
      </c>
      <c r="B214" s="19" t="s">
        <v>13</v>
      </c>
      <c r="C214" s="123">
        <v>0</v>
      </c>
      <c r="D214" s="20">
        <v>0</v>
      </c>
      <c r="E214" s="20">
        <v>0</v>
      </c>
      <c r="F214" s="20">
        <v>0</v>
      </c>
      <c r="G214" s="195">
        <f t="shared" ref="G214:G215" si="4910">IF(G207="","",G207-F207)</f>
        <v>0</v>
      </c>
      <c r="H214" s="20">
        <f t="shared" ref="H214:H215" si="4911">IF(H207="","",H207-G207)</f>
        <v>0</v>
      </c>
      <c r="I214" s="20">
        <f t="shared" ref="I214:I215" si="4912">IF(I207="","",I207-H207)</f>
        <v>22</v>
      </c>
      <c r="J214" s="195">
        <f t="shared" ref="J214:J215" si="4913">IF(J207="","",J207-I207)</f>
        <v>0</v>
      </c>
      <c r="K214" s="20">
        <f t="shared" ref="K214:K215" si="4914">IF(K207="","",K207-J207)</f>
        <v>0</v>
      </c>
      <c r="L214" s="20">
        <f t="shared" ref="L214:L215" si="4915">IF(L207="","",L207-K207)</f>
        <v>0</v>
      </c>
      <c r="M214" s="20">
        <f t="shared" ref="M214:M215" si="4916">IF(M207="","",M207-L207)</f>
        <v>0</v>
      </c>
      <c r="N214" s="195" t="str">
        <f t="shared" ref="N214:N215" si="4917">IF(N207="","",N207-M207)</f>
        <v/>
      </c>
      <c r="O214" s="20" t="str">
        <f t="shared" ref="O214:O215" si="4918">IF(O207="","",O207-N207)</f>
        <v/>
      </c>
      <c r="P214" s="20" t="str">
        <f t="shared" ref="P214:P215" si="4919">IF(P207="","",P207-O207)</f>
        <v/>
      </c>
      <c r="Q214" s="20" t="str">
        <f t="shared" ref="Q214:Q215" si="4920">IF(Q207="","",Q207-P207)</f>
        <v/>
      </c>
      <c r="R214" s="20" t="str">
        <f t="shared" ref="R214:R215" si="4921">IF(R207="","",R207-Q207)</f>
        <v/>
      </c>
      <c r="S214" s="20" t="str">
        <f t="shared" ref="S214:S215" si="4922">IF(S207="","",S207-R207)</f>
        <v/>
      </c>
      <c r="T214" s="20" t="str">
        <f t="shared" ref="T214:T215" si="4923">IF(T207="","",T207-S207)</f>
        <v/>
      </c>
      <c r="U214" s="20" t="str">
        <f t="shared" ref="U214:U215" si="4924">IF(U207="","",U207-T207)</f>
        <v/>
      </c>
      <c r="V214" s="20" t="str">
        <f t="shared" ref="V214:V215" si="4925">IF(V207="","",V207-U207)</f>
        <v/>
      </c>
      <c r="W214" s="20" t="str">
        <f t="shared" ref="W214:W215" si="4926">IF(W207="","",W207-V207)</f>
        <v/>
      </c>
      <c r="X214" s="20" t="str">
        <f t="shared" ref="X214:X215" si="4927">IF(X207="","",X207-W207)</f>
        <v/>
      </c>
      <c r="Y214" s="20" t="str">
        <f t="shared" ref="Y214:Y215" si="4928">IF(Y207="","",Y207-X207)</f>
        <v/>
      </c>
      <c r="Z214" s="20" t="str">
        <f t="shared" ref="Z214:Z215" si="4929">IF(Z207="","",Z207-Y207)</f>
        <v/>
      </c>
      <c r="AA214" s="20" t="str">
        <f t="shared" ref="AA214:AA215" si="4930">IF(AA207="","",AA207-Z207)</f>
        <v/>
      </c>
      <c r="AB214" s="20" t="str">
        <f t="shared" ref="AB214:AB215" si="4931">IF(AB207="","",AB207-AA207)</f>
        <v/>
      </c>
      <c r="AC214" s="20" t="str">
        <f t="shared" ref="AC214:AC215" si="4932">IF(AC207="","",AC207-AB207)</f>
        <v/>
      </c>
      <c r="AD214" s="20" t="str">
        <f t="shared" ref="AD214:AD215" si="4933">IF(AD207="","",AD207-AC207)</f>
        <v/>
      </c>
      <c r="AE214" s="20" t="str">
        <f t="shared" ref="AE214:AE215" si="4934">IF(AE207="","",AE207-AD207)</f>
        <v/>
      </c>
      <c r="AF214" s="20" t="str">
        <f t="shared" ref="AF214:AF215" si="4935">IF(AF207="","",AF207-AE207)</f>
        <v/>
      </c>
      <c r="AG214" s="20" t="str">
        <f t="shared" ref="AG214:AG215" si="4936">IF(AG207="","",AG207-AF207)</f>
        <v/>
      </c>
      <c r="AH214" s="20" t="str">
        <f t="shared" ref="AH214:AH215" si="4937">IF(AH207="","",AH207-AG207)</f>
        <v/>
      </c>
      <c r="AI214" s="20" t="str">
        <f t="shared" ref="AI214:AI215" si="4938">IF(AI207="","",AI207-AH207)</f>
        <v/>
      </c>
      <c r="AJ214" s="20" t="str">
        <f t="shared" ref="AJ214:AJ215" si="4939">IF(AJ207="","",AJ207-AI207)</f>
        <v/>
      </c>
      <c r="AK214" s="20" t="str">
        <f t="shared" ref="AK214:AK215" si="4940">IF(AK207="","",AK207-AJ207)</f>
        <v/>
      </c>
      <c r="AL214" s="20" t="str">
        <f t="shared" ref="AL214:AL215" si="4941">IF(AL207="","",AL207-AK207)</f>
        <v/>
      </c>
      <c r="AM214" s="20" t="str">
        <f t="shared" ref="AM214:AM215" si="4942">IF(AM207="","",AM207-AL207)</f>
        <v/>
      </c>
      <c r="AN214" s="20" t="str">
        <f t="shared" ref="AN214:AN215" si="4943">IF(AN207="","",AN207-AM207)</f>
        <v/>
      </c>
      <c r="AO214" s="20" t="str">
        <f t="shared" ref="AO214:AO215" si="4944">IF(AO207="","",AO207-AN207)</f>
        <v/>
      </c>
      <c r="AP214" s="20" t="str">
        <f t="shared" ref="AP214:AP215" si="4945">IF(AP207="","",AP207-AO207)</f>
        <v/>
      </c>
      <c r="AQ214" s="20" t="str">
        <f t="shared" ref="AQ214:AQ215" si="4946">IF(AQ207="","",AQ207-AP207)</f>
        <v/>
      </c>
      <c r="AR214" s="20" t="str">
        <f t="shared" ref="AR214:AR215" si="4947">IF(AR207="","",AR207-AQ207)</f>
        <v/>
      </c>
      <c r="AS214" s="20" t="str">
        <f t="shared" ref="AS214:AS215" si="4948">IF(AS207="","",AS207-AR207)</f>
        <v/>
      </c>
      <c r="AT214" s="20" t="str">
        <f t="shared" ref="AT214:AT215" si="4949">IF(AT207="","",AT207-AS207)</f>
        <v/>
      </c>
      <c r="AU214" s="20" t="str">
        <f t="shared" ref="AU214:AU215" si="4950">IF(AU207="","",AU207-AT207)</f>
        <v/>
      </c>
      <c r="AV214" s="20" t="str">
        <f t="shared" ref="AV214:AV215" si="4951">IF(AV207="","",AV207-AU207)</f>
        <v/>
      </c>
      <c r="AW214" s="20" t="str">
        <f t="shared" ref="AW214:AW215" si="4952">IF(AW207="","",AW207-AV207)</f>
        <v/>
      </c>
      <c r="AX214" s="20" t="str">
        <f t="shared" ref="AX214:AX215" si="4953">IF(AX207="","",AX207-AW207)</f>
        <v/>
      </c>
      <c r="AY214" s="20" t="str">
        <f t="shared" ref="AY214:AY215" si="4954">IF(AY207="","",AY207-AX207)</f>
        <v/>
      </c>
      <c r="AZ214" s="20" t="str">
        <f t="shared" ref="AZ214:AZ215" si="4955">IF(AZ207="","",AZ207-AY207)</f>
        <v/>
      </c>
      <c r="BA214" s="20" t="str">
        <f t="shared" ref="BA214:BA215" si="4956">IF(BA207="","",BA207-AZ207)</f>
        <v/>
      </c>
      <c r="BB214" s="20" t="str">
        <f t="shared" ref="BB214:BB215" si="4957">IF(BB207="","",BB207-BA207)</f>
        <v/>
      </c>
      <c r="BC214" s="223" t="str">
        <f t="shared" ref="BC214:BC215" si="4958">IF(BC207="","",BC207-BB207)</f>
        <v/>
      </c>
    </row>
    <row r="215" spans="1:55" ht="11.25" customHeight="1" x14ac:dyDescent="0.2">
      <c r="A215" s="222">
        <f t="shared" si="4909"/>
        <v>3</v>
      </c>
      <c r="B215" s="19" t="s">
        <v>14</v>
      </c>
      <c r="C215" s="123">
        <v>0</v>
      </c>
      <c r="D215" s="20">
        <v>0</v>
      </c>
      <c r="E215" s="20">
        <v>0</v>
      </c>
      <c r="F215" s="20">
        <v>0</v>
      </c>
      <c r="G215" s="195">
        <f t="shared" si="4910"/>
        <v>0</v>
      </c>
      <c r="H215" s="20">
        <f t="shared" si="4911"/>
        <v>0</v>
      </c>
      <c r="I215" s="20">
        <f t="shared" si="4912"/>
        <v>3</v>
      </c>
      <c r="J215" s="195">
        <f t="shared" si="4913"/>
        <v>0</v>
      </c>
      <c r="K215" s="20">
        <f t="shared" si="4914"/>
        <v>0</v>
      </c>
      <c r="L215" s="20">
        <f t="shared" si="4915"/>
        <v>0</v>
      </c>
      <c r="M215" s="20">
        <f t="shared" si="4916"/>
        <v>0</v>
      </c>
      <c r="N215" s="195" t="str">
        <f t="shared" si="4917"/>
        <v/>
      </c>
      <c r="O215" s="20" t="str">
        <f t="shared" si="4918"/>
        <v/>
      </c>
      <c r="P215" s="20" t="str">
        <f t="shared" si="4919"/>
        <v/>
      </c>
      <c r="Q215" s="20" t="str">
        <f t="shared" si="4920"/>
        <v/>
      </c>
      <c r="R215" s="20" t="str">
        <f t="shared" si="4921"/>
        <v/>
      </c>
      <c r="S215" s="20" t="str">
        <f t="shared" si="4922"/>
        <v/>
      </c>
      <c r="T215" s="20" t="str">
        <f t="shared" si="4923"/>
        <v/>
      </c>
      <c r="U215" s="20" t="str">
        <f t="shared" si="4924"/>
        <v/>
      </c>
      <c r="V215" s="20" t="str">
        <f t="shared" si="4925"/>
        <v/>
      </c>
      <c r="W215" s="20" t="str">
        <f t="shared" si="4926"/>
        <v/>
      </c>
      <c r="X215" s="20" t="str">
        <f t="shared" si="4927"/>
        <v/>
      </c>
      <c r="Y215" s="20" t="str">
        <f t="shared" si="4928"/>
        <v/>
      </c>
      <c r="Z215" s="20" t="str">
        <f t="shared" si="4929"/>
        <v/>
      </c>
      <c r="AA215" s="20" t="str">
        <f t="shared" si="4930"/>
        <v/>
      </c>
      <c r="AB215" s="20" t="str">
        <f t="shared" si="4931"/>
        <v/>
      </c>
      <c r="AC215" s="20" t="str">
        <f t="shared" si="4932"/>
        <v/>
      </c>
      <c r="AD215" s="20" t="str">
        <f t="shared" si="4933"/>
        <v/>
      </c>
      <c r="AE215" s="20" t="str">
        <f t="shared" si="4934"/>
        <v/>
      </c>
      <c r="AF215" s="20" t="str">
        <f t="shared" si="4935"/>
        <v/>
      </c>
      <c r="AG215" s="20" t="str">
        <f t="shared" si="4936"/>
        <v/>
      </c>
      <c r="AH215" s="20" t="str">
        <f t="shared" si="4937"/>
        <v/>
      </c>
      <c r="AI215" s="20" t="str">
        <f t="shared" si="4938"/>
        <v/>
      </c>
      <c r="AJ215" s="20" t="str">
        <f t="shared" si="4939"/>
        <v/>
      </c>
      <c r="AK215" s="20" t="str">
        <f t="shared" si="4940"/>
        <v/>
      </c>
      <c r="AL215" s="20" t="str">
        <f t="shared" si="4941"/>
        <v/>
      </c>
      <c r="AM215" s="20" t="str">
        <f t="shared" si="4942"/>
        <v/>
      </c>
      <c r="AN215" s="20" t="str">
        <f t="shared" si="4943"/>
        <v/>
      </c>
      <c r="AO215" s="20" t="str">
        <f t="shared" si="4944"/>
        <v/>
      </c>
      <c r="AP215" s="20" t="str">
        <f t="shared" si="4945"/>
        <v/>
      </c>
      <c r="AQ215" s="20" t="str">
        <f t="shared" si="4946"/>
        <v/>
      </c>
      <c r="AR215" s="20" t="str">
        <f t="shared" si="4947"/>
        <v/>
      </c>
      <c r="AS215" s="20" t="str">
        <f t="shared" si="4948"/>
        <v/>
      </c>
      <c r="AT215" s="20" t="str">
        <f t="shared" si="4949"/>
        <v/>
      </c>
      <c r="AU215" s="20" t="str">
        <f t="shared" si="4950"/>
        <v/>
      </c>
      <c r="AV215" s="20" t="str">
        <f t="shared" si="4951"/>
        <v/>
      </c>
      <c r="AW215" s="20" t="str">
        <f t="shared" si="4952"/>
        <v/>
      </c>
      <c r="AX215" s="20" t="str">
        <f t="shared" si="4953"/>
        <v/>
      </c>
      <c r="AY215" s="20" t="str">
        <f t="shared" si="4954"/>
        <v/>
      </c>
      <c r="AZ215" s="20" t="str">
        <f t="shared" si="4955"/>
        <v/>
      </c>
      <c r="BA215" s="20" t="str">
        <f t="shared" si="4956"/>
        <v/>
      </c>
      <c r="BB215" s="20" t="str">
        <f t="shared" si="4957"/>
        <v/>
      </c>
      <c r="BC215" s="223" t="str">
        <f t="shared" si="4958"/>
        <v/>
      </c>
    </row>
    <row r="216" spans="1:55" ht="11.25" customHeight="1" x14ac:dyDescent="0.2">
      <c r="A216" s="222">
        <f t="shared" si="4909"/>
        <v>0</v>
      </c>
      <c r="B216" s="19" t="s">
        <v>15</v>
      </c>
      <c r="C216" s="123">
        <v>0</v>
      </c>
      <c r="D216" s="20">
        <v>0</v>
      </c>
      <c r="E216" s="20">
        <v>0</v>
      </c>
      <c r="F216" s="20">
        <v>0</v>
      </c>
      <c r="G216" s="195">
        <f t="shared" ref="G216" si="4959">IF(G209="","",F209+F210-G209)</f>
        <v>0</v>
      </c>
      <c r="H216" s="20">
        <f t="shared" ref="H216" si="4960">IF(H209="","",G209+G210-H209)</f>
        <v>0</v>
      </c>
      <c r="I216" s="20">
        <f t="shared" ref="I216" si="4961">IF(I209="","",H209+H210-I209)</f>
        <v>0</v>
      </c>
      <c r="J216" s="195">
        <f t="shared" ref="J216" si="4962">IF(J209="","",I209+I210-J209)</f>
        <v>0</v>
      </c>
      <c r="K216" s="20">
        <f t="shared" ref="K216" si="4963">IF(K209="","",J209+J210-K209)</f>
        <v>0</v>
      </c>
      <c r="L216" s="20">
        <f t="shared" ref="L216" si="4964">IF(L209="","",K209+K210-L209)</f>
        <v>0</v>
      </c>
      <c r="M216" s="20">
        <f t="shared" ref="M216" si="4965">IF(M209="","",L209+L210-M209)</f>
        <v>0</v>
      </c>
      <c r="N216" s="195" t="str">
        <f t="shared" ref="N216" si="4966">IF(N209="","",M209+M210-N209)</f>
        <v/>
      </c>
      <c r="O216" s="20" t="str">
        <f t="shared" ref="O216" si="4967">IF(O209="","",N209+N210-O209)</f>
        <v/>
      </c>
      <c r="P216" s="20" t="str">
        <f t="shared" ref="P216" si="4968">IF(P209="","",O209+O210-P209)</f>
        <v/>
      </c>
      <c r="Q216" s="20" t="str">
        <f t="shared" ref="Q216" si="4969">IF(Q209="","",P209+P210-Q209)</f>
        <v/>
      </c>
      <c r="R216" s="20" t="str">
        <f t="shared" ref="R216" si="4970">IF(R209="","",Q209+Q210-R209)</f>
        <v/>
      </c>
      <c r="S216" s="20" t="str">
        <f t="shared" ref="S216" si="4971">IF(S209="","",R209+R210-S209)</f>
        <v/>
      </c>
      <c r="T216" s="20" t="str">
        <f t="shared" ref="T216" si="4972">IF(T209="","",S209+S210-T209)</f>
        <v/>
      </c>
      <c r="U216" s="20" t="str">
        <f t="shared" ref="U216" si="4973">IF(U209="","",T209+T210-U209)</f>
        <v/>
      </c>
      <c r="V216" s="20" t="str">
        <f t="shared" ref="V216" si="4974">IF(V209="","",U209+U210-V209)</f>
        <v/>
      </c>
      <c r="W216" s="20" t="str">
        <f t="shared" ref="W216" si="4975">IF(W209="","",V209+V210-W209)</f>
        <v/>
      </c>
      <c r="X216" s="20" t="str">
        <f t="shared" ref="X216" si="4976">IF(X209="","",W209+W210-X209)</f>
        <v/>
      </c>
      <c r="Y216" s="20" t="str">
        <f t="shared" ref="Y216" si="4977">IF(Y209="","",X209+X210-Y209)</f>
        <v/>
      </c>
      <c r="Z216" s="20" t="str">
        <f t="shared" ref="Z216" si="4978">IF(Z209="","",Y209+Y210-Z209)</f>
        <v/>
      </c>
      <c r="AA216" s="20" t="str">
        <f t="shared" ref="AA216" si="4979">IF(AA209="","",Z209+Z210-AA209)</f>
        <v/>
      </c>
      <c r="AB216" s="20" t="str">
        <f t="shared" ref="AB216" si="4980">IF(AB209="","",AA209+AA210-AB209)</f>
        <v/>
      </c>
      <c r="AC216" s="20" t="str">
        <f t="shared" ref="AC216" si="4981">IF(AC209="","",AB209+AB210-AC209)</f>
        <v/>
      </c>
      <c r="AD216" s="20" t="str">
        <f t="shared" ref="AD216" si="4982">IF(AD209="","",AC209+AC210-AD209)</f>
        <v/>
      </c>
      <c r="AE216" s="20" t="str">
        <f t="shared" ref="AE216" si="4983">IF(AE209="","",AD209+AD210-AE209)</f>
        <v/>
      </c>
      <c r="AF216" s="20" t="str">
        <f t="shared" ref="AF216" si="4984">IF(AF209="","",AE209+AE210-AF209)</f>
        <v/>
      </c>
      <c r="AG216" s="20" t="str">
        <f t="shared" ref="AG216" si="4985">IF(AG209="","",AF209+AF210-AG209)</f>
        <v/>
      </c>
      <c r="AH216" s="20" t="str">
        <f t="shared" ref="AH216" si="4986">IF(AH209="","",AG209+AG210-AH209)</f>
        <v/>
      </c>
      <c r="AI216" s="20" t="str">
        <f t="shared" ref="AI216" si="4987">IF(AI209="","",AH209+AH210-AI209)</f>
        <v/>
      </c>
      <c r="AJ216" s="20" t="str">
        <f t="shared" ref="AJ216" si="4988">IF(AJ209="","",AI209+AI210-AJ209)</f>
        <v/>
      </c>
      <c r="AK216" s="20" t="str">
        <f t="shared" ref="AK216" si="4989">IF(AK209="","",AJ209+AJ210-AK209)</f>
        <v/>
      </c>
      <c r="AL216" s="20" t="str">
        <f t="shared" ref="AL216" si="4990">IF(AL209="","",AK209+AK210-AL209)</f>
        <v/>
      </c>
      <c r="AM216" s="20" t="str">
        <f t="shared" ref="AM216" si="4991">IF(AM209="","",AL209+AL210-AM209)</f>
        <v/>
      </c>
      <c r="AN216" s="20" t="str">
        <f t="shared" ref="AN216" si="4992">IF(AN209="","",AM209+AM210-AN209)</f>
        <v/>
      </c>
      <c r="AO216" s="20" t="str">
        <f t="shared" ref="AO216" si="4993">IF(AO209="","",AN209+AN210-AO209)</f>
        <v/>
      </c>
      <c r="AP216" s="20" t="str">
        <f t="shared" ref="AP216" si="4994">IF(AP209="","",AO209+AO210-AP209)</f>
        <v/>
      </c>
      <c r="AQ216" s="20" t="str">
        <f t="shared" ref="AQ216" si="4995">IF(AQ209="","",AP209+AP210-AQ209)</f>
        <v/>
      </c>
      <c r="AR216" s="20" t="str">
        <f t="shared" ref="AR216" si="4996">IF(AR209="","",AQ209+AQ210-AR209)</f>
        <v/>
      </c>
      <c r="AS216" s="20" t="str">
        <f t="shared" ref="AS216" si="4997">IF(AS209="","",AR209+AR210-AS209)</f>
        <v/>
      </c>
      <c r="AT216" s="20" t="str">
        <f t="shared" ref="AT216" si="4998">IF(AT209="","",AS209+AS210-AT209)</f>
        <v/>
      </c>
      <c r="AU216" s="20" t="str">
        <f t="shared" ref="AU216" si="4999">IF(AU209="","",AT209+AT210-AU209)</f>
        <v/>
      </c>
      <c r="AV216" s="20" t="str">
        <f t="shared" ref="AV216" si="5000">IF(AV209="","",AU209+AU210-AV209)</f>
        <v/>
      </c>
      <c r="AW216" s="20" t="str">
        <f t="shared" ref="AW216" si="5001">IF(AW209="","",AV209+AV210-AW209)</f>
        <v/>
      </c>
      <c r="AX216" s="20" t="str">
        <f t="shared" ref="AX216" si="5002">IF(AX209="","",AW209+AW210-AX209)</f>
        <v/>
      </c>
      <c r="AY216" s="20" t="str">
        <f t="shared" ref="AY216" si="5003">IF(AY209="","",AX209+AX210-AY209)</f>
        <v/>
      </c>
      <c r="AZ216" s="20" t="str">
        <f t="shared" ref="AZ216" si="5004">IF(AZ209="","",AY209+AY210-AZ209)</f>
        <v/>
      </c>
      <c r="BA216" s="20" t="str">
        <f t="shared" ref="BA216" si="5005">IF(BA209="","",AZ209+AZ210-BA209)</f>
        <v/>
      </c>
      <c r="BB216" s="20" t="str">
        <f t="shared" ref="BB216" si="5006">IF(BB209="","",BA209+BA210-BB209)</f>
        <v/>
      </c>
      <c r="BC216" s="223" t="str">
        <f t="shared" ref="BC216" si="5007">IF(BC209="","",BB209+BB210-BC209)</f>
        <v/>
      </c>
    </row>
    <row r="217" spans="1:55" ht="11.25" customHeight="1" x14ac:dyDescent="0.2">
      <c r="A217" s="222">
        <f t="shared" si="4909"/>
        <v>0</v>
      </c>
      <c r="B217" s="19" t="s">
        <v>16</v>
      </c>
      <c r="C217" s="123">
        <v>0</v>
      </c>
      <c r="D217" s="20">
        <v>0</v>
      </c>
      <c r="E217" s="20">
        <v>0</v>
      </c>
      <c r="F217" s="20">
        <v>0</v>
      </c>
      <c r="G217" s="195">
        <f t="shared" ref="D217:BC217" si="5008">IF(G207="","",G216*G211)</f>
        <v>0</v>
      </c>
      <c r="H217" s="20">
        <f t="shared" si="5008"/>
        <v>0</v>
      </c>
      <c r="I217" s="20">
        <f t="shared" si="5008"/>
        <v>0</v>
      </c>
      <c r="J217" s="195">
        <f t="shared" si="5008"/>
        <v>0</v>
      </c>
      <c r="K217" s="20">
        <f t="shared" si="5008"/>
        <v>0</v>
      </c>
      <c r="L217" s="20">
        <f t="shared" si="5008"/>
        <v>0</v>
      </c>
      <c r="M217" s="20">
        <f t="shared" si="5008"/>
        <v>0</v>
      </c>
      <c r="N217" s="195" t="str">
        <f t="shared" si="5008"/>
        <v/>
      </c>
      <c r="O217" s="20" t="str">
        <f t="shared" si="5008"/>
        <v/>
      </c>
      <c r="P217" s="20" t="str">
        <f t="shared" si="5008"/>
        <v/>
      </c>
      <c r="Q217" s="20" t="str">
        <f t="shared" si="5008"/>
        <v/>
      </c>
      <c r="R217" s="20" t="str">
        <f t="shared" si="5008"/>
        <v/>
      </c>
      <c r="S217" s="20" t="str">
        <f t="shared" si="5008"/>
        <v/>
      </c>
      <c r="T217" s="20" t="str">
        <f t="shared" si="5008"/>
        <v/>
      </c>
      <c r="U217" s="20" t="str">
        <f t="shared" si="5008"/>
        <v/>
      </c>
      <c r="V217" s="20" t="str">
        <f t="shared" si="5008"/>
        <v/>
      </c>
      <c r="W217" s="20" t="str">
        <f t="shared" si="5008"/>
        <v/>
      </c>
      <c r="X217" s="20" t="str">
        <f t="shared" si="5008"/>
        <v/>
      </c>
      <c r="Y217" s="20" t="str">
        <f t="shared" si="5008"/>
        <v/>
      </c>
      <c r="Z217" s="20" t="str">
        <f t="shared" si="5008"/>
        <v/>
      </c>
      <c r="AA217" s="20" t="str">
        <f t="shared" si="5008"/>
        <v/>
      </c>
      <c r="AB217" s="20" t="str">
        <f t="shared" si="5008"/>
        <v/>
      </c>
      <c r="AC217" s="20" t="str">
        <f t="shared" si="5008"/>
        <v/>
      </c>
      <c r="AD217" s="20" t="str">
        <f t="shared" si="5008"/>
        <v/>
      </c>
      <c r="AE217" s="20" t="str">
        <f t="shared" si="5008"/>
        <v/>
      </c>
      <c r="AF217" s="20" t="str">
        <f t="shared" si="5008"/>
        <v/>
      </c>
      <c r="AG217" s="20" t="str">
        <f t="shared" si="5008"/>
        <v/>
      </c>
      <c r="AH217" s="20" t="str">
        <f t="shared" si="5008"/>
        <v/>
      </c>
      <c r="AI217" s="20" t="str">
        <f t="shared" si="5008"/>
        <v/>
      </c>
      <c r="AJ217" s="20" t="str">
        <f t="shared" si="5008"/>
        <v/>
      </c>
      <c r="AK217" s="20" t="str">
        <f t="shared" si="5008"/>
        <v/>
      </c>
      <c r="AL217" s="20" t="str">
        <f t="shared" si="5008"/>
        <v/>
      </c>
      <c r="AM217" s="20" t="str">
        <f t="shared" si="5008"/>
        <v/>
      </c>
      <c r="AN217" s="20" t="str">
        <f t="shared" si="5008"/>
        <v/>
      </c>
      <c r="AO217" s="20" t="str">
        <f t="shared" si="5008"/>
        <v/>
      </c>
      <c r="AP217" s="20" t="str">
        <f t="shared" si="5008"/>
        <v/>
      </c>
      <c r="AQ217" s="20" t="str">
        <f t="shared" si="5008"/>
        <v/>
      </c>
      <c r="AR217" s="20" t="str">
        <f t="shared" si="5008"/>
        <v/>
      </c>
      <c r="AS217" s="20" t="str">
        <f t="shared" si="5008"/>
        <v/>
      </c>
      <c r="AT217" s="20" t="str">
        <f t="shared" si="5008"/>
        <v/>
      </c>
      <c r="AU217" s="20" t="str">
        <f t="shared" si="5008"/>
        <v/>
      </c>
      <c r="AV217" s="20" t="str">
        <f t="shared" si="5008"/>
        <v/>
      </c>
      <c r="AW217" s="20" t="str">
        <f t="shared" si="5008"/>
        <v/>
      </c>
      <c r="AX217" s="20" t="str">
        <f t="shared" si="5008"/>
        <v/>
      </c>
      <c r="AY217" s="20" t="str">
        <f t="shared" si="5008"/>
        <v/>
      </c>
      <c r="AZ217" s="20" t="str">
        <f t="shared" si="5008"/>
        <v/>
      </c>
      <c r="BA217" s="20" t="str">
        <f t="shared" si="5008"/>
        <v/>
      </c>
      <c r="BB217" s="20" t="str">
        <f t="shared" si="5008"/>
        <v/>
      </c>
      <c r="BC217" s="223" t="str">
        <f t="shared" si="5008"/>
        <v/>
      </c>
    </row>
    <row r="218" spans="1:55" ht="11.25" customHeight="1" thickBot="1" x14ac:dyDescent="0.25">
      <c r="A218" s="224">
        <f>IF(A217="","",A217/(A214*100))</f>
        <v>0</v>
      </c>
      <c r="B218" s="19" t="s">
        <v>17</v>
      </c>
      <c r="C218" s="146" t="s">
        <v>18</v>
      </c>
      <c r="D218" s="27" t="s">
        <v>18</v>
      </c>
      <c r="E218" s="27" t="s">
        <v>18</v>
      </c>
      <c r="F218" s="27" t="s">
        <v>18</v>
      </c>
      <c r="G218" s="199" t="str">
        <f t="shared" ref="D218:BC218" si="5009">IF(G217="","",IF(G217=0,"",G217/(G214*100)))</f>
        <v/>
      </c>
      <c r="H218" s="27" t="str">
        <f t="shared" si="5009"/>
        <v/>
      </c>
      <c r="I218" s="27" t="str">
        <f t="shared" si="5009"/>
        <v/>
      </c>
      <c r="J218" s="199" t="str">
        <f t="shared" si="5009"/>
        <v/>
      </c>
      <c r="K218" s="27" t="str">
        <f t="shared" si="5009"/>
        <v/>
      </c>
      <c r="L218" s="27" t="str">
        <f t="shared" si="5009"/>
        <v/>
      </c>
      <c r="M218" s="27" t="str">
        <f t="shared" si="5009"/>
        <v/>
      </c>
      <c r="N218" s="199" t="str">
        <f t="shared" si="5009"/>
        <v/>
      </c>
      <c r="O218" s="27" t="str">
        <f t="shared" si="5009"/>
        <v/>
      </c>
      <c r="P218" s="27" t="str">
        <f t="shared" si="5009"/>
        <v/>
      </c>
      <c r="Q218" s="27" t="str">
        <f t="shared" si="5009"/>
        <v/>
      </c>
      <c r="R218" s="27" t="str">
        <f t="shared" si="5009"/>
        <v/>
      </c>
      <c r="S218" s="27" t="str">
        <f t="shared" si="5009"/>
        <v/>
      </c>
      <c r="T218" s="27" t="str">
        <f t="shared" si="5009"/>
        <v/>
      </c>
      <c r="U218" s="27" t="str">
        <f t="shared" si="5009"/>
        <v/>
      </c>
      <c r="V218" s="27" t="str">
        <f t="shared" si="5009"/>
        <v/>
      </c>
      <c r="W218" s="27" t="str">
        <f t="shared" si="5009"/>
        <v/>
      </c>
      <c r="X218" s="27" t="str">
        <f t="shared" si="5009"/>
        <v/>
      </c>
      <c r="Y218" s="27" t="str">
        <f t="shared" si="5009"/>
        <v/>
      </c>
      <c r="Z218" s="27" t="str">
        <f t="shared" si="5009"/>
        <v/>
      </c>
      <c r="AA218" s="27" t="str">
        <f t="shared" si="5009"/>
        <v/>
      </c>
      <c r="AB218" s="27" t="str">
        <f t="shared" si="5009"/>
        <v/>
      </c>
      <c r="AC218" s="27" t="str">
        <f t="shared" si="5009"/>
        <v/>
      </c>
      <c r="AD218" s="27" t="str">
        <f t="shared" si="5009"/>
        <v/>
      </c>
      <c r="AE218" s="27" t="str">
        <f t="shared" si="5009"/>
        <v/>
      </c>
      <c r="AF218" s="27" t="str">
        <f t="shared" si="5009"/>
        <v/>
      </c>
      <c r="AG218" s="27" t="str">
        <f t="shared" si="5009"/>
        <v/>
      </c>
      <c r="AH218" s="27" t="str">
        <f t="shared" si="5009"/>
        <v/>
      </c>
      <c r="AI218" s="27" t="str">
        <f t="shared" si="5009"/>
        <v/>
      </c>
      <c r="AJ218" s="27" t="str">
        <f t="shared" si="5009"/>
        <v/>
      </c>
      <c r="AK218" s="27" t="str">
        <f t="shared" si="5009"/>
        <v/>
      </c>
      <c r="AL218" s="27" t="str">
        <f t="shared" si="5009"/>
        <v/>
      </c>
      <c r="AM218" s="27" t="str">
        <f t="shared" si="5009"/>
        <v/>
      </c>
      <c r="AN218" s="27" t="str">
        <f t="shared" si="5009"/>
        <v/>
      </c>
      <c r="AO218" s="27" t="str">
        <f t="shared" si="5009"/>
        <v/>
      </c>
      <c r="AP218" s="27" t="str">
        <f t="shared" si="5009"/>
        <v/>
      </c>
      <c r="AQ218" s="27" t="str">
        <f t="shared" si="5009"/>
        <v/>
      </c>
      <c r="AR218" s="27" t="str">
        <f t="shared" si="5009"/>
        <v/>
      </c>
      <c r="AS218" s="27" t="str">
        <f t="shared" si="5009"/>
        <v/>
      </c>
      <c r="AT218" s="27" t="str">
        <f t="shared" si="5009"/>
        <v/>
      </c>
      <c r="AU218" s="27" t="str">
        <f t="shared" si="5009"/>
        <v/>
      </c>
      <c r="AV218" s="27" t="str">
        <f t="shared" si="5009"/>
        <v/>
      </c>
      <c r="AW218" s="27" t="str">
        <f t="shared" si="5009"/>
        <v/>
      </c>
      <c r="AX218" s="27" t="str">
        <f t="shared" si="5009"/>
        <v/>
      </c>
      <c r="AY218" s="27" t="str">
        <f t="shared" si="5009"/>
        <v/>
      </c>
      <c r="AZ218" s="27" t="str">
        <f t="shared" si="5009"/>
        <v/>
      </c>
      <c r="BA218" s="27" t="str">
        <f t="shared" si="5009"/>
        <v/>
      </c>
      <c r="BB218" s="27" t="str">
        <f t="shared" si="5009"/>
        <v/>
      </c>
      <c r="BC218" s="225" t="str">
        <f t="shared" si="5009"/>
        <v/>
      </c>
    </row>
    <row r="219" spans="1:55" ht="11.25" customHeight="1" x14ac:dyDescent="0.2">
      <c r="A219" s="226" t="s">
        <v>1</v>
      </c>
      <c r="B219" s="205" t="s">
        <v>2</v>
      </c>
      <c r="C219" s="129">
        <v>0</v>
      </c>
      <c r="D219" s="206">
        <v>0</v>
      </c>
      <c r="E219" s="206">
        <v>0</v>
      </c>
      <c r="F219" s="206">
        <v>0</v>
      </c>
      <c r="G219" s="207">
        <f t="shared" ref="G219:G220" si="5010">IF(G$3="","",F219)</f>
        <v>0</v>
      </c>
      <c r="H219" s="206">
        <f t="shared" ref="H219:H220" si="5011">IF(H$3="","",G219)</f>
        <v>0</v>
      </c>
      <c r="I219" s="206">
        <v>42</v>
      </c>
      <c r="J219" s="207">
        <f t="shared" ref="J219:J220" si="5012">IF(J$3="","",I219)</f>
        <v>42</v>
      </c>
      <c r="K219" s="206">
        <f t="shared" ref="K219:K220" si="5013">IF(K$3="","",J219)</f>
        <v>42</v>
      </c>
      <c r="L219" s="206">
        <f t="shared" ref="L219:L220" si="5014">IF(L$3="","",K219)</f>
        <v>42</v>
      </c>
      <c r="M219" s="206">
        <f t="shared" ref="M219:M220" si="5015">IF(M$3="","",L219)</f>
        <v>42</v>
      </c>
      <c r="N219" s="207" t="str">
        <f t="shared" ref="N219:N220" si="5016">IF(N$3="","",M219)</f>
        <v/>
      </c>
      <c r="O219" s="206" t="str">
        <f t="shared" ref="O219:O220" si="5017">IF(O$3="","",N219)</f>
        <v/>
      </c>
      <c r="P219" s="206" t="str">
        <f t="shared" ref="P219:P220" si="5018">IF(P$3="","",O219)</f>
        <v/>
      </c>
      <c r="Q219" s="206" t="str">
        <f t="shared" ref="Q219:Q220" si="5019">IF(Q$3="","",P219)</f>
        <v/>
      </c>
      <c r="R219" s="206" t="str">
        <f t="shared" ref="R219:R220" si="5020">IF(R$3="","",Q219)</f>
        <v/>
      </c>
      <c r="S219" s="206" t="str">
        <f t="shared" ref="S219:S220" si="5021">IF(S$3="","",R219)</f>
        <v/>
      </c>
      <c r="T219" s="206" t="str">
        <f t="shared" ref="T219:T220" si="5022">IF(T$3="","",S219)</f>
        <v/>
      </c>
      <c r="U219" s="206" t="str">
        <f t="shared" ref="U219:U220" si="5023">IF(U$3="","",T219)</f>
        <v/>
      </c>
      <c r="V219" s="206" t="str">
        <f t="shared" ref="V219:V220" si="5024">IF(V$3="","",U219)</f>
        <v/>
      </c>
      <c r="W219" s="206" t="str">
        <f t="shared" ref="W219:W220" si="5025">IF(W$3="","",V219)</f>
        <v/>
      </c>
      <c r="X219" s="206" t="str">
        <f t="shared" ref="X219:X220" si="5026">IF(X$3="","",W219)</f>
        <v/>
      </c>
      <c r="Y219" s="206" t="str">
        <f t="shared" ref="Y219:Y220" si="5027">IF(Y$3="","",X219)</f>
        <v/>
      </c>
      <c r="Z219" s="206" t="str">
        <f t="shared" ref="Z219:Z220" si="5028">IF(Z$3="","",Y219)</f>
        <v/>
      </c>
      <c r="AA219" s="206" t="str">
        <f t="shared" ref="AA219:AA220" si="5029">IF(AA$3="","",Z219)</f>
        <v/>
      </c>
      <c r="AB219" s="206" t="str">
        <f t="shared" ref="AB219:AB220" si="5030">IF(AB$3="","",AA219)</f>
        <v/>
      </c>
      <c r="AC219" s="206" t="str">
        <f t="shared" ref="AC219:AC220" si="5031">IF(AC$3="","",AB219)</f>
        <v/>
      </c>
      <c r="AD219" s="206" t="str">
        <f t="shared" ref="AD219:AD220" si="5032">IF(AD$3="","",AC219)</f>
        <v/>
      </c>
      <c r="AE219" s="206" t="str">
        <f t="shared" ref="AE219:AE220" si="5033">IF(AE$3="","",AD219)</f>
        <v/>
      </c>
      <c r="AF219" s="206" t="str">
        <f t="shared" ref="AF219:AF220" si="5034">IF(AF$3="","",AE219)</f>
        <v/>
      </c>
      <c r="AG219" s="206" t="str">
        <f t="shared" ref="AG219:AG220" si="5035">IF(AG$3="","",AF219)</f>
        <v/>
      </c>
      <c r="AH219" s="206" t="str">
        <f t="shared" ref="AH219:AH220" si="5036">IF(AH$3="","",AG219)</f>
        <v/>
      </c>
      <c r="AI219" s="206" t="str">
        <f t="shared" ref="AI219:AI220" si="5037">IF(AI$3="","",AH219)</f>
        <v/>
      </c>
      <c r="AJ219" s="206" t="str">
        <f t="shared" ref="AJ219:AJ220" si="5038">IF(AJ$3="","",AI219)</f>
        <v/>
      </c>
      <c r="AK219" s="206" t="str">
        <f t="shared" ref="AK219:AK220" si="5039">IF(AK$3="","",AJ219)</f>
        <v/>
      </c>
      <c r="AL219" s="206" t="str">
        <f t="shared" ref="AL219:AL220" si="5040">IF(AL$3="","",AK219)</f>
        <v/>
      </c>
      <c r="AM219" s="206" t="str">
        <f t="shared" ref="AM219:AM220" si="5041">IF(AM$3="","",AL219)</f>
        <v/>
      </c>
      <c r="AN219" s="206" t="str">
        <f t="shared" ref="AN219:AN220" si="5042">IF(AN$3="","",AM219)</f>
        <v/>
      </c>
      <c r="AO219" s="206" t="str">
        <f t="shared" ref="AO219:AO220" si="5043">IF(AO$3="","",AN219)</f>
        <v/>
      </c>
      <c r="AP219" s="206" t="str">
        <f t="shared" ref="AP219:AP220" si="5044">IF(AP$3="","",AO219)</f>
        <v/>
      </c>
      <c r="AQ219" s="206" t="str">
        <f t="shared" ref="AQ219:AQ220" si="5045">IF(AQ$3="","",AP219)</f>
        <v/>
      </c>
      <c r="AR219" s="206" t="str">
        <f t="shared" ref="AR219:AR220" si="5046">IF(AR$3="","",AQ219)</f>
        <v/>
      </c>
      <c r="AS219" s="206" t="str">
        <f t="shared" ref="AS219:AS220" si="5047">IF(AS$3="","",AR219)</f>
        <v/>
      </c>
      <c r="AT219" s="206" t="str">
        <f t="shared" ref="AT219:AT220" si="5048">IF(AT$3="","",AS219)</f>
        <v/>
      </c>
      <c r="AU219" s="206" t="str">
        <f t="shared" ref="AU219:AU220" si="5049">IF(AU$3="","",AT219)</f>
        <v/>
      </c>
      <c r="AV219" s="206" t="str">
        <f t="shared" ref="AV219:AV220" si="5050">IF(AV$3="","",AU219)</f>
        <v/>
      </c>
      <c r="AW219" s="206" t="str">
        <f t="shared" ref="AW219:AW220" si="5051">IF(AW$3="","",AV219)</f>
        <v/>
      </c>
      <c r="AX219" s="206" t="str">
        <f t="shared" ref="AX219:AX220" si="5052">IF(AX$3="","",AW219)</f>
        <v/>
      </c>
      <c r="AY219" s="206" t="str">
        <f t="shared" ref="AY219:AY220" si="5053">IF(AY$3="","",AX219)</f>
        <v/>
      </c>
      <c r="AZ219" s="206" t="str">
        <f t="shared" ref="AZ219:AZ220" si="5054">IF(AZ$3="","",AY219)</f>
        <v/>
      </c>
      <c r="BA219" s="206" t="str">
        <f t="shared" ref="BA219:BA220" si="5055">IF(BA$3="","",AZ219)</f>
        <v/>
      </c>
      <c r="BB219" s="206" t="str">
        <f t="shared" ref="BB219:BB220" si="5056">IF(BB$3="","",BA219)</f>
        <v/>
      </c>
      <c r="BC219" s="219" t="str">
        <f t="shared" ref="BC219:BC220" si="5057">IF(BC$3="","",BB219)</f>
        <v/>
      </c>
    </row>
    <row r="220" spans="1:55" ht="11.25" customHeight="1" x14ac:dyDescent="0.2">
      <c r="A220" s="214" t="str">
        <f>A208</f>
        <v>BUZZ＃4</v>
      </c>
      <c r="B220" s="11" t="s">
        <v>4</v>
      </c>
      <c r="C220" s="123">
        <v>0</v>
      </c>
      <c r="D220" s="12">
        <v>0</v>
      </c>
      <c r="E220" s="12">
        <v>0</v>
      </c>
      <c r="F220" s="12">
        <v>0</v>
      </c>
      <c r="G220" s="195">
        <f t="shared" si="5010"/>
        <v>0</v>
      </c>
      <c r="H220" s="12">
        <f t="shared" si="5011"/>
        <v>0</v>
      </c>
      <c r="I220" s="12">
        <f t="shared" ref="I219:I220" si="5058">IF(I$3="","",H220)</f>
        <v>0</v>
      </c>
      <c r="J220" s="195">
        <f t="shared" si="5012"/>
        <v>0</v>
      </c>
      <c r="K220" s="12">
        <f t="shared" si="5013"/>
        <v>0</v>
      </c>
      <c r="L220" s="12">
        <f t="shared" si="5014"/>
        <v>0</v>
      </c>
      <c r="M220" s="12">
        <f t="shared" si="5015"/>
        <v>0</v>
      </c>
      <c r="N220" s="195" t="str">
        <f t="shared" si="5016"/>
        <v/>
      </c>
      <c r="O220" s="12" t="str">
        <f t="shared" si="5017"/>
        <v/>
      </c>
      <c r="P220" s="12" t="str">
        <f t="shared" si="5018"/>
        <v/>
      </c>
      <c r="Q220" s="12" t="str">
        <f t="shared" si="5019"/>
        <v/>
      </c>
      <c r="R220" s="12" t="str">
        <f t="shared" si="5020"/>
        <v/>
      </c>
      <c r="S220" s="12" t="str">
        <f t="shared" si="5021"/>
        <v/>
      </c>
      <c r="T220" s="12" t="str">
        <f t="shared" si="5022"/>
        <v/>
      </c>
      <c r="U220" s="12" t="str">
        <f t="shared" si="5023"/>
        <v/>
      </c>
      <c r="V220" s="12" t="str">
        <f t="shared" si="5024"/>
        <v/>
      </c>
      <c r="W220" s="12" t="str">
        <f t="shared" si="5025"/>
        <v/>
      </c>
      <c r="X220" s="12" t="str">
        <f t="shared" si="5026"/>
        <v/>
      </c>
      <c r="Y220" s="12" t="str">
        <f t="shared" si="5027"/>
        <v/>
      </c>
      <c r="Z220" s="12" t="str">
        <f t="shared" si="5028"/>
        <v/>
      </c>
      <c r="AA220" s="12" t="str">
        <f t="shared" si="5029"/>
        <v/>
      </c>
      <c r="AB220" s="12" t="str">
        <f t="shared" si="5030"/>
        <v/>
      </c>
      <c r="AC220" s="12" t="str">
        <f t="shared" si="5031"/>
        <v/>
      </c>
      <c r="AD220" s="12" t="str">
        <f t="shared" si="5032"/>
        <v/>
      </c>
      <c r="AE220" s="12" t="str">
        <f t="shared" si="5033"/>
        <v/>
      </c>
      <c r="AF220" s="12" t="str">
        <f t="shared" si="5034"/>
        <v/>
      </c>
      <c r="AG220" s="12" t="str">
        <f t="shared" si="5035"/>
        <v/>
      </c>
      <c r="AH220" s="12" t="str">
        <f t="shared" si="5036"/>
        <v/>
      </c>
      <c r="AI220" s="12" t="str">
        <f t="shared" si="5037"/>
        <v/>
      </c>
      <c r="AJ220" s="12" t="str">
        <f t="shared" si="5038"/>
        <v/>
      </c>
      <c r="AK220" s="12" t="str">
        <f t="shared" si="5039"/>
        <v/>
      </c>
      <c r="AL220" s="12" t="str">
        <f t="shared" si="5040"/>
        <v/>
      </c>
      <c r="AM220" s="12" t="str">
        <f t="shared" si="5041"/>
        <v/>
      </c>
      <c r="AN220" s="12" t="str">
        <f t="shared" si="5042"/>
        <v/>
      </c>
      <c r="AO220" s="12" t="str">
        <f t="shared" si="5043"/>
        <v/>
      </c>
      <c r="AP220" s="12" t="str">
        <f t="shared" si="5044"/>
        <v/>
      </c>
      <c r="AQ220" s="12" t="str">
        <f t="shared" si="5045"/>
        <v/>
      </c>
      <c r="AR220" s="12" t="str">
        <f t="shared" si="5046"/>
        <v/>
      </c>
      <c r="AS220" s="12" t="str">
        <f t="shared" si="5047"/>
        <v/>
      </c>
      <c r="AT220" s="12" t="str">
        <f t="shared" si="5048"/>
        <v/>
      </c>
      <c r="AU220" s="12" t="str">
        <f t="shared" si="5049"/>
        <v/>
      </c>
      <c r="AV220" s="12" t="str">
        <f t="shared" si="5050"/>
        <v/>
      </c>
      <c r="AW220" s="12" t="str">
        <f t="shared" si="5051"/>
        <v/>
      </c>
      <c r="AX220" s="12" t="str">
        <f t="shared" si="5052"/>
        <v/>
      </c>
      <c r="AY220" s="12" t="str">
        <f t="shared" si="5053"/>
        <v/>
      </c>
      <c r="AZ220" s="12" t="str">
        <f t="shared" si="5054"/>
        <v/>
      </c>
      <c r="BA220" s="12" t="str">
        <f t="shared" si="5055"/>
        <v/>
      </c>
      <c r="BB220" s="12" t="str">
        <f t="shared" si="5056"/>
        <v/>
      </c>
      <c r="BC220" s="215" t="str">
        <f t="shared" si="5057"/>
        <v/>
      </c>
    </row>
    <row r="221" spans="1:55" ht="11.25" customHeight="1" x14ac:dyDescent="0.25">
      <c r="A221" s="216">
        <v>3</v>
      </c>
      <c r="B221" s="11" t="s">
        <v>5</v>
      </c>
      <c r="C221" s="123">
        <v>33</v>
      </c>
      <c r="D221" s="12">
        <v>33</v>
      </c>
      <c r="E221" s="12">
        <v>33</v>
      </c>
      <c r="F221" s="12">
        <v>33</v>
      </c>
      <c r="G221" s="195">
        <f t="shared" ref="G221" si="5059">IF(G219="","",(F221+F222))</f>
        <v>33</v>
      </c>
      <c r="H221" s="12">
        <f t="shared" ref="H221" si="5060">IF(H219="","",(G221+G222))</f>
        <v>33</v>
      </c>
      <c r="I221" s="12">
        <f t="shared" ref="I221" si="5061">IF(I219="","",(H221+H222))</f>
        <v>33</v>
      </c>
      <c r="J221" s="195">
        <f t="shared" ref="J221" si="5062">IF(J219="","",(I221+I222))</f>
        <v>33</v>
      </c>
      <c r="K221" s="12">
        <f t="shared" ref="K221" si="5063">IF(K219="","",(J221+J222))</f>
        <v>33</v>
      </c>
      <c r="L221" s="12">
        <f t="shared" ref="L221" si="5064">IF(L219="","",(K221+K222))</f>
        <v>33</v>
      </c>
      <c r="M221" s="12">
        <f t="shared" ref="M221" si="5065">IF(M219="","",(L221+L222))</f>
        <v>33</v>
      </c>
      <c r="N221" s="195" t="str">
        <f t="shared" ref="N221" si="5066">IF(N219="","",(M221+M222))</f>
        <v/>
      </c>
      <c r="O221" s="12" t="str">
        <f t="shared" ref="O221" si="5067">IF(O219="","",(N221+N222))</f>
        <v/>
      </c>
      <c r="P221" s="12" t="str">
        <f t="shared" ref="P221" si="5068">IF(P219="","",(O221+O222))</f>
        <v/>
      </c>
      <c r="Q221" s="12" t="str">
        <f t="shared" ref="Q221" si="5069">IF(Q219="","",(P221+P222))</f>
        <v/>
      </c>
      <c r="R221" s="12" t="str">
        <f t="shared" ref="R221" si="5070">IF(R219="","",(Q221+Q222))</f>
        <v/>
      </c>
      <c r="S221" s="12" t="str">
        <f t="shared" ref="S221" si="5071">IF(S219="","",(R221+R222))</f>
        <v/>
      </c>
      <c r="T221" s="12" t="str">
        <f t="shared" ref="T221" si="5072">IF(T219="","",(S221+S222))</f>
        <v/>
      </c>
      <c r="U221" s="12" t="str">
        <f t="shared" ref="U221" si="5073">IF(U219="","",(T221+T222))</f>
        <v/>
      </c>
      <c r="V221" s="12" t="str">
        <f t="shared" ref="V221" si="5074">IF(V219="","",(U221+U222))</f>
        <v/>
      </c>
      <c r="W221" s="12" t="str">
        <f t="shared" ref="W221" si="5075">IF(W219="","",(V221+V222))</f>
        <v/>
      </c>
      <c r="X221" s="12" t="str">
        <f t="shared" ref="X221" si="5076">IF(X219="","",(W221+W222))</f>
        <v/>
      </c>
      <c r="Y221" s="12" t="str">
        <f t="shared" ref="Y221" si="5077">IF(Y219="","",(X221+X222))</f>
        <v/>
      </c>
      <c r="Z221" s="12" t="str">
        <f t="shared" ref="Z221" si="5078">IF(Z219="","",(Y221+Y222))</f>
        <v/>
      </c>
      <c r="AA221" s="12" t="str">
        <f t="shared" ref="AA221" si="5079">IF(AA219="","",(Z221+Z222))</f>
        <v/>
      </c>
      <c r="AB221" s="12" t="str">
        <f t="shared" ref="AB221" si="5080">IF(AB219="","",(AA221+AA222))</f>
        <v/>
      </c>
      <c r="AC221" s="12" t="str">
        <f t="shared" ref="AC221" si="5081">IF(AC219="","",(AB221+AB222))</f>
        <v/>
      </c>
      <c r="AD221" s="12" t="str">
        <f t="shared" ref="AD221" si="5082">IF(AD219="","",(AC221+AC222))</f>
        <v/>
      </c>
      <c r="AE221" s="12" t="str">
        <f t="shared" ref="AE221" si="5083">IF(AE219="","",(AD221+AD222))</f>
        <v/>
      </c>
      <c r="AF221" s="12" t="str">
        <f t="shared" ref="AF221" si="5084">IF(AF219="","",(AE221+AE222))</f>
        <v/>
      </c>
      <c r="AG221" s="12" t="str">
        <f t="shared" ref="AG221" si="5085">IF(AG219="","",(AF221+AF222))</f>
        <v/>
      </c>
      <c r="AH221" s="12" t="str">
        <f t="shared" ref="AH221" si="5086">IF(AH219="","",(AG221+AG222))</f>
        <v/>
      </c>
      <c r="AI221" s="12" t="str">
        <f t="shared" ref="AI221" si="5087">IF(AI219="","",(AH221+AH222))</f>
        <v/>
      </c>
      <c r="AJ221" s="12" t="str">
        <f t="shared" ref="AJ221" si="5088">IF(AJ219="","",(AI221+AI222))</f>
        <v/>
      </c>
      <c r="AK221" s="12" t="str">
        <f t="shared" ref="AK221" si="5089">IF(AK219="","",(AJ221+AJ222))</f>
        <v/>
      </c>
      <c r="AL221" s="12" t="str">
        <f t="shared" ref="AL221" si="5090">IF(AL219="","",(AK221+AK222))</f>
        <v/>
      </c>
      <c r="AM221" s="12" t="str">
        <f t="shared" ref="AM221" si="5091">IF(AM219="","",(AL221+AL222))</f>
        <v/>
      </c>
      <c r="AN221" s="12" t="str">
        <f t="shared" ref="AN221" si="5092">IF(AN219="","",(AM221+AM222))</f>
        <v/>
      </c>
      <c r="AO221" s="12" t="str">
        <f t="shared" ref="AO221" si="5093">IF(AO219="","",(AN221+AN222))</f>
        <v/>
      </c>
      <c r="AP221" s="12" t="str">
        <f t="shared" ref="AP221" si="5094">IF(AP219="","",(AO221+AO222))</f>
        <v/>
      </c>
      <c r="AQ221" s="12" t="str">
        <f t="shared" ref="AQ221" si="5095">IF(AQ219="","",(AP221+AP222))</f>
        <v/>
      </c>
      <c r="AR221" s="12" t="str">
        <f t="shared" ref="AR221" si="5096">IF(AR219="","",(AQ221+AQ222))</f>
        <v/>
      </c>
      <c r="AS221" s="12" t="str">
        <f t="shared" ref="AS221" si="5097">IF(AS219="","",(AR221+AR222))</f>
        <v/>
      </c>
      <c r="AT221" s="12" t="str">
        <f t="shared" ref="AT221" si="5098">IF(AT219="","",(AS221+AS222))</f>
        <v/>
      </c>
      <c r="AU221" s="12" t="str">
        <f t="shared" ref="AU221" si="5099">IF(AU219="","",(AT221+AT222))</f>
        <v/>
      </c>
      <c r="AV221" s="12" t="str">
        <f t="shared" ref="AV221" si="5100">IF(AV219="","",(AU221+AU222))</f>
        <v/>
      </c>
      <c r="AW221" s="12" t="str">
        <f t="shared" ref="AW221" si="5101">IF(AW219="","",(AV221+AV222))</f>
        <v/>
      </c>
      <c r="AX221" s="12" t="str">
        <f t="shared" ref="AX221" si="5102">IF(AX219="","",(AW221+AW222))</f>
        <v/>
      </c>
      <c r="AY221" s="12" t="str">
        <f t="shared" ref="AY221" si="5103">IF(AY219="","",(AX221+AX222))</f>
        <v/>
      </c>
      <c r="AZ221" s="12" t="str">
        <f t="shared" ref="AZ221" si="5104">IF(AZ219="","",(AY221+AY222))</f>
        <v/>
      </c>
      <c r="BA221" s="12" t="str">
        <f t="shared" ref="BA221" si="5105">IF(BA219="","",(AZ221+AZ222))</f>
        <v/>
      </c>
      <c r="BB221" s="12" t="str">
        <f t="shared" ref="BB221" si="5106">IF(BB219="","",(BA221+BA222))</f>
        <v/>
      </c>
      <c r="BC221" s="215" t="str">
        <f t="shared" ref="BC221" si="5107">IF(BC219="","",(BB221+BB222))</f>
        <v/>
      </c>
    </row>
    <row r="222" spans="1:55" ht="11.25" customHeight="1" x14ac:dyDescent="0.2">
      <c r="A222" s="220"/>
      <c r="B222" s="11" t="s">
        <v>6</v>
      </c>
      <c r="C222" s="123"/>
      <c r="D222" s="12"/>
      <c r="E222" s="12"/>
      <c r="F222" s="12"/>
      <c r="G222" s="195"/>
      <c r="H222" s="12"/>
      <c r="I222" s="12"/>
      <c r="J222" s="195"/>
      <c r="K222" s="12"/>
      <c r="L222" s="12"/>
      <c r="M222" s="12"/>
      <c r="N222" s="195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215"/>
    </row>
    <row r="223" spans="1:55" ht="11.25" customHeight="1" x14ac:dyDescent="0.2">
      <c r="A223" s="222"/>
      <c r="B223" s="11" t="s">
        <v>8</v>
      </c>
      <c r="C223" s="129">
        <v>240</v>
      </c>
      <c r="D223" s="206">
        <v>240</v>
      </c>
      <c r="E223" s="206">
        <v>240</v>
      </c>
      <c r="F223" s="206">
        <v>240</v>
      </c>
      <c r="G223" s="207">
        <f t="shared" ref="G223" si="5108">IF(G219="","",F223)</f>
        <v>240</v>
      </c>
      <c r="H223" s="206">
        <f t="shared" ref="H223" si="5109">IF(H219="","",G223)</f>
        <v>240</v>
      </c>
      <c r="I223" s="206">
        <f t="shared" ref="I223" si="5110">IF(I219="","",H223)</f>
        <v>240</v>
      </c>
      <c r="J223" s="207">
        <f t="shared" ref="J223" si="5111">IF(J219="","",I223)</f>
        <v>240</v>
      </c>
      <c r="K223" s="206">
        <f t="shared" ref="K223" si="5112">IF(K219="","",J223)</f>
        <v>240</v>
      </c>
      <c r="L223" s="206">
        <f t="shared" ref="L223" si="5113">IF(L219="","",K223)</f>
        <v>240</v>
      </c>
      <c r="M223" s="206">
        <f t="shared" ref="M223" si="5114">IF(M219="","",L223)</f>
        <v>240</v>
      </c>
      <c r="N223" s="207" t="str">
        <f t="shared" ref="N223" si="5115">IF(N219="","",M223)</f>
        <v/>
      </c>
      <c r="O223" s="206" t="str">
        <f t="shared" ref="O223" si="5116">IF(O219="","",N223)</f>
        <v/>
      </c>
      <c r="P223" s="206" t="str">
        <f t="shared" ref="P223" si="5117">IF(P219="","",O223)</f>
        <v/>
      </c>
      <c r="Q223" s="206" t="str">
        <f t="shared" ref="Q223" si="5118">IF(Q219="","",P223)</f>
        <v/>
      </c>
      <c r="R223" s="206" t="str">
        <f t="shared" ref="R223" si="5119">IF(R219="","",Q223)</f>
        <v/>
      </c>
      <c r="S223" s="206" t="str">
        <f t="shared" ref="S223" si="5120">IF(S219="","",R223)</f>
        <v/>
      </c>
      <c r="T223" s="206" t="str">
        <f t="shared" ref="T223" si="5121">IF(T219="","",S223)</f>
        <v/>
      </c>
      <c r="U223" s="206" t="str">
        <f t="shared" ref="U223" si="5122">IF(U219="","",T223)</f>
        <v/>
      </c>
      <c r="V223" s="206" t="str">
        <f t="shared" ref="V223" si="5123">IF(V219="","",U223)</f>
        <v/>
      </c>
      <c r="W223" s="206" t="str">
        <f t="shared" ref="W223" si="5124">IF(W219="","",V223)</f>
        <v/>
      </c>
      <c r="X223" s="206" t="str">
        <f t="shared" ref="X223" si="5125">IF(X219="","",W223)</f>
        <v/>
      </c>
      <c r="Y223" s="206" t="str">
        <f t="shared" ref="Y223" si="5126">IF(Y219="","",X223)</f>
        <v/>
      </c>
      <c r="Z223" s="206" t="str">
        <f t="shared" ref="Z223" si="5127">IF(Z219="","",Y223)</f>
        <v/>
      </c>
      <c r="AA223" s="206" t="str">
        <f t="shared" ref="AA223" si="5128">IF(AA219="","",Z223)</f>
        <v/>
      </c>
      <c r="AB223" s="206" t="str">
        <f t="shared" ref="AB223" si="5129">IF(AB219="","",AA223)</f>
        <v/>
      </c>
      <c r="AC223" s="206" t="str">
        <f t="shared" ref="AC223" si="5130">IF(AC219="","",AB223)</f>
        <v/>
      </c>
      <c r="AD223" s="206" t="str">
        <f t="shared" ref="AD223" si="5131">IF(AD219="","",AC223)</f>
        <v/>
      </c>
      <c r="AE223" s="206" t="str">
        <f t="shared" ref="AE223" si="5132">IF(AE219="","",AD223)</f>
        <v/>
      </c>
      <c r="AF223" s="206" t="str">
        <f t="shared" ref="AF223" si="5133">IF(AF219="","",AE223)</f>
        <v/>
      </c>
      <c r="AG223" s="206" t="str">
        <f t="shared" ref="AG223" si="5134">IF(AG219="","",AF223)</f>
        <v/>
      </c>
      <c r="AH223" s="206" t="str">
        <f t="shared" ref="AH223" si="5135">IF(AH219="","",AG223)</f>
        <v/>
      </c>
      <c r="AI223" s="206" t="str">
        <f t="shared" ref="AI223" si="5136">IF(AI219="","",AH223)</f>
        <v/>
      </c>
      <c r="AJ223" s="206" t="str">
        <f t="shared" ref="AJ223" si="5137">IF(AJ219="","",AI223)</f>
        <v/>
      </c>
      <c r="AK223" s="206" t="str">
        <f t="shared" ref="AK223" si="5138">IF(AK219="","",AJ223)</f>
        <v/>
      </c>
      <c r="AL223" s="206" t="str">
        <f t="shared" ref="AL223" si="5139">IF(AL219="","",AK223)</f>
        <v/>
      </c>
      <c r="AM223" s="206" t="str">
        <f t="shared" ref="AM223" si="5140">IF(AM219="","",AL223)</f>
        <v/>
      </c>
      <c r="AN223" s="206" t="str">
        <f t="shared" ref="AN223" si="5141">IF(AN219="","",AM223)</f>
        <v/>
      </c>
      <c r="AO223" s="206" t="str">
        <f t="shared" ref="AO223" si="5142">IF(AO219="","",AN223)</f>
        <v/>
      </c>
      <c r="AP223" s="206" t="str">
        <f t="shared" ref="AP223" si="5143">IF(AP219="","",AO223)</f>
        <v/>
      </c>
      <c r="AQ223" s="206" t="str">
        <f t="shared" ref="AQ223" si="5144">IF(AQ219="","",AP223)</f>
        <v/>
      </c>
      <c r="AR223" s="206" t="str">
        <f t="shared" ref="AR223" si="5145">IF(AR219="","",AQ223)</f>
        <v/>
      </c>
      <c r="AS223" s="206" t="str">
        <f t="shared" ref="AS223" si="5146">IF(AS219="","",AR223)</f>
        <v/>
      </c>
      <c r="AT223" s="206" t="str">
        <f t="shared" ref="AT223" si="5147">IF(AT219="","",AS223)</f>
        <v/>
      </c>
      <c r="AU223" s="206" t="str">
        <f t="shared" ref="AU223" si="5148">IF(AU219="","",AT223)</f>
        <v/>
      </c>
      <c r="AV223" s="206" t="str">
        <f t="shared" ref="AV223" si="5149">IF(AV219="","",AU223)</f>
        <v/>
      </c>
      <c r="AW223" s="206" t="str">
        <f t="shared" ref="AW223" si="5150">IF(AW219="","",AV223)</f>
        <v/>
      </c>
      <c r="AX223" s="206" t="str">
        <f t="shared" ref="AX223" si="5151">IF(AX219="","",AW223)</f>
        <v/>
      </c>
      <c r="AY223" s="206" t="str">
        <f t="shared" ref="AY223" si="5152">IF(AY219="","",AX223)</f>
        <v/>
      </c>
      <c r="AZ223" s="206" t="str">
        <f t="shared" ref="AZ223" si="5153">IF(AZ219="","",AY223)</f>
        <v/>
      </c>
      <c r="BA223" s="206" t="str">
        <f t="shared" ref="BA223" si="5154">IF(BA219="","",AZ223)</f>
        <v/>
      </c>
      <c r="BB223" s="206" t="str">
        <f t="shared" ref="BB223" si="5155">IF(BB219="","",BA223)</f>
        <v/>
      </c>
      <c r="BC223" s="219" t="str">
        <f t="shared" ref="BC223" si="5156">IF(BC219="","",BB223)</f>
        <v/>
      </c>
    </row>
    <row r="224" spans="1:55" ht="11.25" customHeight="1" x14ac:dyDescent="0.2">
      <c r="A224" s="220" t="s">
        <v>9</v>
      </c>
      <c r="B224" s="17" t="s">
        <v>10</v>
      </c>
      <c r="C224" s="133" t="s">
        <v>35</v>
      </c>
      <c r="D224" s="18" t="s">
        <v>35</v>
      </c>
      <c r="E224" s="18" t="s">
        <v>35</v>
      </c>
      <c r="F224" s="18" t="s">
        <v>35</v>
      </c>
      <c r="G224" s="197" t="str">
        <f t="shared" ref="G224" si="5157">IF(G219="","",F224)</f>
        <v>バタースクイーズ</v>
      </c>
      <c r="H224" s="18" t="str">
        <f t="shared" ref="H224" si="5158">IF(H219="","",G224)</f>
        <v>バタースクイーズ</v>
      </c>
      <c r="I224" s="18" t="str">
        <f t="shared" ref="I224" si="5159">IF(I219="","",H224)</f>
        <v>バタースクイーズ</v>
      </c>
      <c r="J224" s="197" t="str">
        <f t="shared" ref="J224" si="5160">IF(J219="","",I224)</f>
        <v>バタースクイーズ</v>
      </c>
      <c r="K224" s="18" t="str">
        <f t="shared" ref="K224" si="5161">IF(K219="","",J224)</f>
        <v>バタースクイーズ</v>
      </c>
      <c r="L224" s="18" t="str">
        <f t="shared" ref="L224" si="5162">IF(L219="","",K224)</f>
        <v>バタースクイーズ</v>
      </c>
      <c r="M224" s="18" t="str">
        <f t="shared" ref="M224" si="5163">IF(M219="","",L224)</f>
        <v>バタースクイーズ</v>
      </c>
      <c r="N224" s="197" t="str">
        <f t="shared" ref="N224" si="5164">IF(N219="","",M224)</f>
        <v/>
      </c>
      <c r="O224" s="18" t="str">
        <f t="shared" ref="O224" si="5165">IF(O219="","",N224)</f>
        <v/>
      </c>
      <c r="P224" s="18" t="str">
        <f t="shared" ref="P224" si="5166">IF(P219="","",O224)</f>
        <v/>
      </c>
      <c r="Q224" s="18" t="str">
        <f t="shared" ref="Q224" si="5167">IF(Q219="","",P224)</f>
        <v/>
      </c>
      <c r="R224" s="18" t="str">
        <f t="shared" ref="R224" si="5168">IF(R219="","",Q224)</f>
        <v/>
      </c>
      <c r="S224" s="18" t="str">
        <f t="shared" ref="S224" si="5169">IF(S219="","",R224)</f>
        <v/>
      </c>
      <c r="T224" s="18" t="str">
        <f t="shared" ref="T224" si="5170">IF(T219="","",S224)</f>
        <v/>
      </c>
      <c r="U224" s="18" t="str">
        <f t="shared" ref="U224" si="5171">IF(U219="","",T224)</f>
        <v/>
      </c>
      <c r="V224" s="18" t="str">
        <f t="shared" ref="V224" si="5172">IF(V219="","",U224)</f>
        <v/>
      </c>
      <c r="W224" s="18" t="str">
        <f t="shared" ref="W224" si="5173">IF(W219="","",V224)</f>
        <v/>
      </c>
      <c r="X224" s="18" t="str">
        <f t="shared" ref="X224" si="5174">IF(X219="","",W224)</f>
        <v/>
      </c>
      <c r="Y224" s="18" t="str">
        <f t="shared" ref="Y224" si="5175">IF(Y219="","",X224)</f>
        <v/>
      </c>
      <c r="Z224" s="18" t="str">
        <f t="shared" ref="Z224" si="5176">IF(Z219="","",Y224)</f>
        <v/>
      </c>
      <c r="AA224" s="18" t="str">
        <f t="shared" ref="AA224" si="5177">IF(AA219="","",Z224)</f>
        <v/>
      </c>
      <c r="AB224" s="18" t="str">
        <f t="shared" ref="AB224" si="5178">IF(AB219="","",AA224)</f>
        <v/>
      </c>
      <c r="AC224" s="18" t="str">
        <f t="shared" ref="AC224" si="5179">IF(AC219="","",AB224)</f>
        <v/>
      </c>
      <c r="AD224" s="18" t="str">
        <f t="shared" ref="AD224" si="5180">IF(AD219="","",AC224)</f>
        <v/>
      </c>
      <c r="AE224" s="18" t="str">
        <f t="shared" ref="AE224" si="5181">IF(AE219="","",AD224)</f>
        <v/>
      </c>
      <c r="AF224" s="18" t="str">
        <f t="shared" ref="AF224" si="5182">IF(AF219="","",AE224)</f>
        <v/>
      </c>
      <c r="AG224" s="18" t="str">
        <f t="shared" ref="AG224" si="5183">IF(AG219="","",AF224)</f>
        <v/>
      </c>
      <c r="AH224" s="18" t="str">
        <f t="shared" ref="AH224" si="5184">IF(AH219="","",AG224)</f>
        <v/>
      </c>
      <c r="AI224" s="18" t="str">
        <f t="shared" ref="AI224" si="5185">IF(AI219="","",AH224)</f>
        <v/>
      </c>
      <c r="AJ224" s="18" t="str">
        <f t="shared" ref="AJ224" si="5186">IF(AJ219="","",AI224)</f>
        <v/>
      </c>
      <c r="AK224" s="18" t="str">
        <f t="shared" ref="AK224" si="5187">IF(AK219="","",AJ224)</f>
        <v/>
      </c>
      <c r="AL224" s="18" t="str">
        <f t="shared" ref="AL224" si="5188">IF(AL219="","",AK224)</f>
        <v/>
      </c>
      <c r="AM224" s="18" t="str">
        <f t="shared" ref="AM224" si="5189">IF(AM219="","",AL224)</f>
        <v/>
      </c>
      <c r="AN224" s="18" t="str">
        <f t="shared" ref="AN224" si="5190">IF(AN219="","",AM224)</f>
        <v/>
      </c>
      <c r="AO224" s="18" t="str">
        <f t="shared" ref="AO224" si="5191">IF(AO219="","",AN224)</f>
        <v/>
      </c>
      <c r="AP224" s="18" t="str">
        <f t="shared" ref="AP224" si="5192">IF(AP219="","",AO224)</f>
        <v/>
      </c>
      <c r="AQ224" s="18" t="str">
        <f t="shared" ref="AQ224" si="5193">IF(AQ219="","",AP224)</f>
        <v/>
      </c>
      <c r="AR224" s="18" t="str">
        <f t="shared" ref="AR224" si="5194">IF(AR219="","",AQ224)</f>
        <v/>
      </c>
      <c r="AS224" s="18" t="str">
        <f t="shared" ref="AS224" si="5195">IF(AS219="","",AR224)</f>
        <v/>
      </c>
      <c r="AT224" s="18" t="str">
        <f t="shared" ref="AT224" si="5196">IF(AT219="","",AS224)</f>
        <v/>
      </c>
      <c r="AU224" s="18" t="str">
        <f t="shared" ref="AU224" si="5197">IF(AU219="","",AT224)</f>
        <v/>
      </c>
      <c r="AV224" s="18" t="str">
        <f t="shared" ref="AV224" si="5198">IF(AV219="","",AU224)</f>
        <v/>
      </c>
      <c r="AW224" s="18" t="str">
        <f t="shared" ref="AW224" si="5199">IF(AW219="","",AV224)</f>
        <v/>
      </c>
      <c r="AX224" s="18" t="str">
        <f t="shared" ref="AX224" si="5200">IF(AX219="","",AW224)</f>
        <v/>
      </c>
      <c r="AY224" s="18" t="str">
        <f t="shared" ref="AY224" si="5201">IF(AY219="","",AX224)</f>
        <v/>
      </c>
      <c r="AZ224" s="18" t="str">
        <f t="shared" ref="AZ224" si="5202">IF(AZ219="","",AY224)</f>
        <v/>
      </c>
      <c r="BA224" s="18" t="str">
        <f t="shared" ref="BA224" si="5203">IF(BA219="","",AZ224)</f>
        <v/>
      </c>
      <c r="BB224" s="18" t="str">
        <f t="shared" ref="BB224" si="5204">IF(BB219="","",BA224)</f>
        <v/>
      </c>
      <c r="BC224" s="221" t="str">
        <f t="shared" ref="BC224" si="5205">IF(BC219="","",BB224)</f>
        <v/>
      </c>
    </row>
    <row r="225" spans="1:55" ht="11.25" customHeight="1" x14ac:dyDescent="0.2">
      <c r="A225" s="222">
        <f>AVERAGE(C226:AS226)*30*100</f>
        <v>11454.545454545454</v>
      </c>
      <c r="B225" s="11" t="s">
        <v>12</v>
      </c>
      <c r="C225" s="123"/>
      <c r="D225" s="12"/>
      <c r="E225" s="12"/>
      <c r="F225" s="12"/>
      <c r="G225" s="195"/>
      <c r="H225" s="12"/>
      <c r="I225" s="12"/>
      <c r="J225" s="195"/>
      <c r="K225" s="12"/>
      <c r="L225" s="12"/>
      <c r="M225" s="12"/>
      <c r="N225" s="195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215"/>
    </row>
    <row r="226" spans="1:55" ht="11.25" customHeight="1" x14ac:dyDescent="0.2">
      <c r="A226" s="222">
        <f t="shared" ref="A226:A229" si="5206">SUM(C226:AS226)</f>
        <v>42</v>
      </c>
      <c r="B226" s="19" t="s">
        <v>13</v>
      </c>
      <c r="C226" s="123">
        <v>0</v>
      </c>
      <c r="D226" s="20">
        <v>0</v>
      </c>
      <c r="E226" s="20">
        <v>0</v>
      </c>
      <c r="F226" s="20">
        <v>0</v>
      </c>
      <c r="G226" s="195">
        <f t="shared" ref="G226:G227" si="5207">IF(G219="","",G219-F219)</f>
        <v>0</v>
      </c>
      <c r="H226" s="20">
        <f t="shared" ref="H226:H227" si="5208">IF(H219="","",H219-G219)</f>
        <v>0</v>
      </c>
      <c r="I226" s="20">
        <f t="shared" ref="I226:I227" si="5209">IF(I219="","",I219-H219)</f>
        <v>42</v>
      </c>
      <c r="J226" s="195">
        <f t="shared" ref="J226:J227" si="5210">IF(J219="","",J219-I219)</f>
        <v>0</v>
      </c>
      <c r="K226" s="20">
        <f t="shared" ref="K226:K227" si="5211">IF(K219="","",K219-J219)</f>
        <v>0</v>
      </c>
      <c r="L226" s="20">
        <f t="shared" ref="L226:L227" si="5212">IF(L219="","",L219-K219)</f>
        <v>0</v>
      </c>
      <c r="M226" s="20">
        <f t="shared" ref="M226:M227" si="5213">IF(M219="","",M219-L219)</f>
        <v>0</v>
      </c>
      <c r="N226" s="195" t="str">
        <f t="shared" ref="N226:N227" si="5214">IF(N219="","",N219-M219)</f>
        <v/>
      </c>
      <c r="O226" s="20" t="str">
        <f t="shared" ref="O226:O227" si="5215">IF(O219="","",O219-N219)</f>
        <v/>
      </c>
      <c r="P226" s="20" t="str">
        <f t="shared" ref="P226:P227" si="5216">IF(P219="","",P219-O219)</f>
        <v/>
      </c>
      <c r="Q226" s="20" t="str">
        <f t="shared" ref="Q226:Q227" si="5217">IF(Q219="","",Q219-P219)</f>
        <v/>
      </c>
      <c r="R226" s="20" t="str">
        <f t="shared" ref="R226:R227" si="5218">IF(R219="","",R219-Q219)</f>
        <v/>
      </c>
      <c r="S226" s="20" t="str">
        <f t="shared" ref="S226:S227" si="5219">IF(S219="","",S219-R219)</f>
        <v/>
      </c>
      <c r="T226" s="20" t="str">
        <f t="shared" ref="T226:T227" si="5220">IF(T219="","",T219-S219)</f>
        <v/>
      </c>
      <c r="U226" s="20" t="str">
        <f t="shared" ref="U226:U227" si="5221">IF(U219="","",U219-T219)</f>
        <v/>
      </c>
      <c r="V226" s="20" t="str">
        <f t="shared" ref="V226:V227" si="5222">IF(V219="","",V219-U219)</f>
        <v/>
      </c>
      <c r="W226" s="20" t="str">
        <f t="shared" ref="W226:W227" si="5223">IF(W219="","",W219-V219)</f>
        <v/>
      </c>
      <c r="X226" s="20" t="str">
        <f t="shared" ref="X226:X227" si="5224">IF(X219="","",X219-W219)</f>
        <v/>
      </c>
      <c r="Y226" s="20" t="str">
        <f t="shared" ref="Y226:Y227" si="5225">IF(Y219="","",Y219-X219)</f>
        <v/>
      </c>
      <c r="Z226" s="20" t="str">
        <f t="shared" ref="Z226:Z227" si="5226">IF(Z219="","",Z219-Y219)</f>
        <v/>
      </c>
      <c r="AA226" s="20" t="str">
        <f t="shared" ref="AA226:AA227" si="5227">IF(AA219="","",AA219-Z219)</f>
        <v/>
      </c>
      <c r="AB226" s="20" t="str">
        <f t="shared" ref="AB226:AB227" si="5228">IF(AB219="","",AB219-AA219)</f>
        <v/>
      </c>
      <c r="AC226" s="20" t="str">
        <f t="shared" ref="AC226:AC227" si="5229">IF(AC219="","",AC219-AB219)</f>
        <v/>
      </c>
      <c r="AD226" s="20" t="str">
        <f t="shared" ref="AD226:AD227" si="5230">IF(AD219="","",AD219-AC219)</f>
        <v/>
      </c>
      <c r="AE226" s="20" t="str">
        <f t="shared" ref="AE226:AE227" si="5231">IF(AE219="","",AE219-AD219)</f>
        <v/>
      </c>
      <c r="AF226" s="20" t="str">
        <f t="shared" ref="AF226:AF227" si="5232">IF(AF219="","",AF219-AE219)</f>
        <v/>
      </c>
      <c r="AG226" s="20" t="str">
        <f t="shared" ref="AG226:AG227" si="5233">IF(AG219="","",AG219-AF219)</f>
        <v/>
      </c>
      <c r="AH226" s="20" t="str">
        <f t="shared" ref="AH226:AH227" si="5234">IF(AH219="","",AH219-AG219)</f>
        <v/>
      </c>
      <c r="AI226" s="20" t="str">
        <f t="shared" ref="AI226:AI227" si="5235">IF(AI219="","",AI219-AH219)</f>
        <v/>
      </c>
      <c r="AJ226" s="20" t="str">
        <f t="shared" ref="AJ226:AJ227" si="5236">IF(AJ219="","",AJ219-AI219)</f>
        <v/>
      </c>
      <c r="AK226" s="20" t="str">
        <f t="shared" ref="AK226:AK227" si="5237">IF(AK219="","",AK219-AJ219)</f>
        <v/>
      </c>
      <c r="AL226" s="20" t="str">
        <f t="shared" ref="AL226:AL227" si="5238">IF(AL219="","",AL219-AK219)</f>
        <v/>
      </c>
      <c r="AM226" s="20" t="str">
        <f t="shared" ref="AM226:AM227" si="5239">IF(AM219="","",AM219-AL219)</f>
        <v/>
      </c>
      <c r="AN226" s="20" t="str">
        <f t="shared" ref="AN226:AN227" si="5240">IF(AN219="","",AN219-AM219)</f>
        <v/>
      </c>
      <c r="AO226" s="20" t="str">
        <f t="shared" ref="AO226:AO227" si="5241">IF(AO219="","",AO219-AN219)</f>
        <v/>
      </c>
      <c r="AP226" s="20" t="str">
        <f t="shared" ref="AP226:AP227" si="5242">IF(AP219="","",AP219-AO219)</f>
        <v/>
      </c>
      <c r="AQ226" s="20" t="str">
        <f t="shared" ref="AQ226:AQ227" si="5243">IF(AQ219="","",AQ219-AP219)</f>
        <v/>
      </c>
      <c r="AR226" s="20" t="str">
        <f t="shared" ref="AR226:AR227" si="5244">IF(AR219="","",AR219-AQ219)</f>
        <v/>
      </c>
      <c r="AS226" s="20" t="str">
        <f t="shared" ref="AS226:AS227" si="5245">IF(AS219="","",AS219-AR219)</f>
        <v/>
      </c>
      <c r="AT226" s="20" t="str">
        <f t="shared" ref="AT226:AT227" si="5246">IF(AT219="","",AT219-AS219)</f>
        <v/>
      </c>
      <c r="AU226" s="20" t="str">
        <f t="shared" ref="AU226:AU227" si="5247">IF(AU219="","",AU219-AT219)</f>
        <v/>
      </c>
      <c r="AV226" s="20" t="str">
        <f t="shared" ref="AV226:AV227" si="5248">IF(AV219="","",AV219-AU219)</f>
        <v/>
      </c>
      <c r="AW226" s="20" t="str">
        <f t="shared" ref="AW226:AW227" si="5249">IF(AW219="","",AW219-AV219)</f>
        <v/>
      </c>
      <c r="AX226" s="20" t="str">
        <f t="shared" ref="AX226:AX227" si="5250">IF(AX219="","",AX219-AW219)</f>
        <v/>
      </c>
      <c r="AY226" s="20" t="str">
        <f t="shared" ref="AY226:AY227" si="5251">IF(AY219="","",AY219-AX219)</f>
        <v/>
      </c>
      <c r="AZ226" s="20" t="str">
        <f t="shared" ref="AZ226:AZ227" si="5252">IF(AZ219="","",AZ219-AY219)</f>
        <v/>
      </c>
      <c r="BA226" s="20" t="str">
        <f t="shared" ref="BA226:BA227" si="5253">IF(BA219="","",BA219-AZ219)</f>
        <v/>
      </c>
      <c r="BB226" s="20" t="str">
        <f t="shared" ref="BB226:BB227" si="5254">IF(BB219="","",BB219-BA219)</f>
        <v/>
      </c>
      <c r="BC226" s="223" t="str">
        <f t="shared" ref="BC226:BC227" si="5255">IF(BC219="","",BC219-BB219)</f>
        <v/>
      </c>
    </row>
    <row r="227" spans="1:55" ht="11.25" customHeight="1" x14ac:dyDescent="0.2">
      <c r="A227" s="222">
        <f t="shared" si="5206"/>
        <v>0</v>
      </c>
      <c r="B227" s="19" t="s">
        <v>14</v>
      </c>
      <c r="C227" s="123">
        <v>0</v>
      </c>
      <c r="D227" s="20">
        <v>0</v>
      </c>
      <c r="E227" s="20">
        <v>0</v>
      </c>
      <c r="F227" s="20">
        <v>0</v>
      </c>
      <c r="G227" s="195">
        <f t="shared" si="5207"/>
        <v>0</v>
      </c>
      <c r="H227" s="20">
        <f t="shared" si="5208"/>
        <v>0</v>
      </c>
      <c r="I227" s="20">
        <f t="shared" si="5209"/>
        <v>0</v>
      </c>
      <c r="J227" s="195">
        <f t="shared" si="5210"/>
        <v>0</v>
      </c>
      <c r="K227" s="20">
        <f t="shared" si="5211"/>
        <v>0</v>
      </c>
      <c r="L227" s="20">
        <f t="shared" si="5212"/>
        <v>0</v>
      </c>
      <c r="M227" s="20">
        <f t="shared" si="5213"/>
        <v>0</v>
      </c>
      <c r="N227" s="195" t="str">
        <f t="shared" si="5214"/>
        <v/>
      </c>
      <c r="O227" s="20" t="str">
        <f t="shared" si="5215"/>
        <v/>
      </c>
      <c r="P227" s="20" t="str">
        <f t="shared" si="5216"/>
        <v/>
      </c>
      <c r="Q227" s="20" t="str">
        <f t="shared" si="5217"/>
        <v/>
      </c>
      <c r="R227" s="20" t="str">
        <f t="shared" si="5218"/>
        <v/>
      </c>
      <c r="S227" s="20" t="str">
        <f t="shared" si="5219"/>
        <v/>
      </c>
      <c r="T227" s="20" t="str">
        <f t="shared" si="5220"/>
        <v/>
      </c>
      <c r="U227" s="20" t="str">
        <f t="shared" si="5221"/>
        <v/>
      </c>
      <c r="V227" s="20" t="str">
        <f t="shared" si="5222"/>
        <v/>
      </c>
      <c r="W227" s="20" t="str">
        <f t="shared" si="5223"/>
        <v/>
      </c>
      <c r="X227" s="20" t="str">
        <f t="shared" si="5224"/>
        <v/>
      </c>
      <c r="Y227" s="20" t="str">
        <f t="shared" si="5225"/>
        <v/>
      </c>
      <c r="Z227" s="20" t="str">
        <f t="shared" si="5226"/>
        <v/>
      </c>
      <c r="AA227" s="20" t="str">
        <f t="shared" si="5227"/>
        <v/>
      </c>
      <c r="AB227" s="20" t="str">
        <f t="shared" si="5228"/>
        <v/>
      </c>
      <c r="AC227" s="20" t="str">
        <f t="shared" si="5229"/>
        <v/>
      </c>
      <c r="AD227" s="20" t="str">
        <f t="shared" si="5230"/>
        <v/>
      </c>
      <c r="AE227" s="20" t="str">
        <f t="shared" si="5231"/>
        <v/>
      </c>
      <c r="AF227" s="20" t="str">
        <f t="shared" si="5232"/>
        <v/>
      </c>
      <c r="AG227" s="20" t="str">
        <f t="shared" si="5233"/>
        <v/>
      </c>
      <c r="AH227" s="20" t="str">
        <f t="shared" si="5234"/>
        <v/>
      </c>
      <c r="AI227" s="20" t="str">
        <f t="shared" si="5235"/>
        <v/>
      </c>
      <c r="AJ227" s="20" t="str">
        <f t="shared" si="5236"/>
        <v/>
      </c>
      <c r="AK227" s="20" t="str">
        <f t="shared" si="5237"/>
        <v/>
      </c>
      <c r="AL227" s="20" t="str">
        <f t="shared" si="5238"/>
        <v/>
      </c>
      <c r="AM227" s="20" t="str">
        <f t="shared" si="5239"/>
        <v/>
      </c>
      <c r="AN227" s="20" t="str">
        <f t="shared" si="5240"/>
        <v/>
      </c>
      <c r="AO227" s="20" t="str">
        <f t="shared" si="5241"/>
        <v/>
      </c>
      <c r="AP227" s="20" t="str">
        <f t="shared" si="5242"/>
        <v/>
      </c>
      <c r="AQ227" s="20" t="str">
        <f t="shared" si="5243"/>
        <v/>
      </c>
      <c r="AR227" s="20" t="str">
        <f t="shared" si="5244"/>
        <v/>
      </c>
      <c r="AS227" s="20" t="str">
        <f t="shared" si="5245"/>
        <v/>
      </c>
      <c r="AT227" s="20" t="str">
        <f t="shared" si="5246"/>
        <v/>
      </c>
      <c r="AU227" s="20" t="str">
        <f t="shared" si="5247"/>
        <v/>
      </c>
      <c r="AV227" s="20" t="str">
        <f t="shared" si="5248"/>
        <v/>
      </c>
      <c r="AW227" s="20" t="str">
        <f t="shared" si="5249"/>
        <v/>
      </c>
      <c r="AX227" s="20" t="str">
        <f t="shared" si="5250"/>
        <v/>
      </c>
      <c r="AY227" s="20" t="str">
        <f t="shared" si="5251"/>
        <v/>
      </c>
      <c r="AZ227" s="20" t="str">
        <f t="shared" si="5252"/>
        <v/>
      </c>
      <c r="BA227" s="20" t="str">
        <f t="shared" si="5253"/>
        <v/>
      </c>
      <c r="BB227" s="20" t="str">
        <f t="shared" si="5254"/>
        <v/>
      </c>
      <c r="BC227" s="223" t="str">
        <f t="shared" si="5255"/>
        <v/>
      </c>
    </row>
    <row r="228" spans="1:55" ht="11.25" customHeight="1" x14ac:dyDescent="0.2">
      <c r="A228" s="222">
        <f t="shared" si="5206"/>
        <v>0</v>
      </c>
      <c r="B228" s="19" t="s">
        <v>15</v>
      </c>
      <c r="C228" s="123">
        <v>0</v>
      </c>
      <c r="D228" s="20">
        <v>0</v>
      </c>
      <c r="E228" s="20">
        <v>0</v>
      </c>
      <c r="F228" s="20">
        <v>0</v>
      </c>
      <c r="G228" s="195">
        <f t="shared" ref="G228" si="5256">IF(G221="","",F221+F222-G221)</f>
        <v>0</v>
      </c>
      <c r="H228" s="20">
        <f t="shared" ref="H228" si="5257">IF(H221="","",G221+G222-H221)</f>
        <v>0</v>
      </c>
      <c r="I228" s="20">
        <f t="shared" ref="I228" si="5258">IF(I221="","",H221+H222-I221)</f>
        <v>0</v>
      </c>
      <c r="J228" s="195">
        <f t="shared" ref="J228" si="5259">IF(J221="","",I221+I222-J221)</f>
        <v>0</v>
      </c>
      <c r="K228" s="20">
        <f t="shared" ref="K228" si="5260">IF(K221="","",J221+J222-K221)</f>
        <v>0</v>
      </c>
      <c r="L228" s="20">
        <f t="shared" ref="L228" si="5261">IF(L221="","",K221+K222-L221)</f>
        <v>0</v>
      </c>
      <c r="M228" s="20">
        <f t="shared" ref="M228" si="5262">IF(M221="","",L221+L222-M221)</f>
        <v>0</v>
      </c>
      <c r="N228" s="195" t="str">
        <f t="shared" ref="N228" si="5263">IF(N221="","",M221+M222-N221)</f>
        <v/>
      </c>
      <c r="O228" s="20" t="str">
        <f t="shared" ref="O228" si="5264">IF(O221="","",N221+N222-O221)</f>
        <v/>
      </c>
      <c r="P228" s="20" t="str">
        <f t="shared" ref="P228" si="5265">IF(P221="","",O221+O222-P221)</f>
        <v/>
      </c>
      <c r="Q228" s="20" t="str">
        <f t="shared" ref="Q228" si="5266">IF(Q221="","",P221+P222-Q221)</f>
        <v/>
      </c>
      <c r="R228" s="20" t="str">
        <f t="shared" ref="R228" si="5267">IF(R221="","",Q221+Q222-R221)</f>
        <v/>
      </c>
      <c r="S228" s="20" t="str">
        <f t="shared" ref="S228" si="5268">IF(S221="","",R221+R222-S221)</f>
        <v/>
      </c>
      <c r="T228" s="20" t="str">
        <f t="shared" ref="T228" si="5269">IF(T221="","",S221+S222-T221)</f>
        <v/>
      </c>
      <c r="U228" s="20" t="str">
        <f t="shared" ref="U228" si="5270">IF(U221="","",T221+T222-U221)</f>
        <v/>
      </c>
      <c r="V228" s="20" t="str">
        <f t="shared" ref="V228" si="5271">IF(V221="","",U221+U222-V221)</f>
        <v/>
      </c>
      <c r="W228" s="20" t="str">
        <f t="shared" ref="W228" si="5272">IF(W221="","",V221+V222-W221)</f>
        <v/>
      </c>
      <c r="X228" s="20" t="str">
        <f t="shared" ref="X228" si="5273">IF(X221="","",W221+W222-X221)</f>
        <v/>
      </c>
      <c r="Y228" s="20" t="str">
        <f t="shared" ref="Y228" si="5274">IF(Y221="","",X221+X222-Y221)</f>
        <v/>
      </c>
      <c r="Z228" s="20" t="str">
        <f t="shared" ref="Z228" si="5275">IF(Z221="","",Y221+Y222-Z221)</f>
        <v/>
      </c>
      <c r="AA228" s="20" t="str">
        <f t="shared" ref="AA228" si="5276">IF(AA221="","",Z221+Z222-AA221)</f>
        <v/>
      </c>
      <c r="AB228" s="20" t="str">
        <f t="shared" ref="AB228" si="5277">IF(AB221="","",AA221+AA222-AB221)</f>
        <v/>
      </c>
      <c r="AC228" s="20" t="str">
        <f t="shared" ref="AC228" si="5278">IF(AC221="","",AB221+AB222-AC221)</f>
        <v/>
      </c>
      <c r="AD228" s="20" t="str">
        <f t="shared" ref="AD228" si="5279">IF(AD221="","",AC221+AC222-AD221)</f>
        <v/>
      </c>
      <c r="AE228" s="20" t="str">
        <f t="shared" ref="AE228" si="5280">IF(AE221="","",AD221+AD222-AE221)</f>
        <v/>
      </c>
      <c r="AF228" s="20" t="str">
        <f t="shared" ref="AF228" si="5281">IF(AF221="","",AE221+AE222-AF221)</f>
        <v/>
      </c>
      <c r="AG228" s="20" t="str">
        <f t="shared" ref="AG228" si="5282">IF(AG221="","",AF221+AF222-AG221)</f>
        <v/>
      </c>
      <c r="AH228" s="20" t="str">
        <f t="shared" ref="AH228" si="5283">IF(AH221="","",AG221+AG222-AH221)</f>
        <v/>
      </c>
      <c r="AI228" s="20" t="str">
        <f t="shared" ref="AI228" si="5284">IF(AI221="","",AH221+AH222-AI221)</f>
        <v/>
      </c>
      <c r="AJ228" s="20" t="str">
        <f t="shared" ref="AJ228" si="5285">IF(AJ221="","",AI221+AI222-AJ221)</f>
        <v/>
      </c>
      <c r="AK228" s="20" t="str">
        <f t="shared" ref="AK228" si="5286">IF(AK221="","",AJ221+AJ222-AK221)</f>
        <v/>
      </c>
      <c r="AL228" s="20" t="str">
        <f t="shared" ref="AL228" si="5287">IF(AL221="","",AK221+AK222-AL221)</f>
        <v/>
      </c>
      <c r="AM228" s="20" t="str">
        <f t="shared" ref="AM228" si="5288">IF(AM221="","",AL221+AL222-AM221)</f>
        <v/>
      </c>
      <c r="AN228" s="20" t="str">
        <f t="shared" ref="AN228" si="5289">IF(AN221="","",AM221+AM222-AN221)</f>
        <v/>
      </c>
      <c r="AO228" s="20" t="str">
        <f t="shared" ref="AO228" si="5290">IF(AO221="","",AN221+AN222-AO221)</f>
        <v/>
      </c>
      <c r="AP228" s="20" t="str">
        <f t="shared" ref="AP228" si="5291">IF(AP221="","",AO221+AO222-AP221)</f>
        <v/>
      </c>
      <c r="AQ228" s="20" t="str">
        <f t="shared" ref="AQ228" si="5292">IF(AQ221="","",AP221+AP222-AQ221)</f>
        <v/>
      </c>
      <c r="AR228" s="20" t="str">
        <f t="shared" ref="AR228" si="5293">IF(AR221="","",AQ221+AQ222-AR221)</f>
        <v/>
      </c>
      <c r="AS228" s="20" t="str">
        <f t="shared" ref="AS228" si="5294">IF(AS221="","",AR221+AR222-AS221)</f>
        <v/>
      </c>
      <c r="AT228" s="20" t="str">
        <f t="shared" ref="AT228" si="5295">IF(AT221="","",AS221+AS222-AT221)</f>
        <v/>
      </c>
      <c r="AU228" s="20" t="str">
        <f t="shared" ref="AU228" si="5296">IF(AU221="","",AT221+AT222-AU221)</f>
        <v/>
      </c>
      <c r="AV228" s="20" t="str">
        <f t="shared" ref="AV228" si="5297">IF(AV221="","",AU221+AU222-AV221)</f>
        <v/>
      </c>
      <c r="AW228" s="20" t="str">
        <f t="shared" ref="AW228" si="5298">IF(AW221="","",AV221+AV222-AW221)</f>
        <v/>
      </c>
      <c r="AX228" s="20" t="str">
        <f t="shared" ref="AX228" si="5299">IF(AX221="","",AW221+AW222-AX221)</f>
        <v/>
      </c>
      <c r="AY228" s="20" t="str">
        <f t="shared" ref="AY228" si="5300">IF(AY221="","",AX221+AX222-AY221)</f>
        <v/>
      </c>
      <c r="AZ228" s="20" t="str">
        <f t="shared" ref="AZ228" si="5301">IF(AZ221="","",AY221+AY222-AZ221)</f>
        <v/>
      </c>
      <c r="BA228" s="20" t="str">
        <f t="shared" ref="BA228" si="5302">IF(BA221="","",AZ221+AZ222-BA221)</f>
        <v/>
      </c>
      <c r="BB228" s="20" t="str">
        <f t="shared" ref="BB228" si="5303">IF(BB221="","",BA221+BA222-BB221)</f>
        <v/>
      </c>
      <c r="BC228" s="223" t="str">
        <f t="shared" ref="BC228" si="5304">IF(BC221="","",BB221+BB222-BC221)</f>
        <v/>
      </c>
    </row>
    <row r="229" spans="1:55" ht="11.25" customHeight="1" x14ac:dyDescent="0.2">
      <c r="A229" s="222">
        <f t="shared" si="5206"/>
        <v>0</v>
      </c>
      <c r="B229" s="19" t="s">
        <v>16</v>
      </c>
      <c r="C229" s="123">
        <v>0</v>
      </c>
      <c r="D229" s="20">
        <v>0</v>
      </c>
      <c r="E229" s="20">
        <v>0</v>
      </c>
      <c r="F229" s="20">
        <v>0</v>
      </c>
      <c r="G229" s="195">
        <f t="shared" ref="D229:BC229" si="5305">IF(G219="","",G228*G223)</f>
        <v>0</v>
      </c>
      <c r="H229" s="20">
        <f t="shared" si="5305"/>
        <v>0</v>
      </c>
      <c r="I229" s="20">
        <f t="shared" si="5305"/>
        <v>0</v>
      </c>
      <c r="J229" s="195">
        <f t="shared" si="5305"/>
        <v>0</v>
      </c>
      <c r="K229" s="20">
        <f t="shared" si="5305"/>
        <v>0</v>
      </c>
      <c r="L229" s="20">
        <f t="shared" si="5305"/>
        <v>0</v>
      </c>
      <c r="M229" s="20">
        <f t="shared" si="5305"/>
        <v>0</v>
      </c>
      <c r="N229" s="195" t="str">
        <f t="shared" si="5305"/>
        <v/>
      </c>
      <c r="O229" s="20" t="str">
        <f t="shared" si="5305"/>
        <v/>
      </c>
      <c r="P229" s="20" t="str">
        <f t="shared" si="5305"/>
        <v/>
      </c>
      <c r="Q229" s="20" t="str">
        <f t="shared" si="5305"/>
        <v/>
      </c>
      <c r="R229" s="20" t="str">
        <f t="shared" si="5305"/>
        <v/>
      </c>
      <c r="S229" s="20" t="str">
        <f t="shared" si="5305"/>
        <v/>
      </c>
      <c r="T229" s="20" t="str">
        <f t="shared" si="5305"/>
        <v/>
      </c>
      <c r="U229" s="20" t="str">
        <f t="shared" si="5305"/>
        <v/>
      </c>
      <c r="V229" s="20" t="str">
        <f t="shared" si="5305"/>
        <v/>
      </c>
      <c r="W229" s="20" t="str">
        <f t="shared" si="5305"/>
        <v/>
      </c>
      <c r="X229" s="20" t="str">
        <f t="shared" si="5305"/>
        <v/>
      </c>
      <c r="Y229" s="20" t="str">
        <f t="shared" si="5305"/>
        <v/>
      </c>
      <c r="Z229" s="20" t="str">
        <f t="shared" si="5305"/>
        <v/>
      </c>
      <c r="AA229" s="20" t="str">
        <f t="shared" si="5305"/>
        <v/>
      </c>
      <c r="AB229" s="20" t="str">
        <f t="shared" si="5305"/>
        <v/>
      </c>
      <c r="AC229" s="20" t="str">
        <f t="shared" si="5305"/>
        <v/>
      </c>
      <c r="AD229" s="20" t="str">
        <f t="shared" si="5305"/>
        <v/>
      </c>
      <c r="AE229" s="20" t="str">
        <f t="shared" si="5305"/>
        <v/>
      </c>
      <c r="AF229" s="20" t="str">
        <f t="shared" si="5305"/>
        <v/>
      </c>
      <c r="AG229" s="20" t="str">
        <f t="shared" si="5305"/>
        <v/>
      </c>
      <c r="AH229" s="20" t="str">
        <f t="shared" si="5305"/>
        <v/>
      </c>
      <c r="AI229" s="20" t="str">
        <f t="shared" si="5305"/>
        <v/>
      </c>
      <c r="AJ229" s="20" t="str">
        <f t="shared" si="5305"/>
        <v/>
      </c>
      <c r="AK229" s="20" t="str">
        <f t="shared" si="5305"/>
        <v/>
      </c>
      <c r="AL229" s="20" t="str">
        <f t="shared" si="5305"/>
        <v/>
      </c>
      <c r="AM229" s="20" t="str">
        <f t="shared" si="5305"/>
        <v/>
      </c>
      <c r="AN229" s="20" t="str">
        <f t="shared" si="5305"/>
        <v/>
      </c>
      <c r="AO229" s="20" t="str">
        <f t="shared" si="5305"/>
        <v/>
      </c>
      <c r="AP229" s="20" t="str">
        <f t="shared" si="5305"/>
        <v/>
      </c>
      <c r="AQ229" s="20" t="str">
        <f t="shared" si="5305"/>
        <v/>
      </c>
      <c r="AR229" s="20" t="str">
        <f t="shared" si="5305"/>
        <v/>
      </c>
      <c r="AS229" s="20" t="str">
        <f t="shared" si="5305"/>
        <v/>
      </c>
      <c r="AT229" s="20" t="str">
        <f t="shared" si="5305"/>
        <v/>
      </c>
      <c r="AU229" s="20" t="str">
        <f t="shared" si="5305"/>
        <v/>
      </c>
      <c r="AV229" s="20" t="str">
        <f t="shared" si="5305"/>
        <v/>
      </c>
      <c r="AW229" s="20" t="str">
        <f t="shared" si="5305"/>
        <v/>
      </c>
      <c r="AX229" s="20" t="str">
        <f t="shared" si="5305"/>
        <v/>
      </c>
      <c r="AY229" s="20" t="str">
        <f t="shared" si="5305"/>
        <v/>
      </c>
      <c r="AZ229" s="20" t="str">
        <f t="shared" si="5305"/>
        <v/>
      </c>
      <c r="BA229" s="20" t="str">
        <f t="shared" si="5305"/>
        <v/>
      </c>
      <c r="BB229" s="20" t="str">
        <f t="shared" si="5305"/>
        <v/>
      </c>
      <c r="BC229" s="223" t="str">
        <f t="shared" si="5305"/>
        <v/>
      </c>
    </row>
    <row r="230" spans="1:55" ht="11.25" customHeight="1" thickBot="1" x14ac:dyDescent="0.25">
      <c r="A230" s="224">
        <f>IF(A229="","",A229/(A226*100))</f>
        <v>0</v>
      </c>
      <c r="B230" s="19" t="s">
        <v>17</v>
      </c>
      <c r="C230" s="146" t="s">
        <v>18</v>
      </c>
      <c r="D230" s="27" t="s">
        <v>18</v>
      </c>
      <c r="E230" s="27" t="s">
        <v>18</v>
      </c>
      <c r="F230" s="27" t="s">
        <v>18</v>
      </c>
      <c r="G230" s="199" t="str">
        <f t="shared" ref="D230:BC230" si="5306">IF(G229="","",IF(G229=0,"",G229/(G226*100)))</f>
        <v/>
      </c>
      <c r="H230" s="27" t="str">
        <f t="shared" si="5306"/>
        <v/>
      </c>
      <c r="I230" s="27" t="str">
        <f t="shared" si="5306"/>
        <v/>
      </c>
      <c r="J230" s="199" t="str">
        <f t="shared" si="5306"/>
        <v/>
      </c>
      <c r="K230" s="27" t="str">
        <f t="shared" si="5306"/>
        <v/>
      </c>
      <c r="L230" s="27" t="str">
        <f t="shared" si="5306"/>
        <v/>
      </c>
      <c r="M230" s="27" t="str">
        <f t="shared" si="5306"/>
        <v/>
      </c>
      <c r="N230" s="199" t="str">
        <f t="shared" si="5306"/>
        <v/>
      </c>
      <c r="O230" s="27" t="str">
        <f t="shared" si="5306"/>
        <v/>
      </c>
      <c r="P230" s="27" t="str">
        <f t="shared" si="5306"/>
        <v/>
      </c>
      <c r="Q230" s="27" t="str">
        <f t="shared" si="5306"/>
        <v/>
      </c>
      <c r="R230" s="27" t="str">
        <f t="shared" si="5306"/>
        <v/>
      </c>
      <c r="S230" s="27" t="str">
        <f t="shared" si="5306"/>
        <v/>
      </c>
      <c r="T230" s="27" t="str">
        <f t="shared" si="5306"/>
        <v/>
      </c>
      <c r="U230" s="27" t="str">
        <f t="shared" si="5306"/>
        <v/>
      </c>
      <c r="V230" s="27" t="str">
        <f t="shared" si="5306"/>
        <v/>
      </c>
      <c r="W230" s="27" t="str">
        <f t="shared" si="5306"/>
        <v/>
      </c>
      <c r="X230" s="27" t="str">
        <f t="shared" si="5306"/>
        <v/>
      </c>
      <c r="Y230" s="27" t="str">
        <f t="shared" si="5306"/>
        <v/>
      </c>
      <c r="Z230" s="27" t="str">
        <f t="shared" si="5306"/>
        <v/>
      </c>
      <c r="AA230" s="27" t="str">
        <f t="shared" si="5306"/>
        <v/>
      </c>
      <c r="AB230" s="27" t="str">
        <f t="shared" si="5306"/>
        <v/>
      </c>
      <c r="AC230" s="27" t="str">
        <f t="shared" si="5306"/>
        <v/>
      </c>
      <c r="AD230" s="27" t="str">
        <f t="shared" si="5306"/>
        <v/>
      </c>
      <c r="AE230" s="27" t="str">
        <f t="shared" si="5306"/>
        <v/>
      </c>
      <c r="AF230" s="27" t="str">
        <f t="shared" si="5306"/>
        <v/>
      </c>
      <c r="AG230" s="27" t="str">
        <f t="shared" si="5306"/>
        <v/>
      </c>
      <c r="AH230" s="27" t="str">
        <f t="shared" si="5306"/>
        <v/>
      </c>
      <c r="AI230" s="27" t="str">
        <f t="shared" si="5306"/>
        <v/>
      </c>
      <c r="AJ230" s="27" t="str">
        <f t="shared" si="5306"/>
        <v/>
      </c>
      <c r="AK230" s="27" t="str">
        <f t="shared" si="5306"/>
        <v/>
      </c>
      <c r="AL230" s="27" t="str">
        <f t="shared" si="5306"/>
        <v/>
      </c>
      <c r="AM230" s="27" t="str">
        <f t="shared" si="5306"/>
        <v/>
      </c>
      <c r="AN230" s="27" t="str">
        <f t="shared" si="5306"/>
        <v/>
      </c>
      <c r="AO230" s="27" t="str">
        <f t="shared" si="5306"/>
        <v/>
      </c>
      <c r="AP230" s="27" t="str">
        <f t="shared" si="5306"/>
        <v/>
      </c>
      <c r="AQ230" s="27" t="str">
        <f t="shared" si="5306"/>
        <v/>
      </c>
      <c r="AR230" s="27" t="str">
        <f t="shared" si="5306"/>
        <v/>
      </c>
      <c r="AS230" s="27" t="str">
        <f t="shared" si="5306"/>
        <v/>
      </c>
      <c r="AT230" s="27" t="str">
        <f t="shared" si="5306"/>
        <v/>
      </c>
      <c r="AU230" s="27" t="str">
        <f t="shared" si="5306"/>
        <v/>
      </c>
      <c r="AV230" s="27" t="str">
        <f t="shared" si="5306"/>
        <v/>
      </c>
      <c r="AW230" s="27" t="str">
        <f t="shared" si="5306"/>
        <v/>
      </c>
      <c r="AX230" s="27" t="str">
        <f t="shared" si="5306"/>
        <v/>
      </c>
      <c r="AY230" s="27" t="str">
        <f t="shared" si="5306"/>
        <v/>
      </c>
      <c r="AZ230" s="27" t="str">
        <f t="shared" si="5306"/>
        <v/>
      </c>
      <c r="BA230" s="27" t="str">
        <f t="shared" si="5306"/>
        <v/>
      </c>
      <c r="BB230" s="27" t="str">
        <f t="shared" si="5306"/>
        <v/>
      </c>
      <c r="BC230" s="225" t="str">
        <f t="shared" si="5306"/>
        <v/>
      </c>
    </row>
    <row r="231" spans="1:55" ht="11.25" customHeight="1" x14ac:dyDescent="0.2">
      <c r="A231" s="226" t="s">
        <v>1</v>
      </c>
      <c r="B231" s="205" t="s">
        <v>2</v>
      </c>
      <c r="C231" s="129">
        <v>0</v>
      </c>
      <c r="D231" s="206">
        <v>0</v>
      </c>
      <c r="E231" s="206">
        <v>0</v>
      </c>
      <c r="F231" s="206">
        <v>0</v>
      </c>
      <c r="G231" s="207">
        <f t="shared" ref="G231:G232" si="5307">IF(G$3="","",F231)</f>
        <v>0</v>
      </c>
      <c r="H231" s="206">
        <f t="shared" ref="H231:H232" si="5308">IF(H$3="","",G231)</f>
        <v>0</v>
      </c>
      <c r="I231" s="206">
        <v>45</v>
      </c>
      <c r="J231" s="207">
        <f t="shared" ref="J231:J232" si="5309">IF(J$3="","",I231)</f>
        <v>45</v>
      </c>
      <c r="K231" s="206">
        <f t="shared" ref="K231:K232" si="5310">IF(K$3="","",J231)</f>
        <v>45</v>
      </c>
      <c r="L231" s="206">
        <f t="shared" ref="L231:L232" si="5311">IF(L$3="","",K231)</f>
        <v>45</v>
      </c>
      <c r="M231" s="206">
        <f t="shared" ref="M231:M232" si="5312">IF(M$3="","",L231)</f>
        <v>45</v>
      </c>
      <c r="N231" s="207" t="str">
        <f t="shared" ref="N231:N232" si="5313">IF(N$3="","",M231)</f>
        <v/>
      </c>
      <c r="O231" s="206" t="str">
        <f t="shared" ref="O231:O232" si="5314">IF(O$3="","",N231)</f>
        <v/>
      </c>
      <c r="P231" s="206" t="str">
        <f t="shared" ref="P231:P232" si="5315">IF(P$3="","",O231)</f>
        <v/>
      </c>
      <c r="Q231" s="206" t="str">
        <f t="shared" ref="Q231:Q232" si="5316">IF(Q$3="","",P231)</f>
        <v/>
      </c>
      <c r="R231" s="206" t="str">
        <f t="shared" ref="R231:R232" si="5317">IF(R$3="","",Q231)</f>
        <v/>
      </c>
      <c r="S231" s="206" t="str">
        <f t="shared" ref="S231:S232" si="5318">IF(S$3="","",R231)</f>
        <v/>
      </c>
      <c r="T231" s="206" t="str">
        <f t="shared" ref="T231:T232" si="5319">IF(T$3="","",S231)</f>
        <v/>
      </c>
      <c r="U231" s="206" t="str">
        <f t="shared" ref="U231:U232" si="5320">IF(U$3="","",T231)</f>
        <v/>
      </c>
      <c r="V231" s="206" t="str">
        <f t="shared" ref="V231:V232" si="5321">IF(V$3="","",U231)</f>
        <v/>
      </c>
      <c r="W231" s="206" t="str">
        <f t="shared" ref="W231:W232" si="5322">IF(W$3="","",V231)</f>
        <v/>
      </c>
      <c r="X231" s="206" t="str">
        <f t="shared" ref="X231:X232" si="5323">IF(X$3="","",W231)</f>
        <v/>
      </c>
      <c r="Y231" s="206" t="str">
        <f t="shared" ref="Y231:Y232" si="5324">IF(Y$3="","",X231)</f>
        <v/>
      </c>
      <c r="Z231" s="206" t="str">
        <f t="shared" ref="Z231:Z232" si="5325">IF(Z$3="","",Y231)</f>
        <v/>
      </c>
      <c r="AA231" s="206" t="str">
        <f t="shared" ref="AA231:AA232" si="5326">IF(AA$3="","",Z231)</f>
        <v/>
      </c>
      <c r="AB231" s="206" t="str">
        <f t="shared" ref="AB231:AB232" si="5327">IF(AB$3="","",AA231)</f>
        <v/>
      </c>
      <c r="AC231" s="206" t="str">
        <f t="shared" ref="AC231:AC232" si="5328">IF(AC$3="","",AB231)</f>
        <v/>
      </c>
      <c r="AD231" s="206" t="str">
        <f t="shared" ref="AD231:AD232" si="5329">IF(AD$3="","",AC231)</f>
        <v/>
      </c>
      <c r="AE231" s="206" t="str">
        <f t="shared" ref="AE231:AE232" si="5330">IF(AE$3="","",AD231)</f>
        <v/>
      </c>
      <c r="AF231" s="206" t="str">
        <f t="shared" ref="AF231:AF232" si="5331">IF(AF$3="","",AE231)</f>
        <v/>
      </c>
      <c r="AG231" s="206" t="str">
        <f t="shared" ref="AG231:AG232" si="5332">IF(AG$3="","",AF231)</f>
        <v/>
      </c>
      <c r="AH231" s="206" t="str">
        <f t="shared" ref="AH231:AH232" si="5333">IF(AH$3="","",AG231)</f>
        <v/>
      </c>
      <c r="AI231" s="206" t="str">
        <f t="shared" ref="AI231:AI232" si="5334">IF(AI$3="","",AH231)</f>
        <v/>
      </c>
      <c r="AJ231" s="206" t="str">
        <f t="shared" ref="AJ231:AJ232" si="5335">IF(AJ$3="","",AI231)</f>
        <v/>
      </c>
      <c r="AK231" s="206" t="str">
        <f t="shared" ref="AK231:AK232" si="5336">IF(AK$3="","",AJ231)</f>
        <v/>
      </c>
      <c r="AL231" s="206" t="str">
        <f t="shared" ref="AL231:AL232" si="5337">IF(AL$3="","",AK231)</f>
        <v/>
      </c>
      <c r="AM231" s="206" t="str">
        <f t="shared" ref="AM231:AM232" si="5338">IF(AM$3="","",AL231)</f>
        <v/>
      </c>
      <c r="AN231" s="206" t="str">
        <f t="shared" ref="AN231:AN232" si="5339">IF(AN$3="","",AM231)</f>
        <v/>
      </c>
      <c r="AO231" s="206" t="str">
        <f t="shared" ref="AO231:AO232" si="5340">IF(AO$3="","",AN231)</f>
        <v/>
      </c>
      <c r="AP231" s="206" t="str">
        <f t="shared" ref="AP231:AP232" si="5341">IF(AP$3="","",AO231)</f>
        <v/>
      </c>
      <c r="AQ231" s="206" t="str">
        <f t="shared" ref="AQ231:AQ232" si="5342">IF(AQ$3="","",AP231)</f>
        <v/>
      </c>
      <c r="AR231" s="206" t="str">
        <f t="shared" ref="AR231:AR232" si="5343">IF(AR$3="","",AQ231)</f>
        <v/>
      </c>
      <c r="AS231" s="206" t="str">
        <f t="shared" ref="AS231:AS232" si="5344">IF(AS$3="","",AR231)</f>
        <v/>
      </c>
      <c r="AT231" s="206" t="str">
        <f t="shared" ref="AT231:AT232" si="5345">IF(AT$3="","",AS231)</f>
        <v/>
      </c>
      <c r="AU231" s="206" t="str">
        <f t="shared" ref="AU231:AU232" si="5346">IF(AU$3="","",AT231)</f>
        <v/>
      </c>
      <c r="AV231" s="206" t="str">
        <f t="shared" ref="AV231:AV232" si="5347">IF(AV$3="","",AU231)</f>
        <v/>
      </c>
      <c r="AW231" s="206" t="str">
        <f t="shared" ref="AW231:AW232" si="5348">IF(AW$3="","",AV231)</f>
        <v/>
      </c>
      <c r="AX231" s="206" t="str">
        <f t="shared" ref="AX231:AX232" si="5349">IF(AX$3="","",AW231)</f>
        <v/>
      </c>
      <c r="AY231" s="206" t="str">
        <f t="shared" ref="AY231:AY232" si="5350">IF(AY$3="","",AX231)</f>
        <v/>
      </c>
      <c r="AZ231" s="206" t="str">
        <f t="shared" ref="AZ231:AZ232" si="5351">IF(AZ$3="","",AY231)</f>
        <v/>
      </c>
      <c r="BA231" s="206" t="str">
        <f t="shared" ref="BA231:BA232" si="5352">IF(BA$3="","",AZ231)</f>
        <v/>
      </c>
      <c r="BB231" s="206" t="str">
        <f t="shared" ref="BB231:BB232" si="5353">IF(BB$3="","",BA231)</f>
        <v/>
      </c>
      <c r="BC231" s="219" t="str">
        <f t="shared" ref="BC231:BC232" si="5354">IF(BC$3="","",BB231)</f>
        <v/>
      </c>
    </row>
    <row r="232" spans="1:55" ht="11.25" customHeight="1" x14ac:dyDescent="0.2">
      <c r="A232" s="214" t="str">
        <f>A220</f>
        <v>BUZZ＃4</v>
      </c>
      <c r="B232" s="11" t="s">
        <v>4</v>
      </c>
      <c r="C232" s="123">
        <v>0</v>
      </c>
      <c r="D232" s="12">
        <v>0</v>
      </c>
      <c r="E232" s="12">
        <v>0</v>
      </c>
      <c r="F232" s="12">
        <v>0</v>
      </c>
      <c r="G232" s="195">
        <f t="shared" si="5307"/>
        <v>0</v>
      </c>
      <c r="H232" s="12">
        <f t="shared" si="5308"/>
        <v>0</v>
      </c>
      <c r="I232" s="12">
        <v>9</v>
      </c>
      <c r="J232" s="195">
        <f t="shared" si="5309"/>
        <v>9</v>
      </c>
      <c r="K232" s="12">
        <f t="shared" si="5310"/>
        <v>9</v>
      </c>
      <c r="L232" s="12">
        <f t="shared" si="5311"/>
        <v>9</v>
      </c>
      <c r="M232" s="12">
        <f t="shared" si="5312"/>
        <v>9</v>
      </c>
      <c r="N232" s="195" t="str">
        <f t="shared" si="5313"/>
        <v/>
      </c>
      <c r="O232" s="12" t="str">
        <f t="shared" si="5314"/>
        <v/>
      </c>
      <c r="P232" s="12" t="str">
        <f t="shared" si="5315"/>
        <v/>
      </c>
      <c r="Q232" s="12" t="str">
        <f t="shared" si="5316"/>
        <v/>
      </c>
      <c r="R232" s="12" t="str">
        <f t="shared" si="5317"/>
        <v/>
      </c>
      <c r="S232" s="12" t="str">
        <f t="shared" si="5318"/>
        <v/>
      </c>
      <c r="T232" s="12" t="str">
        <f t="shared" si="5319"/>
        <v/>
      </c>
      <c r="U232" s="12" t="str">
        <f t="shared" si="5320"/>
        <v/>
      </c>
      <c r="V232" s="12" t="str">
        <f t="shared" si="5321"/>
        <v/>
      </c>
      <c r="W232" s="12" t="str">
        <f t="shared" si="5322"/>
        <v/>
      </c>
      <c r="X232" s="12" t="str">
        <f t="shared" si="5323"/>
        <v/>
      </c>
      <c r="Y232" s="12" t="str">
        <f t="shared" si="5324"/>
        <v/>
      </c>
      <c r="Z232" s="12" t="str">
        <f t="shared" si="5325"/>
        <v/>
      </c>
      <c r="AA232" s="12" t="str">
        <f t="shared" si="5326"/>
        <v/>
      </c>
      <c r="AB232" s="12" t="str">
        <f t="shared" si="5327"/>
        <v/>
      </c>
      <c r="AC232" s="12" t="str">
        <f t="shared" si="5328"/>
        <v/>
      </c>
      <c r="AD232" s="12" t="str">
        <f t="shared" si="5329"/>
        <v/>
      </c>
      <c r="AE232" s="12" t="str">
        <f t="shared" si="5330"/>
        <v/>
      </c>
      <c r="AF232" s="12" t="str">
        <f t="shared" si="5331"/>
        <v/>
      </c>
      <c r="AG232" s="12" t="str">
        <f t="shared" si="5332"/>
        <v/>
      </c>
      <c r="AH232" s="12" t="str">
        <f t="shared" si="5333"/>
        <v/>
      </c>
      <c r="AI232" s="12" t="str">
        <f t="shared" si="5334"/>
        <v/>
      </c>
      <c r="AJ232" s="12" t="str">
        <f t="shared" si="5335"/>
        <v/>
      </c>
      <c r="AK232" s="12" t="str">
        <f t="shared" si="5336"/>
        <v/>
      </c>
      <c r="AL232" s="12" t="str">
        <f t="shared" si="5337"/>
        <v/>
      </c>
      <c r="AM232" s="12" t="str">
        <f t="shared" si="5338"/>
        <v/>
      </c>
      <c r="AN232" s="12" t="str">
        <f t="shared" si="5339"/>
        <v/>
      </c>
      <c r="AO232" s="12" t="str">
        <f t="shared" si="5340"/>
        <v/>
      </c>
      <c r="AP232" s="12" t="str">
        <f t="shared" si="5341"/>
        <v/>
      </c>
      <c r="AQ232" s="12" t="str">
        <f t="shared" si="5342"/>
        <v/>
      </c>
      <c r="AR232" s="12" t="str">
        <f t="shared" si="5343"/>
        <v/>
      </c>
      <c r="AS232" s="12" t="str">
        <f t="shared" si="5344"/>
        <v/>
      </c>
      <c r="AT232" s="12" t="str">
        <f t="shared" si="5345"/>
        <v/>
      </c>
      <c r="AU232" s="12" t="str">
        <f t="shared" si="5346"/>
        <v/>
      </c>
      <c r="AV232" s="12" t="str">
        <f t="shared" si="5347"/>
        <v/>
      </c>
      <c r="AW232" s="12" t="str">
        <f t="shared" si="5348"/>
        <v/>
      </c>
      <c r="AX232" s="12" t="str">
        <f t="shared" si="5349"/>
        <v/>
      </c>
      <c r="AY232" s="12" t="str">
        <f t="shared" si="5350"/>
        <v/>
      </c>
      <c r="AZ232" s="12" t="str">
        <f t="shared" si="5351"/>
        <v/>
      </c>
      <c r="BA232" s="12" t="str">
        <f t="shared" si="5352"/>
        <v/>
      </c>
      <c r="BB232" s="12" t="str">
        <f t="shared" si="5353"/>
        <v/>
      </c>
      <c r="BC232" s="215" t="str">
        <f t="shared" si="5354"/>
        <v/>
      </c>
    </row>
    <row r="233" spans="1:55" ht="11.25" customHeight="1" x14ac:dyDescent="0.25">
      <c r="A233" s="216">
        <v>4</v>
      </c>
      <c r="B233" s="11" t="s">
        <v>5</v>
      </c>
      <c r="C233" s="123">
        <v>50</v>
      </c>
      <c r="D233" s="12">
        <v>50</v>
      </c>
      <c r="E233" s="12">
        <v>50</v>
      </c>
      <c r="F233" s="12">
        <v>50</v>
      </c>
      <c r="G233" s="195">
        <f t="shared" ref="G233" si="5355">IF(G231="","",(F233+F234))</f>
        <v>50</v>
      </c>
      <c r="H233" s="12">
        <f t="shared" ref="H233" si="5356">IF(H231="","",(G233+G234))</f>
        <v>50</v>
      </c>
      <c r="I233" s="12">
        <v>41</v>
      </c>
      <c r="J233" s="195">
        <f t="shared" ref="J233" si="5357">IF(J231="","",(I233+I234))</f>
        <v>41</v>
      </c>
      <c r="K233" s="12">
        <f t="shared" ref="K233" si="5358">IF(K231="","",(J233+J234))</f>
        <v>41</v>
      </c>
      <c r="L233" s="12">
        <f t="shared" ref="L233" si="5359">IF(L231="","",(K233+K234))</f>
        <v>41</v>
      </c>
      <c r="M233" s="12">
        <f t="shared" ref="M233" si="5360">IF(M231="","",(L233+L234))</f>
        <v>41</v>
      </c>
      <c r="N233" s="195" t="str">
        <f t="shared" ref="N233" si="5361">IF(N231="","",(M233+M234))</f>
        <v/>
      </c>
      <c r="O233" s="12" t="str">
        <f t="shared" ref="O233" si="5362">IF(O231="","",(N233+N234))</f>
        <v/>
      </c>
      <c r="P233" s="12" t="str">
        <f t="shared" ref="P233" si="5363">IF(P231="","",(O233+O234))</f>
        <v/>
      </c>
      <c r="Q233" s="12" t="str">
        <f t="shared" ref="Q233" si="5364">IF(Q231="","",(P233+P234))</f>
        <v/>
      </c>
      <c r="R233" s="12" t="str">
        <f t="shared" ref="R233" si="5365">IF(R231="","",(Q233+Q234))</f>
        <v/>
      </c>
      <c r="S233" s="12" t="str">
        <f t="shared" ref="S233" si="5366">IF(S231="","",(R233+R234))</f>
        <v/>
      </c>
      <c r="T233" s="12" t="str">
        <f t="shared" ref="T233" si="5367">IF(T231="","",(S233+S234))</f>
        <v/>
      </c>
      <c r="U233" s="12" t="str">
        <f t="shared" ref="U233" si="5368">IF(U231="","",(T233+T234))</f>
        <v/>
      </c>
      <c r="V233" s="12" t="str">
        <f t="shared" ref="V233" si="5369">IF(V231="","",(U233+U234))</f>
        <v/>
      </c>
      <c r="W233" s="12" t="str">
        <f t="shared" ref="W233" si="5370">IF(W231="","",(V233+V234))</f>
        <v/>
      </c>
      <c r="X233" s="12" t="str">
        <f t="shared" ref="X233" si="5371">IF(X231="","",(W233+W234))</f>
        <v/>
      </c>
      <c r="Y233" s="12" t="str">
        <f t="shared" ref="Y233" si="5372">IF(Y231="","",(X233+X234))</f>
        <v/>
      </c>
      <c r="Z233" s="12" t="str">
        <f t="shared" ref="Z233" si="5373">IF(Z231="","",(Y233+Y234))</f>
        <v/>
      </c>
      <c r="AA233" s="12" t="str">
        <f t="shared" ref="AA233" si="5374">IF(AA231="","",(Z233+Z234))</f>
        <v/>
      </c>
      <c r="AB233" s="12" t="str">
        <f t="shared" ref="AB233" si="5375">IF(AB231="","",(AA233+AA234))</f>
        <v/>
      </c>
      <c r="AC233" s="12" t="str">
        <f t="shared" ref="AC233" si="5376">IF(AC231="","",(AB233+AB234))</f>
        <v/>
      </c>
      <c r="AD233" s="12" t="str">
        <f t="shared" ref="AD233" si="5377">IF(AD231="","",(AC233+AC234))</f>
        <v/>
      </c>
      <c r="AE233" s="12" t="str">
        <f t="shared" ref="AE233" si="5378">IF(AE231="","",(AD233+AD234))</f>
        <v/>
      </c>
      <c r="AF233" s="12" t="str">
        <f t="shared" ref="AF233" si="5379">IF(AF231="","",(AE233+AE234))</f>
        <v/>
      </c>
      <c r="AG233" s="12" t="str">
        <f t="shared" ref="AG233" si="5380">IF(AG231="","",(AF233+AF234))</f>
        <v/>
      </c>
      <c r="AH233" s="12" t="str">
        <f t="shared" ref="AH233" si="5381">IF(AH231="","",(AG233+AG234))</f>
        <v/>
      </c>
      <c r="AI233" s="12" t="str">
        <f t="shared" ref="AI233" si="5382">IF(AI231="","",(AH233+AH234))</f>
        <v/>
      </c>
      <c r="AJ233" s="12" t="str">
        <f t="shared" ref="AJ233" si="5383">IF(AJ231="","",(AI233+AI234))</f>
        <v/>
      </c>
      <c r="AK233" s="12" t="str">
        <f t="shared" ref="AK233" si="5384">IF(AK231="","",(AJ233+AJ234))</f>
        <v/>
      </c>
      <c r="AL233" s="12" t="str">
        <f t="shared" ref="AL233" si="5385">IF(AL231="","",(AK233+AK234))</f>
        <v/>
      </c>
      <c r="AM233" s="12" t="str">
        <f t="shared" ref="AM233" si="5386">IF(AM231="","",(AL233+AL234))</f>
        <v/>
      </c>
      <c r="AN233" s="12" t="str">
        <f t="shared" ref="AN233" si="5387">IF(AN231="","",(AM233+AM234))</f>
        <v/>
      </c>
      <c r="AO233" s="12" t="str">
        <f t="shared" ref="AO233" si="5388">IF(AO231="","",(AN233+AN234))</f>
        <v/>
      </c>
      <c r="AP233" s="12" t="str">
        <f t="shared" ref="AP233" si="5389">IF(AP231="","",(AO233+AO234))</f>
        <v/>
      </c>
      <c r="AQ233" s="12" t="str">
        <f t="shared" ref="AQ233" si="5390">IF(AQ231="","",(AP233+AP234))</f>
        <v/>
      </c>
      <c r="AR233" s="12" t="str">
        <f t="shared" ref="AR233" si="5391">IF(AR231="","",(AQ233+AQ234))</f>
        <v/>
      </c>
      <c r="AS233" s="12" t="str">
        <f t="shared" ref="AS233" si="5392">IF(AS231="","",(AR233+AR234))</f>
        <v/>
      </c>
      <c r="AT233" s="12" t="str">
        <f t="shared" ref="AT233" si="5393">IF(AT231="","",(AS233+AS234))</f>
        <v/>
      </c>
      <c r="AU233" s="12" t="str">
        <f t="shared" ref="AU233" si="5394">IF(AU231="","",(AT233+AT234))</f>
        <v/>
      </c>
      <c r="AV233" s="12" t="str">
        <f t="shared" ref="AV233" si="5395">IF(AV231="","",(AU233+AU234))</f>
        <v/>
      </c>
      <c r="AW233" s="12" t="str">
        <f t="shared" ref="AW233" si="5396">IF(AW231="","",(AV233+AV234))</f>
        <v/>
      </c>
      <c r="AX233" s="12" t="str">
        <f t="shared" ref="AX233" si="5397">IF(AX231="","",(AW233+AW234))</f>
        <v/>
      </c>
      <c r="AY233" s="12" t="str">
        <f t="shared" ref="AY233" si="5398">IF(AY231="","",(AX233+AX234))</f>
        <v/>
      </c>
      <c r="AZ233" s="12" t="str">
        <f t="shared" ref="AZ233" si="5399">IF(AZ231="","",(AY233+AY234))</f>
        <v/>
      </c>
      <c r="BA233" s="12" t="str">
        <f t="shared" ref="BA233" si="5400">IF(BA231="","",(AZ233+AZ234))</f>
        <v/>
      </c>
      <c r="BB233" s="12" t="str">
        <f t="shared" ref="BB233" si="5401">IF(BB231="","",(BA233+BA234))</f>
        <v/>
      </c>
      <c r="BC233" s="215" t="str">
        <f t="shared" ref="BC233" si="5402">IF(BC231="","",(BB233+BB234))</f>
        <v/>
      </c>
    </row>
    <row r="234" spans="1:55" ht="11.25" customHeight="1" x14ac:dyDescent="0.2">
      <c r="A234" s="220"/>
      <c r="B234" s="11" t="s">
        <v>6</v>
      </c>
      <c r="C234" s="123"/>
      <c r="D234" s="12"/>
      <c r="E234" s="12"/>
      <c r="F234" s="12"/>
      <c r="G234" s="195"/>
      <c r="H234" s="12"/>
      <c r="I234" s="12"/>
      <c r="J234" s="195"/>
      <c r="K234" s="12"/>
      <c r="L234" s="12"/>
      <c r="M234" s="12"/>
      <c r="N234" s="195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215"/>
    </row>
    <row r="235" spans="1:55" ht="11.25" customHeight="1" x14ac:dyDescent="0.2">
      <c r="A235" s="222"/>
      <c r="B235" s="11" t="s">
        <v>8</v>
      </c>
      <c r="C235" s="129">
        <v>190</v>
      </c>
      <c r="D235" s="206">
        <v>190</v>
      </c>
      <c r="E235" s="206">
        <v>190</v>
      </c>
      <c r="F235" s="206">
        <v>190</v>
      </c>
      <c r="G235" s="207">
        <v>190</v>
      </c>
      <c r="H235" s="206">
        <f t="shared" ref="H235" si="5403">IF(H231="","",G235)</f>
        <v>190</v>
      </c>
      <c r="I235" s="206">
        <f t="shared" ref="I235" si="5404">IF(I231="","",H235)</f>
        <v>190</v>
      </c>
      <c r="J235" s="207">
        <f t="shared" ref="J235" si="5405">IF(J231="","",I235)</f>
        <v>190</v>
      </c>
      <c r="K235" s="206">
        <f t="shared" ref="K235" si="5406">IF(K231="","",J235)</f>
        <v>190</v>
      </c>
      <c r="L235" s="206">
        <f t="shared" ref="L235" si="5407">IF(L231="","",K235)</f>
        <v>190</v>
      </c>
      <c r="M235" s="206">
        <f t="shared" ref="M235" si="5408">IF(M231="","",L235)</f>
        <v>190</v>
      </c>
      <c r="N235" s="207" t="str">
        <f t="shared" ref="N235" si="5409">IF(N231="","",M235)</f>
        <v/>
      </c>
      <c r="O235" s="206" t="str">
        <f t="shared" ref="O235" si="5410">IF(O231="","",N235)</f>
        <v/>
      </c>
      <c r="P235" s="206" t="str">
        <f t="shared" ref="P235" si="5411">IF(P231="","",O235)</f>
        <v/>
      </c>
      <c r="Q235" s="206" t="str">
        <f t="shared" ref="Q235" si="5412">IF(Q231="","",P235)</f>
        <v/>
      </c>
      <c r="R235" s="206" t="str">
        <f t="shared" ref="R235" si="5413">IF(R231="","",Q235)</f>
        <v/>
      </c>
      <c r="S235" s="206" t="str">
        <f t="shared" ref="S235" si="5414">IF(S231="","",R235)</f>
        <v/>
      </c>
      <c r="T235" s="206" t="str">
        <f t="shared" ref="T235" si="5415">IF(T231="","",S235)</f>
        <v/>
      </c>
      <c r="U235" s="206" t="str">
        <f t="shared" ref="U235" si="5416">IF(U231="","",T235)</f>
        <v/>
      </c>
      <c r="V235" s="206" t="str">
        <f t="shared" ref="V235" si="5417">IF(V231="","",U235)</f>
        <v/>
      </c>
      <c r="W235" s="206" t="str">
        <f t="shared" ref="W235" si="5418">IF(W231="","",V235)</f>
        <v/>
      </c>
      <c r="X235" s="206" t="str">
        <f t="shared" ref="X235" si="5419">IF(X231="","",W235)</f>
        <v/>
      </c>
      <c r="Y235" s="206" t="str">
        <f t="shared" ref="Y235" si="5420">IF(Y231="","",X235)</f>
        <v/>
      </c>
      <c r="Z235" s="206" t="str">
        <f t="shared" ref="Z235" si="5421">IF(Z231="","",Y235)</f>
        <v/>
      </c>
      <c r="AA235" s="206" t="str">
        <f t="shared" ref="AA235" si="5422">IF(AA231="","",Z235)</f>
        <v/>
      </c>
      <c r="AB235" s="206" t="str">
        <f t="shared" ref="AB235" si="5423">IF(AB231="","",AA235)</f>
        <v/>
      </c>
      <c r="AC235" s="206" t="str">
        <f t="shared" ref="AC235" si="5424">IF(AC231="","",AB235)</f>
        <v/>
      </c>
      <c r="AD235" s="206" t="str">
        <f t="shared" ref="AD235" si="5425">IF(AD231="","",AC235)</f>
        <v/>
      </c>
      <c r="AE235" s="206" t="str">
        <f t="shared" ref="AE235" si="5426">IF(AE231="","",AD235)</f>
        <v/>
      </c>
      <c r="AF235" s="206" t="str">
        <f t="shared" ref="AF235" si="5427">IF(AF231="","",AE235)</f>
        <v/>
      </c>
      <c r="AG235" s="206" t="str">
        <f t="shared" ref="AG235" si="5428">IF(AG231="","",AF235)</f>
        <v/>
      </c>
      <c r="AH235" s="206" t="str">
        <f t="shared" ref="AH235" si="5429">IF(AH231="","",AG235)</f>
        <v/>
      </c>
      <c r="AI235" s="206" t="str">
        <f t="shared" ref="AI235" si="5430">IF(AI231="","",AH235)</f>
        <v/>
      </c>
      <c r="AJ235" s="206" t="str">
        <f t="shared" ref="AJ235" si="5431">IF(AJ231="","",AI235)</f>
        <v/>
      </c>
      <c r="AK235" s="206" t="str">
        <f t="shared" ref="AK235" si="5432">IF(AK231="","",AJ235)</f>
        <v/>
      </c>
      <c r="AL235" s="206" t="str">
        <f t="shared" ref="AL235" si="5433">IF(AL231="","",AK235)</f>
        <v/>
      </c>
      <c r="AM235" s="206" t="str">
        <f t="shared" ref="AM235" si="5434">IF(AM231="","",AL235)</f>
        <v/>
      </c>
      <c r="AN235" s="206" t="str">
        <f t="shared" ref="AN235" si="5435">IF(AN231="","",AM235)</f>
        <v/>
      </c>
      <c r="AO235" s="206" t="str">
        <f t="shared" ref="AO235" si="5436">IF(AO231="","",AN235)</f>
        <v/>
      </c>
      <c r="AP235" s="206" t="str">
        <f t="shared" ref="AP235" si="5437">IF(AP231="","",AO235)</f>
        <v/>
      </c>
      <c r="AQ235" s="206" t="str">
        <f t="shared" ref="AQ235" si="5438">IF(AQ231="","",AP235)</f>
        <v/>
      </c>
      <c r="AR235" s="206" t="str">
        <f t="shared" ref="AR235" si="5439">IF(AR231="","",AQ235)</f>
        <v/>
      </c>
      <c r="AS235" s="206" t="str">
        <f t="shared" ref="AS235" si="5440">IF(AS231="","",AR235)</f>
        <v/>
      </c>
      <c r="AT235" s="206" t="str">
        <f t="shared" ref="AT235" si="5441">IF(AT231="","",AS235)</f>
        <v/>
      </c>
      <c r="AU235" s="206" t="str">
        <f t="shared" ref="AU235" si="5442">IF(AU231="","",AT235)</f>
        <v/>
      </c>
      <c r="AV235" s="206" t="str">
        <f t="shared" ref="AV235" si="5443">IF(AV231="","",AU235)</f>
        <v/>
      </c>
      <c r="AW235" s="206" t="str">
        <f t="shared" ref="AW235" si="5444">IF(AW231="","",AV235)</f>
        <v/>
      </c>
      <c r="AX235" s="206" t="str">
        <f t="shared" ref="AX235" si="5445">IF(AX231="","",AW235)</f>
        <v/>
      </c>
      <c r="AY235" s="206" t="str">
        <f t="shared" ref="AY235" si="5446">IF(AY231="","",AX235)</f>
        <v/>
      </c>
      <c r="AZ235" s="206" t="str">
        <f t="shared" ref="AZ235" si="5447">IF(AZ231="","",AY235)</f>
        <v/>
      </c>
      <c r="BA235" s="206" t="str">
        <f t="shared" ref="BA235" si="5448">IF(BA231="","",AZ235)</f>
        <v/>
      </c>
      <c r="BB235" s="206" t="str">
        <f t="shared" ref="BB235" si="5449">IF(BB231="","",BA235)</f>
        <v/>
      </c>
      <c r="BC235" s="219" t="str">
        <f t="shared" ref="BC235" si="5450">IF(BC231="","",BB235)</f>
        <v/>
      </c>
    </row>
    <row r="236" spans="1:55" ht="11.25" customHeight="1" x14ac:dyDescent="0.2">
      <c r="A236" s="220" t="s">
        <v>9</v>
      </c>
      <c r="B236" s="17" t="s">
        <v>10</v>
      </c>
      <c r="C236" s="133" t="s">
        <v>280</v>
      </c>
      <c r="D236" s="18" t="s">
        <v>280</v>
      </c>
      <c r="E236" s="18" t="s">
        <v>280</v>
      </c>
      <c r="F236" s="18" t="s">
        <v>280</v>
      </c>
      <c r="G236" s="197" t="s">
        <v>280</v>
      </c>
      <c r="H236" s="18" t="str">
        <f t="shared" ref="H236" si="5451">IF(H231="","",G236)</f>
        <v>76ラバーマスコット</v>
      </c>
      <c r="I236" s="18" t="str">
        <f t="shared" ref="I236" si="5452">IF(I231="","",H236)</f>
        <v>76ラバーマスコット</v>
      </c>
      <c r="J236" s="197" t="str">
        <f t="shared" ref="J236" si="5453">IF(J231="","",I236)</f>
        <v>76ラバーマスコット</v>
      </c>
      <c r="K236" s="18" t="str">
        <f t="shared" ref="K236" si="5454">IF(K231="","",J236)</f>
        <v>76ラバーマスコット</v>
      </c>
      <c r="L236" s="18" t="str">
        <f t="shared" ref="L236" si="5455">IF(L231="","",K236)</f>
        <v>76ラバーマスコット</v>
      </c>
      <c r="M236" s="18" t="str">
        <f t="shared" ref="M236" si="5456">IF(M231="","",L236)</f>
        <v>76ラバーマスコット</v>
      </c>
      <c r="N236" s="197" t="str">
        <f t="shared" ref="N236" si="5457">IF(N231="","",M236)</f>
        <v/>
      </c>
      <c r="O236" s="18" t="str">
        <f t="shared" ref="O236" si="5458">IF(O231="","",N236)</f>
        <v/>
      </c>
      <c r="P236" s="18" t="str">
        <f t="shared" ref="P236" si="5459">IF(P231="","",O236)</f>
        <v/>
      </c>
      <c r="Q236" s="18" t="str">
        <f t="shared" ref="Q236" si="5460">IF(Q231="","",P236)</f>
        <v/>
      </c>
      <c r="R236" s="18" t="str">
        <f t="shared" ref="R236" si="5461">IF(R231="","",Q236)</f>
        <v/>
      </c>
      <c r="S236" s="18" t="str">
        <f t="shared" ref="S236" si="5462">IF(S231="","",R236)</f>
        <v/>
      </c>
      <c r="T236" s="18" t="str">
        <f t="shared" ref="T236" si="5463">IF(T231="","",S236)</f>
        <v/>
      </c>
      <c r="U236" s="18" t="str">
        <f t="shared" ref="U236" si="5464">IF(U231="","",T236)</f>
        <v/>
      </c>
      <c r="V236" s="18" t="str">
        <f t="shared" ref="V236" si="5465">IF(V231="","",U236)</f>
        <v/>
      </c>
      <c r="W236" s="18" t="str">
        <f t="shared" ref="W236" si="5466">IF(W231="","",V236)</f>
        <v/>
      </c>
      <c r="X236" s="18" t="str">
        <f t="shared" ref="X236" si="5467">IF(X231="","",W236)</f>
        <v/>
      </c>
      <c r="Y236" s="18" t="str">
        <f t="shared" ref="Y236" si="5468">IF(Y231="","",X236)</f>
        <v/>
      </c>
      <c r="Z236" s="18" t="str">
        <f t="shared" ref="Z236" si="5469">IF(Z231="","",Y236)</f>
        <v/>
      </c>
      <c r="AA236" s="18" t="str">
        <f t="shared" ref="AA236" si="5470">IF(AA231="","",Z236)</f>
        <v/>
      </c>
      <c r="AB236" s="18" t="str">
        <f t="shared" ref="AB236" si="5471">IF(AB231="","",AA236)</f>
        <v/>
      </c>
      <c r="AC236" s="18" t="str">
        <f t="shared" ref="AC236" si="5472">IF(AC231="","",AB236)</f>
        <v/>
      </c>
      <c r="AD236" s="18" t="str">
        <f t="shared" ref="AD236" si="5473">IF(AD231="","",AC236)</f>
        <v/>
      </c>
      <c r="AE236" s="18" t="str">
        <f t="shared" ref="AE236" si="5474">IF(AE231="","",AD236)</f>
        <v/>
      </c>
      <c r="AF236" s="18" t="str">
        <f t="shared" ref="AF236" si="5475">IF(AF231="","",AE236)</f>
        <v/>
      </c>
      <c r="AG236" s="18" t="str">
        <f t="shared" ref="AG236" si="5476">IF(AG231="","",AF236)</f>
        <v/>
      </c>
      <c r="AH236" s="18" t="str">
        <f t="shared" ref="AH236" si="5477">IF(AH231="","",AG236)</f>
        <v/>
      </c>
      <c r="AI236" s="18" t="str">
        <f t="shared" ref="AI236" si="5478">IF(AI231="","",AH236)</f>
        <v/>
      </c>
      <c r="AJ236" s="18" t="str">
        <f t="shared" ref="AJ236" si="5479">IF(AJ231="","",AI236)</f>
        <v/>
      </c>
      <c r="AK236" s="18" t="str">
        <f t="shared" ref="AK236" si="5480">IF(AK231="","",AJ236)</f>
        <v/>
      </c>
      <c r="AL236" s="18" t="str">
        <f t="shared" ref="AL236" si="5481">IF(AL231="","",AK236)</f>
        <v/>
      </c>
      <c r="AM236" s="18" t="str">
        <f t="shared" ref="AM236" si="5482">IF(AM231="","",AL236)</f>
        <v/>
      </c>
      <c r="AN236" s="18" t="str">
        <f t="shared" ref="AN236" si="5483">IF(AN231="","",AM236)</f>
        <v/>
      </c>
      <c r="AO236" s="18" t="str">
        <f t="shared" ref="AO236" si="5484">IF(AO231="","",AN236)</f>
        <v/>
      </c>
      <c r="AP236" s="18" t="str">
        <f t="shared" ref="AP236" si="5485">IF(AP231="","",AO236)</f>
        <v/>
      </c>
      <c r="AQ236" s="18" t="str">
        <f t="shared" ref="AQ236" si="5486">IF(AQ231="","",AP236)</f>
        <v/>
      </c>
      <c r="AR236" s="18" t="str">
        <f t="shared" ref="AR236" si="5487">IF(AR231="","",AQ236)</f>
        <v/>
      </c>
      <c r="AS236" s="18" t="str">
        <f t="shared" ref="AS236" si="5488">IF(AS231="","",AR236)</f>
        <v/>
      </c>
      <c r="AT236" s="18" t="str">
        <f t="shared" ref="AT236" si="5489">IF(AT231="","",AS236)</f>
        <v/>
      </c>
      <c r="AU236" s="18" t="str">
        <f t="shared" ref="AU236" si="5490">IF(AU231="","",AT236)</f>
        <v/>
      </c>
      <c r="AV236" s="18" t="str">
        <f t="shared" ref="AV236" si="5491">IF(AV231="","",AU236)</f>
        <v/>
      </c>
      <c r="AW236" s="18" t="str">
        <f t="shared" ref="AW236" si="5492">IF(AW231="","",AV236)</f>
        <v/>
      </c>
      <c r="AX236" s="18" t="str">
        <f t="shared" ref="AX236" si="5493">IF(AX231="","",AW236)</f>
        <v/>
      </c>
      <c r="AY236" s="18" t="str">
        <f t="shared" ref="AY236" si="5494">IF(AY231="","",AX236)</f>
        <v/>
      </c>
      <c r="AZ236" s="18" t="str">
        <f t="shared" ref="AZ236" si="5495">IF(AZ231="","",AY236)</f>
        <v/>
      </c>
      <c r="BA236" s="18" t="str">
        <f t="shared" ref="BA236" si="5496">IF(BA231="","",AZ236)</f>
        <v/>
      </c>
      <c r="BB236" s="18" t="str">
        <f t="shared" ref="BB236" si="5497">IF(BB231="","",BA236)</f>
        <v/>
      </c>
      <c r="BC236" s="221" t="str">
        <f t="shared" ref="BC236" si="5498">IF(BC231="","",BB236)</f>
        <v/>
      </c>
    </row>
    <row r="237" spans="1:55" ht="11.25" customHeight="1" x14ac:dyDescent="0.2">
      <c r="A237" s="222">
        <f>AVERAGE(C238:AS238)*30*100</f>
        <v>12272.727272727272</v>
      </c>
      <c r="B237" s="11" t="s">
        <v>12</v>
      </c>
      <c r="C237" s="123"/>
      <c r="D237" s="12"/>
      <c r="E237" s="12"/>
      <c r="F237" s="12"/>
      <c r="G237" s="195"/>
      <c r="H237" s="12"/>
      <c r="I237" s="12"/>
      <c r="J237" s="195"/>
      <c r="K237" s="12"/>
      <c r="L237" s="12"/>
      <c r="M237" s="12"/>
      <c r="N237" s="195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215"/>
    </row>
    <row r="238" spans="1:55" ht="11.25" customHeight="1" x14ac:dyDescent="0.2">
      <c r="A238" s="222">
        <f t="shared" ref="A238:A241" si="5499">SUM(C238:AS238)</f>
        <v>45</v>
      </c>
      <c r="B238" s="19" t="s">
        <v>13</v>
      </c>
      <c r="C238" s="123">
        <v>0</v>
      </c>
      <c r="D238" s="20">
        <v>0</v>
      </c>
      <c r="E238" s="20">
        <v>0</v>
      </c>
      <c r="F238" s="20">
        <v>0</v>
      </c>
      <c r="G238" s="195">
        <f t="shared" ref="G238:G239" si="5500">IF(G231="","",G231-F231)</f>
        <v>0</v>
      </c>
      <c r="H238" s="20">
        <f t="shared" ref="H238:H239" si="5501">IF(H231="","",H231-G231)</f>
        <v>0</v>
      </c>
      <c r="I238" s="20">
        <f t="shared" ref="I238:I239" si="5502">IF(I231="","",I231-H231)</f>
        <v>45</v>
      </c>
      <c r="J238" s="195">
        <f t="shared" ref="J238:J239" si="5503">IF(J231="","",J231-I231)</f>
        <v>0</v>
      </c>
      <c r="K238" s="20">
        <f t="shared" ref="K238:K239" si="5504">IF(K231="","",K231-J231)</f>
        <v>0</v>
      </c>
      <c r="L238" s="20">
        <f t="shared" ref="L238:L239" si="5505">IF(L231="","",L231-K231)</f>
        <v>0</v>
      </c>
      <c r="M238" s="20">
        <f t="shared" ref="M238:M239" si="5506">IF(M231="","",M231-L231)</f>
        <v>0</v>
      </c>
      <c r="N238" s="195" t="str">
        <f t="shared" ref="N238:N239" si="5507">IF(N231="","",N231-M231)</f>
        <v/>
      </c>
      <c r="O238" s="20" t="str">
        <f t="shared" ref="O238:O239" si="5508">IF(O231="","",O231-N231)</f>
        <v/>
      </c>
      <c r="P238" s="20" t="str">
        <f t="shared" ref="P238:P239" si="5509">IF(P231="","",P231-O231)</f>
        <v/>
      </c>
      <c r="Q238" s="20" t="str">
        <f t="shared" ref="Q238:Q239" si="5510">IF(Q231="","",Q231-P231)</f>
        <v/>
      </c>
      <c r="R238" s="20" t="str">
        <f t="shared" ref="R238:R239" si="5511">IF(R231="","",R231-Q231)</f>
        <v/>
      </c>
      <c r="S238" s="20" t="str">
        <f t="shared" ref="S238:S239" si="5512">IF(S231="","",S231-R231)</f>
        <v/>
      </c>
      <c r="T238" s="20" t="str">
        <f t="shared" ref="T238:T239" si="5513">IF(T231="","",T231-S231)</f>
        <v/>
      </c>
      <c r="U238" s="20" t="str">
        <f t="shared" ref="U238:U239" si="5514">IF(U231="","",U231-T231)</f>
        <v/>
      </c>
      <c r="V238" s="20" t="str">
        <f t="shared" ref="V238:V239" si="5515">IF(V231="","",V231-U231)</f>
        <v/>
      </c>
      <c r="W238" s="20" t="str">
        <f t="shared" ref="W238:W239" si="5516">IF(W231="","",W231-V231)</f>
        <v/>
      </c>
      <c r="X238" s="20" t="str">
        <f t="shared" ref="X238:X239" si="5517">IF(X231="","",X231-W231)</f>
        <v/>
      </c>
      <c r="Y238" s="20" t="str">
        <f t="shared" ref="Y238:Y239" si="5518">IF(Y231="","",Y231-X231)</f>
        <v/>
      </c>
      <c r="Z238" s="20" t="str">
        <f t="shared" ref="Z238:Z239" si="5519">IF(Z231="","",Z231-Y231)</f>
        <v/>
      </c>
      <c r="AA238" s="20" t="str">
        <f t="shared" ref="AA238:AA239" si="5520">IF(AA231="","",AA231-Z231)</f>
        <v/>
      </c>
      <c r="AB238" s="20" t="str">
        <f t="shared" ref="AB238:AB239" si="5521">IF(AB231="","",AB231-AA231)</f>
        <v/>
      </c>
      <c r="AC238" s="20" t="str">
        <f t="shared" ref="AC238:AC239" si="5522">IF(AC231="","",AC231-AB231)</f>
        <v/>
      </c>
      <c r="AD238" s="20" t="str">
        <f t="shared" ref="AD238:AD239" si="5523">IF(AD231="","",AD231-AC231)</f>
        <v/>
      </c>
      <c r="AE238" s="20" t="str">
        <f t="shared" ref="AE238:AE239" si="5524">IF(AE231="","",AE231-AD231)</f>
        <v/>
      </c>
      <c r="AF238" s="20" t="str">
        <f t="shared" ref="AF238:AF239" si="5525">IF(AF231="","",AF231-AE231)</f>
        <v/>
      </c>
      <c r="AG238" s="20" t="str">
        <f t="shared" ref="AG238:AG239" si="5526">IF(AG231="","",AG231-AF231)</f>
        <v/>
      </c>
      <c r="AH238" s="20" t="str">
        <f t="shared" ref="AH238:AH239" si="5527">IF(AH231="","",AH231-AG231)</f>
        <v/>
      </c>
      <c r="AI238" s="20" t="str">
        <f t="shared" ref="AI238:AI239" si="5528">IF(AI231="","",AI231-AH231)</f>
        <v/>
      </c>
      <c r="AJ238" s="20" t="str">
        <f t="shared" ref="AJ238:AJ239" si="5529">IF(AJ231="","",AJ231-AI231)</f>
        <v/>
      </c>
      <c r="AK238" s="20" t="str">
        <f t="shared" ref="AK238:AK239" si="5530">IF(AK231="","",AK231-AJ231)</f>
        <v/>
      </c>
      <c r="AL238" s="20" t="str">
        <f t="shared" ref="AL238:AL239" si="5531">IF(AL231="","",AL231-AK231)</f>
        <v/>
      </c>
      <c r="AM238" s="20" t="str">
        <f t="shared" ref="AM238:AM239" si="5532">IF(AM231="","",AM231-AL231)</f>
        <v/>
      </c>
      <c r="AN238" s="20" t="str">
        <f t="shared" ref="AN238:AN239" si="5533">IF(AN231="","",AN231-AM231)</f>
        <v/>
      </c>
      <c r="AO238" s="20" t="str">
        <f t="shared" ref="AO238:AO239" si="5534">IF(AO231="","",AO231-AN231)</f>
        <v/>
      </c>
      <c r="AP238" s="20" t="str">
        <f t="shared" ref="AP238:AP239" si="5535">IF(AP231="","",AP231-AO231)</f>
        <v/>
      </c>
      <c r="AQ238" s="20" t="str">
        <f t="shared" ref="AQ238:AQ239" si="5536">IF(AQ231="","",AQ231-AP231)</f>
        <v/>
      </c>
      <c r="AR238" s="20" t="str">
        <f t="shared" ref="AR238:AR239" si="5537">IF(AR231="","",AR231-AQ231)</f>
        <v/>
      </c>
      <c r="AS238" s="20" t="str">
        <f t="shared" ref="AS238:AS239" si="5538">IF(AS231="","",AS231-AR231)</f>
        <v/>
      </c>
      <c r="AT238" s="20" t="str">
        <f t="shared" ref="AT238:AT239" si="5539">IF(AT231="","",AT231-AS231)</f>
        <v/>
      </c>
      <c r="AU238" s="20" t="str">
        <f t="shared" ref="AU238:AU239" si="5540">IF(AU231="","",AU231-AT231)</f>
        <v/>
      </c>
      <c r="AV238" s="20" t="str">
        <f t="shared" ref="AV238:AV239" si="5541">IF(AV231="","",AV231-AU231)</f>
        <v/>
      </c>
      <c r="AW238" s="20" t="str">
        <f t="shared" ref="AW238:AW239" si="5542">IF(AW231="","",AW231-AV231)</f>
        <v/>
      </c>
      <c r="AX238" s="20" t="str">
        <f t="shared" ref="AX238:AX239" si="5543">IF(AX231="","",AX231-AW231)</f>
        <v/>
      </c>
      <c r="AY238" s="20" t="str">
        <f t="shared" ref="AY238:AY239" si="5544">IF(AY231="","",AY231-AX231)</f>
        <v/>
      </c>
      <c r="AZ238" s="20" t="str">
        <f t="shared" ref="AZ238:AZ239" si="5545">IF(AZ231="","",AZ231-AY231)</f>
        <v/>
      </c>
      <c r="BA238" s="20" t="str">
        <f t="shared" ref="BA238:BA239" si="5546">IF(BA231="","",BA231-AZ231)</f>
        <v/>
      </c>
      <c r="BB238" s="20" t="str">
        <f t="shared" ref="BB238:BB239" si="5547">IF(BB231="","",BB231-BA231)</f>
        <v/>
      </c>
      <c r="BC238" s="223" t="str">
        <f t="shared" ref="BC238:BC239" si="5548">IF(BC231="","",BC231-BB231)</f>
        <v/>
      </c>
    </row>
    <row r="239" spans="1:55" ht="11.25" customHeight="1" x14ac:dyDescent="0.2">
      <c r="A239" s="222">
        <f t="shared" si="5499"/>
        <v>9</v>
      </c>
      <c r="B239" s="19" t="s">
        <v>14</v>
      </c>
      <c r="C239" s="123">
        <v>0</v>
      </c>
      <c r="D239" s="20">
        <v>0</v>
      </c>
      <c r="E239" s="20">
        <v>0</v>
      </c>
      <c r="F239" s="20">
        <v>0</v>
      </c>
      <c r="G239" s="195">
        <f t="shared" si="5500"/>
        <v>0</v>
      </c>
      <c r="H239" s="20">
        <f t="shared" si="5501"/>
        <v>0</v>
      </c>
      <c r="I239" s="20">
        <f t="shared" si="5502"/>
        <v>9</v>
      </c>
      <c r="J239" s="195">
        <f t="shared" si="5503"/>
        <v>0</v>
      </c>
      <c r="K239" s="20">
        <f t="shared" si="5504"/>
        <v>0</v>
      </c>
      <c r="L239" s="20">
        <f t="shared" si="5505"/>
        <v>0</v>
      </c>
      <c r="M239" s="20">
        <f t="shared" si="5506"/>
        <v>0</v>
      </c>
      <c r="N239" s="195" t="str">
        <f t="shared" si="5507"/>
        <v/>
      </c>
      <c r="O239" s="20" t="str">
        <f t="shared" si="5508"/>
        <v/>
      </c>
      <c r="P239" s="20" t="str">
        <f t="shared" si="5509"/>
        <v/>
      </c>
      <c r="Q239" s="20" t="str">
        <f t="shared" si="5510"/>
        <v/>
      </c>
      <c r="R239" s="20" t="str">
        <f t="shared" si="5511"/>
        <v/>
      </c>
      <c r="S239" s="20" t="str">
        <f t="shared" si="5512"/>
        <v/>
      </c>
      <c r="T239" s="20" t="str">
        <f t="shared" si="5513"/>
        <v/>
      </c>
      <c r="U239" s="20" t="str">
        <f t="shared" si="5514"/>
        <v/>
      </c>
      <c r="V239" s="20" t="str">
        <f t="shared" si="5515"/>
        <v/>
      </c>
      <c r="W239" s="20" t="str">
        <f t="shared" si="5516"/>
        <v/>
      </c>
      <c r="X239" s="20" t="str">
        <f t="shared" si="5517"/>
        <v/>
      </c>
      <c r="Y239" s="20" t="str">
        <f t="shared" si="5518"/>
        <v/>
      </c>
      <c r="Z239" s="20" t="str">
        <f t="shared" si="5519"/>
        <v/>
      </c>
      <c r="AA239" s="20" t="str">
        <f t="shared" si="5520"/>
        <v/>
      </c>
      <c r="AB239" s="20" t="str">
        <f t="shared" si="5521"/>
        <v/>
      </c>
      <c r="AC239" s="20" t="str">
        <f t="shared" si="5522"/>
        <v/>
      </c>
      <c r="AD239" s="20" t="str">
        <f t="shared" si="5523"/>
        <v/>
      </c>
      <c r="AE239" s="20" t="str">
        <f t="shared" si="5524"/>
        <v/>
      </c>
      <c r="AF239" s="20" t="str">
        <f t="shared" si="5525"/>
        <v/>
      </c>
      <c r="AG239" s="20" t="str">
        <f t="shared" si="5526"/>
        <v/>
      </c>
      <c r="AH239" s="20" t="str">
        <f t="shared" si="5527"/>
        <v/>
      </c>
      <c r="AI239" s="20" t="str">
        <f t="shared" si="5528"/>
        <v/>
      </c>
      <c r="AJ239" s="20" t="str">
        <f t="shared" si="5529"/>
        <v/>
      </c>
      <c r="AK239" s="20" t="str">
        <f t="shared" si="5530"/>
        <v/>
      </c>
      <c r="AL239" s="20" t="str">
        <f t="shared" si="5531"/>
        <v/>
      </c>
      <c r="AM239" s="20" t="str">
        <f t="shared" si="5532"/>
        <v/>
      </c>
      <c r="AN239" s="20" t="str">
        <f t="shared" si="5533"/>
        <v/>
      </c>
      <c r="AO239" s="20" t="str">
        <f t="shared" si="5534"/>
        <v/>
      </c>
      <c r="AP239" s="20" t="str">
        <f t="shared" si="5535"/>
        <v/>
      </c>
      <c r="AQ239" s="20" t="str">
        <f t="shared" si="5536"/>
        <v/>
      </c>
      <c r="AR239" s="20" t="str">
        <f t="shared" si="5537"/>
        <v/>
      </c>
      <c r="AS239" s="20" t="str">
        <f t="shared" si="5538"/>
        <v/>
      </c>
      <c r="AT239" s="20" t="str">
        <f t="shared" si="5539"/>
        <v/>
      </c>
      <c r="AU239" s="20" t="str">
        <f t="shared" si="5540"/>
        <v/>
      </c>
      <c r="AV239" s="20" t="str">
        <f t="shared" si="5541"/>
        <v/>
      </c>
      <c r="AW239" s="20" t="str">
        <f t="shared" si="5542"/>
        <v/>
      </c>
      <c r="AX239" s="20" t="str">
        <f t="shared" si="5543"/>
        <v/>
      </c>
      <c r="AY239" s="20" t="str">
        <f t="shared" si="5544"/>
        <v/>
      </c>
      <c r="AZ239" s="20" t="str">
        <f t="shared" si="5545"/>
        <v/>
      </c>
      <c r="BA239" s="20" t="str">
        <f t="shared" si="5546"/>
        <v/>
      </c>
      <c r="BB239" s="20" t="str">
        <f t="shared" si="5547"/>
        <v/>
      </c>
      <c r="BC239" s="223" t="str">
        <f t="shared" si="5548"/>
        <v/>
      </c>
    </row>
    <row r="240" spans="1:55" ht="11.25" customHeight="1" x14ac:dyDescent="0.2">
      <c r="A240" s="222">
        <f t="shared" si="5499"/>
        <v>9</v>
      </c>
      <c r="B240" s="19" t="s">
        <v>15</v>
      </c>
      <c r="C240" s="123">
        <v>0</v>
      </c>
      <c r="D240" s="20">
        <v>0</v>
      </c>
      <c r="E240" s="20">
        <v>0</v>
      </c>
      <c r="F240" s="20">
        <v>0</v>
      </c>
      <c r="G240" s="195">
        <f t="shared" ref="G240" si="5549">IF(G233="","",F233+F234-G233)</f>
        <v>0</v>
      </c>
      <c r="H240" s="20">
        <f t="shared" ref="H240" si="5550">IF(H233="","",G233+G234-H233)</f>
        <v>0</v>
      </c>
      <c r="I240" s="20">
        <f t="shared" ref="I240" si="5551">IF(I233="","",H233+H234-I233)</f>
        <v>9</v>
      </c>
      <c r="J240" s="195">
        <f t="shared" ref="J240" si="5552">IF(J233="","",I233+I234-J233)</f>
        <v>0</v>
      </c>
      <c r="K240" s="20">
        <f t="shared" ref="K240" si="5553">IF(K233="","",J233+J234-K233)</f>
        <v>0</v>
      </c>
      <c r="L240" s="20">
        <f t="shared" ref="L240" si="5554">IF(L233="","",K233+K234-L233)</f>
        <v>0</v>
      </c>
      <c r="M240" s="20">
        <f t="shared" ref="M240" si="5555">IF(M233="","",L233+L234-M233)</f>
        <v>0</v>
      </c>
      <c r="N240" s="195" t="str">
        <f t="shared" ref="N240" si="5556">IF(N233="","",M233+M234-N233)</f>
        <v/>
      </c>
      <c r="O240" s="20" t="str">
        <f t="shared" ref="O240" si="5557">IF(O233="","",N233+N234-O233)</f>
        <v/>
      </c>
      <c r="P240" s="20" t="str">
        <f t="shared" ref="P240" si="5558">IF(P233="","",O233+O234-P233)</f>
        <v/>
      </c>
      <c r="Q240" s="20" t="str">
        <f t="shared" ref="Q240" si="5559">IF(Q233="","",P233+P234-Q233)</f>
        <v/>
      </c>
      <c r="R240" s="20" t="str">
        <f t="shared" ref="R240" si="5560">IF(R233="","",Q233+Q234-R233)</f>
        <v/>
      </c>
      <c r="S240" s="20" t="str">
        <f t="shared" ref="S240" si="5561">IF(S233="","",R233+R234-S233)</f>
        <v/>
      </c>
      <c r="T240" s="20" t="str">
        <f t="shared" ref="T240" si="5562">IF(T233="","",S233+S234-T233)</f>
        <v/>
      </c>
      <c r="U240" s="20" t="str">
        <f t="shared" ref="U240" si="5563">IF(U233="","",T233+T234-U233)</f>
        <v/>
      </c>
      <c r="V240" s="20" t="str">
        <f t="shared" ref="V240" si="5564">IF(V233="","",U233+U234-V233)</f>
        <v/>
      </c>
      <c r="W240" s="20" t="str">
        <f t="shared" ref="W240" si="5565">IF(W233="","",V233+V234-W233)</f>
        <v/>
      </c>
      <c r="X240" s="20" t="str">
        <f t="shared" ref="X240" si="5566">IF(X233="","",W233+W234-X233)</f>
        <v/>
      </c>
      <c r="Y240" s="20" t="str">
        <f t="shared" ref="Y240" si="5567">IF(Y233="","",X233+X234-Y233)</f>
        <v/>
      </c>
      <c r="Z240" s="20" t="str">
        <f t="shared" ref="Z240" si="5568">IF(Z233="","",Y233+Y234-Z233)</f>
        <v/>
      </c>
      <c r="AA240" s="20" t="str">
        <f t="shared" ref="AA240" si="5569">IF(AA233="","",Z233+Z234-AA233)</f>
        <v/>
      </c>
      <c r="AB240" s="20" t="str">
        <f t="shared" ref="AB240" si="5570">IF(AB233="","",AA233+AA234-AB233)</f>
        <v/>
      </c>
      <c r="AC240" s="20" t="str">
        <f t="shared" ref="AC240" si="5571">IF(AC233="","",AB233+AB234-AC233)</f>
        <v/>
      </c>
      <c r="AD240" s="20" t="str">
        <f t="shared" ref="AD240" si="5572">IF(AD233="","",AC233+AC234-AD233)</f>
        <v/>
      </c>
      <c r="AE240" s="20" t="str">
        <f t="shared" ref="AE240" si="5573">IF(AE233="","",AD233+AD234-AE233)</f>
        <v/>
      </c>
      <c r="AF240" s="20" t="str">
        <f t="shared" ref="AF240" si="5574">IF(AF233="","",AE233+AE234-AF233)</f>
        <v/>
      </c>
      <c r="AG240" s="20" t="str">
        <f t="shared" ref="AG240" si="5575">IF(AG233="","",AF233+AF234-AG233)</f>
        <v/>
      </c>
      <c r="AH240" s="20" t="str">
        <f t="shared" ref="AH240" si="5576">IF(AH233="","",AG233+AG234-AH233)</f>
        <v/>
      </c>
      <c r="AI240" s="20" t="str">
        <f t="shared" ref="AI240" si="5577">IF(AI233="","",AH233+AH234-AI233)</f>
        <v/>
      </c>
      <c r="AJ240" s="20" t="str">
        <f t="shared" ref="AJ240" si="5578">IF(AJ233="","",AI233+AI234-AJ233)</f>
        <v/>
      </c>
      <c r="AK240" s="20" t="str">
        <f t="shared" ref="AK240" si="5579">IF(AK233="","",AJ233+AJ234-AK233)</f>
        <v/>
      </c>
      <c r="AL240" s="20" t="str">
        <f t="shared" ref="AL240" si="5580">IF(AL233="","",AK233+AK234-AL233)</f>
        <v/>
      </c>
      <c r="AM240" s="20" t="str">
        <f t="shared" ref="AM240" si="5581">IF(AM233="","",AL233+AL234-AM233)</f>
        <v/>
      </c>
      <c r="AN240" s="20" t="str">
        <f t="shared" ref="AN240" si="5582">IF(AN233="","",AM233+AM234-AN233)</f>
        <v/>
      </c>
      <c r="AO240" s="20" t="str">
        <f t="shared" ref="AO240" si="5583">IF(AO233="","",AN233+AN234-AO233)</f>
        <v/>
      </c>
      <c r="AP240" s="20" t="str">
        <f t="shared" ref="AP240" si="5584">IF(AP233="","",AO233+AO234-AP233)</f>
        <v/>
      </c>
      <c r="AQ240" s="20" t="str">
        <f t="shared" ref="AQ240" si="5585">IF(AQ233="","",AP233+AP234-AQ233)</f>
        <v/>
      </c>
      <c r="AR240" s="20" t="str">
        <f t="shared" ref="AR240" si="5586">IF(AR233="","",AQ233+AQ234-AR233)</f>
        <v/>
      </c>
      <c r="AS240" s="20" t="str">
        <f t="shared" ref="AS240" si="5587">IF(AS233="","",AR233+AR234-AS233)</f>
        <v/>
      </c>
      <c r="AT240" s="20" t="str">
        <f t="shared" ref="AT240" si="5588">IF(AT233="","",AS233+AS234-AT233)</f>
        <v/>
      </c>
      <c r="AU240" s="20" t="str">
        <f t="shared" ref="AU240" si="5589">IF(AU233="","",AT233+AT234-AU233)</f>
        <v/>
      </c>
      <c r="AV240" s="20" t="str">
        <f t="shared" ref="AV240" si="5590">IF(AV233="","",AU233+AU234-AV233)</f>
        <v/>
      </c>
      <c r="AW240" s="20" t="str">
        <f t="shared" ref="AW240" si="5591">IF(AW233="","",AV233+AV234-AW233)</f>
        <v/>
      </c>
      <c r="AX240" s="20" t="str">
        <f t="shared" ref="AX240" si="5592">IF(AX233="","",AW233+AW234-AX233)</f>
        <v/>
      </c>
      <c r="AY240" s="20" t="str">
        <f t="shared" ref="AY240" si="5593">IF(AY233="","",AX233+AX234-AY233)</f>
        <v/>
      </c>
      <c r="AZ240" s="20" t="str">
        <f t="shared" ref="AZ240" si="5594">IF(AZ233="","",AY233+AY234-AZ233)</f>
        <v/>
      </c>
      <c r="BA240" s="20" t="str">
        <f t="shared" ref="BA240" si="5595">IF(BA233="","",AZ233+AZ234-BA233)</f>
        <v/>
      </c>
      <c r="BB240" s="20" t="str">
        <f t="shared" ref="BB240" si="5596">IF(BB233="","",BA233+BA234-BB233)</f>
        <v/>
      </c>
      <c r="BC240" s="223" t="str">
        <f t="shared" ref="BC240" si="5597">IF(BC233="","",BB233+BB234-BC233)</f>
        <v/>
      </c>
    </row>
    <row r="241" spans="1:55" ht="11.25" customHeight="1" x14ac:dyDescent="0.2">
      <c r="A241" s="222">
        <f t="shared" si="5499"/>
        <v>1710</v>
      </c>
      <c r="B241" s="19" t="s">
        <v>16</v>
      </c>
      <c r="C241" s="123">
        <v>0</v>
      </c>
      <c r="D241" s="20">
        <v>0</v>
      </c>
      <c r="E241" s="20">
        <v>0</v>
      </c>
      <c r="F241" s="20">
        <v>0</v>
      </c>
      <c r="G241" s="195">
        <f t="shared" ref="D241:BC241" si="5598">IF(G231="","",G240*G235)</f>
        <v>0</v>
      </c>
      <c r="H241" s="20">
        <f t="shared" si="5598"/>
        <v>0</v>
      </c>
      <c r="I241" s="20">
        <f t="shared" si="5598"/>
        <v>1710</v>
      </c>
      <c r="J241" s="195">
        <f t="shared" si="5598"/>
        <v>0</v>
      </c>
      <c r="K241" s="20">
        <f t="shared" si="5598"/>
        <v>0</v>
      </c>
      <c r="L241" s="20">
        <f t="shared" si="5598"/>
        <v>0</v>
      </c>
      <c r="M241" s="20">
        <f t="shared" si="5598"/>
        <v>0</v>
      </c>
      <c r="N241" s="195" t="str">
        <f t="shared" si="5598"/>
        <v/>
      </c>
      <c r="O241" s="20" t="str">
        <f t="shared" si="5598"/>
        <v/>
      </c>
      <c r="P241" s="20" t="str">
        <f t="shared" si="5598"/>
        <v/>
      </c>
      <c r="Q241" s="20" t="str">
        <f t="shared" si="5598"/>
        <v/>
      </c>
      <c r="R241" s="20" t="str">
        <f t="shared" si="5598"/>
        <v/>
      </c>
      <c r="S241" s="20" t="str">
        <f t="shared" si="5598"/>
        <v/>
      </c>
      <c r="T241" s="20" t="str">
        <f t="shared" si="5598"/>
        <v/>
      </c>
      <c r="U241" s="20" t="str">
        <f t="shared" si="5598"/>
        <v/>
      </c>
      <c r="V241" s="20" t="str">
        <f t="shared" si="5598"/>
        <v/>
      </c>
      <c r="W241" s="20" t="str">
        <f t="shared" si="5598"/>
        <v/>
      </c>
      <c r="X241" s="20" t="str">
        <f t="shared" si="5598"/>
        <v/>
      </c>
      <c r="Y241" s="20" t="str">
        <f t="shared" si="5598"/>
        <v/>
      </c>
      <c r="Z241" s="20" t="str">
        <f t="shared" si="5598"/>
        <v/>
      </c>
      <c r="AA241" s="20" t="str">
        <f t="shared" si="5598"/>
        <v/>
      </c>
      <c r="AB241" s="20" t="str">
        <f t="shared" si="5598"/>
        <v/>
      </c>
      <c r="AC241" s="20" t="str">
        <f t="shared" si="5598"/>
        <v/>
      </c>
      <c r="AD241" s="20" t="str">
        <f t="shared" si="5598"/>
        <v/>
      </c>
      <c r="AE241" s="20" t="str">
        <f t="shared" si="5598"/>
        <v/>
      </c>
      <c r="AF241" s="20" t="str">
        <f t="shared" si="5598"/>
        <v/>
      </c>
      <c r="AG241" s="20" t="str">
        <f t="shared" si="5598"/>
        <v/>
      </c>
      <c r="AH241" s="20" t="str">
        <f t="shared" si="5598"/>
        <v/>
      </c>
      <c r="AI241" s="20" t="str">
        <f t="shared" si="5598"/>
        <v/>
      </c>
      <c r="AJ241" s="20" t="str">
        <f t="shared" si="5598"/>
        <v/>
      </c>
      <c r="AK241" s="20" t="str">
        <f t="shared" si="5598"/>
        <v/>
      </c>
      <c r="AL241" s="20" t="str">
        <f t="shared" si="5598"/>
        <v/>
      </c>
      <c r="AM241" s="20" t="str">
        <f t="shared" si="5598"/>
        <v/>
      </c>
      <c r="AN241" s="20" t="str">
        <f t="shared" si="5598"/>
        <v/>
      </c>
      <c r="AO241" s="20" t="str">
        <f t="shared" si="5598"/>
        <v/>
      </c>
      <c r="AP241" s="20" t="str">
        <f t="shared" si="5598"/>
        <v/>
      </c>
      <c r="AQ241" s="20" t="str">
        <f t="shared" si="5598"/>
        <v/>
      </c>
      <c r="AR241" s="20" t="str">
        <f t="shared" si="5598"/>
        <v/>
      </c>
      <c r="AS241" s="20" t="str">
        <f t="shared" si="5598"/>
        <v/>
      </c>
      <c r="AT241" s="20" t="str">
        <f t="shared" si="5598"/>
        <v/>
      </c>
      <c r="AU241" s="20" t="str">
        <f t="shared" si="5598"/>
        <v/>
      </c>
      <c r="AV241" s="20" t="str">
        <f t="shared" si="5598"/>
        <v/>
      </c>
      <c r="AW241" s="20" t="str">
        <f t="shared" si="5598"/>
        <v/>
      </c>
      <c r="AX241" s="20" t="str">
        <f t="shared" si="5598"/>
        <v/>
      </c>
      <c r="AY241" s="20" t="str">
        <f t="shared" si="5598"/>
        <v/>
      </c>
      <c r="AZ241" s="20" t="str">
        <f t="shared" si="5598"/>
        <v/>
      </c>
      <c r="BA241" s="20" t="str">
        <f t="shared" si="5598"/>
        <v/>
      </c>
      <c r="BB241" s="20" t="str">
        <f t="shared" si="5598"/>
        <v/>
      </c>
      <c r="BC241" s="223" t="str">
        <f t="shared" si="5598"/>
        <v/>
      </c>
    </row>
    <row r="242" spans="1:55" ht="11.25" customHeight="1" thickBot="1" x14ac:dyDescent="0.25">
      <c r="A242" s="227">
        <f>IF(A241="","",A241/(A238*100))</f>
        <v>0.38</v>
      </c>
      <c r="B242" s="228" t="s">
        <v>17</v>
      </c>
      <c r="C242" s="229" t="s">
        <v>18</v>
      </c>
      <c r="D242" s="230" t="s">
        <v>18</v>
      </c>
      <c r="E242" s="230" t="s">
        <v>18</v>
      </c>
      <c r="F242" s="230" t="s">
        <v>18</v>
      </c>
      <c r="G242" s="231" t="str">
        <f t="shared" ref="D242:BC242" si="5599">IF(G241="","",IF(G241=0,"",G241/(G238*100)))</f>
        <v/>
      </c>
      <c r="H242" s="230" t="str">
        <f t="shared" si="5599"/>
        <v/>
      </c>
      <c r="I242" s="230">
        <f t="shared" si="5599"/>
        <v>0.38</v>
      </c>
      <c r="J242" s="231" t="str">
        <f t="shared" si="5599"/>
        <v/>
      </c>
      <c r="K242" s="230" t="str">
        <f t="shared" si="5599"/>
        <v/>
      </c>
      <c r="L242" s="230" t="str">
        <f t="shared" si="5599"/>
        <v/>
      </c>
      <c r="M242" s="230" t="str">
        <f t="shared" si="5599"/>
        <v/>
      </c>
      <c r="N242" s="231" t="str">
        <f t="shared" si="5599"/>
        <v/>
      </c>
      <c r="O242" s="230" t="str">
        <f t="shared" si="5599"/>
        <v/>
      </c>
      <c r="P242" s="230" t="str">
        <f t="shared" si="5599"/>
        <v/>
      </c>
      <c r="Q242" s="230" t="str">
        <f t="shared" si="5599"/>
        <v/>
      </c>
      <c r="R242" s="230" t="str">
        <f t="shared" si="5599"/>
        <v/>
      </c>
      <c r="S242" s="230" t="str">
        <f t="shared" si="5599"/>
        <v/>
      </c>
      <c r="T242" s="230" t="str">
        <f t="shared" si="5599"/>
        <v/>
      </c>
      <c r="U242" s="230" t="str">
        <f t="shared" si="5599"/>
        <v/>
      </c>
      <c r="V242" s="230" t="str">
        <f t="shared" si="5599"/>
        <v/>
      </c>
      <c r="W242" s="230" t="str">
        <f t="shared" si="5599"/>
        <v/>
      </c>
      <c r="X242" s="230" t="str">
        <f t="shared" si="5599"/>
        <v/>
      </c>
      <c r="Y242" s="230" t="str">
        <f t="shared" si="5599"/>
        <v/>
      </c>
      <c r="Z242" s="230" t="str">
        <f t="shared" si="5599"/>
        <v/>
      </c>
      <c r="AA242" s="230" t="str">
        <f t="shared" si="5599"/>
        <v/>
      </c>
      <c r="AB242" s="230" t="str">
        <f t="shared" si="5599"/>
        <v/>
      </c>
      <c r="AC242" s="230" t="str">
        <f t="shared" si="5599"/>
        <v/>
      </c>
      <c r="AD242" s="230" t="str">
        <f t="shared" si="5599"/>
        <v/>
      </c>
      <c r="AE242" s="230" t="str">
        <f t="shared" si="5599"/>
        <v/>
      </c>
      <c r="AF242" s="230" t="str">
        <f t="shared" si="5599"/>
        <v/>
      </c>
      <c r="AG242" s="230" t="str">
        <f t="shared" si="5599"/>
        <v/>
      </c>
      <c r="AH242" s="230" t="str">
        <f t="shared" si="5599"/>
        <v/>
      </c>
      <c r="AI242" s="230" t="str">
        <f t="shared" si="5599"/>
        <v/>
      </c>
      <c r="AJ242" s="230" t="str">
        <f t="shared" si="5599"/>
        <v/>
      </c>
      <c r="AK242" s="230" t="str">
        <f t="shared" si="5599"/>
        <v/>
      </c>
      <c r="AL242" s="230" t="str">
        <f t="shared" si="5599"/>
        <v/>
      </c>
      <c r="AM242" s="230" t="str">
        <f t="shared" si="5599"/>
        <v/>
      </c>
      <c r="AN242" s="230" t="str">
        <f t="shared" si="5599"/>
        <v/>
      </c>
      <c r="AO242" s="230" t="str">
        <f t="shared" si="5599"/>
        <v/>
      </c>
      <c r="AP242" s="230" t="str">
        <f t="shared" si="5599"/>
        <v/>
      </c>
      <c r="AQ242" s="230" t="str">
        <f t="shared" si="5599"/>
        <v/>
      </c>
      <c r="AR242" s="230" t="str">
        <f t="shared" si="5599"/>
        <v/>
      </c>
      <c r="AS242" s="230" t="str">
        <f t="shared" si="5599"/>
        <v/>
      </c>
      <c r="AT242" s="230" t="str">
        <f t="shared" si="5599"/>
        <v/>
      </c>
      <c r="AU242" s="230" t="str">
        <f t="shared" si="5599"/>
        <v/>
      </c>
      <c r="AV242" s="230" t="str">
        <f t="shared" si="5599"/>
        <v/>
      </c>
      <c r="AW242" s="230" t="str">
        <f t="shared" si="5599"/>
        <v/>
      </c>
      <c r="AX242" s="230" t="str">
        <f t="shared" si="5599"/>
        <v/>
      </c>
      <c r="AY242" s="230" t="str">
        <f t="shared" si="5599"/>
        <v/>
      </c>
      <c r="AZ242" s="230" t="str">
        <f t="shared" si="5599"/>
        <v/>
      </c>
      <c r="BA242" s="230" t="str">
        <f t="shared" si="5599"/>
        <v/>
      </c>
      <c r="BB242" s="230" t="str">
        <f t="shared" si="5599"/>
        <v/>
      </c>
      <c r="BC242" s="232" t="str">
        <f t="shared" si="5599"/>
        <v/>
      </c>
    </row>
    <row r="243" spans="1:55" ht="11.25" customHeight="1" x14ac:dyDescent="0.2">
      <c r="A243" s="208" t="s">
        <v>1</v>
      </c>
      <c r="B243" s="209" t="s">
        <v>2</v>
      </c>
      <c r="C243" s="210">
        <v>0</v>
      </c>
      <c r="D243" s="211">
        <v>0</v>
      </c>
      <c r="E243" s="211">
        <v>0</v>
      </c>
      <c r="F243" s="211">
        <v>0</v>
      </c>
      <c r="G243" s="212">
        <f t="shared" ref="G243:G244" si="5600">IF(G$3="","",F243)</f>
        <v>0</v>
      </c>
      <c r="H243" s="211">
        <f t="shared" ref="H243:H244" si="5601">IF(H$3="","",G243)</f>
        <v>0</v>
      </c>
      <c r="I243" s="211">
        <v>9</v>
      </c>
      <c r="J243" s="212">
        <f t="shared" ref="J243:J244" si="5602">IF(J$3="","",I243)</f>
        <v>9</v>
      </c>
      <c r="K243" s="211">
        <f t="shared" ref="K243:K244" si="5603">IF(K$3="","",J243)</f>
        <v>9</v>
      </c>
      <c r="L243" s="211">
        <f t="shared" ref="L243:L244" si="5604">IF(L$3="","",K243)</f>
        <v>9</v>
      </c>
      <c r="M243" s="211">
        <f t="shared" ref="M243:M244" si="5605">IF(M$3="","",L243)</f>
        <v>9</v>
      </c>
      <c r="N243" s="212" t="str">
        <f t="shared" ref="N243:N244" si="5606">IF(N$3="","",M243)</f>
        <v/>
      </c>
      <c r="O243" s="211" t="str">
        <f t="shared" ref="O243:O244" si="5607">IF(O$3="","",N243)</f>
        <v/>
      </c>
      <c r="P243" s="211" t="str">
        <f t="shared" ref="P243:P244" si="5608">IF(P$3="","",O243)</f>
        <v/>
      </c>
      <c r="Q243" s="211" t="str">
        <f t="shared" ref="Q243:Q244" si="5609">IF(Q$3="","",P243)</f>
        <v/>
      </c>
      <c r="R243" s="211" t="str">
        <f t="shared" ref="R243:R244" si="5610">IF(R$3="","",Q243)</f>
        <v/>
      </c>
      <c r="S243" s="211" t="str">
        <f t="shared" ref="S243:S244" si="5611">IF(S$3="","",R243)</f>
        <v/>
      </c>
      <c r="T243" s="211" t="str">
        <f t="shared" ref="T243:T244" si="5612">IF(T$3="","",S243)</f>
        <v/>
      </c>
      <c r="U243" s="211" t="str">
        <f t="shared" ref="U243:U244" si="5613">IF(U$3="","",T243)</f>
        <v/>
      </c>
      <c r="V243" s="211" t="str">
        <f t="shared" ref="V243:V244" si="5614">IF(V$3="","",U243)</f>
        <v/>
      </c>
      <c r="W243" s="211" t="str">
        <f t="shared" ref="W243:W244" si="5615">IF(W$3="","",V243)</f>
        <v/>
      </c>
      <c r="X243" s="211" t="str">
        <f t="shared" ref="X243:X244" si="5616">IF(X$3="","",W243)</f>
        <v/>
      </c>
      <c r="Y243" s="211" t="str">
        <f t="shared" ref="Y243:Y244" si="5617">IF(Y$3="","",X243)</f>
        <v/>
      </c>
      <c r="Z243" s="211" t="str">
        <f t="shared" ref="Z243:Z244" si="5618">IF(Z$3="","",Y243)</f>
        <v/>
      </c>
      <c r="AA243" s="211" t="str">
        <f t="shared" ref="AA243:AA244" si="5619">IF(AA$3="","",Z243)</f>
        <v/>
      </c>
      <c r="AB243" s="211" t="str">
        <f t="shared" ref="AB243:AB244" si="5620">IF(AB$3="","",AA243)</f>
        <v/>
      </c>
      <c r="AC243" s="211" t="str">
        <f t="shared" ref="AC243:AC244" si="5621">IF(AC$3="","",AB243)</f>
        <v/>
      </c>
      <c r="AD243" s="211" t="str">
        <f t="shared" ref="AD243:AD244" si="5622">IF(AD$3="","",AC243)</f>
        <v/>
      </c>
      <c r="AE243" s="211" t="str">
        <f t="shared" ref="AE243:AE244" si="5623">IF(AE$3="","",AD243)</f>
        <v/>
      </c>
      <c r="AF243" s="211" t="str">
        <f t="shared" ref="AF243:AF244" si="5624">IF(AF$3="","",AE243)</f>
        <v/>
      </c>
      <c r="AG243" s="211" t="str">
        <f t="shared" ref="AG243:AG244" si="5625">IF(AG$3="","",AF243)</f>
        <v/>
      </c>
      <c r="AH243" s="211" t="str">
        <f t="shared" ref="AH243:AH244" si="5626">IF(AH$3="","",AG243)</f>
        <v/>
      </c>
      <c r="AI243" s="211" t="str">
        <f t="shared" ref="AI243:AI244" si="5627">IF(AI$3="","",AH243)</f>
        <v/>
      </c>
      <c r="AJ243" s="211" t="str">
        <f t="shared" ref="AJ243:AJ244" si="5628">IF(AJ$3="","",AI243)</f>
        <v/>
      </c>
      <c r="AK243" s="211" t="str">
        <f t="shared" ref="AK243:AK244" si="5629">IF(AK$3="","",AJ243)</f>
        <v/>
      </c>
      <c r="AL243" s="211" t="str">
        <f t="shared" ref="AL243:AL244" si="5630">IF(AL$3="","",AK243)</f>
        <v/>
      </c>
      <c r="AM243" s="211" t="str">
        <f t="shared" ref="AM243:AM244" si="5631">IF(AM$3="","",AL243)</f>
        <v/>
      </c>
      <c r="AN243" s="211" t="str">
        <f t="shared" ref="AN243:AN244" si="5632">IF(AN$3="","",AM243)</f>
        <v/>
      </c>
      <c r="AO243" s="211" t="str">
        <f t="shared" ref="AO243:AO244" si="5633">IF(AO$3="","",AN243)</f>
        <v/>
      </c>
      <c r="AP243" s="211" t="str">
        <f t="shared" ref="AP243:AP244" si="5634">IF(AP$3="","",AO243)</f>
        <v/>
      </c>
      <c r="AQ243" s="211" t="str">
        <f t="shared" ref="AQ243:AQ244" si="5635">IF(AQ$3="","",AP243)</f>
        <v/>
      </c>
      <c r="AR243" s="211" t="str">
        <f t="shared" ref="AR243:AR244" si="5636">IF(AR$3="","",AQ243)</f>
        <v/>
      </c>
      <c r="AS243" s="211" t="str">
        <f t="shared" ref="AS243:AS244" si="5637">IF(AS$3="","",AR243)</f>
        <v/>
      </c>
      <c r="AT243" s="211" t="str">
        <f t="shared" ref="AT243:AT244" si="5638">IF(AT$3="","",AS243)</f>
        <v/>
      </c>
      <c r="AU243" s="211" t="str">
        <f t="shared" ref="AU243:AU244" si="5639">IF(AU$3="","",AT243)</f>
        <v/>
      </c>
      <c r="AV243" s="211" t="str">
        <f t="shared" ref="AV243:AV244" si="5640">IF(AV$3="","",AU243)</f>
        <v/>
      </c>
      <c r="AW243" s="211" t="str">
        <f t="shared" ref="AW243:AW244" si="5641">IF(AW$3="","",AV243)</f>
        <v/>
      </c>
      <c r="AX243" s="211" t="str">
        <f t="shared" ref="AX243:AX244" si="5642">IF(AX$3="","",AW243)</f>
        <v/>
      </c>
      <c r="AY243" s="211" t="str">
        <f t="shared" ref="AY243:AY244" si="5643">IF(AY$3="","",AX243)</f>
        <v/>
      </c>
      <c r="AZ243" s="211" t="str">
        <f t="shared" ref="AZ243:AZ244" si="5644">IF(AZ$3="","",AY243)</f>
        <v/>
      </c>
      <c r="BA243" s="211" t="str">
        <f t="shared" ref="BA243:BA244" si="5645">IF(BA$3="","",AZ243)</f>
        <v/>
      </c>
      <c r="BB243" s="211" t="str">
        <f t="shared" ref="BB243:BB244" si="5646">IF(BB$3="","",BA243)</f>
        <v/>
      </c>
      <c r="BC243" s="213" t="str">
        <f t="shared" ref="BC243:BC244" si="5647">IF(BC$3="","",BB243)</f>
        <v/>
      </c>
    </row>
    <row r="244" spans="1:55" ht="11.25" customHeight="1" x14ac:dyDescent="0.2">
      <c r="A244" s="214" t="s">
        <v>270</v>
      </c>
      <c r="B244" s="11" t="s">
        <v>4</v>
      </c>
      <c r="C244" s="123">
        <v>0</v>
      </c>
      <c r="D244" s="12">
        <v>0</v>
      </c>
      <c r="E244" s="12">
        <v>0</v>
      </c>
      <c r="F244" s="12">
        <v>0</v>
      </c>
      <c r="G244" s="195">
        <f t="shared" si="5600"/>
        <v>0</v>
      </c>
      <c r="H244" s="12">
        <f t="shared" si="5601"/>
        <v>0</v>
      </c>
      <c r="I244" s="12">
        <f t="shared" ref="I243:I244" si="5648">IF(I$3="","",H244)</f>
        <v>0</v>
      </c>
      <c r="J244" s="195">
        <f t="shared" si="5602"/>
        <v>0</v>
      </c>
      <c r="K244" s="12">
        <f t="shared" si="5603"/>
        <v>0</v>
      </c>
      <c r="L244" s="12">
        <f t="shared" si="5604"/>
        <v>0</v>
      </c>
      <c r="M244" s="12">
        <f t="shared" si="5605"/>
        <v>0</v>
      </c>
      <c r="N244" s="195" t="str">
        <f t="shared" si="5606"/>
        <v/>
      </c>
      <c r="O244" s="12" t="str">
        <f t="shared" si="5607"/>
        <v/>
      </c>
      <c r="P244" s="12" t="str">
        <f t="shared" si="5608"/>
        <v/>
      </c>
      <c r="Q244" s="12" t="str">
        <f t="shared" si="5609"/>
        <v/>
      </c>
      <c r="R244" s="12" t="str">
        <f t="shared" si="5610"/>
        <v/>
      </c>
      <c r="S244" s="12" t="str">
        <f t="shared" si="5611"/>
        <v/>
      </c>
      <c r="T244" s="12" t="str">
        <f t="shared" si="5612"/>
        <v/>
      </c>
      <c r="U244" s="12" t="str">
        <f t="shared" si="5613"/>
        <v/>
      </c>
      <c r="V244" s="12" t="str">
        <f t="shared" si="5614"/>
        <v/>
      </c>
      <c r="W244" s="12" t="str">
        <f t="shared" si="5615"/>
        <v/>
      </c>
      <c r="X244" s="12" t="str">
        <f t="shared" si="5616"/>
        <v/>
      </c>
      <c r="Y244" s="12" t="str">
        <f t="shared" si="5617"/>
        <v/>
      </c>
      <c r="Z244" s="12" t="str">
        <f t="shared" si="5618"/>
        <v/>
      </c>
      <c r="AA244" s="12" t="str">
        <f t="shared" si="5619"/>
        <v/>
      </c>
      <c r="AB244" s="12" t="str">
        <f t="shared" si="5620"/>
        <v/>
      </c>
      <c r="AC244" s="12" t="str">
        <f t="shared" si="5621"/>
        <v/>
      </c>
      <c r="AD244" s="12" t="str">
        <f t="shared" si="5622"/>
        <v/>
      </c>
      <c r="AE244" s="12" t="str">
        <f t="shared" si="5623"/>
        <v/>
      </c>
      <c r="AF244" s="12" t="str">
        <f t="shared" si="5624"/>
        <v/>
      </c>
      <c r="AG244" s="12" t="str">
        <f t="shared" si="5625"/>
        <v/>
      </c>
      <c r="AH244" s="12" t="str">
        <f t="shared" si="5626"/>
        <v/>
      </c>
      <c r="AI244" s="12" t="str">
        <f t="shared" si="5627"/>
        <v/>
      </c>
      <c r="AJ244" s="12" t="str">
        <f t="shared" si="5628"/>
        <v/>
      </c>
      <c r="AK244" s="12" t="str">
        <f t="shared" si="5629"/>
        <v/>
      </c>
      <c r="AL244" s="12" t="str">
        <f t="shared" si="5630"/>
        <v/>
      </c>
      <c r="AM244" s="12" t="str">
        <f t="shared" si="5631"/>
        <v/>
      </c>
      <c r="AN244" s="12" t="str">
        <f t="shared" si="5632"/>
        <v/>
      </c>
      <c r="AO244" s="12" t="str">
        <f t="shared" si="5633"/>
        <v/>
      </c>
      <c r="AP244" s="12" t="str">
        <f t="shared" si="5634"/>
        <v/>
      </c>
      <c r="AQ244" s="12" t="str">
        <f t="shared" si="5635"/>
        <v/>
      </c>
      <c r="AR244" s="12" t="str">
        <f t="shared" si="5636"/>
        <v/>
      </c>
      <c r="AS244" s="12" t="str">
        <f t="shared" si="5637"/>
        <v/>
      </c>
      <c r="AT244" s="12" t="str">
        <f t="shared" si="5638"/>
        <v/>
      </c>
      <c r="AU244" s="12" t="str">
        <f t="shared" si="5639"/>
        <v/>
      </c>
      <c r="AV244" s="12" t="str">
        <f t="shared" si="5640"/>
        <v/>
      </c>
      <c r="AW244" s="12" t="str">
        <f t="shared" si="5641"/>
        <v/>
      </c>
      <c r="AX244" s="12" t="str">
        <f t="shared" si="5642"/>
        <v/>
      </c>
      <c r="AY244" s="12" t="str">
        <f t="shared" si="5643"/>
        <v/>
      </c>
      <c r="AZ244" s="12" t="str">
        <f t="shared" si="5644"/>
        <v/>
      </c>
      <c r="BA244" s="12" t="str">
        <f t="shared" si="5645"/>
        <v/>
      </c>
      <c r="BB244" s="12" t="str">
        <f t="shared" si="5646"/>
        <v/>
      </c>
      <c r="BC244" s="215" t="str">
        <f t="shared" si="5647"/>
        <v/>
      </c>
    </row>
    <row r="245" spans="1:55" ht="11.25" customHeight="1" x14ac:dyDescent="0.25">
      <c r="A245" s="216">
        <v>1</v>
      </c>
      <c r="B245" s="11" t="s">
        <v>5</v>
      </c>
      <c r="C245" s="123">
        <v>14</v>
      </c>
      <c r="D245" s="12">
        <v>14</v>
      </c>
      <c r="E245" s="12">
        <v>14</v>
      </c>
      <c r="F245" s="12">
        <v>14</v>
      </c>
      <c r="G245" s="195">
        <f t="shared" ref="G245" si="5649">IF(G243="","",(F245+F246))</f>
        <v>14</v>
      </c>
      <c r="H245" s="12">
        <f t="shared" ref="H245" si="5650">IF(H243="","",(G245+G246))</f>
        <v>14</v>
      </c>
      <c r="I245" s="12">
        <f t="shared" ref="I245" si="5651">IF(I243="","",(H245+H246))</f>
        <v>14</v>
      </c>
      <c r="J245" s="195">
        <f t="shared" ref="J245" si="5652">IF(J243="","",(I245+I246))</f>
        <v>20</v>
      </c>
      <c r="K245" s="12">
        <f t="shared" ref="K245" si="5653">IF(K243="","",(J245+J246))</f>
        <v>20</v>
      </c>
      <c r="L245" s="12">
        <f t="shared" ref="L245" si="5654">IF(L243="","",(K245+K246))</f>
        <v>20</v>
      </c>
      <c r="M245" s="12">
        <f t="shared" ref="M245" si="5655">IF(M243="","",(L245+L246))</f>
        <v>20</v>
      </c>
      <c r="N245" s="195" t="str">
        <f t="shared" ref="N245" si="5656">IF(N243="","",(M245+M246))</f>
        <v/>
      </c>
      <c r="O245" s="12" t="str">
        <f t="shared" ref="O245" si="5657">IF(O243="","",(N245+N246))</f>
        <v/>
      </c>
      <c r="P245" s="12" t="str">
        <f t="shared" ref="P245" si="5658">IF(P243="","",(O245+O246))</f>
        <v/>
      </c>
      <c r="Q245" s="12" t="str">
        <f t="shared" ref="Q245" si="5659">IF(Q243="","",(P245+P246))</f>
        <v/>
      </c>
      <c r="R245" s="12" t="str">
        <f t="shared" ref="R245" si="5660">IF(R243="","",(Q245+Q246))</f>
        <v/>
      </c>
      <c r="S245" s="12" t="str">
        <f t="shared" ref="S245" si="5661">IF(S243="","",(R245+R246))</f>
        <v/>
      </c>
      <c r="T245" s="12" t="str">
        <f t="shared" ref="T245" si="5662">IF(T243="","",(S245+S246))</f>
        <v/>
      </c>
      <c r="U245" s="12" t="str">
        <f t="shared" ref="U245" si="5663">IF(U243="","",(T245+T246))</f>
        <v/>
      </c>
      <c r="V245" s="12" t="str">
        <f t="shared" ref="V245" si="5664">IF(V243="","",(U245+U246))</f>
        <v/>
      </c>
      <c r="W245" s="12" t="str">
        <f t="shared" ref="W245" si="5665">IF(W243="","",(V245+V246))</f>
        <v/>
      </c>
      <c r="X245" s="12" t="str">
        <f t="shared" ref="X245" si="5666">IF(X243="","",(W245+W246))</f>
        <v/>
      </c>
      <c r="Y245" s="12" t="str">
        <f t="shared" ref="Y245" si="5667">IF(Y243="","",(X245+X246))</f>
        <v/>
      </c>
      <c r="Z245" s="12" t="str">
        <f t="shared" ref="Z245" si="5668">IF(Z243="","",(Y245+Y246))</f>
        <v/>
      </c>
      <c r="AA245" s="12" t="str">
        <f t="shared" ref="AA245" si="5669">IF(AA243="","",(Z245+Z246))</f>
        <v/>
      </c>
      <c r="AB245" s="12" t="str">
        <f t="shared" ref="AB245" si="5670">IF(AB243="","",(AA245+AA246))</f>
        <v/>
      </c>
      <c r="AC245" s="12" t="str">
        <f t="shared" ref="AC245" si="5671">IF(AC243="","",(AB245+AB246))</f>
        <v/>
      </c>
      <c r="AD245" s="12" t="str">
        <f t="shared" ref="AD245" si="5672">IF(AD243="","",(AC245+AC246))</f>
        <v/>
      </c>
      <c r="AE245" s="12" t="str">
        <f t="shared" ref="AE245" si="5673">IF(AE243="","",(AD245+AD246))</f>
        <v/>
      </c>
      <c r="AF245" s="12" t="str">
        <f t="shared" ref="AF245" si="5674">IF(AF243="","",(AE245+AE246))</f>
        <v/>
      </c>
      <c r="AG245" s="12" t="str">
        <f t="shared" ref="AG245" si="5675">IF(AG243="","",(AF245+AF246))</f>
        <v/>
      </c>
      <c r="AH245" s="12" t="str">
        <f t="shared" ref="AH245" si="5676">IF(AH243="","",(AG245+AG246))</f>
        <v/>
      </c>
      <c r="AI245" s="12" t="str">
        <f t="shared" ref="AI245" si="5677">IF(AI243="","",(AH245+AH246))</f>
        <v/>
      </c>
      <c r="AJ245" s="12" t="str">
        <f t="shared" ref="AJ245" si="5678">IF(AJ243="","",(AI245+AI246))</f>
        <v/>
      </c>
      <c r="AK245" s="12" t="str">
        <f t="shared" ref="AK245" si="5679">IF(AK243="","",(AJ245+AJ246))</f>
        <v/>
      </c>
      <c r="AL245" s="12" t="str">
        <f t="shared" ref="AL245" si="5680">IF(AL243="","",(AK245+AK246))</f>
        <v/>
      </c>
      <c r="AM245" s="12" t="str">
        <f t="shared" ref="AM245" si="5681">IF(AM243="","",(AL245+AL246))</f>
        <v/>
      </c>
      <c r="AN245" s="12" t="str">
        <f t="shared" ref="AN245" si="5682">IF(AN243="","",(AM245+AM246))</f>
        <v/>
      </c>
      <c r="AO245" s="12" t="str">
        <f t="shared" ref="AO245" si="5683">IF(AO243="","",(AN245+AN246))</f>
        <v/>
      </c>
      <c r="AP245" s="12" t="str">
        <f t="shared" ref="AP245" si="5684">IF(AP243="","",(AO245+AO246))</f>
        <v/>
      </c>
      <c r="AQ245" s="12" t="str">
        <f t="shared" ref="AQ245" si="5685">IF(AQ243="","",(AP245+AP246))</f>
        <v/>
      </c>
      <c r="AR245" s="12" t="str">
        <f t="shared" ref="AR245" si="5686">IF(AR243="","",(AQ245+AQ246))</f>
        <v/>
      </c>
      <c r="AS245" s="12" t="str">
        <f t="shared" ref="AS245" si="5687">IF(AS243="","",(AR245+AR246))</f>
        <v/>
      </c>
      <c r="AT245" s="12" t="str">
        <f t="shared" ref="AT245" si="5688">IF(AT243="","",(AS245+AS246))</f>
        <v/>
      </c>
      <c r="AU245" s="12" t="str">
        <f t="shared" ref="AU245" si="5689">IF(AU243="","",(AT245+AT246))</f>
        <v/>
      </c>
      <c r="AV245" s="12" t="str">
        <f t="shared" ref="AV245" si="5690">IF(AV243="","",(AU245+AU246))</f>
        <v/>
      </c>
      <c r="AW245" s="12" t="str">
        <f t="shared" ref="AW245" si="5691">IF(AW243="","",(AV245+AV246))</f>
        <v/>
      </c>
      <c r="AX245" s="12" t="str">
        <f t="shared" ref="AX245" si="5692">IF(AX243="","",(AW245+AW246))</f>
        <v/>
      </c>
      <c r="AY245" s="12" t="str">
        <f t="shared" ref="AY245" si="5693">IF(AY243="","",(AX245+AX246))</f>
        <v/>
      </c>
      <c r="AZ245" s="12" t="str">
        <f t="shared" ref="AZ245" si="5694">IF(AZ243="","",(AY245+AY246))</f>
        <v/>
      </c>
      <c r="BA245" s="12" t="str">
        <f t="shared" ref="BA245" si="5695">IF(BA243="","",(AZ245+AZ246))</f>
        <v/>
      </c>
      <c r="BB245" s="12" t="str">
        <f t="shared" ref="BB245" si="5696">IF(BB243="","",(BA245+BA246))</f>
        <v/>
      </c>
      <c r="BC245" s="215" t="str">
        <f t="shared" ref="BC245" si="5697">IF(BC243="","",(BB245+BB246))</f>
        <v/>
      </c>
    </row>
    <row r="246" spans="1:55" ht="11.25" customHeight="1" x14ac:dyDescent="0.25">
      <c r="A246" s="217" t="s">
        <v>20</v>
      </c>
      <c r="B246" s="11" t="s">
        <v>6</v>
      </c>
      <c r="C246" s="123"/>
      <c r="D246" s="12"/>
      <c r="E246" s="12"/>
      <c r="F246" s="12"/>
      <c r="G246" s="195"/>
      <c r="H246" s="12"/>
      <c r="I246" s="12">
        <v>6</v>
      </c>
      <c r="J246" s="195"/>
      <c r="K246" s="12"/>
      <c r="L246" s="12"/>
      <c r="M246" s="12"/>
      <c r="N246" s="195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215"/>
    </row>
    <row r="247" spans="1:55" ht="11.25" customHeight="1" x14ac:dyDescent="0.25">
      <c r="A247" s="218">
        <f>+(A250+A262+A274+A286)*100</f>
        <v>14100</v>
      </c>
      <c r="B247" s="11" t="s">
        <v>8</v>
      </c>
      <c r="C247" s="129">
        <v>230</v>
      </c>
      <c r="D247" s="206">
        <v>230</v>
      </c>
      <c r="E247" s="206">
        <v>230</v>
      </c>
      <c r="F247" s="206">
        <v>230</v>
      </c>
      <c r="G247" s="207">
        <f t="shared" ref="G247" si="5698">IF(G243="","",F247)</f>
        <v>230</v>
      </c>
      <c r="H247" s="206">
        <f t="shared" ref="H247" si="5699">IF(H243="","",G247)</f>
        <v>230</v>
      </c>
      <c r="I247" s="206">
        <f t="shared" ref="I247" si="5700">IF(I243="","",H247)</f>
        <v>230</v>
      </c>
      <c r="J247" s="207">
        <f t="shared" ref="J247" si="5701">IF(J243="","",I247)</f>
        <v>230</v>
      </c>
      <c r="K247" s="206">
        <f t="shared" ref="K247" si="5702">IF(K243="","",J247)</f>
        <v>230</v>
      </c>
      <c r="L247" s="206">
        <f t="shared" ref="L247" si="5703">IF(L243="","",K247)</f>
        <v>230</v>
      </c>
      <c r="M247" s="206">
        <f t="shared" ref="M247" si="5704">IF(M243="","",L247)</f>
        <v>230</v>
      </c>
      <c r="N247" s="207" t="str">
        <f t="shared" ref="N247" si="5705">IF(N243="","",M247)</f>
        <v/>
      </c>
      <c r="O247" s="206" t="str">
        <f t="shared" ref="O247" si="5706">IF(O243="","",N247)</f>
        <v/>
      </c>
      <c r="P247" s="206" t="str">
        <f t="shared" ref="P247" si="5707">IF(P243="","",O247)</f>
        <v/>
      </c>
      <c r="Q247" s="206" t="str">
        <f t="shared" ref="Q247" si="5708">IF(Q243="","",P247)</f>
        <v/>
      </c>
      <c r="R247" s="206" t="str">
        <f t="shared" ref="R247" si="5709">IF(R243="","",Q247)</f>
        <v/>
      </c>
      <c r="S247" s="206" t="str">
        <f t="shared" ref="S247" si="5710">IF(S243="","",R247)</f>
        <v/>
      </c>
      <c r="T247" s="206" t="str">
        <f t="shared" ref="T247" si="5711">IF(T243="","",S247)</f>
        <v/>
      </c>
      <c r="U247" s="206" t="str">
        <f t="shared" ref="U247" si="5712">IF(U243="","",T247)</f>
        <v/>
      </c>
      <c r="V247" s="206" t="str">
        <f t="shared" ref="V247" si="5713">IF(V243="","",U247)</f>
        <v/>
      </c>
      <c r="W247" s="206" t="str">
        <f t="shared" ref="W247" si="5714">IF(W243="","",V247)</f>
        <v/>
      </c>
      <c r="X247" s="206" t="str">
        <f t="shared" ref="X247" si="5715">IF(X243="","",W247)</f>
        <v/>
      </c>
      <c r="Y247" s="206" t="str">
        <f t="shared" ref="Y247" si="5716">IF(Y243="","",X247)</f>
        <v/>
      </c>
      <c r="Z247" s="206" t="str">
        <f t="shared" ref="Z247" si="5717">IF(Z243="","",Y247)</f>
        <v/>
      </c>
      <c r="AA247" s="206" t="str">
        <f t="shared" ref="AA247" si="5718">IF(AA243="","",Z247)</f>
        <v/>
      </c>
      <c r="AB247" s="206" t="str">
        <f t="shared" ref="AB247" si="5719">IF(AB243="","",AA247)</f>
        <v/>
      </c>
      <c r="AC247" s="206" t="str">
        <f t="shared" ref="AC247" si="5720">IF(AC243="","",AB247)</f>
        <v/>
      </c>
      <c r="AD247" s="206" t="str">
        <f t="shared" ref="AD247" si="5721">IF(AD243="","",AC247)</f>
        <v/>
      </c>
      <c r="AE247" s="206" t="str">
        <f t="shared" ref="AE247" si="5722">IF(AE243="","",AD247)</f>
        <v/>
      </c>
      <c r="AF247" s="206" t="str">
        <f t="shared" ref="AF247" si="5723">IF(AF243="","",AE247)</f>
        <v/>
      </c>
      <c r="AG247" s="206" t="str">
        <f t="shared" ref="AG247" si="5724">IF(AG243="","",AF247)</f>
        <v/>
      </c>
      <c r="AH247" s="206" t="str">
        <f t="shared" ref="AH247" si="5725">IF(AH243="","",AG247)</f>
        <v/>
      </c>
      <c r="AI247" s="206" t="str">
        <f t="shared" ref="AI247" si="5726">IF(AI243="","",AH247)</f>
        <v/>
      </c>
      <c r="AJ247" s="206" t="str">
        <f t="shared" ref="AJ247" si="5727">IF(AJ243="","",AI247)</f>
        <v/>
      </c>
      <c r="AK247" s="206" t="str">
        <f t="shared" ref="AK247" si="5728">IF(AK243="","",AJ247)</f>
        <v/>
      </c>
      <c r="AL247" s="206" t="str">
        <f t="shared" ref="AL247" si="5729">IF(AL243="","",AK247)</f>
        <v/>
      </c>
      <c r="AM247" s="206" t="str">
        <f t="shared" ref="AM247" si="5730">IF(AM243="","",AL247)</f>
        <v/>
      </c>
      <c r="AN247" s="206" t="str">
        <f t="shared" ref="AN247" si="5731">IF(AN243="","",AM247)</f>
        <v/>
      </c>
      <c r="AO247" s="206" t="str">
        <f t="shared" ref="AO247" si="5732">IF(AO243="","",AN247)</f>
        <v/>
      </c>
      <c r="AP247" s="206" t="str">
        <f t="shared" ref="AP247" si="5733">IF(AP243="","",AO247)</f>
        <v/>
      </c>
      <c r="AQ247" s="206" t="str">
        <f t="shared" ref="AQ247" si="5734">IF(AQ243="","",AP247)</f>
        <v/>
      </c>
      <c r="AR247" s="206" t="str">
        <f t="shared" ref="AR247" si="5735">IF(AR243="","",AQ247)</f>
        <v/>
      </c>
      <c r="AS247" s="206" t="str">
        <f t="shared" ref="AS247" si="5736">IF(AS243="","",AR247)</f>
        <v/>
      </c>
      <c r="AT247" s="206" t="str">
        <f t="shared" ref="AT247" si="5737">IF(AT243="","",AS247)</f>
        <v/>
      </c>
      <c r="AU247" s="206" t="str">
        <f t="shared" ref="AU247" si="5738">IF(AU243="","",AT247)</f>
        <v/>
      </c>
      <c r="AV247" s="206" t="str">
        <f t="shared" ref="AV247" si="5739">IF(AV243="","",AU247)</f>
        <v/>
      </c>
      <c r="AW247" s="206" t="str">
        <f t="shared" ref="AW247" si="5740">IF(AW243="","",AV247)</f>
        <v/>
      </c>
      <c r="AX247" s="206" t="str">
        <f t="shared" ref="AX247" si="5741">IF(AX243="","",AW247)</f>
        <v/>
      </c>
      <c r="AY247" s="206" t="str">
        <f t="shared" ref="AY247" si="5742">IF(AY243="","",AX247)</f>
        <v/>
      </c>
      <c r="AZ247" s="206" t="str">
        <f t="shared" ref="AZ247" si="5743">IF(AZ243="","",AY247)</f>
        <v/>
      </c>
      <c r="BA247" s="206" t="str">
        <f t="shared" ref="BA247" si="5744">IF(BA243="","",AZ247)</f>
        <v/>
      </c>
      <c r="BB247" s="206" t="str">
        <f t="shared" ref="BB247" si="5745">IF(BB243="","",BA247)</f>
        <v/>
      </c>
      <c r="BC247" s="219" t="str">
        <f t="shared" ref="BC247" si="5746">IF(BC243="","",BB247)</f>
        <v/>
      </c>
    </row>
    <row r="248" spans="1:55" ht="11.25" customHeight="1" x14ac:dyDescent="0.2">
      <c r="A248" s="220" t="s">
        <v>9</v>
      </c>
      <c r="B248" s="17" t="s">
        <v>10</v>
      </c>
      <c r="C248" s="133" t="s">
        <v>281</v>
      </c>
      <c r="D248" s="18" t="s">
        <v>281</v>
      </c>
      <c r="E248" s="18" t="s">
        <v>281</v>
      </c>
      <c r="F248" s="18" t="s">
        <v>281</v>
      </c>
      <c r="G248" s="197" t="str">
        <f t="shared" ref="G248" si="5747">IF(G243="","",F248)</f>
        <v>電ブルcute</v>
      </c>
      <c r="H248" s="18" t="str">
        <f t="shared" ref="H248" si="5748">IF(H243="","",G248)</f>
        <v>電ブルcute</v>
      </c>
      <c r="I248" s="18" t="str">
        <f t="shared" ref="I248" si="5749">IF(I243="","",H248)</f>
        <v>電ブルcute</v>
      </c>
      <c r="J248" s="197" t="str">
        <f t="shared" ref="J248" si="5750">IF(J243="","",I248)</f>
        <v>電ブルcute</v>
      </c>
      <c r="K248" s="18" t="str">
        <f t="shared" ref="K248" si="5751">IF(K243="","",J248)</f>
        <v>電ブルcute</v>
      </c>
      <c r="L248" s="18" t="str">
        <f t="shared" ref="L248" si="5752">IF(L243="","",K248)</f>
        <v>電ブルcute</v>
      </c>
      <c r="M248" s="18" t="str">
        <f t="shared" ref="M248" si="5753">IF(M243="","",L248)</f>
        <v>電ブルcute</v>
      </c>
      <c r="N248" s="197" t="str">
        <f t="shared" ref="N248" si="5754">IF(N243="","",M248)</f>
        <v/>
      </c>
      <c r="O248" s="18" t="str">
        <f t="shared" ref="O248" si="5755">IF(O243="","",N248)</f>
        <v/>
      </c>
      <c r="P248" s="18" t="str">
        <f t="shared" ref="P248" si="5756">IF(P243="","",O248)</f>
        <v/>
      </c>
      <c r="Q248" s="18" t="str">
        <f t="shared" ref="Q248" si="5757">IF(Q243="","",P248)</f>
        <v/>
      </c>
      <c r="R248" s="18" t="str">
        <f t="shared" ref="R248" si="5758">IF(R243="","",Q248)</f>
        <v/>
      </c>
      <c r="S248" s="18" t="str">
        <f t="shared" ref="S248" si="5759">IF(S243="","",R248)</f>
        <v/>
      </c>
      <c r="T248" s="18" t="str">
        <f t="shared" ref="T248" si="5760">IF(T243="","",S248)</f>
        <v/>
      </c>
      <c r="U248" s="18" t="str">
        <f t="shared" ref="U248" si="5761">IF(U243="","",T248)</f>
        <v/>
      </c>
      <c r="V248" s="18" t="str">
        <f t="shared" ref="V248" si="5762">IF(V243="","",U248)</f>
        <v/>
      </c>
      <c r="W248" s="18" t="str">
        <f t="shared" ref="W248" si="5763">IF(W243="","",V248)</f>
        <v/>
      </c>
      <c r="X248" s="18" t="str">
        <f t="shared" ref="X248" si="5764">IF(X243="","",W248)</f>
        <v/>
      </c>
      <c r="Y248" s="18" t="str">
        <f t="shared" ref="Y248" si="5765">IF(Y243="","",X248)</f>
        <v/>
      </c>
      <c r="Z248" s="18" t="str">
        <f t="shared" ref="Z248" si="5766">IF(Z243="","",Y248)</f>
        <v/>
      </c>
      <c r="AA248" s="18" t="str">
        <f t="shared" ref="AA248" si="5767">IF(AA243="","",Z248)</f>
        <v/>
      </c>
      <c r="AB248" s="18" t="str">
        <f t="shared" ref="AB248" si="5768">IF(AB243="","",AA248)</f>
        <v/>
      </c>
      <c r="AC248" s="18" t="str">
        <f t="shared" ref="AC248" si="5769">IF(AC243="","",AB248)</f>
        <v/>
      </c>
      <c r="AD248" s="18" t="str">
        <f t="shared" ref="AD248" si="5770">IF(AD243="","",AC248)</f>
        <v/>
      </c>
      <c r="AE248" s="18" t="str">
        <f t="shared" ref="AE248" si="5771">IF(AE243="","",AD248)</f>
        <v/>
      </c>
      <c r="AF248" s="18" t="str">
        <f t="shared" ref="AF248" si="5772">IF(AF243="","",AE248)</f>
        <v/>
      </c>
      <c r="AG248" s="18" t="str">
        <f t="shared" ref="AG248" si="5773">IF(AG243="","",AF248)</f>
        <v/>
      </c>
      <c r="AH248" s="18" t="str">
        <f t="shared" ref="AH248" si="5774">IF(AH243="","",AG248)</f>
        <v/>
      </c>
      <c r="AI248" s="18" t="str">
        <f t="shared" ref="AI248" si="5775">IF(AI243="","",AH248)</f>
        <v/>
      </c>
      <c r="AJ248" s="18" t="str">
        <f t="shared" ref="AJ248" si="5776">IF(AJ243="","",AI248)</f>
        <v/>
      </c>
      <c r="AK248" s="18" t="str">
        <f t="shared" ref="AK248" si="5777">IF(AK243="","",AJ248)</f>
        <v/>
      </c>
      <c r="AL248" s="18" t="str">
        <f t="shared" ref="AL248" si="5778">IF(AL243="","",AK248)</f>
        <v/>
      </c>
      <c r="AM248" s="18" t="str">
        <f t="shared" ref="AM248" si="5779">IF(AM243="","",AL248)</f>
        <v/>
      </c>
      <c r="AN248" s="18" t="str">
        <f t="shared" ref="AN248" si="5780">IF(AN243="","",AM248)</f>
        <v/>
      </c>
      <c r="AO248" s="18" t="str">
        <f t="shared" ref="AO248" si="5781">IF(AO243="","",AN248)</f>
        <v/>
      </c>
      <c r="AP248" s="18" t="str">
        <f t="shared" ref="AP248" si="5782">IF(AP243="","",AO248)</f>
        <v/>
      </c>
      <c r="AQ248" s="18" t="str">
        <f t="shared" ref="AQ248" si="5783">IF(AQ243="","",AP248)</f>
        <v/>
      </c>
      <c r="AR248" s="18" t="str">
        <f t="shared" ref="AR248" si="5784">IF(AR243="","",AQ248)</f>
        <v/>
      </c>
      <c r="AS248" s="18" t="str">
        <f t="shared" ref="AS248" si="5785">IF(AS243="","",AR248)</f>
        <v/>
      </c>
      <c r="AT248" s="18" t="str">
        <f t="shared" ref="AT248" si="5786">IF(AT243="","",AS248)</f>
        <v/>
      </c>
      <c r="AU248" s="18" t="str">
        <f t="shared" ref="AU248" si="5787">IF(AU243="","",AT248)</f>
        <v/>
      </c>
      <c r="AV248" s="18" t="str">
        <f t="shared" ref="AV248" si="5788">IF(AV243="","",AU248)</f>
        <v/>
      </c>
      <c r="AW248" s="18" t="str">
        <f t="shared" ref="AW248" si="5789">IF(AW243="","",AV248)</f>
        <v/>
      </c>
      <c r="AX248" s="18" t="str">
        <f t="shared" ref="AX248" si="5790">IF(AX243="","",AW248)</f>
        <v/>
      </c>
      <c r="AY248" s="18" t="str">
        <f t="shared" ref="AY248" si="5791">IF(AY243="","",AX248)</f>
        <v/>
      </c>
      <c r="AZ248" s="18" t="str">
        <f t="shared" ref="AZ248" si="5792">IF(AZ243="","",AY248)</f>
        <v/>
      </c>
      <c r="BA248" s="18" t="str">
        <f t="shared" ref="BA248" si="5793">IF(BA243="","",AZ248)</f>
        <v/>
      </c>
      <c r="BB248" s="18" t="str">
        <f t="shared" ref="BB248" si="5794">IF(BB243="","",BA248)</f>
        <v/>
      </c>
      <c r="BC248" s="221" t="str">
        <f t="shared" ref="BC248" si="5795">IF(BC243="","",BB248)</f>
        <v/>
      </c>
    </row>
    <row r="249" spans="1:55" ht="11.25" customHeight="1" x14ac:dyDescent="0.2">
      <c r="A249" s="222">
        <f>AVERAGE(C250:AS250)*30*100</f>
        <v>2454.5454545454545</v>
      </c>
      <c r="B249" s="11" t="s">
        <v>12</v>
      </c>
      <c r="C249" s="123"/>
      <c r="D249" s="12"/>
      <c r="E249" s="12"/>
      <c r="F249" s="12"/>
      <c r="G249" s="195"/>
      <c r="H249" s="12"/>
      <c r="I249" s="12"/>
      <c r="J249" s="195"/>
      <c r="K249" s="12"/>
      <c r="L249" s="12"/>
      <c r="M249" s="12"/>
      <c r="N249" s="195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215"/>
    </row>
    <row r="250" spans="1:55" ht="11.25" customHeight="1" x14ac:dyDescent="0.2">
      <c r="A250" s="222">
        <f t="shared" ref="A250:A253" si="5796">SUM(C250:AS250)</f>
        <v>9</v>
      </c>
      <c r="B250" s="19" t="s">
        <v>13</v>
      </c>
      <c r="C250" s="123">
        <v>0</v>
      </c>
      <c r="D250" s="20">
        <v>0</v>
      </c>
      <c r="E250" s="20">
        <v>0</v>
      </c>
      <c r="F250" s="20">
        <v>0</v>
      </c>
      <c r="G250" s="195">
        <f t="shared" ref="G250:G251" si="5797">IF(G243="","",G243-F243)</f>
        <v>0</v>
      </c>
      <c r="H250" s="20">
        <f t="shared" ref="H250:H251" si="5798">IF(H243="","",H243-G243)</f>
        <v>0</v>
      </c>
      <c r="I250" s="20">
        <f t="shared" ref="I250:I251" si="5799">IF(I243="","",I243-H243)</f>
        <v>9</v>
      </c>
      <c r="J250" s="195">
        <f t="shared" ref="J250:J251" si="5800">IF(J243="","",J243-I243)</f>
        <v>0</v>
      </c>
      <c r="K250" s="20">
        <f t="shared" ref="K250:K251" si="5801">IF(K243="","",K243-J243)</f>
        <v>0</v>
      </c>
      <c r="L250" s="20">
        <f t="shared" ref="L250:L251" si="5802">IF(L243="","",L243-K243)</f>
        <v>0</v>
      </c>
      <c r="M250" s="20">
        <f t="shared" ref="M250:M251" si="5803">IF(M243="","",M243-L243)</f>
        <v>0</v>
      </c>
      <c r="N250" s="195" t="str">
        <f t="shared" ref="N250:N251" si="5804">IF(N243="","",N243-M243)</f>
        <v/>
      </c>
      <c r="O250" s="20" t="str">
        <f t="shared" ref="O250:O251" si="5805">IF(O243="","",O243-N243)</f>
        <v/>
      </c>
      <c r="P250" s="20" t="str">
        <f t="shared" ref="P250:P251" si="5806">IF(P243="","",P243-O243)</f>
        <v/>
      </c>
      <c r="Q250" s="20" t="str">
        <f t="shared" ref="Q250:Q251" si="5807">IF(Q243="","",Q243-P243)</f>
        <v/>
      </c>
      <c r="R250" s="20" t="str">
        <f t="shared" ref="R250:R251" si="5808">IF(R243="","",R243-Q243)</f>
        <v/>
      </c>
      <c r="S250" s="20" t="str">
        <f t="shared" ref="S250:S251" si="5809">IF(S243="","",S243-R243)</f>
        <v/>
      </c>
      <c r="T250" s="20" t="str">
        <f t="shared" ref="T250:T251" si="5810">IF(T243="","",T243-S243)</f>
        <v/>
      </c>
      <c r="U250" s="20" t="str">
        <f t="shared" ref="U250:U251" si="5811">IF(U243="","",U243-T243)</f>
        <v/>
      </c>
      <c r="V250" s="20" t="str">
        <f t="shared" ref="V250:V251" si="5812">IF(V243="","",V243-U243)</f>
        <v/>
      </c>
      <c r="W250" s="20" t="str">
        <f t="shared" ref="W250:W251" si="5813">IF(W243="","",W243-V243)</f>
        <v/>
      </c>
      <c r="X250" s="20" t="str">
        <f t="shared" ref="X250:X251" si="5814">IF(X243="","",X243-W243)</f>
        <v/>
      </c>
      <c r="Y250" s="20" t="str">
        <f t="shared" ref="Y250:Y251" si="5815">IF(Y243="","",Y243-X243)</f>
        <v/>
      </c>
      <c r="Z250" s="20" t="str">
        <f t="shared" ref="Z250:Z251" si="5816">IF(Z243="","",Z243-Y243)</f>
        <v/>
      </c>
      <c r="AA250" s="20" t="str">
        <f t="shared" ref="AA250:AA251" si="5817">IF(AA243="","",AA243-Z243)</f>
        <v/>
      </c>
      <c r="AB250" s="20" t="str">
        <f t="shared" ref="AB250:AB251" si="5818">IF(AB243="","",AB243-AA243)</f>
        <v/>
      </c>
      <c r="AC250" s="20" t="str">
        <f t="shared" ref="AC250:AC251" si="5819">IF(AC243="","",AC243-AB243)</f>
        <v/>
      </c>
      <c r="AD250" s="20" t="str">
        <f t="shared" ref="AD250:AD251" si="5820">IF(AD243="","",AD243-AC243)</f>
        <v/>
      </c>
      <c r="AE250" s="20" t="str">
        <f t="shared" ref="AE250:AE251" si="5821">IF(AE243="","",AE243-AD243)</f>
        <v/>
      </c>
      <c r="AF250" s="20" t="str">
        <f t="shared" ref="AF250:AF251" si="5822">IF(AF243="","",AF243-AE243)</f>
        <v/>
      </c>
      <c r="AG250" s="20" t="str">
        <f t="shared" ref="AG250:AG251" si="5823">IF(AG243="","",AG243-AF243)</f>
        <v/>
      </c>
      <c r="AH250" s="20" t="str">
        <f t="shared" ref="AH250:AH251" si="5824">IF(AH243="","",AH243-AG243)</f>
        <v/>
      </c>
      <c r="AI250" s="20" t="str">
        <f t="shared" ref="AI250:AI251" si="5825">IF(AI243="","",AI243-AH243)</f>
        <v/>
      </c>
      <c r="AJ250" s="20" t="str">
        <f t="shared" ref="AJ250:AJ251" si="5826">IF(AJ243="","",AJ243-AI243)</f>
        <v/>
      </c>
      <c r="AK250" s="20" t="str">
        <f t="shared" ref="AK250:AK251" si="5827">IF(AK243="","",AK243-AJ243)</f>
        <v/>
      </c>
      <c r="AL250" s="20" t="str">
        <f t="shared" ref="AL250:AL251" si="5828">IF(AL243="","",AL243-AK243)</f>
        <v/>
      </c>
      <c r="AM250" s="20" t="str">
        <f t="shared" ref="AM250:AM251" si="5829">IF(AM243="","",AM243-AL243)</f>
        <v/>
      </c>
      <c r="AN250" s="20" t="str">
        <f t="shared" ref="AN250:AN251" si="5830">IF(AN243="","",AN243-AM243)</f>
        <v/>
      </c>
      <c r="AO250" s="20" t="str">
        <f t="shared" ref="AO250:AO251" si="5831">IF(AO243="","",AO243-AN243)</f>
        <v/>
      </c>
      <c r="AP250" s="20" t="str">
        <f t="shared" ref="AP250:AP251" si="5832">IF(AP243="","",AP243-AO243)</f>
        <v/>
      </c>
      <c r="AQ250" s="20" t="str">
        <f t="shared" ref="AQ250:AQ251" si="5833">IF(AQ243="","",AQ243-AP243)</f>
        <v/>
      </c>
      <c r="AR250" s="20" t="str">
        <f t="shared" ref="AR250:AR251" si="5834">IF(AR243="","",AR243-AQ243)</f>
        <v/>
      </c>
      <c r="AS250" s="20" t="str">
        <f t="shared" ref="AS250:AS251" si="5835">IF(AS243="","",AS243-AR243)</f>
        <v/>
      </c>
      <c r="AT250" s="20" t="str">
        <f t="shared" ref="AT250:AT251" si="5836">IF(AT243="","",AT243-AS243)</f>
        <v/>
      </c>
      <c r="AU250" s="20" t="str">
        <f t="shared" ref="AU250:AU251" si="5837">IF(AU243="","",AU243-AT243)</f>
        <v/>
      </c>
      <c r="AV250" s="20" t="str">
        <f t="shared" ref="AV250:AV251" si="5838">IF(AV243="","",AV243-AU243)</f>
        <v/>
      </c>
      <c r="AW250" s="20" t="str">
        <f t="shared" ref="AW250:AW251" si="5839">IF(AW243="","",AW243-AV243)</f>
        <v/>
      </c>
      <c r="AX250" s="20" t="str">
        <f t="shared" ref="AX250:AX251" si="5840">IF(AX243="","",AX243-AW243)</f>
        <v/>
      </c>
      <c r="AY250" s="20" t="str">
        <f t="shared" ref="AY250:AY251" si="5841">IF(AY243="","",AY243-AX243)</f>
        <v/>
      </c>
      <c r="AZ250" s="20" t="str">
        <f t="shared" ref="AZ250:AZ251" si="5842">IF(AZ243="","",AZ243-AY243)</f>
        <v/>
      </c>
      <c r="BA250" s="20" t="str">
        <f t="shared" ref="BA250:BA251" si="5843">IF(BA243="","",BA243-AZ243)</f>
        <v/>
      </c>
      <c r="BB250" s="20" t="str">
        <f t="shared" ref="BB250:BB251" si="5844">IF(BB243="","",BB243-BA243)</f>
        <v/>
      </c>
      <c r="BC250" s="223" t="str">
        <f t="shared" ref="BC250:BC251" si="5845">IF(BC243="","",BC243-BB243)</f>
        <v/>
      </c>
    </row>
    <row r="251" spans="1:55" ht="11.25" customHeight="1" x14ac:dyDescent="0.2">
      <c r="A251" s="222">
        <f t="shared" si="5796"/>
        <v>0</v>
      </c>
      <c r="B251" s="19" t="s">
        <v>14</v>
      </c>
      <c r="C251" s="123">
        <v>0</v>
      </c>
      <c r="D251" s="20">
        <v>0</v>
      </c>
      <c r="E251" s="20">
        <v>0</v>
      </c>
      <c r="F251" s="20">
        <v>0</v>
      </c>
      <c r="G251" s="195">
        <f t="shared" si="5797"/>
        <v>0</v>
      </c>
      <c r="H251" s="20">
        <f t="shared" si="5798"/>
        <v>0</v>
      </c>
      <c r="I251" s="20">
        <f t="shared" si="5799"/>
        <v>0</v>
      </c>
      <c r="J251" s="195">
        <f t="shared" si="5800"/>
        <v>0</v>
      </c>
      <c r="K251" s="20">
        <f t="shared" si="5801"/>
        <v>0</v>
      </c>
      <c r="L251" s="20">
        <f t="shared" si="5802"/>
        <v>0</v>
      </c>
      <c r="M251" s="20">
        <f t="shared" si="5803"/>
        <v>0</v>
      </c>
      <c r="N251" s="195" t="str">
        <f t="shared" si="5804"/>
        <v/>
      </c>
      <c r="O251" s="20" t="str">
        <f t="shared" si="5805"/>
        <v/>
      </c>
      <c r="P251" s="20" t="str">
        <f t="shared" si="5806"/>
        <v/>
      </c>
      <c r="Q251" s="20" t="str">
        <f t="shared" si="5807"/>
        <v/>
      </c>
      <c r="R251" s="20" t="str">
        <f t="shared" si="5808"/>
        <v/>
      </c>
      <c r="S251" s="20" t="str">
        <f t="shared" si="5809"/>
        <v/>
      </c>
      <c r="T251" s="20" t="str">
        <f t="shared" si="5810"/>
        <v/>
      </c>
      <c r="U251" s="20" t="str">
        <f t="shared" si="5811"/>
        <v/>
      </c>
      <c r="V251" s="20" t="str">
        <f t="shared" si="5812"/>
        <v/>
      </c>
      <c r="W251" s="20" t="str">
        <f t="shared" si="5813"/>
        <v/>
      </c>
      <c r="X251" s="20" t="str">
        <f t="shared" si="5814"/>
        <v/>
      </c>
      <c r="Y251" s="20" t="str">
        <f t="shared" si="5815"/>
        <v/>
      </c>
      <c r="Z251" s="20" t="str">
        <f t="shared" si="5816"/>
        <v/>
      </c>
      <c r="AA251" s="20" t="str">
        <f t="shared" si="5817"/>
        <v/>
      </c>
      <c r="AB251" s="20" t="str">
        <f t="shared" si="5818"/>
        <v/>
      </c>
      <c r="AC251" s="20" t="str">
        <f t="shared" si="5819"/>
        <v/>
      </c>
      <c r="AD251" s="20" t="str">
        <f t="shared" si="5820"/>
        <v/>
      </c>
      <c r="AE251" s="20" t="str">
        <f t="shared" si="5821"/>
        <v/>
      </c>
      <c r="AF251" s="20" t="str">
        <f t="shared" si="5822"/>
        <v/>
      </c>
      <c r="AG251" s="20" t="str">
        <f t="shared" si="5823"/>
        <v/>
      </c>
      <c r="AH251" s="20" t="str">
        <f t="shared" si="5824"/>
        <v/>
      </c>
      <c r="AI251" s="20" t="str">
        <f t="shared" si="5825"/>
        <v/>
      </c>
      <c r="AJ251" s="20" t="str">
        <f t="shared" si="5826"/>
        <v/>
      </c>
      <c r="AK251" s="20" t="str">
        <f t="shared" si="5827"/>
        <v/>
      </c>
      <c r="AL251" s="20" t="str">
        <f t="shared" si="5828"/>
        <v/>
      </c>
      <c r="AM251" s="20" t="str">
        <f t="shared" si="5829"/>
        <v/>
      </c>
      <c r="AN251" s="20" t="str">
        <f t="shared" si="5830"/>
        <v/>
      </c>
      <c r="AO251" s="20" t="str">
        <f t="shared" si="5831"/>
        <v/>
      </c>
      <c r="AP251" s="20" t="str">
        <f t="shared" si="5832"/>
        <v/>
      </c>
      <c r="AQ251" s="20" t="str">
        <f t="shared" si="5833"/>
        <v/>
      </c>
      <c r="AR251" s="20" t="str">
        <f t="shared" si="5834"/>
        <v/>
      </c>
      <c r="AS251" s="20" t="str">
        <f t="shared" si="5835"/>
        <v/>
      </c>
      <c r="AT251" s="20" t="str">
        <f t="shared" si="5836"/>
        <v/>
      </c>
      <c r="AU251" s="20" t="str">
        <f t="shared" si="5837"/>
        <v/>
      </c>
      <c r="AV251" s="20" t="str">
        <f t="shared" si="5838"/>
        <v/>
      </c>
      <c r="AW251" s="20" t="str">
        <f t="shared" si="5839"/>
        <v/>
      </c>
      <c r="AX251" s="20" t="str">
        <f t="shared" si="5840"/>
        <v/>
      </c>
      <c r="AY251" s="20" t="str">
        <f t="shared" si="5841"/>
        <v/>
      </c>
      <c r="AZ251" s="20" t="str">
        <f t="shared" si="5842"/>
        <v/>
      </c>
      <c r="BA251" s="20" t="str">
        <f t="shared" si="5843"/>
        <v/>
      </c>
      <c r="BB251" s="20" t="str">
        <f t="shared" si="5844"/>
        <v/>
      </c>
      <c r="BC251" s="223" t="str">
        <f t="shared" si="5845"/>
        <v/>
      </c>
    </row>
    <row r="252" spans="1:55" ht="11.25" customHeight="1" x14ac:dyDescent="0.2">
      <c r="A252" s="222">
        <f t="shared" si="5796"/>
        <v>0</v>
      </c>
      <c r="B252" s="19" t="s">
        <v>15</v>
      </c>
      <c r="C252" s="123">
        <v>0</v>
      </c>
      <c r="D252" s="20">
        <v>0</v>
      </c>
      <c r="E252" s="20">
        <v>0</v>
      </c>
      <c r="F252" s="20">
        <v>0</v>
      </c>
      <c r="G252" s="195">
        <f t="shared" ref="G252" si="5846">IF(G245="","",F245+F246-G245)</f>
        <v>0</v>
      </c>
      <c r="H252" s="20">
        <f t="shared" ref="H252" si="5847">IF(H245="","",G245+G246-H245)</f>
        <v>0</v>
      </c>
      <c r="I252" s="20">
        <f t="shared" ref="I252" si="5848">IF(I245="","",H245+H246-I245)</f>
        <v>0</v>
      </c>
      <c r="J252" s="195">
        <f t="shared" ref="J252" si="5849">IF(J245="","",I245+I246-J245)</f>
        <v>0</v>
      </c>
      <c r="K252" s="20">
        <f t="shared" ref="K252" si="5850">IF(K245="","",J245+J246-K245)</f>
        <v>0</v>
      </c>
      <c r="L252" s="20">
        <f t="shared" ref="L252" si="5851">IF(L245="","",K245+K246-L245)</f>
        <v>0</v>
      </c>
      <c r="M252" s="20">
        <f t="shared" ref="M252" si="5852">IF(M245="","",L245+L246-M245)</f>
        <v>0</v>
      </c>
      <c r="N252" s="195" t="str">
        <f t="shared" ref="N252" si="5853">IF(N245="","",M245+M246-N245)</f>
        <v/>
      </c>
      <c r="O252" s="20" t="str">
        <f t="shared" ref="O252" si="5854">IF(O245="","",N245+N246-O245)</f>
        <v/>
      </c>
      <c r="P252" s="20" t="str">
        <f t="shared" ref="P252" si="5855">IF(P245="","",O245+O246-P245)</f>
        <v/>
      </c>
      <c r="Q252" s="20" t="str">
        <f t="shared" ref="Q252" si="5856">IF(Q245="","",P245+P246-Q245)</f>
        <v/>
      </c>
      <c r="R252" s="20" t="str">
        <f t="shared" ref="R252" si="5857">IF(R245="","",Q245+Q246-R245)</f>
        <v/>
      </c>
      <c r="S252" s="20" t="str">
        <f t="shared" ref="S252" si="5858">IF(S245="","",R245+R246-S245)</f>
        <v/>
      </c>
      <c r="T252" s="20" t="str">
        <f t="shared" ref="T252" si="5859">IF(T245="","",S245+S246-T245)</f>
        <v/>
      </c>
      <c r="U252" s="20" t="str">
        <f t="shared" ref="U252" si="5860">IF(U245="","",T245+T246-U245)</f>
        <v/>
      </c>
      <c r="V252" s="20" t="str">
        <f t="shared" ref="V252" si="5861">IF(V245="","",U245+U246-V245)</f>
        <v/>
      </c>
      <c r="W252" s="20" t="str">
        <f t="shared" ref="W252" si="5862">IF(W245="","",V245+V246-W245)</f>
        <v/>
      </c>
      <c r="X252" s="20" t="str">
        <f t="shared" ref="X252" si="5863">IF(X245="","",W245+W246-X245)</f>
        <v/>
      </c>
      <c r="Y252" s="20" t="str">
        <f t="shared" ref="Y252" si="5864">IF(Y245="","",X245+X246-Y245)</f>
        <v/>
      </c>
      <c r="Z252" s="20" t="str">
        <f t="shared" ref="Z252" si="5865">IF(Z245="","",Y245+Y246-Z245)</f>
        <v/>
      </c>
      <c r="AA252" s="20" t="str">
        <f t="shared" ref="AA252" si="5866">IF(AA245="","",Z245+Z246-AA245)</f>
        <v/>
      </c>
      <c r="AB252" s="20" t="str">
        <f t="shared" ref="AB252" si="5867">IF(AB245="","",AA245+AA246-AB245)</f>
        <v/>
      </c>
      <c r="AC252" s="20" t="str">
        <f t="shared" ref="AC252" si="5868">IF(AC245="","",AB245+AB246-AC245)</f>
        <v/>
      </c>
      <c r="AD252" s="20" t="str">
        <f t="shared" ref="AD252" si="5869">IF(AD245="","",AC245+AC246-AD245)</f>
        <v/>
      </c>
      <c r="AE252" s="20" t="str">
        <f t="shared" ref="AE252" si="5870">IF(AE245="","",AD245+AD246-AE245)</f>
        <v/>
      </c>
      <c r="AF252" s="20" t="str">
        <f t="shared" ref="AF252" si="5871">IF(AF245="","",AE245+AE246-AF245)</f>
        <v/>
      </c>
      <c r="AG252" s="20" t="str">
        <f t="shared" ref="AG252" si="5872">IF(AG245="","",AF245+AF246-AG245)</f>
        <v/>
      </c>
      <c r="AH252" s="20" t="str">
        <f t="shared" ref="AH252" si="5873">IF(AH245="","",AG245+AG246-AH245)</f>
        <v/>
      </c>
      <c r="AI252" s="20" t="str">
        <f t="shared" ref="AI252" si="5874">IF(AI245="","",AH245+AH246-AI245)</f>
        <v/>
      </c>
      <c r="AJ252" s="20" t="str">
        <f t="shared" ref="AJ252" si="5875">IF(AJ245="","",AI245+AI246-AJ245)</f>
        <v/>
      </c>
      <c r="AK252" s="20" t="str">
        <f t="shared" ref="AK252" si="5876">IF(AK245="","",AJ245+AJ246-AK245)</f>
        <v/>
      </c>
      <c r="AL252" s="20" t="str">
        <f t="shared" ref="AL252" si="5877">IF(AL245="","",AK245+AK246-AL245)</f>
        <v/>
      </c>
      <c r="AM252" s="20" t="str">
        <f t="shared" ref="AM252" si="5878">IF(AM245="","",AL245+AL246-AM245)</f>
        <v/>
      </c>
      <c r="AN252" s="20" t="str">
        <f t="shared" ref="AN252" si="5879">IF(AN245="","",AM245+AM246-AN245)</f>
        <v/>
      </c>
      <c r="AO252" s="20" t="str">
        <f t="shared" ref="AO252" si="5880">IF(AO245="","",AN245+AN246-AO245)</f>
        <v/>
      </c>
      <c r="AP252" s="20" t="str">
        <f t="shared" ref="AP252" si="5881">IF(AP245="","",AO245+AO246-AP245)</f>
        <v/>
      </c>
      <c r="AQ252" s="20" t="str">
        <f t="shared" ref="AQ252" si="5882">IF(AQ245="","",AP245+AP246-AQ245)</f>
        <v/>
      </c>
      <c r="AR252" s="20" t="str">
        <f t="shared" ref="AR252" si="5883">IF(AR245="","",AQ245+AQ246-AR245)</f>
        <v/>
      </c>
      <c r="AS252" s="20" t="str">
        <f t="shared" ref="AS252" si="5884">IF(AS245="","",AR245+AR246-AS245)</f>
        <v/>
      </c>
      <c r="AT252" s="20" t="str">
        <f t="shared" ref="AT252" si="5885">IF(AT245="","",AS245+AS246-AT245)</f>
        <v/>
      </c>
      <c r="AU252" s="20" t="str">
        <f t="shared" ref="AU252" si="5886">IF(AU245="","",AT245+AT246-AU245)</f>
        <v/>
      </c>
      <c r="AV252" s="20" t="str">
        <f t="shared" ref="AV252" si="5887">IF(AV245="","",AU245+AU246-AV245)</f>
        <v/>
      </c>
      <c r="AW252" s="20" t="str">
        <f t="shared" ref="AW252" si="5888">IF(AW245="","",AV245+AV246-AW245)</f>
        <v/>
      </c>
      <c r="AX252" s="20" t="str">
        <f t="shared" ref="AX252" si="5889">IF(AX245="","",AW245+AW246-AX245)</f>
        <v/>
      </c>
      <c r="AY252" s="20" t="str">
        <f t="shared" ref="AY252" si="5890">IF(AY245="","",AX245+AX246-AY245)</f>
        <v/>
      </c>
      <c r="AZ252" s="20" t="str">
        <f t="shared" ref="AZ252" si="5891">IF(AZ245="","",AY245+AY246-AZ245)</f>
        <v/>
      </c>
      <c r="BA252" s="20" t="str">
        <f t="shared" ref="BA252" si="5892">IF(BA245="","",AZ245+AZ246-BA245)</f>
        <v/>
      </c>
      <c r="BB252" s="20" t="str">
        <f t="shared" ref="BB252" si="5893">IF(BB245="","",BA245+BA246-BB245)</f>
        <v/>
      </c>
      <c r="BC252" s="223" t="str">
        <f t="shared" ref="BC252" si="5894">IF(BC245="","",BB245+BB246-BC245)</f>
        <v/>
      </c>
    </row>
    <row r="253" spans="1:55" ht="11.25" customHeight="1" x14ac:dyDescent="0.2">
      <c r="A253" s="222">
        <f t="shared" si="5796"/>
        <v>0</v>
      </c>
      <c r="B253" s="19" t="s">
        <v>16</v>
      </c>
      <c r="C253" s="123">
        <v>0</v>
      </c>
      <c r="D253" s="20">
        <v>0</v>
      </c>
      <c r="E253" s="20">
        <v>0</v>
      </c>
      <c r="F253" s="20">
        <v>0</v>
      </c>
      <c r="G253" s="195">
        <f t="shared" ref="D253:BC253" si="5895">IF(G243="","",G252*G247)</f>
        <v>0</v>
      </c>
      <c r="H253" s="20">
        <f t="shared" si="5895"/>
        <v>0</v>
      </c>
      <c r="I253" s="20">
        <f t="shared" si="5895"/>
        <v>0</v>
      </c>
      <c r="J253" s="195">
        <f t="shared" si="5895"/>
        <v>0</v>
      </c>
      <c r="K253" s="20">
        <f t="shared" si="5895"/>
        <v>0</v>
      </c>
      <c r="L253" s="20">
        <f t="shared" si="5895"/>
        <v>0</v>
      </c>
      <c r="M253" s="20">
        <f t="shared" si="5895"/>
        <v>0</v>
      </c>
      <c r="N253" s="195" t="str">
        <f t="shared" si="5895"/>
        <v/>
      </c>
      <c r="O253" s="20" t="str">
        <f t="shared" si="5895"/>
        <v/>
      </c>
      <c r="P253" s="20" t="str">
        <f t="shared" si="5895"/>
        <v/>
      </c>
      <c r="Q253" s="20" t="str">
        <f t="shared" si="5895"/>
        <v/>
      </c>
      <c r="R253" s="20" t="str">
        <f t="shared" si="5895"/>
        <v/>
      </c>
      <c r="S253" s="20" t="str">
        <f t="shared" si="5895"/>
        <v/>
      </c>
      <c r="T253" s="20" t="str">
        <f t="shared" si="5895"/>
        <v/>
      </c>
      <c r="U253" s="20" t="str">
        <f t="shared" si="5895"/>
        <v/>
      </c>
      <c r="V253" s="20" t="str">
        <f t="shared" si="5895"/>
        <v/>
      </c>
      <c r="W253" s="20" t="str">
        <f t="shared" si="5895"/>
        <v/>
      </c>
      <c r="X253" s="20" t="str">
        <f t="shared" si="5895"/>
        <v/>
      </c>
      <c r="Y253" s="20" t="str">
        <f t="shared" si="5895"/>
        <v/>
      </c>
      <c r="Z253" s="20" t="str">
        <f t="shared" si="5895"/>
        <v/>
      </c>
      <c r="AA253" s="20" t="str">
        <f t="shared" si="5895"/>
        <v/>
      </c>
      <c r="AB253" s="20" t="str">
        <f t="shared" si="5895"/>
        <v/>
      </c>
      <c r="AC253" s="20" t="str">
        <f t="shared" si="5895"/>
        <v/>
      </c>
      <c r="AD253" s="20" t="str">
        <f t="shared" si="5895"/>
        <v/>
      </c>
      <c r="AE253" s="20" t="str">
        <f t="shared" si="5895"/>
        <v/>
      </c>
      <c r="AF253" s="20" t="str">
        <f t="shared" si="5895"/>
        <v/>
      </c>
      <c r="AG253" s="20" t="str">
        <f t="shared" si="5895"/>
        <v/>
      </c>
      <c r="AH253" s="20" t="str">
        <f t="shared" si="5895"/>
        <v/>
      </c>
      <c r="AI253" s="20" t="str">
        <f t="shared" si="5895"/>
        <v/>
      </c>
      <c r="AJ253" s="20" t="str">
        <f t="shared" si="5895"/>
        <v/>
      </c>
      <c r="AK253" s="20" t="str">
        <f t="shared" si="5895"/>
        <v/>
      </c>
      <c r="AL253" s="20" t="str">
        <f t="shared" si="5895"/>
        <v/>
      </c>
      <c r="AM253" s="20" t="str">
        <f t="shared" si="5895"/>
        <v/>
      </c>
      <c r="AN253" s="20" t="str">
        <f t="shared" si="5895"/>
        <v/>
      </c>
      <c r="AO253" s="20" t="str">
        <f t="shared" si="5895"/>
        <v/>
      </c>
      <c r="AP253" s="20" t="str">
        <f t="shared" si="5895"/>
        <v/>
      </c>
      <c r="AQ253" s="20" t="str">
        <f t="shared" si="5895"/>
        <v/>
      </c>
      <c r="AR253" s="20" t="str">
        <f t="shared" si="5895"/>
        <v/>
      </c>
      <c r="AS253" s="20" t="str">
        <f t="shared" si="5895"/>
        <v/>
      </c>
      <c r="AT253" s="20" t="str">
        <f t="shared" si="5895"/>
        <v/>
      </c>
      <c r="AU253" s="20" t="str">
        <f t="shared" si="5895"/>
        <v/>
      </c>
      <c r="AV253" s="20" t="str">
        <f t="shared" si="5895"/>
        <v/>
      </c>
      <c r="AW253" s="20" t="str">
        <f t="shared" si="5895"/>
        <v/>
      </c>
      <c r="AX253" s="20" t="str">
        <f t="shared" si="5895"/>
        <v/>
      </c>
      <c r="AY253" s="20" t="str">
        <f t="shared" si="5895"/>
        <v/>
      </c>
      <c r="AZ253" s="20" t="str">
        <f t="shared" si="5895"/>
        <v/>
      </c>
      <c r="BA253" s="20" t="str">
        <f t="shared" si="5895"/>
        <v/>
      </c>
      <c r="BB253" s="20" t="str">
        <f t="shared" si="5895"/>
        <v/>
      </c>
      <c r="BC253" s="223" t="str">
        <f t="shared" si="5895"/>
        <v/>
      </c>
    </row>
    <row r="254" spans="1:55" ht="11.25" customHeight="1" thickBot="1" x14ac:dyDescent="0.25">
      <c r="A254" s="224">
        <f>IF(A253="","",A253/(A250*100))</f>
        <v>0</v>
      </c>
      <c r="B254" s="19" t="s">
        <v>17</v>
      </c>
      <c r="C254" s="146" t="s">
        <v>18</v>
      </c>
      <c r="D254" s="27" t="s">
        <v>18</v>
      </c>
      <c r="E254" s="27" t="s">
        <v>18</v>
      </c>
      <c r="F254" s="27" t="s">
        <v>18</v>
      </c>
      <c r="G254" s="199" t="str">
        <f t="shared" ref="D254:BC254" si="5896">IF(G253="","",IF(G253=0,"",G253/(G250*100)))</f>
        <v/>
      </c>
      <c r="H254" s="27" t="str">
        <f t="shared" si="5896"/>
        <v/>
      </c>
      <c r="I254" s="27" t="str">
        <f t="shared" si="5896"/>
        <v/>
      </c>
      <c r="J254" s="199" t="str">
        <f t="shared" si="5896"/>
        <v/>
      </c>
      <c r="K254" s="27" t="str">
        <f t="shared" si="5896"/>
        <v/>
      </c>
      <c r="L254" s="27" t="str">
        <f t="shared" si="5896"/>
        <v/>
      </c>
      <c r="M254" s="27" t="str">
        <f t="shared" si="5896"/>
        <v/>
      </c>
      <c r="N254" s="199" t="str">
        <f t="shared" si="5896"/>
        <v/>
      </c>
      <c r="O254" s="27" t="str">
        <f t="shared" si="5896"/>
        <v/>
      </c>
      <c r="P254" s="27" t="str">
        <f t="shared" si="5896"/>
        <v/>
      </c>
      <c r="Q254" s="27" t="str">
        <f t="shared" si="5896"/>
        <v/>
      </c>
      <c r="R254" s="27" t="str">
        <f t="shared" si="5896"/>
        <v/>
      </c>
      <c r="S254" s="27" t="str">
        <f t="shared" si="5896"/>
        <v/>
      </c>
      <c r="T254" s="27" t="str">
        <f t="shared" si="5896"/>
        <v/>
      </c>
      <c r="U254" s="27" t="str">
        <f t="shared" si="5896"/>
        <v/>
      </c>
      <c r="V254" s="27" t="str">
        <f t="shared" si="5896"/>
        <v/>
      </c>
      <c r="W254" s="27" t="str">
        <f t="shared" si="5896"/>
        <v/>
      </c>
      <c r="X254" s="27" t="str">
        <f t="shared" si="5896"/>
        <v/>
      </c>
      <c r="Y254" s="27" t="str">
        <f t="shared" si="5896"/>
        <v/>
      </c>
      <c r="Z254" s="27" t="str">
        <f t="shared" si="5896"/>
        <v/>
      </c>
      <c r="AA254" s="27" t="str">
        <f t="shared" si="5896"/>
        <v/>
      </c>
      <c r="AB254" s="27" t="str">
        <f t="shared" si="5896"/>
        <v/>
      </c>
      <c r="AC254" s="27" t="str">
        <f t="shared" si="5896"/>
        <v/>
      </c>
      <c r="AD254" s="27" t="str">
        <f t="shared" si="5896"/>
        <v/>
      </c>
      <c r="AE254" s="27" t="str">
        <f t="shared" si="5896"/>
        <v/>
      </c>
      <c r="AF254" s="27" t="str">
        <f t="shared" si="5896"/>
        <v/>
      </c>
      <c r="AG254" s="27" t="str">
        <f t="shared" si="5896"/>
        <v/>
      </c>
      <c r="AH254" s="27" t="str">
        <f t="shared" si="5896"/>
        <v/>
      </c>
      <c r="AI254" s="27" t="str">
        <f t="shared" si="5896"/>
        <v/>
      </c>
      <c r="AJ254" s="27" t="str">
        <f t="shared" si="5896"/>
        <v/>
      </c>
      <c r="AK254" s="27" t="str">
        <f t="shared" si="5896"/>
        <v/>
      </c>
      <c r="AL254" s="27" t="str">
        <f t="shared" si="5896"/>
        <v/>
      </c>
      <c r="AM254" s="27" t="str">
        <f t="shared" si="5896"/>
        <v/>
      </c>
      <c r="AN254" s="27" t="str">
        <f t="shared" si="5896"/>
        <v/>
      </c>
      <c r="AO254" s="27" t="str">
        <f t="shared" si="5896"/>
        <v/>
      </c>
      <c r="AP254" s="27" t="str">
        <f t="shared" si="5896"/>
        <v/>
      </c>
      <c r="AQ254" s="27" t="str">
        <f t="shared" si="5896"/>
        <v/>
      </c>
      <c r="AR254" s="27" t="str">
        <f t="shared" si="5896"/>
        <v/>
      </c>
      <c r="AS254" s="27" t="str">
        <f t="shared" si="5896"/>
        <v/>
      </c>
      <c r="AT254" s="27" t="str">
        <f t="shared" si="5896"/>
        <v/>
      </c>
      <c r="AU254" s="27" t="str">
        <f t="shared" si="5896"/>
        <v/>
      </c>
      <c r="AV254" s="27" t="str">
        <f t="shared" si="5896"/>
        <v/>
      </c>
      <c r="AW254" s="27" t="str">
        <f t="shared" si="5896"/>
        <v/>
      </c>
      <c r="AX254" s="27" t="str">
        <f t="shared" si="5896"/>
        <v/>
      </c>
      <c r="AY254" s="27" t="str">
        <f t="shared" si="5896"/>
        <v/>
      </c>
      <c r="AZ254" s="27" t="str">
        <f t="shared" si="5896"/>
        <v/>
      </c>
      <c r="BA254" s="27" t="str">
        <f t="shared" si="5896"/>
        <v/>
      </c>
      <c r="BB254" s="27" t="str">
        <f t="shared" si="5896"/>
        <v/>
      </c>
      <c r="BC254" s="225" t="str">
        <f t="shared" si="5896"/>
        <v/>
      </c>
    </row>
    <row r="255" spans="1:55" ht="11.25" customHeight="1" x14ac:dyDescent="0.2">
      <c r="A255" s="226" t="s">
        <v>1</v>
      </c>
      <c r="B255" s="205" t="s">
        <v>2</v>
      </c>
      <c r="C255" s="129">
        <v>0</v>
      </c>
      <c r="D255" s="206">
        <v>0</v>
      </c>
      <c r="E255" s="206">
        <v>0</v>
      </c>
      <c r="F255" s="206">
        <v>0</v>
      </c>
      <c r="G255" s="207">
        <f t="shared" ref="G255:G256" si="5897">IF(G$3="","",F255)</f>
        <v>0</v>
      </c>
      <c r="H255" s="206">
        <f t="shared" ref="H255:H256" si="5898">IF(H$3="","",G255)</f>
        <v>0</v>
      </c>
      <c r="I255" s="206">
        <v>59</v>
      </c>
      <c r="J255" s="207">
        <f t="shared" ref="J255:J256" si="5899">IF(J$3="","",I255)</f>
        <v>59</v>
      </c>
      <c r="K255" s="206">
        <f t="shared" ref="K255:K256" si="5900">IF(K$3="","",J255)</f>
        <v>59</v>
      </c>
      <c r="L255" s="206">
        <f t="shared" ref="L255:L256" si="5901">IF(L$3="","",K255)</f>
        <v>59</v>
      </c>
      <c r="M255" s="206">
        <f t="shared" ref="M255:M256" si="5902">IF(M$3="","",L255)</f>
        <v>59</v>
      </c>
      <c r="N255" s="207" t="str">
        <f t="shared" ref="N255:N256" si="5903">IF(N$3="","",M255)</f>
        <v/>
      </c>
      <c r="O255" s="206" t="str">
        <f t="shared" ref="O255:O256" si="5904">IF(O$3="","",N255)</f>
        <v/>
      </c>
      <c r="P255" s="206" t="str">
        <f t="shared" ref="P255:P256" si="5905">IF(P$3="","",O255)</f>
        <v/>
      </c>
      <c r="Q255" s="206" t="str">
        <f t="shared" ref="Q255:Q256" si="5906">IF(Q$3="","",P255)</f>
        <v/>
      </c>
      <c r="R255" s="206" t="str">
        <f t="shared" ref="R255:R256" si="5907">IF(R$3="","",Q255)</f>
        <v/>
      </c>
      <c r="S255" s="206" t="str">
        <f t="shared" ref="S255:S256" si="5908">IF(S$3="","",R255)</f>
        <v/>
      </c>
      <c r="T255" s="206" t="str">
        <f t="shared" ref="T255:T256" si="5909">IF(T$3="","",S255)</f>
        <v/>
      </c>
      <c r="U255" s="206" t="str">
        <f t="shared" ref="U255:U256" si="5910">IF(U$3="","",T255)</f>
        <v/>
      </c>
      <c r="V255" s="206" t="str">
        <f t="shared" ref="V255:V256" si="5911">IF(V$3="","",U255)</f>
        <v/>
      </c>
      <c r="W255" s="206" t="str">
        <f t="shared" ref="W255:W256" si="5912">IF(W$3="","",V255)</f>
        <v/>
      </c>
      <c r="X255" s="206" t="str">
        <f t="shared" ref="X255:X256" si="5913">IF(X$3="","",W255)</f>
        <v/>
      </c>
      <c r="Y255" s="206" t="str">
        <f t="shared" ref="Y255:Y256" si="5914">IF(Y$3="","",X255)</f>
        <v/>
      </c>
      <c r="Z255" s="206" t="str">
        <f t="shared" ref="Z255:Z256" si="5915">IF(Z$3="","",Y255)</f>
        <v/>
      </c>
      <c r="AA255" s="206" t="str">
        <f t="shared" ref="AA255:AA256" si="5916">IF(AA$3="","",Z255)</f>
        <v/>
      </c>
      <c r="AB255" s="206" t="str">
        <f t="shared" ref="AB255:AB256" si="5917">IF(AB$3="","",AA255)</f>
        <v/>
      </c>
      <c r="AC255" s="206" t="str">
        <f t="shared" ref="AC255:AC256" si="5918">IF(AC$3="","",AB255)</f>
        <v/>
      </c>
      <c r="AD255" s="206" t="str">
        <f t="shared" ref="AD255:AD256" si="5919">IF(AD$3="","",AC255)</f>
        <v/>
      </c>
      <c r="AE255" s="206" t="str">
        <f t="shared" ref="AE255:AE256" si="5920">IF(AE$3="","",AD255)</f>
        <v/>
      </c>
      <c r="AF255" s="206" t="str">
        <f t="shared" ref="AF255:AF256" si="5921">IF(AF$3="","",AE255)</f>
        <v/>
      </c>
      <c r="AG255" s="206" t="str">
        <f t="shared" ref="AG255:AG256" si="5922">IF(AG$3="","",AF255)</f>
        <v/>
      </c>
      <c r="AH255" s="206" t="str">
        <f t="shared" ref="AH255:AH256" si="5923">IF(AH$3="","",AG255)</f>
        <v/>
      </c>
      <c r="AI255" s="206" t="str">
        <f t="shared" ref="AI255:AI256" si="5924">IF(AI$3="","",AH255)</f>
        <v/>
      </c>
      <c r="AJ255" s="206" t="str">
        <f t="shared" ref="AJ255:AJ256" si="5925">IF(AJ$3="","",AI255)</f>
        <v/>
      </c>
      <c r="AK255" s="206" t="str">
        <f t="shared" ref="AK255:AK256" si="5926">IF(AK$3="","",AJ255)</f>
        <v/>
      </c>
      <c r="AL255" s="206" t="str">
        <f t="shared" ref="AL255:AL256" si="5927">IF(AL$3="","",AK255)</f>
        <v/>
      </c>
      <c r="AM255" s="206" t="str">
        <f t="shared" ref="AM255:AM256" si="5928">IF(AM$3="","",AL255)</f>
        <v/>
      </c>
      <c r="AN255" s="206" t="str">
        <f t="shared" ref="AN255:AN256" si="5929">IF(AN$3="","",AM255)</f>
        <v/>
      </c>
      <c r="AO255" s="206" t="str">
        <f t="shared" ref="AO255:AO256" si="5930">IF(AO$3="","",AN255)</f>
        <v/>
      </c>
      <c r="AP255" s="206" t="str">
        <f t="shared" ref="AP255:AP256" si="5931">IF(AP$3="","",AO255)</f>
        <v/>
      </c>
      <c r="AQ255" s="206" t="str">
        <f t="shared" ref="AQ255:AQ256" si="5932">IF(AQ$3="","",AP255)</f>
        <v/>
      </c>
      <c r="AR255" s="206" t="str">
        <f t="shared" ref="AR255:AR256" si="5933">IF(AR$3="","",AQ255)</f>
        <v/>
      </c>
      <c r="AS255" s="206" t="str">
        <f t="shared" ref="AS255:AS256" si="5934">IF(AS$3="","",AR255)</f>
        <v/>
      </c>
      <c r="AT255" s="206" t="str">
        <f t="shared" ref="AT255:AT256" si="5935">IF(AT$3="","",AS255)</f>
        <v/>
      </c>
      <c r="AU255" s="206" t="str">
        <f t="shared" ref="AU255:AU256" si="5936">IF(AU$3="","",AT255)</f>
        <v/>
      </c>
      <c r="AV255" s="206" t="str">
        <f t="shared" ref="AV255:AV256" si="5937">IF(AV$3="","",AU255)</f>
        <v/>
      </c>
      <c r="AW255" s="206" t="str">
        <f t="shared" ref="AW255:AW256" si="5938">IF(AW$3="","",AV255)</f>
        <v/>
      </c>
      <c r="AX255" s="206" t="str">
        <f t="shared" ref="AX255:AX256" si="5939">IF(AX$3="","",AW255)</f>
        <v/>
      </c>
      <c r="AY255" s="206" t="str">
        <f t="shared" ref="AY255:AY256" si="5940">IF(AY$3="","",AX255)</f>
        <v/>
      </c>
      <c r="AZ255" s="206" t="str">
        <f t="shared" ref="AZ255:AZ256" si="5941">IF(AZ$3="","",AY255)</f>
        <v/>
      </c>
      <c r="BA255" s="206" t="str">
        <f t="shared" ref="BA255:BA256" si="5942">IF(BA$3="","",AZ255)</f>
        <v/>
      </c>
      <c r="BB255" s="206" t="str">
        <f t="shared" ref="BB255:BB256" si="5943">IF(BB$3="","",BA255)</f>
        <v/>
      </c>
      <c r="BC255" s="219" t="str">
        <f t="shared" ref="BC255:BC256" si="5944">IF(BC$3="","",BB255)</f>
        <v/>
      </c>
    </row>
    <row r="256" spans="1:55" ht="11.25" customHeight="1" x14ac:dyDescent="0.2">
      <c r="A256" s="214" t="str">
        <f>A244</f>
        <v>BUZZ＃5</v>
      </c>
      <c r="B256" s="11" t="s">
        <v>4</v>
      </c>
      <c r="C256" s="123">
        <v>0</v>
      </c>
      <c r="D256" s="12">
        <v>0</v>
      </c>
      <c r="E256" s="12">
        <v>0</v>
      </c>
      <c r="F256" s="12">
        <v>0</v>
      </c>
      <c r="G256" s="195">
        <f t="shared" si="5897"/>
        <v>0</v>
      </c>
      <c r="H256" s="12">
        <f t="shared" si="5898"/>
        <v>0</v>
      </c>
      <c r="I256" s="12">
        <f t="shared" ref="I255:I256" si="5945">IF(I$3="","",H256)</f>
        <v>0</v>
      </c>
      <c r="J256" s="195">
        <f t="shared" si="5899"/>
        <v>0</v>
      </c>
      <c r="K256" s="12">
        <f t="shared" si="5900"/>
        <v>0</v>
      </c>
      <c r="L256" s="12">
        <f t="shared" si="5901"/>
        <v>0</v>
      </c>
      <c r="M256" s="12">
        <f t="shared" si="5902"/>
        <v>0</v>
      </c>
      <c r="N256" s="195" t="str">
        <f t="shared" si="5903"/>
        <v/>
      </c>
      <c r="O256" s="12" t="str">
        <f t="shared" si="5904"/>
        <v/>
      </c>
      <c r="P256" s="12" t="str">
        <f t="shared" si="5905"/>
        <v/>
      </c>
      <c r="Q256" s="12" t="str">
        <f t="shared" si="5906"/>
        <v/>
      </c>
      <c r="R256" s="12" t="str">
        <f t="shared" si="5907"/>
        <v/>
      </c>
      <c r="S256" s="12" t="str">
        <f t="shared" si="5908"/>
        <v/>
      </c>
      <c r="T256" s="12" t="str">
        <f t="shared" si="5909"/>
        <v/>
      </c>
      <c r="U256" s="12" t="str">
        <f t="shared" si="5910"/>
        <v/>
      </c>
      <c r="V256" s="12" t="str">
        <f t="shared" si="5911"/>
        <v/>
      </c>
      <c r="W256" s="12" t="str">
        <f t="shared" si="5912"/>
        <v/>
      </c>
      <c r="X256" s="12" t="str">
        <f t="shared" si="5913"/>
        <v/>
      </c>
      <c r="Y256" s="12" t="str">
        <f t="shared" si="5914"/>
        <v/>
      </c>
      <c r="Z256" s="12" t="str">
        <f t="shared" si="5915"/>
        <v/>
      </c>
      <c r="AA256" s="12" t="str">
        <f t="shared" si="5916"/>
        <v/>
      </c>
      <c r="AB256" s="12" t="str">
        <f t="shared" si="5917"/>
        <v/>
      </c>
      <c r="AC256" s="12" t="str">
        <f t="shared" si="5918"/>
        <v/>
      </c>
      <c r="AD256" s="12" t="str">
        <f t="shared" si="5919"/>
        <v/>
      </c>
      <c r="AE256" s="12" t="str">
        <f t="shared" si="5920"/>
        <v/>
      </c>
      <c r="AF256" s="12" t="str">
        <f t="shared" si="5921"/>
        <v/>
      </c>
      <c r="AG256" s="12" t="str">
        <f t="shared" si="5922"/>
        <v/>
      </c>
      <c r="AH256" s="12" t="str">
        <f t="shared" si="5923"/>
        <v/>
      </c>
      <c r="AI256" s="12" t="str">
        <f t="shared" si="5924"/>
        <v/>
      </c>
      <c r="AJ256" s="12" t="str">
        <f t="shared" si="5925"/>
        <v/>
      </c>
      <c r="AK256" s="12" t="str">
        <f t="shared" si="5926"/>
        <v/>
      </c>
      <c r="AL256" s="12" t="str">
        <f t="shared" si="5927"/>
        <v/>
      </c>
      <c r="AM256" s="12" t="str">
        <f t="shared" si="5928"/>
        <v/>
      </c>
      <c r="AN256" s="12" t="str">
        <f t="shared" si="5929"/>
        <v/>
      </c>
      <c r="AO256" s="12" t="str">
        <f t="shared" si="5930"/>
        <v/>
      </c>
      <c r="AP256" s="12" t="str">
        <f t="shared" si="5931"/>
        <v/>
      </c>
      <c r="AQ256" s="12" t="str">
        <f t="shared" si="5932"/>
        <v/>
      </c>
      <c r="AR256" s="12" t="str">
        <f t="shared" si="5933"/>
        <v/>
      </c>
      <c r="AS256" s="12" t="str">
        <f t="shared" si="5934"/>
        <v/>
      </c>
      <c r="AT256" s="12" t="str">
        <f t="shared" si="5935"/>
        <v/>
      </c>
      <c r="AU256" s="12" t="str">
        <f t="shared" si="5936"/>
        <v/>
      </c>
      <c r="AV256" s="12" t="str">
        <f t="shared" si="5937"/>
        <v/>
      </c>
      <c r="AW256" s="12" t="str">
        <f t="shared" si="5938"/>
        <v/>
      </c>
      <c r="AX256" s="12" t="str">
        <f t="shared" si="5939"/>
        <v/>
      </c>
      <c r="AY256" s="12" t="str">
        <f t="shared" si="5940"/>
        <v/>
      </c>
      <c r="AZ256" s="12" t="str">
        <f t="shared" si="5941"/>
        <v/>
      </c>
      <c r="BA256" s="12" t="str">
        <f t="shared" si="5942"/>
        <v/>
      </c>
      <c r="BB256" s="12" t="str">
        <f t="shared" si="5943"/>
        <v/>
      </c>
      <c r="BC256" s="215" t="str">
        <f t="shared" si="5944"/>
        <v/>
      </c>
    </row>
    <row r="257" spans="1:55" ht="11.25" customHeight="1" x14ac:dyDescent="0.25">
      <c r="A257" s="216">
        <v>2</v>
      </c>
      <c r="B257" s="11" t="s">
        <v>5</v>
      </c>
      <c r="C257" s="123">
        <v>11</v>
      </c>
      <c r="D257" s="12">
        <v>11</v>
      </c>
      <c r="E257" s="12">
        <v>11</v>
      </c>
      <c r="F257" s="12">
        <v>11</v>
      </c>
      <c r="G257" s="195">
        <f t="shared" ref="G257" si="5946">IF(G255="","",(F257+F258))</f>
        <v>11</v>
      </c>
      <c r="H257" s="12">
        <f t="shared" ref="H257" si="5947">IF(H255="","",(G257+G258))</f>
        <v>11</v>
      </c>
      <c r="I257" s="12">
        <f t="shared" ref="I257" si="5948">IF(I255="","",(H257+H258))</f>
        <v>11</v>
      </c>
      <c r="J257" s="195">
        <f t="shared" ref="J257" si="5949">IF(J255="","",(I257+I258))</f>
        <v>11</v>
      </c>
      <c r="K257" s="12">
        <f t="shared" ref="K257" si="5950">IF(K255="","",(J257+J258))</f>
        <v>11</v>
      </c>
      <c r="L257" s="12">
        <f t="shared" ref="L257" si="5951">IF(L255="","",(K257+K258))</f>
        <v>11</v>
      </c>
      <c r="M257" s="12">
        <f t="shared" ref="M257" si="5952">IF(M255="","",(L257+L258))</f>
        <v>11</v>
      </c>
      <c r="N257" s="195" t="str">
        <f t="shared" ref="N257" si="5953">IF(N255="","",(M257+M258))</f>
        <v/>
      </c>
      <c r="O257" s="12" t="str">
        <f t="shared" ref="O257" si="5954">IF(O255="","",(N257+N258))</f>
        <v/>
      </c>
      <c r="P257" s="12" t="str">
        <f t="shared" ref="P257" si="5955">IF(P255="","",(O257+O258))</f>
        <v/>
      </c>
      <c r="Q257" s="12" t="str">
        <f t="shared" ref="Q257" si="5956">IF(Q255="","",(P257+P258))</f>
        <v/>
      </c>
      <c r="R257" s="12" t="str">
        <f t="shared" ref="R257" si="5957">IF(R255="","",(Q257+Q258))</f>
        <v/>
      </c>
      <c r="S257" s="12" t="str">
        <f t="shared" ref="S257" si="5958">IF(S255="","",(R257+R258))</f>
        <v/>
      </c>
      <c r="T257" s="12" t="str">
        <f t="shared" ref="T257" si="5959">IF(T255="","",(S257+S258))</f>
        <v/>
      </c>
      <c r="U257" s="12" t="str">
        <f t="shared" ref="U257" si="5960">IF(U255="","",(T257+T258))</f>
        <v/>
      </c>
      <c r="V257" s="12" t="str">
        <f t="shared" ref="V257" si="5961">IF(V255="","",(U257+U258))</f>
        <v/>
      </c>
      <c r="W257" s="12" t="str">
        <f t="shared" ref="W257" si="5962">IF(W255="","",(V257+V258))</f>
        <v/>
      </c>
      <c r="X257" s="12" t="str">
        <f t="shared" ref="X257" si="5963">IF(X255="","",(W257+W258))</f>
        <v/>
      </c>
      <c r="Y257" s="12" t="str">
        <f t="shared" ref="Y257" si="5964">IF(Y255="","",(X257+X258))</f>
        <v/>
      </c>
      <c r="Z257" s="12" t="str">
        <f t="shared" ref="Z257" si="5965">IF(Z255="","",(Y257+Y258))</f>
        <v/>
      </c>
      <c r="AA257" s="12" t="str">
        <f t="shared" ref="AA257" si="5966">IF(AA255="","",(Z257+Z258))</f>
        <v/>
      </c>
      <c r="AB257" s="12" t="str">
        <f t="shared" ref="AB257" si="5967">IF(AB255="","",(AA257+AA258))</f>
        <v/>
      </c>
      <c r="AC257" s="12" t="str">
        <f t="shared" ref="AC257" si="5968">IF(AC255="","",(AB257+AB258))</f>
        <v/>
      </c>
      <c r="AD257" s="12" t="str">
        <f t="shared" ref="AD257" si="5969">IF(AD255="","",(AC257+AC258))</f>
        <v/>
      </c>
      <c r="AE257" s="12" t="str">
        <f t="shared" ref="AE257" si="5970">IF(AE255="","",(AD257+AD258))</f>
        <v/>
      </c>
      <c r="AF257" s="12" t="str">
        <f t="shared" ref="AF257" si="5971">IF(AF255="","",(AE257+AE258))</f>
        <v/>
      </c>
      <c r="AG257" s="12" t="str">
        <f t="shared" ref="AG257" si="5972">IF(AG255="","",(AF257+AF258))</f>
        <v/>
      </c>
      <c r="AH257" s="12" t="str">
        <f t="shared" ref="AH257" si="5973">IF(AH255="","",(AG257+AG258))</f>
        <v/>
      </c>
      <c r="AI257" s="12" t="str">
        <f t="shared" ref="AI257" si="5974">IF(AI255="","",(AH257+AH258))</f>
        <v/>
      </c>
      <c r="AJ257" s="12" t="str">
        <f t="shared" ref="AJ257" si="5975">IF(AJ255="","",(AI257+AI258))</f>
        <v/>
      </c>
      <c r="AK257" s="12" t="str">
        <f t="shared" ref="AK257" si="5976">IF(AK255="","",(AJ257+AJ258))</f>
        <v/>
      </c>
      <c r="AL257" s="12" t="str">
        <f t="shared" ref="AL257" si="5977">IF(AL255="","",(AK257+AK258))</f>
        <v/>
      </c>
      <c r="AM257" s="12" t="str">
        <f t="shared" ref="AM257" si="5978">IF(AM255="","",(AL257+AL258))</f>
        <v/>
      </c>
      <c r="AN257" s="12" t="str">
        <f t="shared" ref="AN257" si="5979">IF(AN255="","",(AM257+AM258))</f>
        <v/>
      </c>
      <c r="AO257" s="12" t="str">
        <f t="shared" ref="AO257" si="5980">IF(AO255="","",(AN257+AN258))</f>
        <v/>
      </c>
      <c r="AP257" s="12" t="str">
        <f t="shared" ref="AP257" si="5981">IF(AP255="","",(AO257+AO258))</f>
        <v/>
      </c>
      <c r="AQ257" s="12" t="str">
        <f t="shared" ref="AQ257" si="5982">IF(AQ255="","",(AP257+AP258))</f>
        <v/>
      </c>
      <c r="AR257" s="12" t="str">
        <f t="shared" ref="AR257" si="5983">IF(AR255="","",(AQ257+AQ258))</f>
        <v/>
      </c>
      <c r="AS257" s="12" t="str">
        <f t="shared" ref="AS257" si="5984">IF(AS255="","",(AR257+AR258))</f>
        <v/>
      </c>
      <c r="AT257" s="12" t="str">
        <f t="shared" ref="AT257" si="5985">IF(AT255="","",(AS257+AS258))</f>
        <v/>
      </c>
      <c r="AU257" s="12" t="str">
        <f t="shared" ref="AU257" si="5986">IF(AU255="","",(AT257+AT258))</f>
        <v/>
      </c>
      <c r="AV257" s="12" t="str">
        <f t="shared" ref="AV257" si="5987">IF(AV255="","",(AU257+AU258))</f>
        <v/>
      </c>
      <c r="AW257" s="12" t="str">
        <f t="shared" ref="AW257" si="5988">IF(AW255="","",(AV257+AV258))</f>
        <v/>
      </c>
      <c r="AX257" s="12" t="str">
        <f t="shared" ref="AX257" si="5989">IF(AX255="","",(AW257+AW258))</f>
        <v/>
      </c>
      <c r="AY257" s="12" t="str">
        <f t="shared" ref="AY257" si="5990">IF(AY255="","",(AX257+AX258))</f>
        <v/>
      </c>
      <c r="AZ257" s="12" t="str">
        <f t="shared" ref="AZ257" si="5991">IF(AZ255="","",(AY257+AY258))</f>
        <v/>
      </c>
      <c r="BA257" s="12" t="str">
        <f t="shared" ref="BA257" si="5992">IF(BA255="","",(AZ257+AZ258))</f>
        <v/>
      </c>
      <c r="BB257" s="12" t="str">
        <f t="shared" ref="BB257" si="5993">IF(BB255="","",(BA257+BA258))</f>
        <v/>
      </c>
      <c r="BC257" s="215" t="str">
        <f t="shared" ref="BC257" si="5994">IF(BC255="","",(BB257+BB258))</f>
        <v/>
      </c>
    </row>
    <row r="258" spans="1:55" ht="11.25" customHeight="1" x14ac:dyDescent="0.2">
      <c r="A258" s="220"/>
      <c r="B258" s="11" t="s">
        <v>6</v>
      </c>
      <c r="C258" s="123"/>
      <c r="D258" s="12"/>
      <c r="E258" s="12"/>
      <c r="F258" s="12"/>
      <c r="G258" s="195"/>
      <c r="H258" s="12"/>
      <c r="I258" s="12"/>
      <c r="J258" s="195"/>
      <c r="K258" s="12"/>
      <c r="L258" s="12"/>
      <c r="M258" s="12"/>
      <c r="N258" s="195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215"/>
    </row>
    <row r="259" spans="1:55" ht="11.25" customHeight="1" x14ac:dyDescent="0.2">
      <c r="A259" s="222"/>
      <c r="B259" s="11" t="s">
        <v>8</v>
      </c>
      <c r="C259" s="129">
        <v>1100</v>
      </c>
      <c r="D259" s="206">
        <v>1100</v>
      </c>
      <c r="E259" s="206">
        <v>1100</v>
      </c>
      <c r="F259" s="206">
        <v>1100</v>
      </c>
      <c r="G259" s="207">
        <f t="shared" ref="G259" si="5995">IF(G255="","",F259)</f>
        <v>1100</v>
      </c>
      <c r="H259" s="206">
        <f t="shared" ref="H259" si="5996">IF(H255="","",G259)</f>
        <v>1100</v>
      </c>
      <c r="I259" s="206">
        <f t="shared" ref="I259" si="5997">IF(I255="","",H259)</f>
        <v>1100</v>
      </c>
      <c r="J259" s="207">
        <f t="shared" ref="J259" si="5998">IF(J255="","",I259)</f>
        <v>1100</v>
      </c>
      <c r="K259" s="206">
        <f t="shared" ref="K259" si="5999">IF(K255="","",J259)</f>
        <v>1100</v>
      </c>
      <c r="L259" s="206">
        <f t="shared" ref="L259" si="6000">IF(L255="","",K259)</f>
        <v>1100</v>
      </c>
      <c r="M259" s="206">
        <f t="shared" ref="M259" si="6001">IF(M255="","",L259)</f>
        <v>1100</v>
      </c>
      <c r="N259" s="207" t="str">
        <f t="shared" ref="N259" si="6002">IF(N255="","",M259)</f>
        <v/>
      </c>
      <c r="O259" s="206" t="str">
        <f t="shared" ref="O259" si="6003">IF(O255="","",N259)</f>
        <v/>
      </c>
      <c r="P259" s="206" t="str">
        <f t="shared" ref="P259" si="6004">IF(P255="","",O259)</f>
        <v/>
      </c>
      <c r="Q259" s="206" t="str">
        <f t="shared" ref="Q259" si="6005">IF(Q255="","",P259)</f>
        <v/>
      </c>
      <c r="R259" s="206" t="str">
        <f t="shared" ref="R259" si="6006">IF(R255="","",Q259)</f>
        <v/>
      </c>
      <c r="S259" s="206" t="str">
        <f t="shared" ref="S259" si="6007">IF(S255="","",R259)</f>
        <v/>
      </c>
      <c r="T259" s="206" t="str">
        <f t="shared" ref="T259" si="6008">IF(T255="","",S259)</f>
        <v/>
      </c>
      <c r="U259" s="206" t="str">
        <f t="shared" ref="U259" si="6009">IF(U255="","",T259)</f>
        <v/>
      </c>
      <c r="V259" s="206" t="str">
        <f t="shared" ref="V259" si="6010">IF(V255="","",U259)</f>
        <v/>
      </c>
      <c r="W259" s="206" t="str">
        <f t="shared" ref="W259" si="6011">IF(W255="","",V259)</f>
        <v/>
      </c>
      <c r="X259" s="206" t="str">
        <f t="shared" ref="X259" si="6012">IF(X255="","",W259)</f>
        <v/>
      </c>
      <c r="Y259" s="206" t="str">
        <f t="shared" ref="Y259" si="6013">IF(Y255="","",X259)</f>
        <v/>
      </c>
      <c r="Z259" s="206" t="str">
        <f t="shared" ref="Z259" si="6014">IF(Z255="","",Y259)</f>
        <v/>
      </c>
      <c r="AA259" s="206" t="str">
        <f t="shared" ref="AA259" si="6015">IF(AA255="","",Z259)</f>
        <v/>
      </c>
      <c r="AB259" s="206" t="str">
        <f t="shared" ref="AB259" si="6016">IF(AB255="","",AA259)</f>
        <v/>
      </c>
      <c r="AC259" s="206" t="str">
        <f t="shared" ref="AC259" si="6017">IF(AC255="","",AB259)</f>
        <v/>
      </c>
      <c r="AD259" s="206" t="str">
        <f t="shared" ref="AD259" si="6018">IF(AD255="","",AC259)</f>
        <v/>
      </c>
      <c r="AE259" s="206" t="str">
        <f t="shared" ref="AE259" si="6019">IF(AE255="","",AD259)</f>
        <v/>
      </c>
      <c r="AF259" s="206" t="str">
        <f t="shared" ref="AF259" si="6020">IF(AF255="","",AE259)</f>
        <v/>
      </c>
      <c r="AG259" s="206" t="str">
        <f t="shared" ref="AG259" si="6021">IF(AG255="","",AF259)</f>
        <v/>
      </c>
      <c r="AH259" s="206" t="str">
        <f t="shared" ref="AH259" si="6022">IF(AH255="","",AG259)</f>
        <v/>
      </c>
      <c r="AI259" s="206" t="str">
        <f t="shared" ref="AI259" si="6023">IF(AI255="","",AH259)</f>
        <v/>
      </c>
      <c r="AJ259" s="206" t="str">
        <f t="shared" ref="AJ259" si="6024">IF(AJ255="","",AI259)</f>
        <v/>
      </c>
      <c r="AK259" s="206" t="str">
        <f t="shared" ref="AK259" si="6025">IF(AK255="","",AJ259)</f>
        <v/>
      </c>
      <c r="AL259" s="206" t="str">
        <f t="shared" ref="AL259" si="6026">IF(AL255="","",AK259)</f>
        <v/>
      </c>
      <c r="AM259" s="206" t="str">
        <f t="shared" ref="AM259" si="6027">IF(AM255="","",AL259)</f>
        <v/>
      </c>
      <c r="AN259" s="206" t="str">
        <f t="shared" ref="AN259" si="6028">IF(AN255="","",AM259)</f>
        <v/>
      </c>
      <c r="AO259" s="206" t="str">
        <f t="shared" ref="AO259" si="6029">IF(AO255="","",AN259)</f>
        <v/>
      </c>
      <c r="AP259" s="206" t="str">
        <f t="shared" ref="AP259" si="6030">IF(AP255="","",AO259)</f>
        <v/>
      </c>
      <c r="AQ259" s="206" t="str">
        <f t="shared" ref="AQ259" si="6031">IF(AQ255="","",AP259)</f>
        <v/>
      </c>
      <c r="AR259" s="206" t="str">
        <f t="shared" ref="AR259" si="6032">IF(AR255="","",AQ259)</f>
        <v/>
      </c>
      <c r="AS259" s="206" t="str">
        <f t="shared" ref="AS259" si="6033">IF(AS255="","",AR259)</f>
        <v/>
      </c>
      <c r="AT259" s="206" t="str">
        <f t="shared" ref="AT259" si="6034">IF(AT255="","",AS259)</f>
        <v/>
      </c>
      <c r="AU259" s="206" t="str">
        <f t="shared" ref="AU259" si="6035">IF(AU255="","",AT259)</f>
        <v/>
      </c>
      <c r="AV259" s="206" t="str">
        <f t="shared" ref="AV259" si="6036">IF(AV255="","",AU259)</f>
        <v/>
      </c>
      <c r="AW259" s="206" t="str">
        <f t="shared" ref="AW259" si="6037">IF(AW255="","",AV259)</f>
        <v/>
      </c>
      <c r="AX259" s="206" t="str">
        <f t="shared" ref="AX259" si="6038">IF(AX255="","",AW259)</f>
        <v/>
      </c>
      <c r="AY259" s="206" t="str">
        <f t="shared" ref="AY259" si="6039">IF(AY255="","",AX259)</f>
        <v/>
      </c>
      <c r="AZ259" s="206" t="str">
        <f t="shared" ref="AZ259" si="6040">IF(AZ255="","",AY259)</f>
        <v/>
      </c>
      <c r="BA259" s="206" t="str">
        <f t="shared" ref="BA259" si="6041">IF(BA255="","",AZ259)</f>
        <v/>
      </c>
      <c r="BB259" s="206" t="str">
        <f t="shared" ref="BB259" si="6042">IF(BB255="","",BA259)</f>
        <v/>
      </c>
      <c r="BC259" s="219" t="str">
        <f t="shared" ref="BC259" si="6043">IF(BC255="","",BB259)</f>
        <v/>
      </c>
    </row>
    <row r="260" spans="1:55" ht="11.25" customHeight="1" x14ac:dyDescent="0.2">
      <c r="A260" s="220" t="s">
        <v>9</v>
      </c>
      <c r="B260" s="17" t="s">
        <v>10</v>
      </c>
      <c r="C260" s="133" t="s">
        <v>282</v>
      </c>
      <c r="D260" s="18" t="s">
        <v>282</v>
      </c>
      <c r="E260" s="18" t="s">
        <v>282</v>
      </c>
      <c r="F260" s="18" t="s">
        <v>282</v>
      </c>
      <c r="G260" s="197" t="str">
        <f t="shared" ref="G260" si="6044">IF(G255="","",F260)</f>
        <v>ハンディファン</v>
      </c>
      <c r="H260" s="18" t="str">
        <f t="shared" ref="H260" si="6045">IF(H255="","",G260)</f>
        <v>ハンディファン</v>
      </c>
      <c r="I260" s="18" t="str">
        <f t="shared" ref="I260" si="6046">IF(I255="","",H260)</f>
        <v>ハンディファン</v>
      </c>
      <c r="J260" s="197" t="str">
        <f t="shared" ref="J260" si="6047">IF(J255="","",I260)</f>
        <v>ハンディファン</v>
      </c>
      <c r="K260" s="18" t="str">
        <f t="shared" ref="K260" si="6048">IF(K255="","",J260)</f>
        <v>ハンディファン</v>
      </c>
      <c r="L260" s="18" t="str">
        <f t="shared" ref="L260" si="6049">IF(L255="","",K260)</f>
        <v>ハンディファン</v>
      </c>
      <c r="M260" s="18" t="str">
        <f t="shared" ref="M260" si="6050">IF(M255="","",L260)</f>
        <v>ハンディファン</v>
      </c>
      <c r="N260" s="197" t="str">
        <f t="shared" ref="N260" si="6051">IF(N255="","",M260)</f>
        <v/>
      </c>
      <c r="O260" s="18" t="str">
        <f t="shared" ref="O260" si="6052">IF(O255="","",N260)</f>
        <v/>
      </c>
      <c r="P260" s="18" t="str">
        <f t="shared" ref="P260" si="6053">IF(P255="","",O260)</f>
        <v/>
      </c>
      <c r="Q260" s="18" t="str">
        <f t="shared" ref="Q260" si="6054">IF(Q255="","",P260)</f>
        <v/>
      </c>
      <c r="R260" s="18" t="str">
        <f t="shared" ref="R260" si="6055">IF(R255="","",Q260)</f>
        <v/>
      </c>
      <c r="S260" s="18" t="str">
        <f t="shared" ref="S260" si="6056">IF(S255="","",R260)</f>
        <v/>
      </c>
      <c r="T260" s="18" t="str">
        <f t="shared" ref="T260" si="6057">IF(T255="","",S260)</f>
        <v/>
      </c>
      <c r="U260" s="18" t="str">
        <f t="shared" ref="U260" si="6058">IF(U255="","",T260)</f>
        <v/>
      </c>
      <c r="V260" s="18" t="str">
        <f t="shared" ref="V260" si="6059">IF(V255="","",U260)</f>
        <v/>
      </c>
      <c r="W260" s="18" t="str">
        <f t="shared" ref="W260" si="6060">IF(W255="","",V260)</f>
        <v/>
      </c>
      <c r="X260" s="18" t="str">
        <f t="shared" ref="X260" si="6061">IF(X255="","",W260)</f>
        <v/>
      </c>
      <c r="Y260" s="18" t="str">
        <f t="shared" ref="Y260" si="6062">IF(Y255="","",X260)</f>
        <v/>
      </c>
      <c r="Z260" s="18" t="str">
        <f t="shared" ref="Z260" si="6063">IF(Z255="","",Y260)</f>
        <v/>
      </c>
      <c r="AA260" s="18" t="str">
        <f t="shared" ref="AA260" si="6064">IF(AA255="","",Z260)</f>
        <v/>
      </c>
      <c r="AB260" s="18" t="str">
        <f t="shared" ref="AB260" si="6065">IF(AB255="","",AA260)</f>
        <v/>
      </c>
      <c r="AC260" s="18" t="str">
        <f t="shared" ref="AC260" si="6066">IF(AC255="","",AB260)</f>
        <v/>
      </c>
      <c r="AD260" s="18" t="str">
        <f t="shared" ref="AD260" si="6067">IF(AD255="","",AC260)</f>
        <v/>
      </c>
      <c r="AE260" s="18" t="str">
        <f t="shared" ref="AE260" si="6068">IF(AE255="","",AD260)</f>
        <v/>
      </c>
      <c r="AF260" s="18" t="str">
        <f t="shared" ref="AF260" si="6069">IF(AF255="","",AE260)</f>
        <v/>
      </c>
      <c r="AG260" s="18" t="str">
        <f t="shared" ref="AG260" si="6070">IF(AG255="","",AF260)</f>
        <v/>
      </c>
      <c r="AH260" s="18" t="str">
        <f t="shared" ref="AH260" si="6071">IF(AH255="","",AG260)</f>
        <v/>
      </c>
      <c r="AI260" s="18" t="str">
        <f t="shared" ref="AI260" si="6072">IF(AI255="","",AH260)</f>
        <v/>
      </c>
      <c r="AJ260" s="18" t="str">
        <f t="shared" ref="AJ260" si="6073">IF(AJ255="","",AI260)</f>
        <v/>
      </c>
      <c r="AK260" s="18" t="str">
        <f t="shared" ref="AK260" si="6074">IF(AK255="","",AJ260)</f>
        <v/>
      </c>
      <c r="AL260" s="18" t="str">
        <f t="shared" ref="AL260" si="6075">IF(AL255="","",AK260)</f>
        <v/>
      </c>
      <c r="AM260" s="18" t="str">
        <f t="shared" ref="AM260" si="6076">IF(AM255="","",AL260)</f>
        <v/>
      </c>
      <c r="AN260" s="18" t="str">
        <f t="shared" ref="AN260" si="6077">IF(AN255="","",AM260)</f>
        <v/>
      </c>
      <c r="AO260" s="18" t="str">
        <f t="shared" ref="AO260" si="6078">IF(AO255="","",AN260)</f>
        <v/>
      </c>
      <c r="AP260" s="18" t="str">
        <f t="shared" ref="AP260" si="6079">IF(AP255="","",AO260)</f>
        <v/>
      </c>
      <c r="AQ260" s="18" t="str">
        <f t="shared" ref="AQ260" si="6080">IF(AQ255="","",AP260)</f>
        <v/>
      </c>
      <c r="AR260" s="18" t="str">
        <f t="shared" ref="AR260" si="6081">IF(AR255="","",AQ260)</f>
        <v/>
      </c>
      <c r="AS260" s="18" t="str">
        <f t="shared" ref="AS260" si="6082">IF(AS255="","",AR260)</f>
        <v/>
      </c>
      <c r="AT260" s="18" t="str">
        <f t="shared" ref="AT260" si="6083">IF(AT255="","",AS260)</f>
        <v/>
      </c>
      <c r="AU260" s="18" t="str">
        <f t="shared" ref="AU260" si="6084">IF(AU255="","",AT260)</f>
        <v/>
      </c>
      <c r="AV260" s="18" t="str">
        <f t="shared" ref="AV260" si="6085">IF(AV255="","",AU260)</f>
        <v/>
      </c>
      <c r="AW260" s="18" t="str">
        <f t="shared" ref="AW260" si="6086">IF(AW255="","",AV260)</f>
        <v/>
      </c>
      <c r="AX260" s="18" t="str">
        <f t="shared" ref="AX260" si="6087">IF(AX255="","",AW260)</f>
        <v/>
      </c>
      <c r="AY260" s="18" t="str">
        <f t="shared" ref="AY260" si="6088">IF(AY255="","",AX260)</f>
        <v/>
      </c>
      <c r="AZ260" s="18" t="str">
        <f t="shared" ref="AZ260" si="6089">IF(AZ255="","",AY260)</f>
        <v/>
      </c>
      <c r="BA260" s="18" t="str">
        <f t="shared" ref="BA260" si="6090">IF(BA255="","",AZ260)</f>
        <v/>
      </c>
      <c r="BB260" s="18" t="str">
        <f t="shared" ref="BB260" si="6091">IF(BB255="","",BA260)</f>
        <v/>
      </c>
      <c r="BC260" s="221" t="str">
        <f t="shared" ref="BC260" si="6092">IF(BC255="","",BB260)</f>
        <v/>
      </c>
    </row>
    <row r="261" spans="1:55" ht="11.25" customHeight="1" x14ac:dyDescent="0.2">
      <c r="A261" s="222">
        <f>AVERAGE(C262:AS262)*30*100</f>
        <v>16090.90909090909</v>
      </c>
      <c r="B261" s="11" t="s">
        <v>12</v>
      </c>
      <c r="C261" s="123"/>
      <c r="D261" s="12"/>
      <c r="E261" s="12"/>
      <c r="F261" s="12"/>
      <c r="G261" s="195"/>
      <c r="H261" s="12"/>
      <c r="I261" s="12"/>
      <c r="J261" s="195"/>
      <c r="K261" s="12"/>
      <c r="L261" s="12"/>
      <c r="M261" s="12"/>
      <c r="N261" s="195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215"/>
    </row>
    <row r="262" spans="1:55" ht="11.25" customHeight="1" x14ac:dyDescent="0.2">
      <c r="A262" s="222">
        <f t="shared" ref="A262:A265" si="6093">SUM(C262:AS262)</f>
        <v>59</v>
      </c>
      <c r="B262" s="19" t="s">
        <v>13</v>
      </c>
      <c r="C262" s="123">
        <v>0</v>
      </c>
      <c r="D262" s="20">
        <v>0</v>
      </c>
      <c r="E262" s="20">
        <v>0</v>
      </c>
      <c r="F262" s="20">
        <v>0</v>
      </c>
      <c r="G262" s="195">
        <f t="shared" ref="G262:G263" si="6094">IF(G255="","",G255-F255)</f>
        <v>0</v>
      </c>
      <c r="H262" s="20">
        <f t="shared" ref="H262:H263" si="6095">IF(H255="","",H255-G255)</f>
        <v>0</v>
      </c>
      <c r="I262" s="20">
        <f t="shared" ref="I262:I263" si="6096">IF(I255="","",I255-H255)</f>
        <v>59</v>
      </c>
      <c r="J262" s="195">
        <f t="shared" ref="J262:J263" si="6097">IF(J255="","",J255-I255)</f>
        <v>0</v>
      </c>
      <c r="K262" s="20">
        <f t="shared" ref="K262:K263" si="6098">IF(K255="","",K255-J255)</f>
        <v>0</v>
      </c>
      <c r="L262" s="20">
        <f t="shared" ref="L262:L263" si="6099">IF(L255="","",L255-K255)</f>
        <v>0</v>
      </c>
      <c r="M262" s="20">
        <f t="shared" ref="M262:M263" si="6100">IF(M255="","",M255-L255)</f>
        <v>0</v>
      </c>
      <c r="N262" s="195" t="str">
        <f t="shared" ref="N262:N263" si="6101">IF(N255="","",N255-M255)</f>
        <v/>
      </c>
      <c r="O262" s="20" t="str">
        <f t="shared" ref="O262:O263" si="6102">IF(O255="","",O255-N255)</f>
        <v/>
      </c>
      <c r="P262" s="20" t="str">
        <f t="shared" ref="P262:P263" si="6103">IF(P255="","",P255-O255)</f>
        <v/>
      </c>
      <c r="Q262" s="20" t="str">
        <f t="shared" ref="Q262:Q263" si="6104">IF(Q255="","",Q255-P255)</f>
        <v/>
      </c>
      <c r="R262" s="20" t="str">
        <f t="shared" ref="R262:R263" si="6105">IF(R255="","",R255-Q255)</f>
        <v/>
      </c>
      <c r="S262" s="20" t="str">
        <f t="shared" ref="S262:S263" si="6106">IF(S255="","",S255-R255)</f>
        <v/>
      </c>
      <c r="T262" s="20" t="str">
        <f t="shared" ref="T262:T263" si="6107">IF(T255="","",T255-S255)</f>
        <v/>
      </c>
      <c r="U262" s="20" t="str">
        <f t="shared" ref="U262:U263" si="6108">IF(U255="","",U255-T255)</f>
        <v/>
      </c>
      <c r="V262" s="20" t="str">
        <f t="shared" ref="V262:V263" si="6109">IF(V255="","",V255-U255)</f>
        <v/>
      </c>
      <c r="W262" s="20" t="str">
        <f t="shared" ref="W262:W263" si="6110">IF(W255="","",W255-V255)</f>
        <v/>
      </c>
      <c r="X262" s="20" t="str">
        <f t="shared" ref="X262:X263" si="6111">IF(X255="","",X255-W255)</f>
        <v/>
      </c>
      <c r="Y262" s="20" t="str">
        <f t="shared" ref="Y262:Y263" si="6112">IF(Y255="","",Y255-X255)</f>
        <v/>
      </c>
      <c r="Z262" s="20" t="str">
        <f t="shared" ref="Z262:Z263" si="6113">IF(Z255="","",Z255-Y255)</f>
        <v/>
      </c>
      <c r="AA262" s="20" t="str">
        <f t="shared" ref="AA262:AA263" si="6114">IF(AA255="","",AA255-Z255)</f>
        <v/>
      </c>
      <c r="AB262" s="20" t="str">
        <f t="shared" ref="AB262:AB263" si="6115">IF(AB255="","",AB255-AA255)</f>
        <v/>
      </c>
      <c r="AC262" s="20" t="str">
        <f t="shared" ref="AC262:AC263" si="6116">IF(AC255="","",AC255-AB255)</f>
        <v/>
      </c>
      <c r="AD262" s="20" t="str">
        <f t="shared" ref="AD262:AD263" si="6117">IF(AD255="","",AD255-AC255)</f>
        <v/>
      </c>
      <c r="AE262" s="20" t="str">
        <f t="shared" ref="AE262:AE263" si="6118">IF(AE255="","",AE255-AD255)</f>
        <v/>
      </c>
      <c r="AF262" s="20" t="str">
        <f t="shared" ref="AF262:AF263" si="6119">IF(AF255="","",AF255-AE255)</f>
        <v/>
      </c>
      <c r="AG262" s="20" t="str">
        <f t="shared" ref="AG262:AG263" si="6120">IF(AG255="","",AG255-AF255)</f>
        <v/>
      </c>
      <c r="AH262" s="20" t="str">
        <f t="shared" ref="AH262:AH263" si="6121">IF(AH255="","",AH255-AG255)</f>
        <v/>
      </c>
      <c r="AI262" s="20" t="str">
        <f t="shared" ref="AI262:AI263" si="6122">IF(AI255="","",AI255-AH255)</f>
        <v/>
      </c>
      <c r="AJ262" s="20" t="str">
        <f t="shared" ref="AJ262:AJ263" si="6123">IF(AJ255="","",AJ255-AI255)</f>
        <v/>
      </c>
      <c r="AK262" s="20" t="str">
        <f t="shared" ref="AK262:AK263" si="6124">IF(AK255="","",AK255-AJ255)</f>
        <v/>
      </c>
      <c r="AL262" s="20" t="str">
        <f t="shared" ref="AL262:AL263" si="6125">IF(AL255="","",AL255-AK255)</f>
        <v/>
      </c>
      <c r="AM262" s="20" t="str">
        <f t="shared" ref="AM262:AM263" si="6126">IF(AM255="","",AM255-AL255)</f>
        <v/>
      </c>
      <c r="AN262" s="20" t="str">
        <f t="shared" ref="AN262:AN263" si="6127">IF(AN255="","",AN255-AM255)</f>
        <v/>
      </c>
      <c r="AO262" s="20" t="str">
        <f t="shared" ref="AO262:AO263" si="6128">IF(AO255="","",AO255-AN255)</f>
        <v/>
      </c>
      <c r="AP262" s="20" t="str">
        <f t="shared" ref="AP262:AP263" si="6129">IF(AP255="","",AP255-AO255)</f>
        <v/>
      </c>
      <c r="AQ262" s="20" t="str">
        <f t="shared" ref="AQ262:AQ263" si="6130">IF(AQ255="","",AQ255-AP255)</f>
        <v/>
      </c>
      <c r="AR262" s="20" t="str">
        <f t="shared" ref="AR262:AR263" si="6131">IF(AR255="","",AR255-AQ255)</f>
        <v/>
      </c>
      <c r="AS262" s="20" t="str">
        <f t="shared" ref="AS262:AS263" si="6132">IF(AS255="","",AS255-AR255)</f>
        <v/>
      </c>
      <c r="AT262" s="20" t="str">
        <f t="shared" ref="AT262:AT263" si="6133">IF(AT255="","",AT255-AS255)</f>
        <v/>
      </c>
      <c r="AU262" s="20" t="str">
        <f t="shared" ref="AU262:AU263" si="6134">IF(AU255="","",AU255-AT255)</f>
        <v/>
      </c>
      <c r="AV262" s="20" t="str">
        <f t="shared" ref="AV262:AV263" si="6135">IF(AV255="","",AV255-AU255)</f>
        <v/>
      </c>
      <c r="AW262" s="20" t="str">
        <f t="shared" ref="AW262:AW263" si="6136">IF(AW255="","",AW255-AV255)</f>
        <v/>
      </c>
      <c r="AX262" s="20" t="str">
        <f t="shared" ref="AX262:AX263" si="6137">IF(AX255="","",AX255-AW255)</f>
        <v/>
      </c>
      <c r="AY262" s="20" t="str">
        <f t="shared" ref="AY262:AY263" si="6138">IF(AY255="","",AY255-AX255)</f>
        <v/>
      </c>
      <c r="AZ262" s="20" t="str">
        <f t="shared" ref="AZ262:AZ263" si="6139">IF(AZ255="","",AZ255-AY255)</f>
        <v/>
      </c>
      <c r="BA262" s="20" t="str">
        <f t="shared" ref="BA262:BA263" si="6140">IF(BA255="","",BA255-AZ255)</f>
        <v/>
      </c>
      <c r="BB262" s="20" t="str">
        <f t="shared" ref="BB262:BB263" si="6141">IF(BB255="","",BB255-BA255)</f>
        <v/>
      </c>
      <c r="BC262" s="223" t="str">
        <f t="shared" ref="BC262:BC263" si="6142">IF(BC255="","",BC255-BB255)</f>
        <v/>
      </c>
    </row>
    <row r="263" spans="1:55" ht="11.25" customHeight="1" x14ac:dyDescent="0.2">
      <c r="A263" s="222">
        <f t="shared" si="6093"/>
        <v>0</v>
      </c>
      <c r="B263" s="19" t="s">
        <v>14</v>
      </c>
      <c r="C263" s="123">
        <v>0</v>
      </c>
      <c r="D263" s="20">
        <v>0</v>
      </c>
      <c r="E263" s="20">
        <v>0</v>
      </c>
      <c r="F263" s="20">
        <v>0</v>
      </c>
      <c r="G263" s="195">
        <f t="shared" si="6094"/>
        <v>0</v>
      </c>
      <c r="H263" s="20">
        <f t="shared" si="6095"/>
        <v>0</v>
      </c>
      <c r="I263" s="20">
        <f t="shared" si="6096"/>
        <v>0</v>
      </c>
      <c r="J263" s="195">
        <f t="shared" si="6097"/>
        <v>0</v>
      </c>
      <c r="K263" s="20">
        <f t="shared" si="6098"/>
        <v>0</v>
      </c>
      <c r="L263" s="20">
        <f t="shared" si="6099"/>
        <v>0</v>
      </c>
      <c r="M263" s="20">
        <f t="shared" si="6100"/>
        <v>0</v>
      </c>
      <c r="N263" s="195" t="str">
        <f t="shared" si="6101"/>
        <v/>
      </c>
      <c r="O263" s="20" t="str">
        <f t="shared" si="6102"/>
        <v/>
      </c>
      <c r="P263" s="20" t="str">
        <f t="shared" si="6103"/>
        <v/>
      </c>
      <c r="Q263" s="20" t="str">
        <f t="shared" si="6104"/>
        <v/>
      </c>
      <c r="R263" s="20" t="str">
        <f t="shared" si="6105"/>
        <v/>
      </c>
      <c r="S263" s="20" t="str">
        <f t="shared" si="6106"/>
        <v/>
      </c>
      <c r="T263" s="20" t="str">
        <f t="shared" si="6107"/>
        <v/>
      </c>
      <c r="U263" s="20" t="str">
        <f t="shared" si="6108"/>
        <v/>
      </c>
      <c r="V263" s="20" t="str">
        <f t="shared" si="6109"/>
        <v/>
      </c>
      <c r="W263" s="20" t="str">
        <f t="shared" si="6110"/>
        <v/>
      </c>
      <c r="X263" s="20" t="str">
        <f t="shared" si="6111"/>
        <v/>
      </c>
      <c r="Y263" s="20" t="str">
        <f t="shared" si="6112"/>
        <v/>
      </c>
      <c r="Z263" s="20" t="str">
        <f t="shared" si="6113"/>
        <v/>
      </c>
      <c r="AA263" s="20" t="str">
        <f t="shared" si="6114"/>
        <v/>
      </c>
      <c r="AB263" s="20" t="str">
        <f t="shared" si="6115"/>
        <v/>
      </c>
      <c r="AC263" s="20" t="str">
        <f t="shared" si="6116"/>
        <v/>
      </c>
      <c r="AD263" s="20" t="str">
        <f t="shared" si="6117"/>
        <v/>
      </c>
      <c r="AE263" s="20" t="str">
        <f t="shared" si="6118"/>
        <v/>
      </c>
      <c r="AF263" s="20" t="str">
        <f t="shared" si="6119"/>
        <v/>
      </c>
      <c r="AG263" s="20" t="str">
        <f t="shared" si="6120"/>
        <v/>
      </c>
      <c r="AH263" s="20" t="str">
        <f t="shared" si="6121"/>
        <v/>
      </c>
      <c r="AI263" s="20" t="str">
        <f t="shared" si="6122"/>
        <v/>
      </c>
      <c r="AJ263" s="20" t="str">
        <f t="shared" si="6123"/>
        <v/>
      </c>
      <c r="AK263" s="20" t="str">
        <f t="shared" si="6124"/>
        <v/>
      </c>
      <c r="AL263" s="20" t="str">
        <f t="shared" si="6125"/>
        <v/>
      </c>
      <c r="AM263" s="20" t="str">
        <f t="shared" si="6126"/>
        <v/>
      </c>
      <c r="AN263" s="20" t="str">
        <f t="shared" si="6127"/>
        <v/>
      </c>
      <c r="AO263" s="20" t="str">
        <f t="shared" si="6128"/>
        <v/>
      </c>
      <c r="AP263" s="20" t="str">
        <f t="shared" si="6129"/>
        <v/>
      </c>
      <c r="AQ263" s="20" t="str">
        <f t="shared" si="6130"/>
        <v/>
      </c>
      <c r="AR263" s="20" t="str">
        <f t="shared" si="6131"/>
        <v/>
      </c>
      <c r="AS263" s="20" t="str">
        <f t="shared" si="6132"/>
        <v/>
      </c>
      <c r="AT263" s="20" t="str">
        <f t="shared" si="6133"/>
        <v/>
      </c>
      <c r="AU263" s="20" t="str">
        <f t="shared" si="6134"/>
        <v/>
      </c>
      <c r="AV263" s="20" t="str">
        <f t="shared" si="6135"/>
        <v/>
      </c>
      <c r="AW263" s="20" t="str">
        <f t="shared" si="6136"/>
        <v/>
      </c>
      <c r="AX263" s="20" t="str">
        <f t="shared" si="6137"/>
        <v/>
      </c>
      <c r="AY263" s="20" t="str">
        <f t="shared" si="6138"/>
        <v/>
      </c>
      <c r="AZ263" s="20" t="str">
        <f t="shared" si="6139"/>
        <v/>
      </c>
      <c r="BA263" s="20" t="str">
        <f t="shared" si="6140"/>
        <v/>
      </c>
      <c r="BB263" s="20" t="str">
        <f t="shared" si="6141"/>
        <v/>
      </c>
      <c r="BC263" s="223" t="str">
        <f t="shared" si="6142"/>
        <v/>
      </c>
    </row>
    <row r="264" spans="1:55" ht="11.25" customHeight="1" x14ac:dyDescent="0.2">
      <c r="A264" s="222">
        <f t="shared" si="6093"/>
        <v>0</v>
      </c>
      <c r="B264" s="19" t="s">
        <v>15</v>
      </c>
      <c r="C264" s="123">
        <v>0</v>
      </c>
      <c r="D264" s="20">
        <v>0</v>
      </c>
      <c r="E264" s="20">
        <v>0</v>
      </c>
      <c r="F264" s="20">
        <v>0</v>
      </c>
      <c r="G264" s="195">
        <f t="shared" ref="G264" si="6143">IF(G257="","",F257+F258-G257)</f>
        <v>0</v>
      </c>
      <c r="H264" s="20">
        <f t="shared" ref="H264" si="6144">IF(H257="","",G257+G258-H257)</f>
        <v>0</v>
      </c>
      <c r="I264" s="20">
        <f t="shared" ref="I264" si="6145">IF(I257="","",H257+H258-I257)</f>
        <v>0</v>
      </c>
      <c r="J264" s="195">
        <f t="shared" ref="J264" si="6146">IF(J257="","",I257+I258-J257)</f>
        <v>0</v>
      </c>
      <c r="K264" s="20">
        <f t="shared" ref="K264" si="6147">IF(K257="","",J257+J258-K257)</f>
        <v>0</v>
      </c>
      <c r="L264" s="20">
        <f t="shared" ref="L264" si="6148">IF(L257="","",K257+K258-L257)</f>
        <v>0</v>
      </c>
      <c r="M264" s="20">
        <f t="shared" ref="M264" si="6149">IF(M257="","",L257+L258-M257)</f>
        <v>0</v>
      </c>
      <c r="N264" s="195" t="str">
        <f t="shared" ref="N264" si="6150">IF(N257="","",M257+M258-N257)</f>
        <v/>
      </c>
      <c r="O264" s="20" t="str">
        <f t="shared" ref="O264" si="6151">IF(O257="","",N257+N258-O257)</f>
        <v/>
      </c>
      <c r="P264" s="20" t="str">
        <f t="shared" ref="P264" si="6152">IF(P257="","",O257+O258-P257)</f>
        <v/>
      </c>
      <c r="Q264" s="20" t="str">
        <f t="shared" ref="Q264" si="6153">IF(Q257="","",P257+P258-Q257)</f>
        <v/>
      </c>
      <c r="R264" s="20" t="str">
        <f t="shared" ref="R264" si="6154">IF(R257="","",Q257+Q258-R257)</f>
        <v/>
      </c>
      <c r="S264" s="20" t="str">
        <f t="shared" ref="S264" si="6155">IF(S257="","",R257+R258-S257)</f>
        <v/>
      </c>
      <c r="T264" s="20" t="str">
        <f t="shared" ref="T264" si="6156">IF(T257="","",S257+S258-T257)</f>
        <v/>
      </c>
      <c r="U264" s="20" t="str">
        <f t="shared" ref="U264" si="6157">IF(U257="","",T257+T258-U257)</f>
        <v/>
      </c>
      <c r="V264" s="20" t="str">
        <f t="shared" ref="V264" si="6158">IF(V257="","",U257+U258-V257)</f>
        <v/>
      </c>
      <c r="W264" s="20" t="str">
        <f t="shared" ref="W264" si="6159">IF(W257="","",V257+V258-W257)</f>
        <v/>
      </c>
      <c r="X264" s="20" t="str">
        <f t="shared" ref="X264" si="6160">IF(X257="","",W257+W258-X257)</f>
        <v/>
      </c>
      <c r="Y264" s="20" t="str">
        <f t="shared" ref="Y264" si="6161">IF(Y257="","",X257+X258-Y257)</f>
        <v/>
      </c>
      <c r="Z264" s="20" t="str">
        <f t="shared" ref="Z264" si="6162">IF(Z257="","",Y257+Y258-Z257)</f>
        <v/>
      </c>
      <c r="AA264" s="20" t="str">
        <f t="shared" ref="AA264" si="6163">IF(AA257="","",Z257+Z258-AA257)</f>
        <v/>
      </c>
      <c r="AB264" s="20" t="str">
        <f t="shared" ref="AB264" si="6164">IF(AB257="","",AA257+AA258-AB257)</f>
        <v/>
      </c>
      <c r="AC264" s="20" t="str">
        <f t="shared" ref="AC264" si="6165">IF(AC257="","",AB257+AB258-AC257)</f>
        <v/>
      </c>
      <c r="AD264" s="20" t="str">
        <f t="shared" ref="AD264" si="6166">IF(AD257="","",AC257+AC258-AD257)</f>
        <v/>
      </c>
      <c r="AE264" s="20" t="str">
        <f t="shared" ref="AE264" si="6167">IF(AE257="","",AD257+AD258-AE257)</f>
        <v/>
      </c>
      <c r="AF264" s="20" t="str">
        <f t="shared" ref="AF264" si="6168">IF(AF257="","",AE257+AE258-AF257)</f>
        <v/>
      </c>
      <c r="AG264" s="20" t="str">
        <f t="shared" ref="AG264" si="6169">IF(AG257="","",AF257+AF258-AG257)</f>
        <v/>
      </c>
      <c r="AH264" s="20" t="str">
        <f t="shared" ref="AH264" si="6170">IF(AH257="","",AG257+AG258-AH257)</f>
        <v/>
      </c>
      <c r="AI264" s="20" t="str">
        <f t="shared" ref="AI264" si="6171">IF(AI257="","",AH257+AH258-AI257)</f>
        <v/>
      </c>
      <c r="AJ264" s="20" t="str">
        <f t="shared" ref="AJ264" si="6172">IF(AJ257="","",AI257+AI258-AJ257)</f>
        <v/>
      </c>
      <c r="AK264" s="20" t="str">
        <f t="shared" ref="AK264" si="6173">IF(AK257="","",AJ257+AJ258-AK257)</f>
        <v/>
      </c>
      <c r="AL264" s="20" t="str">
        <f t="shared" ref="AL264" si="6174">IF(AL257="","",AK257+AK258-AL257)</f>
        <v/>
      </c>
      <c r="AM264" s="20" t="str">
        <f t="shared" ref="AM264" si="6175">IF(AM257="","",AL257+AL258-AM257)</f>
        <v/>
      </c>
      <c r="AN264" s="20" t="str">
        <f t="shared" ref="AN264" si="6176">IF(AN257="","",AM257+AM258-AN257)</f>
        <v/>
      </c>
      <c r="AO264" s="20" t="str">
        <f t="shared" ref="AO264" si="6177">IF(AO257="","",AN257+AN258-AO257)</f>
        <v/>
      </c>
      <c r="AP264" s="20" t="str">
        <f t="shared" ref="AP264" si="6178">IF(AP257="","",AO257+AO258-AP257)</f>
        <v/>
      </c>
      <c r="AQ264" s="20" t="str">
        <f t="shared" ref="AQ264" si="6179">IF(AQ257="","",AP257+AP258-AQ257)</f>
        <v/>
      </c>
      <c r="AR264" s="20" t="str">
        <f t="shared" ref="AR264" si="6180">IF(AR257="","",AQ257+AQ258-AR257)</f>
        <v/>
      </c>
      <c r="AS264" s="20" t="str">
        <f t="shared" ref="AS264" si="6181">IF(AS257="","",AR257+AR258-AS257)</f>
        <v/>
      </c>
      <c r="AT264" s="20" t="str">
        <f t="shared" ref="AT264" si="6182">IF(AT257="","",AS257+AS258-AT257)</f>
        <v/>
      </c>
      <c r="AU264" s="20" t="str">
        <f t="shared" ref="AU264" si="6183">IF(AU257="","",AT257+AT258-AU257)</f>
        <v/>
      </c>
      <c r="AV264" s="20" t="str">
        <f t="shared" ref="AV264" si="6184">IF(AV257="","",AU257+AU258-AV257)</f>
        <v/>
      </c>
      <c r="AW264" s="20" t="str">
        <f t="shared" ref="AW264" si="6185">IF(AW257="","",AV257+AV258-AW257)</f>
        <v/>
      </c>
      <c r="AX264" s="20" t="str">
        <f t="shared" ref="AX264" si="6186">IF(AX257="","",AW257+AW258-AX257)</f>
        <v/>
      </c>
      <c r="AY264" s="20" t="str">
        <f t="shared" ref="AY264" si="6187">IF(AY257="","",AX257+AX258-AY257)</f>
        <v/>
      </c>
      <c r="AZ264" s="20" t="str">
        <f t="shared" ref="AZ264" si="6188">IF(AZ257="","",AY257+AY258-AZ257)</f>
        <v/>
      </c>
      <c r="BA264" s="20" t="str">
        <f t="shared" ref="BA264" si="6189">IF(BA257="","",AZ257+AZ258-BA257)</f>
        <v/>
      </c>
      <c r="BB264" s="20" t="str">
        <f t="shared" ref="BB264" si="6190">IF(BB257="","",BA257+BA258-BB257)</f>
        <v/>
      </c>
      <c r="BC264" s="223" t="str">
        <f t="shared" ref="BC264" si="6191">IF(BC257="","",BB257+BB258-BC257)</f>
        <v/>
      </c>
    </row>
    <row r="265" spans="1:55" ht="11.25" customHeight="1" x14ac:dyDescent="0.2">
      <c r="A265" s="222">
        <f t="shared" si="6093"/>
        <v>0</v>
      </c>
      <c r="B265" s="19" t="s">
        <v>16</v>
      </c>
      <c r="C265" s="123">
        <v>0</v>
      </c>
      <c r="D265" s="20">
        <v>0</v>
      </c>
      <c r="E265" s="20">
        <v>0</v>
      </c>
      <c r="F265" s="20">
        <v>0</v>
      </c>
      <c r="G265" s="195">
        <f t="shared" ref="D265:BC265" si="6192">IF(G255="","",G264*G259)</f>
        <v>0</v>
      </c>
      <c r="H265" s="20">
        <f t="shared" si="6192"/>
        <v>0</v>
      </c>
      <c r="I265" s="20">
        <f t="shared" si="6192"/>
        <v>0</v>
      </c>
      <c r="J265" s="195">
        <f t="shared" si="6192"/>
        <v>0</v>
      </c>
      <c r="K265" s="20">
        <f t="shared" si="6192"/>
        <v>0</v>
      </c>
      <c r="L265" s="20">
        <f t="shared" si="6192"/>
        <v>0</v>
      </c>
      <c r="M265" s="20">
        <f t="shared" si="6192"/>
        <v>0</v>
      </c>
      <c r="N265" s="195" t="str">
        <f t="shared" si="6192"/>
        <v/>
      </c>
      <c r="O265" s="20" t="str">
        <f t="shared" si="6192"/>
        <v/>
      </c>
      <c r="P265" s="20" t="str">
        <f t="shared" si="6192"/>
        <v/>
      </c>
      <c r="Q265" s="20" t="str">
        <f t="shared" si="6192"/>
        <v/>
      </c>
      <c r="R265" s="20" t="str">
        <f t="shared" si="6192"/>
        <v/>
      </c>
      <c r="S265" s="20" t="str">
        <f t="shared" si="6192"/>
        <v/>
      </c>
      <c r="T265" s="20" t="str">
        <f t="shared" si="6192"/>
        <v/>
      </c>
      <c r="U265" s="20" t="str">
        <f t="shared" si="6192"/>
        <v/>
      </c>
      <c r="V265" s="20" t="str">
        <f t="shared" si="6192"/>
        <v/>
      </c>
      <c r="W265" s="20" t="str">
        <f t="shared" si="6192"/>
        <v/>
      </c>
      <c r="X265" s="20" t="str">
        <f t="shared" si="6192"/>
        <v/>
      </c>
      <c r="Y265" s="20" t="str">
        <f t="shared" si="6192"/>
        <v/>
      </c>
      <c r="Z265" s="20" t="str">
        <f t="shared" si="6192"/>
        <v/>
      </c>
      <c r="AA265" s="20" t="str">
        <f t="shared" si="6192"/>
        <v/>
      </c>
      <c r="AB265" s="20" t="str">
        <f t="shared" si="6192"/>
        <v/>
      </c>
      <c r="AC265" s="20" t="str">
        <f t="shared" si="6192"/>
        <v/>
      </c>
      <c r="AD265" s="20" t="str">
        <f t="shared" si="6192"/>
        <v/>
      </c>
      <c r="AE265" s="20" t="str">
        <f t="shared" si="6192"/>
        <v/>
      </c>
      <c r="AF265" s="20" t="str">
        <f t="shared" si="6192"/>
        <v/>
      </c>
      <c r="AG265" s="20" t="str">
        <f t="shared" si="6192"/>
        <v/>
      </c>
      <c r="AH265" s="20" t="str">
        <f t="shared" si="6192"/>
        <v/>
      </c>
      <c r="AI265" s="20" t="str">
        <f t="shared" si="6192"/>
        <v/>
      </c>
      <c r="AJ265" s="20" t="str">
        <f t="shared" si="6192"/>
        <v/>
      </c>
      <c r="AK265" s="20" t="str">
        <f t="shared" si="6192"/>
        <v/>
      </c>
      <c r="AL265" s="20" t="str">
        <f t="shared" si="6192"/>
        <v/>
      </c>
      <c r="AM265" s="20" t="str">
        <f t="shared" si="6192"/>
        <v/>
      </c>
      <c r="AN265" s="20" t="str">
        <f t="shared" si="6192"/>
        <v/>
      </c>
      <c r="AO265" s="20" t="str">
        <f t="shared" si="6192"/>
        <v/>
      </c>
      <c r="AP265" s="20" t="str">
        <f t="shared" si="6192"/>
        <v/>
      </c>
      <c r="AQ265" s="20" t="str">
        <f t="shared" si="6192"/>
        <v/>
      </c>
      <c r="AR265" s="20" t="str">
        <f t="shared" si="6192"/>
        <v/>
      </c>
      <c r="AS265" s="20" t="str">
        <f t="shared" si="6192"/>
        <v/>
      </c>
      <c r="AT265" s="20" t="str">
        <f t="shared" si="6192"/>
        <v/>
      </c>
      <c r="AU265" s="20" t="str">
        <f t="shared" si="6192"/>
        <v/>
      </c>
      <c r="AV265" s="20" t="str">
        <f t="shared" si="6192"/>
        <v/>
      </c>
      <c r="AW265" s="20" t="str">
        <f t="shared" si="6192"/>
        <v/>
      </c>
      <c r="AX265" s="20" t="str">
        <f t="shared" si="6192"/>
        <v/>
      </c>
      <c r="AY265" s="20" t="str">
        <f t="shared" si="6192"/>
        <v/>
      </c>
      <c r="AZ265" s="20" t="str">
        <f t="shared" si="6192"/>
        <v/>
      </c>
      <c r="BA265" s="20" t="str">
        <f t="shared" si="6192"/>
        <v/>
      </c>
      <c r="BB265" s="20" t="str">
        <f t="shared" si="6192"/>
        <v/>
      </c>
      <c r="BC265" s="223" t="str">
        <f t="shared" si="6192"/>
        <v/>
      </c>
    </row>
    <row r="266" spans="1:55" ht="11.25" customHeight="1" thickBot="1" x14ac:dyDescent="0.25">
      <c r="A266" s="224">
        <f>IF(A265="","",A265/(A262*100))</f>
        <v>0</v>
      </c>
      <c r="B266" s="19" t="s">
        <v>17</v>
      </c>
      <c r="C266" s="146" t="s">
        <v>18</v>
      </c>
      <c r="D266" s="27" t="s">
        <v>18</v>
      </c>
      <c r="E266" s="27" t="s">
        <v>18</v>
      </c>
      <c r="F266" s="27" t="s">
        <v>18</v>
      </c>
      <c r="G266" s="199" t="str">
        <f t="shared" ref="D266:BC266" si="6193">IF(G265="","",IF(G265=0,"",G265/(G262*100)))</f>
        <v/>
      </c>
      <c r="H266" s="27" t="str">
        <f t="shared" si="6193"/>
        <v/>
      </c>
      <c r="I266" s="27" t="str">
        <f t="shared" si="6193"/>
        <v/>
      </c>
      <c r="J266" s="199" t="str">
        <f t="shared" si="6193"/>
        <v/>
      </c>
      <c r="K266" s="27" t="str">
        <f t="shared" si="6193"/>
        <v/>
      </c>
      <c r="L266" s="27" t="str">
        <f t="shared" si="6193"/>
        <v/>
      </c>
      <c r="M266" s="27" t="str">
        <f t="shared" si="6193"/>
        <v/>
      </c>
      <c r="N266" s="199" t="str">
        <f t="shared" si="6193"/>
        <v/>
      </c>
      <c r="O266" s="27" t="str">
        <f t="shared" si="6193"/>
        <v/>
      </c>
      <c r="P266" s="27" t="str">
        <f t="shared" si="6193"/>
        <v/>
      </c>
      <c r="Q266" s="27" t="str">
        <f t="shared" si="6193"/>
        <v/>
      </c>
      <c r="R266" s="27" t="str">
        <f t="shared" si="6193"/>
        <v/>
      </c>
      <c r="S266" s="27" t="str">
        <f t="shared" si="6193"/>
        <v/>
      </c>
      <c r="T266" s="27" t="str">
        <f t="shared" si="6193"/>
        <v/>
      </c>
      <c r="U266" s="27" t="str">
        <f t="shared" si="6193"/>
        <v/>
      </c>
      <c r="V266" s="27" t="str">
        <f t="shared" si="6193"/>
        <v/>
      </c>
      <c r="W266" s="27" t="str">
        <f t="shared" si="6193"/>
        <v/>
      </c>
      <c r="X266" s="27" t="str">
        <f t="shared" si="6193"/>
        <v/>
      </c>
      <c r="Y266" s="27" t="str">
        <f t="shared" si="6193"/>
        <v/>
      </c>
      <c r="Z266" s="27" t="str">
        <f t="shared" si="6193"/>
        <v/>
      </c>
      <c r="AA266" s="27" t="str">
        <f t="shared" si="6193"/>
        <v/>
      </c>
      <c r="AB266" s="27" t="str">
        <f t="shared" si="6193"/>
        <v/>
      </c>
      <c r="AC266" s="27" t="str">
        <f t="shared" si="6193"/>
        <v/>
      </c>
      <c r="AD266" s="27" t="str">
        <f t="shared" si="6193"/>
        <v/>
      </c>
      <c r="AE266" s="27" t="str">
        <f t="shared" si="6193"/>
        <v/>
      </c>
      <c r="AF266" s="27" t="str">
        <f t="shared" si="6193"/>
        <v/>
      </c>
      <c r="AG266" s="27" t="str">
        <f t="shared" si="6193"/>
        <v/>
      </c>
      <c r="AH266" s="27" t="str">
        <f t="shared" si="6193"/>
        <v/>
      </c>
      <c r="AI266" s="27" t="str">
        <f t="shared" si="6193"/>
        <v/>
      </c>
      <c r="AJ266" s="27" t="str">
        <f t="shared" si="6193"/>
        <v/>
      </c>
      <c r="AK266" s="27" t="str">
        <f t="shared" si="6193"/>
        <v/>
      </c>
      <c r="AL266" s="27" t="str">
        <f t="shared" si="6193"/>
        <v/>
      </c>
      <c r="AM266" s="27" t="str">
        <f t="shared" si="6193"/>
        <v/>
      </c>
      <c r="AN266" s="27" t="str">
        <f t="shared" si="6193"/>
        <v/>
      </c>
      <c r="AO266" s="27" t="str">
        <f t="shared" si="6193"/>
        <v/>
      </c>
      <c r="AP266" s="27" t="str">
        <f t="shared" si="6193"/>
        <v/>
      </c>
      <c r="AQ266" s="27" t="str">
        <f t="shared" si="6193"/>
        <v/>
      </c>
      <c r="AR266" s="27" t="str">
        <f t="shared" si="6193"/>
        <v/>
      </c>
      <c r="AS266" s="27" t="str">
        <f t="shared" si="6193"/>
        <v/>
      </c>
      <c r="AT266" s="27" t="str">
        <f t="shared" si="6193"/>
        <v/>
      </c>
      <c r="AU266" s="27" t="str">
        <f t="shared" si="6193"/>
        <v/>
      </c>
      <c r="AV266" s="27" t="str">
        <f t="shared" si="6193"/>
        <v/>
      </c>
      <c r="AW266" s="27" t="str">
        <f t="shared" si="6193"/>
        <v/>
      </c>
      <c r="AX266" s="27" t="str">
        <f t="shared" si="6193"/>
        <v/>
      </c>
      <c r="AY266" s="27" t="str">
        <f t="shared" si="6193"/>
        <v/>
      </c>
      <c r="AZ266" s="27" t="str">
        <f t="shared" si="6193"/>
        <v/>
      </c>
      <c r="BA266" s="27" t="str">
        <f t="shared" si="6193"/>
        <v/>
      </c>
      <c r="BB266" s="27" t="str">
        <f t="shared" si="6193"/>
        <v/>
      </c>
      <c r="BC266" s="225" t="str">
        <f t="shared" si="6193"/>
        <v/>
      </c>
    </row>
    <row r="267" spans="1:55" ht="11.25" customHeight="1" x14ac:dyDescent="0.2">
      <c r="A267" s="226" t="s">
        <v>1</v>
      </c>
      <c r="B267" s="205" t="s">
        <v>2</v>
      </c>
      <c r="C267" s="129">
        <v>0</v>
      </c>
      <c r="D267" s="206">
        <v>0</v>
      </c>
      <c r="E267" s="206">
        <v>0</v>
      </c>
      <c r="F267" s="206">
        <v>0</v>
      </c>
      <c r="G267" s="207">
        <f t="shared" ref="G267:G268" si="6194">IF(G$3="","",F267)</f>
        <v>0</v>
      </c>
      <c r="H267" s="206">
        <f t="shared" ref="H267:H268" si="6195">IF(H$3="","",G267)</f>
        <v>0</v>
      </c>
      <c r="I267" s="206">
        <v>44</v>
      </c>
      <c r="J267" s="207">
        <f t="shared" ref="J267:J268" si="6196">IF(J$3="","",I267)</f>
        <v>44</v>
      </c>
      <c r="K267" s="206">
        <f t="shared" ref="K267:K268" si="6197">IF(K$3="","",J267)</f>
        <v>44</v>
      </c>
      <c r="L267" s="206">
        <f t="shared" ref="L267:L268" si="6198">IF(L$3="","",K267)</f>
        <v>44</v>
      </c>
      <c r="M267" s="206">
        <f t="shared" ref="M267:M268" si="6199">IF(M$3="","",L267)</f>
        <v>44</v>
      </c>
      <c r="N267" s="207" t="str">
        <f t="shared" ref="N267:N268" si="6200">IF(N$3="","",M267)</f>
        <v/>
      </c>
      <c r="O267" s="206" t="str">
        <f t="shared" ref="O267:O268" si="6201">IF(O$3="","",N267)</f>
        <v/>
      </c>
      <c r="P267" s="206" t="str">
        <f t="shared" ref="P267:P268" si="6202">IF(P$3="","",O267)</f>
        <v/>
      </c>
      <c r="Q267" s="206" t="str">
        <f t="shared" ref="Q267:Q268" si="6203">IF(Q$3="","",P267)</f>
        <v/>
      </c>
      <c r="R267" s="206" t="str">
        <f t="shared" ref="R267:R268" si="6204">IF(R$3="","",Q267)</f>
        <v/>
      </c>
      <c r="S267" s="206" t="str">
        <f t="shared" ref="S267:S268" si="6205">IF(S$3="","",R267)</f>
        <v/>
      </c>
      <c r="T267" s="206" t="str">
        <f t="shared" ref="T267:T268" si="6206">IF(T$3="","",S267)</f>
        <v/>
      </c>
      <c r="U267" s="206" t="str">
        <f t="shared" ref="U267:U268" si="6207">IF(U$3="","",T267)</f>
        <v/>
      </c>
      <c r="V267" s="206" t="str">
        <f t="shared" ref="V267:V268" si="6208">IF(V$3="","",U267)</f>
        <v/>
      </c>
      <c r="W267" s="206" t="str">
        <f t="shared" ref="W267:W268" si="6209">IF(W$3="","",V267)</f>
        <v/>
      </c>
      <c r="X267" s="206" t="str">
        <f t="shared" ref="X267:X268" si="6210">IF(X$3="","",W267)</f>
        <v/>
      </c>
      <c r="Y267" s="206" t="str">
        <f t="shared" ref="Y267:Y268" si="6211">IF(Y$3="","",X267)</f>
        <v/>
      </c>
      <c r="Z267" s="206" t="str">
        <f t="shared" ref="Z267:Z268" si="6212">IF(Z$3="","",Y267)</f>
        <v/>
      </c>
      <c r="AA267" s="206" t="str">
        <f t="shared" ref="AA267:AA268" si="6213">IF(AA$3="","",Z267)</f>
        <v/>
      </c>
      <c r="AB267" s="206" t="str">
        <f t="shared" ref="AB267:AB268" si="6214">IF(AB$3="","",AA267)</f>
        <v/>
      </c>
      <c r="AC267" s="206" t="str">
        <f t="shared" ref="AC267:AC268" si="6215">IF(AC$3="","",AB267)</f>
        <v/>
      </c>
      <c r="AD267" s="206" t="str">
        <f t="shared" ref="AD267:AD268" si="6216">IF(AD$3="","",AC267)</f>
        <v/>
      </c>
      <c r="AE267" s="206" t="str">
        <f t="shared" ref="AE267:AE268" si="6217">IF(AE$3="","",AD267)</f>
        <v/>
      </c>
      <c r="AF267" s="206" t="str">
        <f t="shared" ref="AF267:AF268" si="6218">IF(AF$3="","",AE267)</f>
        <v/>
      </c>
      <c r="AG267" s="206" t="str">
        <f t="shared" ref="AG267:AG268" si="6219">IF(AG$3="","",AF267)</f>
        <v/>
      </c>
      <c r="AH267" s="206" t="str">
        <f t="shared" ref="AH267:AH268" si="6220">IF(AH$3="","",AG267)</f>
        <v/>
      </c>
      <c r="AI267" s="206" t="str">
        <f t="shared" ref="AI267:AI268" si="6221">IF(AI$3="","",AH267)</f>
        <v/>
      </c>
      <c r="AJ267" s="206" t="str">
        <f t="shared" ref="AJ267:AJ268" si="6222">IF(AJ$3="","",AI267)</f>
        <v/>
      </c>
      <c r="AK267" s="206" t="str">
        <f t="shared" ref="AK267:AK268" si="6223">IF(AK$3="","",AJ267)</f>
        <v/>
      </c>
      <c r="AL267" s="206" t="str">
        <f t="shared" ref="AL267:AL268" si="6224">IF(AL$3="","",AK267)</f>
        <v/>
      </c>
      <c r="AM267" s="206" t="str">
        <f t="shared" ref="AM267:AM268" si="6225">IF(AM$3="","",AL267)</f>
        <v/>
      </c>
      <c r="AN267" s="206" t="str">
        <f t="shared" ref="AN267:AN268" si="6226">IF(AN$3="","",AM267)</f>
        <v/>
      </c>
      <c r="AO267" s="206" t="str">
        <f t="shared" ref="AO267:AO268" si="6227">IF(AO$3="","",AN267)</f>
        <v/>
      </c>
      <c r="AP267" s="206" t="str">
        <f t="shared" ref="AP267:AP268" si="6228">IF(AP$3="","",AO267)</f>
        <v/>
      </c>
      <c r="AQ267" s="206" t="str">
        <f t="shared" ref="AQ267:AQ268" si="6229">IF(AQ$3="","",AP267)</f>
        <v/>
      </c>
      <c r="AR267" s="206" t="str">
        <f t="shared" ref="AR267:AR268" si="6230">IF(AR$3="","",AQ267)</f>
        <v/>
      </c>
      <c r="AS267" s="206" t="str">
        <f t="shared" ref="AS267:AS268" si="6231">IF(AS$3="","",AR267)</f>
        <v/>
      </c>
      <c r="AT267" s="206" t="str">
        <f t="shared" ref="AT267:AT268" si="6232">IF(AT$3="","",AS267)</f>
        <v/>
      </c>
      <c r="AU267" s="206" t="str">
        <f t="shared" ref="AU267:AU268" si="6233">IF(AU$3="","",AT267)</f>
        <v/>
      </c>
      <c r="AV267" s="206" t="str">
        <f t="shared" ref="AV267:AV268" si="6234">IF(AV$3="","",AU267)</f>
        <v/>
      </c>
      <c r="AW267" s="206" t="str">
        <f t="shared" ref="AW267:AW268" si="6235">IF(AW$3="","",AV267)</f>
        <v/>
      </c>
      <c r="AX267" s="206" t="str">
        <f t="shared" ref="AX267:AX268" si="6236">IF(AX$3="","",AW267)</f>
        <v/>
      </c>
      <c r="AY267" s="206" t="str">
        <f t="shared" ref="AY267:AY268" si="6237">IF(AY$3="","",AX267)</f>
        <v/>
      </c>
      <c r="AZ267" s="206" t="str">
        <f t="shared" ref="AZ267:AZ268" si="6238">IF(AZ$3="","",AY267)</f>
        <v/>
      </c>
      <c r="BA267" s="206" t="str">
        <f t="shared" ref="BA267:BA268" si="6239">IF(BA$3="","",AZ267)</f>
        <v/>
      </c>
      <c r="BB267" s="206" t="str">
        <f t="shared" ref="BB267:BB268" si="6240">IF(BB$3="","",BA267)</f>
        <v/>
      </c>
      <c r="BC267" s="219" t="str">
        <f t="shared" ref="BC267:BC268" si="6241">IF(BC$3="","",BB267)</f>
        <v/>
      </c>
    </row>
    <row r="268" spans="1:55" ht="11.25" customHeight="1" x14ac:dyDescent="0.2">
      <c r="A268" s="214" t="str">
        <f>A256</f>
        <v>BUZZ＃5</v>
      </c>
      <c r="B268" s="11" t="s">
        <v>4</v>
      </c>
      <c r="C268" s="123">
        <v>0</v>
      </c>
      <c r="D268" s="12">
        <v>0</v>
      </c>
      <c r="E268" s="12">
        <v>0</v>
      </c>
      <c r="F268" s="12">
        <v>0</v>
      </c>
      <c r="G268" s="195">
        <f t="shared" si="6194"/>
        <v>0</v>
      </c>
      <c r="H268" s="12">
        <f t="shared" si="6195"/>
        <v>0</v>
      </c>
      <c r="I268" s="12">
        <v>7</v>
      </c>
      <c r="J268" s="195">
        <f t="shared" si="6196"/>
        <v>7</v>
      </c>
      <c r="K268" s="12">
        <f t="shared" si="6197"/>
        <v>7</v>
      </c>
      <c r="L268" s="12">
        <f t="shared" si="6198"/>
        <v>7</v>
      </c>
      <c r="M268" s="12">
        <f t="shared" si="6199"/>
        <v>7</v>
      </c>
      <c r="N268" s="195" t="str">
        <f t="shared" si="6200"/>
        <v/>
      </c>
      <c r="O268" s="12" t="str">
        <f t="shared" si="6201"/>
        <v/>
      </c>
      <c r="P268" s="12" t="str">
        <f t="shared" si="6202"/>
        <v/>
      </c>
      <c r="Q268" s="12" t="str">
        <f t="shared" si="6203"/>
        <v/>
      </c>
      <c r="R268" s="12" t="str">
        <f t="shared" si="6204"/>
        <v/>
      </c>
      <c r="S268" s="12" t="str">
        <f t="shared" si="6205"/>
        <v/>
      </c>
      <c r="T268" s="12" t="str">
        <f t="shared" si="6206"/>
        <v/>
      </c>
      <c r="U268" s="12" t="str">
        <f t="shared" si="6207"/>
        <v/>
      </c>
      <c r="V268" s="12" t="str">
        <f t="shared" si="6208"/>
        <v/>
      </c>
      <c r="W268" s="12" t="str">
        <f t="shared" si="6209"/>
        <v/>
      </c>
      <c r="X268" s="12" t="str">
        <f t="shared" si="6210"/>
        <v/>
      </c>
      <c r="Y268" s="12" t="str">
        <f t="shared" si="6211"/>
        <v/>
      </c>
      <c r="Z268" s="12" t="str">
        <f t="shared" si="6212"/>
        <v/>
      </c>
      <c r="AA268" s="12" t="str">
        <f t="shared" si="6213"/>
        <v/>
      </c>
      <c r="AB268" s="12" t="str">
        <f t="shared" si="6214"/>
        <v/>
      </c>
      <c r="AC268" s="12" t="str">
        <f t="shared" si="6215"/>
        <v/>
      </c>
      <c r="AD268" s="12" t="str">
        <f t="shared" si="6216"/>
        <v/>
      </c>
      <c r="AE268" s="12" t="str">
        <f t="shared" si="6217"/>
        <v/>
      </c>
      <c r="AF268" s="12" t="str">
        <f t="shared" si="6218"/>
        <v/>
      </c>
      <c r="AG268" s="12" t="str">
        <f t="shared" si="6219"/>
        <v/>
      </c>
      <c r="AH268" s="12" t="str">
        <f t="shared" si="6220"/>
        <v/>
      </c>
      <c r="AI268" s="12" t="str">
        <f t="shared" si="6221"/>
        <v/>
      </c>
      <c r="AJ268" s="12" t="str">
        <f t="shared" si="6222"/>
        <v/>
      </c>
      <c r="AK268" s="12" t="str">
        <f t="shared" si="6223"/>
        <v/>
      </c>
      <c r="AL268" s="12" t="str">
        <f t="shared" si="6224"/>
        <v/>
      </c>
      <c r="AM268" s="12" t="str">
        <f t="shared" si="6225"/>
        <v/>
      </c>
      <c r="AN268" s="12" t="str">
        <f t="shared" si="6226"/>
        <v/>
      </c>
      <c r="AO268" s="12" t="str">
        <f t="shared" si="6227"/>
        <v/>
      </c>
      <c r="AP268" s="12" t="str">
        <f t="shared" si="6228"/>
        <v/>
      </c>
      <c r="AQ268" s="12" t="str">
        <f t="shared" si="6229"/>
        <v/>
      </c>
      <c r="AR268" s="12" t="str">
        <f t="shared" si="6230"/>
        <v/>
      </c>
      <c r="AS268" s="12" t="str">
        <f t="shared" si="6231"/>
        <v/>
      </c>
      <c r="AT268" s="12" t="str">
        <f t="shared" si="6232"/>
        <v/>
      </c>
      <c r="AU268" s="12" t="str">
        <f t="shared" si="6233"/>
        <v/>
      </c>
      <c r="AV268" s="12" t="str">
        <f t="shared" si="6234"/>
        <v/>
      </c>
      <c r="AW268" s="12" t="str">
        <f t="shared" si="6235"/>
        <v/>
      </c>
      <c r="AX268" s="12" t="str">
        <f t="shared" si="6236"/>
        <v/>
      </c>
      <c r="AY268" s="12" t="str">
        <f t="shared" si="6237"/>
        <v/>
      </c>
      <c r="AZ268" s="12" t="str">
        <f t="shared" si="6238"/>
        <v/>
      </c>
      <c r="BA268" s="12" t="str">
        <f t="shared" si="6239"/>
        <v/>
      </c>
      <c r="BB268" s="12" t="str">
        <f t="shared" si="6240"/>
        <v/>
      </c>
      <c r="BC268" s="215" t="str">
        <f t="shared" si="6241"/>
        <v/>
      </c>
    </row>
    <row r="269" spans="1:55" ht="11.25" customHeight="1" x14ac:dyDescent="0.25">
      <c r="A269" s="216">
        <v>3</v>
      </c>
      <c r="B269" s="11" t="s">
        <v>5</v>
      </c>
      <c r="C269" s="123">
        <v>13</v>
      </c>
      <c r="D269" s="12">
        <v>13</v>
      </c>
      <c r="E269" s="12">
        <v>13</v>
      </c>
      <c r="F269" s="12">
        <v>13</v>
      </c>
      <c r="G269" s="195">
        <f t="shared" ref="G269" si="6242">IF(G267="","",(F269+F270))</f>
        <v>13</v>
      </c>
      <c r="H269" s="12">
        <f t="shared" ref="H269" si="6243">IF(H267="","",(G269+G270))</f>
        <v>13</v>
      </c>
      <c r="I269" s="12">
        <v>7</v>
      </c>
      <c r="J269" s="195">
        <f t="shared" ref="J269" si="6244">IF(J267="","",(I269+I270))</f>
        <v>7</v>
      </c>
      <c r="K269" s="12">
        <f t="shared" ref="K269" si="6245">IF(K267="","",(J269+J270))</f>
        <v>7</v>
      </c>
      <c r="L269" s="12">
        <f t="shared" ref="L269" si="6246">IF(L267="","",(K269+K270))</f>
        <v>7</v>
      </c>
      <c r="M269" s="12">
        <f t="shared" ref="M269" si="6247">IF(M267="","",(L269+L270))</f>
        <v>7</v>
      </c>
      <c r="N269" s="195" t="str">
        <f t="shared" ref="N269" si="6248">IF(N267="","",(M269+M270))</f>
        <v/>
      </c>
      <c r="O269" s="12" t="str">
        <f t="shared" ref="O269" si="6249">IF(O267="","",(N269+N270))</f>
        <v/>
      </c>
      <c r="P269" s="12" t="str">
        <f t="shared" ref="P269" si="6250">IF(P267="","",(O269+O270))</f>
        <v/>
      </c>
      <c r="Q269" s="12" t="str">
        <f t="shared" ref="Q269" si="6251">IF(Q267="","",(P269+P270))</f>
        <v/>
      </c>
      <c r="R269" s="12" t="str">
        <f t="shared" ref="R269" si="6252">IF(R267="","",(Q269+Q270))</f>
        <v/>
      </c>
      <c r="S269" s="12" t="str">
        <f t="shared" ref="S269" si="6253">IF(S267="","",(R269+R270))</f>
        <v/>
      </c>
      <c r="T269" s="12" t="str">
        <f t="shared" ref="T269" si="6254">IF(T267="","",(S269+S270))</f>
        <v/>
      </c>
      <c r="U269" s="12" t="str">
        <f t="shared" ref="U269" si="6255">IF(U267="","",(T269+T270))</f>
        <v/>
      </c>
      <c r="V269" s="12" t="str">
        <f t="shared" ref="V269" si="6256">IF(V267="","",(U269+U270))</f>
        <v/>
      </c>
      <c r="W269" s="12" t="str">
        <f t="shared" ref="W269" si="6257">IF(W267="","",(V269+V270))</f>
        <v/>
      </c>
      <c r="X269" s="12" t="str">
        <f t="shared" ref="X269" si="6258">IF(X267="","",(W269+W270))</f>
        <v/>
      </c>
      <c r="Y269" s="12" t="str">
        <f t="shared" ref="Y269" si="6259">IF(Y267="","",(X269+X270))</f>
        <v/>
      </c>
      <c r="Z269" s="12" t="str">
        <f t="shared" ref="Z269" si="6260">IF(Z267="","",(Y269+Y270))</f>
        <v/>
      </c>
      <c r="AA269" s="12" t="str">
        <f t="shared" ref="AA269" si="6261">IF(AA267="","",(Z269+Z270))</f>
        <v/>
      </c>
      <c r="AB269" s="12" t="str">
        <f t="shared" ref="AB269" si="6262">IF(AB267="","",(AA269+AA270))</f>
        <v/>
      </c>
      <c r="AC269" s="12" t="str">
        <f t="shared" ref="AC269" si="6263">IF(AC267="","",(AB269+AB270))</f>
        <v/>
      </c>
      <c r="AD269" s="12" t="str">
        <f t="shared" ref="AD269" si="6264">IF(AD267="","",(AC269+AC270))</f>
        <v/>
      </c>
      <c r="AE269" s="12" t="str">
        <f t="shared" ref="AE269" si="6265">IF(AE267="","",(AD269+AD270))</f>
        <v/>
      </c>
      <c r="AF269" s="12" t="str">
        <f t="shared" ref="AF269" si="6266">IF(AF267="","",(AE269+AE270))</f>
        <v/>
      </c>
      <c r="AG269" s="12" t="str">
        <f t="shared" ref="AG269" si="6267">IF(AG267="","",(AF269+AF270))</f>
        <v/>
      </c>
      <c r="AH269" s="12" t="str">
        <f t="shared" ref="AH269" si="6268">IF(AH267="","",(AG269+AG270))</f>
        <v/>
      </c>
      <c r="AI269" s="12" t="str">
        <f t="shared" ref="AI269" si="6269">IF(AI267="","",(AH269+AH270))</f>
        <v/>
      </c>
      <c r="AJ269" s="12" t="str">
        <f t="shared" ref="AJ269" si="6270">IF(AJ267="","",(AI269+AI270))</f>
        <v/>
      </c>
      <c r="AK269" s="12" t="str">
        <f t="shared" ref="AK269" si="6271">IF(AK267="","",(AJ269+AJ270))</f>
        <v/>
      </c>
      <c r="AL269" s="12" t="str">
        <f t="shared" ref="AL269" si="6272">IF(AL267="","",(AK269+AK270))</f>
        <v/>
      </c>
      <c r="AM269" s="12" t="str">
        <f t="shared" ref="AM269" si="6273">IF(AM267="","",(AL269+AL270))</f>
        <v/>
      </c>
      <c r="AN269" s="12" t="str">
        <f t="shared" ref="AN269" si="6274">IF(AN267="","",(AM269+AM270))</f>
        <v/>
      </c>
      <c r="AO269" s="12" t="str">
        <f t="shared" ref="AO269" si="6275">IF(AO267="","",(AN269+AN270))</f>
        <v/>
      </c>
      <c r="AP269" s="12" t="str">
        <f t="shared" ref="AP269" si="6276">IF(AP267="","",(AO269+AO270))</f>
        <v/>
      </c>
      <c r="AQ269" s="12" t="str">
        <f t="shared" ref="AQ269" si="6277">IF(AQ267="","",(AP269+AP270))</f>
        <v/>
      </c>
      <c r="AR269" s="12" t="str">
        <f t="shared" ref="AR269" si="6278">IF(AR267="","",(AQ269+AQ270))</f>
        <v/>
      </c>
      <c r="AS269" s="12" t="str">
        <f t="shared" ref="AS269" si="6279">IF(AS267="","",(AR269+AR270))</f>
        <v/>
      </c>
      <c r="AT269" s="12" t="str">
        <f t="shared" ref="AT269" si="6280">IF(AT267="","",(AS269+AS270))</f>
        <v/>
      </c>
      <c r="AU269" s="12" t="str">
        <f t="shared" ref="AU269" si="6281">IF(AU267="","",(AT269+AT270))</f>
        <v/>
      </c>
      <c r="AV269" s="12" t="str">
        <f t="shared" ref="AV269" si="6282">IF(AV267="","",(AU269+AU270))</f>
        <v/>
      </c>
      <c r="AW269" s="12" t="str">
        <f t="shared" ref="AW269" si="6283">IF(AW267="","",(AV269+AV270))</f>
        <v/>
      </c>
      <c r="AX269" s="12" t="str">
        <f t="shared" ref="AX269" si="6284">IF(AX267="","",(AW269+AW270))</f>
        <v/>
      </c>
      <c r="AY269" s="12" t="str">
        <f t="shared" ref="AY269" si="6285">IF(AY267="","",(AX269+AX270))</f>
        <v/>
      </c>
      <c r="AZ269" s="12" t="str">
        <f t="shared" ref="AZ269" si="6286">IF(AZ267="","",(AY269+AY270))</f>
        <v/>
      </c>
      <c r="BA269" s="12" t="str">
        <f t="shared" ref="BA269" si="6287">IF(BA267="","",(AZ269+AZ270))</f>
        <v/>
      </c>
      <c r="BB269" s="12" t="str">
        <f t="shared" ref="BB269" si="6288">IF(BB267="","",(BA269+BA270))</f>
        <v/>
      </c>
      <c r="BC269" s="215" t="str">
        <f t="shared" ref="BC269" si="6289">IF(BC267="","",(BB269+BB270))</f>
        <v/>
      </c>
    </row>
    <row r="270" spans="1:55" ht="11.25" customHeight="1" x14ac:dyDescent="0.2">
      <c r="A270" s="220"/>
      <c r="B270" s="11" t="s">
        <v>6</v>
      </c>
      <c r="C270" s="123"/>
      <c r="D270" s="12"/>
      <c r="E270" s="12"/>
      <c r="F270" s="12"/>
      <c r="G270" s="195"/>
      <c r="H270" s="12"/>
      <c r="I270" s="12"/>
      <c r="J270" s="195"/>
      <c r="K270" s="12"/>
      <c r="L270" s="12"/>
      <c r="M270" s="12"/>
      <c r="N270" s="195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215"/>
    </row>
    <row r="271" spans="1:55" ht="11.25" customHeight="1" x14ac:dyDescent="0.2">
      <c r="A271" s="222"/>
      <c r="B271" s="11" t="s">
        <v>8</v>
      </c>
      <c r="C271" s="129">
        <v>600</v>
      </c>
      <c r="D271" s="206">
        <v>600</v>
      </c>
      <c r="E271" s="206">
        <v>600</v>
      </c>
      <c r="F271" s="206">
        <v>600</v>
      </c>
      <c r="G271" s="207">
        <f t="shared" ref="G271" si="6290">IF(G267="","",F271)</f>
        <v>600</v>
      </c>
      <c r="H271" s="206">
        <f t="shared" ref="H271" si="6291">IF(H267="","",G271)</f>
        <v>600</v>
      </c>
      <c r="I271" s="206">
        <f t="shared" ref="I271" si="6292">IF(I267="","",H271)</f>
        <v>600</v>
      </c>
      <c r="J271" s="207">
        <f t="shared" ref="J271" si="6293">IF(J267="","",I271)</f>
        <v>600</v>
      </c>
      <c r="K271" s="206">
        <f t="shared" ref="K271" si="6294">IF(K267="","",J271)</f>
        <v>600</v>
      </c>
      <c r="L271" s="206">
        <f t="shared" ref="L271" si="6295">IF(L267="","",K271)</f>
        <v>600</v>
      </c>
      <c r="M271" s="206">
        <f t="shared" ref="M271" si="6296">IF(M267="","",L271)</f>
        <v>600</v>
      </c>
      <c r="N271" s="207" t="str">
        <f t="shared" ref="N271" si="6297">IF(N267="","",M271)</f>
        <v/>
      </c>
      <c r="O271" s="206" t="str">
        <f t="shared" ref="O271" si="6298">IF(O267="","",N271)</f>
        <v/>
      </c>
      <c r="P271" s="206" t="str">
        <f t="shared" ref="P271" si="6299">IF(P267="","",O271)</f>
        <v/>
      </c>
      <c r="Q271" s="206" t="str">
        <f t="shared" ref="Q271" si="6300">IF(Q267="","",P271)</f>
        <v/>
      </c>
      <c r="R271" s="206" t="str">
        <f t="shared" ref="R271" si="6301">IF(R267="","",Q271)</f>
        <v/>
      </c>
      <c r="S271" s="206" t="str">
        <f t="shared" ref="S271" si="6302">IF(S267="","",R271)</f>
        <v/>
      </c>
      <c r="T271" s="206" t="str">
        <f t="shared" ref="T271" si="6303">IF(T267="","",S271)</f>
        <v/>
      </c>
      <c r="U271" s="206" t="str">
        <f t="shared" ref="U271" si="6304">IF(U267="","",T271)</f>
        <v/>
      </c>
      <c r="V271" s="206" t="str">
        <f t="shared" ref="V271" si="6305">IF(V267="","",U271)</f>
        <v/>
      </c>
      <c r="W271" s="206" t="str">
        <f t="shared" ref="W271" si="6306">IF(W267="","",V271)</f>
        <v/>
      </c>
      <c r="X271" s="206" t="str">
        <f t="shared" ref="X271" si="6307">IF(X267="","",W271)</f>
        <v/>
      </c>
      <c r="Y271" s="206" t="str">
        <f t="shared" ref="Y271" si="6308">IF(Y267="","",X271)</f>
        <v/>
      </c>
      <c r="Z271" s="206" t="str">
        <f t="shared" ref="Z271" si="6309">IF(Z267="","",Y271)</f>
        <v/>
      </c>
      <c r="AA271" s="206" t="str">
        <f t="shared" ref="AA271" si="6310">IF(AA267="","",Z271)</f>
        <v/>
      </c>
      <c r="AB271" s="206" t="str">
        <f t="shared" ref="AB271" si="6311">IF(AB267="","",AA271)</f>
        <v/>
      </c>
      <c r="AC271" s="206" t="str">
        <f t="shared" ref="AC271" si="6312">IF(AC267="","",AB271)</f>
        <v/>
      </c>
      <c r="AD271" s="206" t="str">
        <f t="shared" ref="AD271" si="6313">IF(AD267="","",AC271)</f>
        <v/>
      </c>
      <c r="AE271" s="206" t="str">
        <f t="shared" ref="AE271" si="6314">IF(AE267="","",AD271)</f>
        <v/>
      </c>
      <c r="AF271" s="206" t="str">
        <f t="shared" ref="AF271" si="6315">IF(AF267="","",AE271)</f>
        <v/>
      </c>
      <c r="AG271" s="206" t="str">
        <f t="shared" ref="AG271" si="6316">IF(AG267="","",AF271)</f>
        <v/>
      </c>
      <c r="AH271" s="206" t="str">
        <f t="shared" ref="AH271" si="6317">IF(AH267="","",AG271)</f>
        <v/>
      </c>
      <c r="AI271" s="206" t="str">
        <f t="shared" ref="AI271" si="6318">IF(AI267="","",AH271)</f>
        <v/>
      </c>
      <c r="AJ271" s="206" t="str">
        <f t="shared" ref="AJ271" si="6319">IF(AJ267="","",AI271)</f>
        <v/>
      </c>
      <c r="AK271" s="206" t="str">
        <f t="shared" ref="AK271" si="6320">IF(AK267="","",AJ271)</f>
        <v/>
      </c>
      <c r="AL271" s="206" t="str">
        <f t="shared" ref="AL271" si="6321">IF(AL267="","",AK271)</f>
        <v/>
      </c>
      <c r="AM271" s="206" t="str">
        <f t="shared" ref="AM271" si="6322">IF(AM267="","",AL271)</f>
        <v/>
      </c>
      <c r="AN271" s="206" t="str">
        <f t="shared" ref="AN271" si="6323">IF(AN267="","",AM271)</f>
        <v/>
      </c>
      <c r="AO271" s="206" t="str">
        <f t="shared" ref="AO271" si="6324">IF(AO267="","",AN271)</f>
        <v/>
      </c>
      <c r="AP271" s="206" t="str">
        <f t="shared" ref="AP271" si="6325">IF(AP267="","",AO271)</f>
        <v/>
      </c>
      <c r="AQ271" s="206" t="str">
        <f t="shared" ref="AQ271" si="6326">IF(AQ267="","",AP271)</f>
        <v/>
      </c>
      <c r="AR271" s="206" t="str">
        <f t="shared" ref="AR271" si="6327">IF(AR267="","",AQ271)</f>
        <v/>
      </c>
      <c r="AS271" s="206" t="str">
        <f t="shared" ref="AS271" si="6328">IF(AS267="","",AR271)</f>
        <v/>
      </c>
      <c r="AT271" s="206" t="str">
        <f t="shared" ref="AT271" si="6329">IF(AT267="","",AS271)</f>
        <v/>
      </c>
      <c r="AU271" s="206" t="str">
        <f t="shared" ref="AU271" si="6330">IF(AU267="","",AT271)</f>
        <v/>
      </c>
      <c r="AV271" s="206" t="str">
        <f t="shared" ref="AV271" si="6331">IF(AV267="","",AU271)</f>
        <v/>
      </c>
      <c r="AW271" s="206" t="str">
        <f t="shared" ref="AW271" si="6332">IF(AW267="","",AV271)</f>
        <v/>
      </c>
      <c r="AX271" s="206" t="str">
        <f t="shared" ref="AX271" si="6333">IF(AX267="","",AW271)</f>
        <v/>
      </c>
      <c r="AY271" s="206" t="str">
        <f t="shared" ref="AY271" si="6334">IF(AY267="","",AX271)</f>
        <v/>
      </c>
      <c r="AZ271" s="206" t="str">
        <f t="shared" ref="AZ271" si="6335">IF(AZ267="","",AY271)</f>
        <v/>
      </c>
      <c r="BA271" s="206" t="str">
        <f t="shared" ref="BA271" si="6336">IF(BA267="","",AZ271)</f>
        <v/>
      </c>
      <c r="BB271" s="206" t="str">
        <f t="shared" ref="BB271" si="6337">IF(BB267="","",BA271)</f>
        <v/>
      </c>
      <c r="BC271" s="219" t="str">
        <f t="shared" ref="BC271" si="6338">IF(BC267="","",BB271)</f>
        <v/>
      </c>
    </row>
    <row r="272" spans="1:55" ht="11.25" customHeight="1" x14ac:dyDescent="0.2">
      <c r="A272" s="220" t="s">
        <v>9</v>
      </c>
      <c r="B272" s="17" t="s">
        <v>10</v>
      </c>
      <c r="C272" s="133" t="s">
        <v>283</v>
      </c>
      <c r="D272" s="18" t="s">
        <v>283</v>
      </c>
      <c r="E272" s="18" t="s">
        <v>283</v>
      </c>
      <c r="F272" s="18" t="s">
        <v>283</v>
      </c>
      <c r="G272" s="197" t="str">
        <f t="shared" ref="G272" si="6339">IF(G267="","",F272)</f>
        <v>平成フォンシール</v>
      </c>
      <c r="H272" s="18" t="str">
        <f t="shared" ref="H272" si="6340">IF(H267="","",G272)</f>
        <v>平成フォンシール</v>
      </c>
      <c r="I272" s="18" t="str">
        <f t="shared" ref="I272" si="6341">IF(I267="","",H272)</f>
        <v>平成フォンシール</v>
      </c>
      <c r="J272" s="197" t="str">
        <f t="shared" ref="J272" si="6342">IF(J267="","",I272)</f>
        <v>平成フォンシール</v>
      </c>
      <c r="K272" s="18" t="str">
        <f t="shared" ref="K272" si="6343">IF(K267="","",J272)</f>
        <v>平成フォンシール</v>
      </c>
      <c r="L272" s="18" t="str">
        <f t="shared" ref="L272" si="6344">IF(L267="","",K272)</f>
        <v>平成フォンシール</v>
      </c>
      <c r="M272" s="18" t="str">
        <f t="shared" ref="M272" si="6345">IF(M267="","",L272)</f>
        <v>平成フォンシール</v>
      </c>
      <c r="N272" s="197" t="str">
        <f t="shared" ref="N272" si="6346">IF(N267="","",M272)</f>
        <v/>
      </c>
      <c r="O272" s="18" t="str">
        <f t="shared" ref="O272" si="6347">IF(O267="","",N272)</f>
        <v/>
      </c>
      <c r="P272" s="18" t="str">
        <f t="shared" ref="P272" si="6348">IF(P267="","",O272)</f>
        <v/>
      </c>
      <c r="Q272" s="18" t="str">
        <f t="shared" ref="Q272" si="6349">IF(Q267="","",P272)</f>
        <v/>
      </c>
      <c r="R272" s="18" t="str">
        <f t="shared" ref="R272" si="6350">IF(R267="","",Q272)</f>
        <v/>
      </c>
      <c r="S272" s="18" t="str">
        <f t="shared" ref="S272" si="6351">IF(S267="","",R272)</f>
        <v/>
      </c>
      <c r="T272" s="18" t="str">
        <f t="shared" ref="T272" si="6352">IF(T267="","",S272)</f>
        <v/>
      </c>
      <c r="U272" s="18" t="str">
        <f t="shared" ref="U272" si="6353">IF(U267="","",T272)</f>
        <v/>
      </c>
      <c r="V272" s="18" t="str">
        <f t="shared" ref="V272" si="6354">IF(V267="","",U272)</f>
        <v/>
      </c>
      <c r="W272" s="18" t="str">
        <f t="shared" ref="W272" si="6355">IF(W267="","",V272)</f>
        <v/>
      </c>
      <c r="X272" s="18" t="str">
        <f t="shared" ref="X272" si="6356">IF(X267="","",W272)</f>
        <v/>
      </c>
      <c r="Y272" s="18" t="str">
        <f t="shared" ref="Y272" si="6357">IF(Y267="","",X272)</f>
        <v/>
      </c>
      <c r="Z272" s="18" t="str">
        <f t="shared" ref="Z272" si="6358">IF(Z267="","",Y272)</f>
        <v/>
      </c>
      <c r="AA272" s="18" t="str">
        <f t="shared" ref="AA272" si="6359">IF(AA267="","",Z272)</f>
        <v/>
      </c>
      <c r="AB272" s="18" t="str">
        <f t="shared" ref="AB272" si="6360">IF(AB267="","",AA272)</f>
        <v/>
      </c>
      <c r="AC272" s="18" t="str">
        <f t="shared" ref="AC272" si="6361">IF(AC267="","",AB272)</f>
        <v/>
      </c>
      <c r="AD272" s="18" t="str">
        <f t="shared" ref="AD272" si="6362">IF(AD267="","",AC272)</f>
        <v/>
      </c>
      <c r="AE272" s="18" t="str">
        <f t="shared" ref="AE272" si="6363">IF(AE267="","",AD272)</f>
        <v/>
      </c>
      <c r="AF272" s="18" t="str">
        <f t="shared" ref="AF272" si="6364">IF(AF267="","",AE272)</f>
        <v/>
      </c>
      <c r="AG272" s="18" t="str">
        <f t="shared" ref="AG272" si="6365">IF(AG267="","",AF272)</f>
        <v/>
      </c>
      <c r="AH272" s="18" t="str">
        <f t="shared" ref="AH272" si="6366">IF(AH267="","",AG272)</f>
        <v/>
      </c>
      <c r="AI272" s="18" t="str">
        <f t="shared" ref="AI272" si="6367">IF(AI267="","",AH272)</f>
        <v/>
      </c>
      <c r="AJ272" s="18" t="str">
        <f t="shared" ref="AJ272" si="6368">IF(AJ267="","",AI272)</f>
        <v/>
      </c>
      <c r="AK272" s="18" t="str">
        <f t="shared" ref="AK272" si="6369">IF(AK267="","",AJ272)</f>
        <v/>
      </c>
      <c r="AL272" s="18" t="str">
        <f t="shared" ref="AL272" si="6370">IF(AL267="","",AK272)</f>
        <v/>
      </c>
      <c r="AM272" s="18" t="str">
        <f t="shared" ref="AM272" si="6371">IF(AM267="","",AL272)</f>
        <v/>
      </c>
      <c r="AN272" s="18" t="str">
        <f t="shared" ref="AN272" si="6372">IF(AN267="","",AM272)</f>
        <v/>
      </c>
      <c r="AO272" s="18" t="str">
        <f t="shared" ref="AO272" si="6373">IF(AO267="","",AN272)</f>
        <v/>
      </c>
      <c r="AP272" s="18" t="str">
        <f t="shared" ref="AP272" si="6374">IF(AP267="","",AO272)</f>
        <v/>
      </c>
      <c r="AQ272" s="18" t="str">
        <f t="shared" ref="AQ272" si="6375">IF(AQ267="","",AP272)</f>
        <v/>
      </c>
      <c r="AR272" s="18" t="str">
        <f t="shared" ref="AR272" si="6376">IF(AR267="","",AQ272)</f>
        <v/>
      </c>
      <c r="AS272" s="18" t="str">
        <f t="shared" ref="AS272" si="6377">IF(AS267="","",AR272)</f>
        <v/>
      </c>
      <c r="AT272" s="18" t="str">
        <f t="shared" ref="AT272" si="6378">IF(AT267="","",AS272)</f>
        <v/>
      </c>
      <c r="AU272" s="18" t="str">
        <f t="shared" ref="AU272" si="6379">IF(AU267="","",AT272)</f>
        <v/>
      </c>
      <c r="AV272" s="18" t="str">
        <f t="shared" ref="AV272" si="6380">IF(AV267="","",AU272)</f>
        <v/>
      </c>
      <c r="AW272" s="18" t="str">
        <f t="shared" ref="AW272" si="6381">IF(AW267="","",AV272)</f>
        <v/>
      </c>
      <c r="AX272" s="18" t="str">
        <f t="shared" ref="AX272" si="6382">IF(AX267="","",AW272)</f>
        <v/>
      </c>
      <c r="AY272" s="18" t="str">
        <f t="shared" ref="AY272" si="6383">IF(AY267="","",AX272)</f>
        <v/>
      </c>
      <c r="AZ272" s="18" t="str">
        <f t="shared" ref="AZ272" si="6384">IF(AZ267="","",AY272)</f>
        <v/>
      </c>
      <c r="BA272" s="18" t="str">
        <f t="shared" ref="BA272" si="6385">IF(BA267="","",AZ272)</f>
        <v/>
      </c>
      <c r="BB272" s="18" t="str">
        <f t="shared" ref="BB272" si="6386">IF(BB267="","",BA272)</f>
        <v/>
      </c>
      <c r="BC272" s="221" t="str">
        <f t="shared" ref="BC272" si="6387">IF(BC267="","",BB272)</f>
        <v/>
      </c>
    </row>
    <row r="273" spans="1:55" ht="11.25" customHeight="1" x14ac:dyDescent="0.2">
      <c r="A273" s="222">
        <f>AVERAGE(C274:AS274)*30*100</f>
        <v>12000</v>
      </c>
      <c r="B273" s="11" t="s">
        <v>12</v>
      </c>
      <c r="C273" s="123"/>
      <c r="D273" s="12"/>
      <c r="E273" s="12"/>
      <c r="F273" s="12"/>
      <c r="G273" s="195"/>
      <c r="H273" s="12"/>
      <c r="I273" s="12"/>
      <c r="J273" s="195" t="s">
        <v>294</v>
      </c>
      <c r="K273" s="12"/>
      <c r="L273" s="12"/>
      <c r="M273" s="12"/>
      <c r="N273" s="195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215"/>
    </row>
    <row r="274" spans="1:55" ht="11.25" customHeight="1" x14ac:dyDescent="0.2">
      <c r="A274" s="222">
        <f t="shared" ref="A274:A277" si="6388">SUM(C274:AS274)</f>
        <v>44</v>
      </c>
      <c r="B274" s="19" t="s">
        <v>13</v>
      </c>
      <c r="C274" s="123">
        <v>0</v>
      </c>
      <c r="D274" s="20">
        <v>0</v>
      </c>
      <c r="E274" s="20">
        <v>0</v>
      </c>
      <c r="F274" s="20">
        <v>0</v>
      </c>
      <c r="G274" s="195">
        <f t="shared" ref="G274:G275" si="6389">IF(G267="","",G267-F267)</f>
        <v>0</v>
      </c>
      <c r="H274" s="20">
        <f t="shared" ref="H274:H275" si="6390">IF(H267="","",H267-G267)</f>
        <v>0</v>
      </c>
      <c r="I274" s="20">
        <f t="shared" ref="I274:I275" si="6391">IF(I267="","",I267-H267)</f>
        <v>44</v>
      </c>
      <c r="J274" s="195">
        <f t="shared" ref="J274:J275" si="6392">IF(J267="","",J267-I267)</f>
        <v>0</v>
      </c>
      <c r="K274" s="20">
        <f t="shared" ref="K274:K275" si="6393">IF(K267="","",K267-J267)</f>
        <v>0</v>
      </c>
      <c r="L274" s="20">
        <f t="shared" ref="L274:L275" si="6394">IF(L267="","",L267-K267)</f>
        <v>0</v>
      </c>
      <c r="M274" s="20">
        <f t="shared" ref="M274:M275" si="6395">IF(M267="","",M267-L267)</f>
        <v>0</v>
      </c>
      <c r="N274" s="195" t="str">
        <f t="shared" ref="N274:N275" si="6396">IF(N267="","",N267-M267)</f>
        <v/>
      </c>
      <c r="O274" s="20" t="str">
        <f t="shared" ref="O274:O275" si="6397">IF(O267="","",O267-N267)</f>
        <v/>
      </c>
      <c r="P274" s="20" t="str">
        <f t="shared" ref="P274:P275" si="6398">IF(P267="","",P267-O267)</f>
        <v/>
      </c>
      <c r="Q274" s="20" t="str">
        <f t="shared" ref="Q274:Q275" si="6399">IF(Q267="","",Q267-P267)</f>
        <v/>
      </c>
      <c r="R274" s="20" t="str">
        <f t="shared" ref="R274:R275" si="6400">IF(R267="","",R267-Q267)</f>
        <v/>
      </c>
      <c r="S274" s="20" t="str">
        <f t="shared" ref="S274:S275" si="6401">IF(S267="","",S267-R267)</f>
        <v/>
      </c>
      <c r="T274" s="20" t="str">
        <f t="shared" ref="T274:T275" si="6402">IF(T267="","",T267-S267)</f>
        <v/>
      </c>
      <c r="U274" s="20" t="str">
        <f t="shared" ref="U274:U275" si="6403">IF(U267="","",U267-T267)</f>
        <v/>
      </c>
      <c r="V274" s="20" t="str">
        <f t="shared" ref="V274:V275" si="6404">IF(V267="","",V267-U267)</f>
        <v/>
      </c>
      <c r="W274" s="20" t="str">
        <f t="shared" ref="W274:W275" si="6405">IF(W267="","",W267-V267)</f>
        <v/>
      </c>
      <c r="X274" s="20" t="str">
        <f t="shared" ref="X274:X275" si="6406">IF(X267="","",X267-W267)</f>
        <v/>
      </c>
      <c r="Y274" s="20" t="str">
        <f t="shared" ref="Y274:Y275" si="6407">IF(Y267="","",Y267-X267)</f>
        <v/>
      </c>
      <c r="Z274" s="20" t="str">
        <f t="shared" ref="Z274:Z275" si="6408">IF(Z267="","",Z267-Y267)</f>
        <v/>
      </c>
      <c r="AA274" s="20" t="str">
        <f t="shared" ref="AA274:AA275" si="6409">IF(AA267="","",AA267-Z267)</f>
        <v/>
      </c>
      <c r="AB274" s="20" t="str">
        <f t="shared" ref="AB274:AB275" si="6410">IF(AB267="","",AB267-AA267)</f>
        <v/>
      </c>
      <c r="AC274" s="20" t="str">
        <f t="shared" ref="AC274:AC275" si="6411">IF(AC267="","",AC267-AB267)</f>
        <v/>
      </c>
      <c r="AD274" s="20" t="str">
        <f t="shared" ref="AD274:AD275" si="6412">IF(AD267="","",AD267-AC267)</f>
        <v/>
      </c>
      <c r="AE274" s="20" t="str">
        <f t="shared" ref="AE274:AE275" si="6413">IF(AE267="","",AE267-AD267)</f>
        <v/>
      </c>
      <c r="AF274" s="20" t="str">
        <f t="shared" ref="AF274:AF275" si="6414">IF(AF267="","",AF267-AE267)</f>
        <v/>
      </c>
      <c r="AG274" s="20" t="str">
        <f t="shared" ref="AG274:AG275" si="6415">IF(AG267="","",AG267-AF267)</f>
        <v/>
      </c>
      <c r="AH274" s="20" t="str">
        <f t="shared" ref="AH274:AH275" si="6416">IF(AH267="","",AH267-AG267)</f>
        <v/>
      </c>
      <c r="AI274" s="20" t="str">
        <f t="shared" ref="AI274:AI275" si="6417">IF(AI267="","",AI267-AH267)</f>
        <v/>
      </c>
      <c r="AJ274" s="20" t="str">
        <f t="shared" ref="AJ274:AJ275" si="6418">IF(AJ267="","",AJ267-AI267)</f>
        <v/>
      </c>
      <c r="AK274" s="20" t="str">
        <f t="shared" ref="AK274:AK275" si="6419">IF(AK267="","",AK267-AJ267)</f>
        <v/>
      </c>
      <c r="AL274" s="20" t="str">
        <f t="shared" ref="AL274:AL275" si="6420">IF(AL267="","",AL267-AK267)</f>
        <v/>
      </c>
      <c r="AM274" s="20" t="str">
        <f t="shared" ref="AM274:AM275" si="6421">IF(AM267="","",AM267-AL267)</f>
        <v/>
      </c>
      <c r="AN274" s="20" t="str">
        <f t="shared" ref="AN274:AN275" si="6422">IF(AN267="","",AN267-AM267)</f>
        <v/>
      </c>
      <c r="AO274" s="20" t="str">
        <f t="shared" ref="AO274:AO275" si="6423">IF(AO267="","",AO267-AN267)</f>
        <v/>
      </c>
      <c r="AP274" s="20" t="str">
        <f t="shared" ref="AP274:AP275" si="6424">IF(AP267="","",AP267-AO267)</f>
        <v/>
      </c>
      <c r="AQ274" s="20" t="str">
        <f t="shared" ref="AQ274:AQ275" si="6425">IF(AQ267="","",AQ267-AP267)</f>
        <v/>
      </c>
      <c r="AR274" s="20" t="str">
        <f t="shared" ref="AR274:AR275" si="6426">IF(AR267="","",AR267-AQ267)</f>
        <v/>
      </c>
      <c r="AS274" s="20" t="str">
        <f t="shared" ref="AS274:AS275" si="6427">IF(AS267="","",AS267-AR267)</f>
        <v/>
      </c>
      <c r="AT274" s="20" t="str">
        <f t="shared" ref="AT274:AT275" si="6428">IF(AT267="","",AT267-AS267)</f>
        <v/>
      </c>
      <c r="AU274" s="20" t="str">
        <f t="shared" ref="AU274:AU275" si="6429">IF(AU267="","",AU267-AT267)</f>
        <v/>
      </c>
      <c r="AV274" s="20" t="str">
        <f t="shared" ref="AV274:AV275" si="6430">IF(AV267="","",AV267-AU267)</f>
        <v/>
      </c>
      <c r="AW274" s="20" t="str">
        <f t="shared" ref="AW274:AW275" si="6431">IF(AW267="","",AW267-AV267)</f>
        <v/>
      </c>
      <c r="AX274" s="20" t="str">
        <f t="shared" ref="AX274:AX275" si="6432">IF(AX267="","",AX267-AW267)</f>
        <v/>
      </c>
      <c r="AY274" s="20" t="str">
        <f t="shared" ref="AY274:AY275" si="6433">IF(AY267="","",AY267-AX267)</f>
        <v/>
      </c>
      <c r="AZ274" s="20" t="str">
        <f t="shared" ref="AZ274:AZ275" si="6434">IF(AZ267="","",AZ267-AY267)</f>
        <v/>
      </c>
      <c r="BA274" s="20" t="str">
        <f t="shared" ref="BA274:BA275" si="6435">IF(BA267="","",BA267-AZ267)</f>
        <v/>
      </c>
      <c r="BB274" s="20" t="str">
        <f t="shared" ref="BB274:BB275" si="6436">IF(BB267="","",BB267-BA267)</f>
        <v/>
      </c>
      <c r="BC274" s="223" t="str">
        <f t="shared" ref="BC274:BC275" si="6437">IF(BC267="","",BC267-BB267)</f>
        <v/>
      </c>
    </row>
    <row r="275" spans="1:55" ht="11.25" customHeight="1" x14ac:dyDescent="0.2">
      <c r="A275" s="222">
        <f t="shared" si="6388"/>
        <v>7</v>
      </c>
      <c r="B275" s="19" t="s">
        <v>14</v>
      </c>
      <c r="C275" s="123">
        <v>0</v>
      </c>
      <c r="D275" s="20">
        <v>0</v>
      </c>
      <c r="E275" s="20">
        <v>0</v>
      </c>
      <c r="F275" s="20">
        <v>0</v>
      </c>
      <c r="G275" s="195">
        <f t="shared" si="6389"/>
        <v>0</v>
      </c>
      <c r="H275" s="20">
        <f t="shared" si="6390"/>
        <v>0</v>
      </c>
      <c r="I275" s="20">
        <f t="shared" si="6391"/>
        <v>7</v>
      </c>
      <c r="J275" s="195">
        <f t="shared" si="6392"/>
        <v>0</v>
      </c>
      <c r="K275" s="20">
        <f t="shared" si="6393"/>
        <v>0</v>
      </c>
      <c r="L275" s="20">
        <f t="shared" si="6394"/>
        <v>0</v>
      </c>
      <c r="M275" s="20">
        <f t="shared" si="6395"/>
        <v>0</v>
      </c>
      <c r="N275" s="195" t="str">
        <f t="shared" si="6396"/>
        <v/>
      </c>
      <c r="O275" s="20" t="str">
        <f t="shared" si="6397"/>
        <v/>
      </c>
      <c r="P275" s="20" t="str">
        <f t="shared" si="6398"/>
        <v/>
      </c>
      <c r="Q275" s="20" t="str">
        <f t="shared" si="6399"/>
        <v/>
      </c>
      <c r="R275" s="20" t="str">
        <f t="shared" si="6400"/>
        <v/>
      </c>
      <c r="S275" s="20" t="str">
        <f t="shared" si="6401"/>
        <v/>
      </c>
      <c r="T275" s="20" t="str">
        <f t="shared" si="6402"/>
        <v/>
      </c>
      <c r="U275" s="20" t="str">
        <f t="shared" si="6403"/>
        <v/>
      </c>
      <c r="V275" s="20" t="str">
        <f t="shared" si="6404"/>
        <v/>
      </c>
      <c r="W275" s="20" t="str">
        <f t="shared" si="6405"/>
        <v/>
      </c>
      <c r="X275" s="20" t="str">
        <f t="shared" si="6406"/>
        <v/>
      </c>
      <c r="Y275" s="20" t="str">
        <f t="shared" si="6407"/>
        <v/>
      </c>
      <c r="Z275" s="20" t="str">
        <f t="shared" si="6408"/>
        <v/>
      </c>
      <c r="AA275" s="20" t="str">
        <f t="shared" si="6409"/>
        <v/>
      </c>
      <c r="AB275" s="20" t="str">
        <f t="shared" si="6410"/>
        <v/>
      </c>
      <c r="AC275" s="20" t="str">
        <f t="shared" si="6411"/>
        <v/>
      </c>
      <c r="AD275" s="20" t="str">
        <f t="shared" si="6412"/>
        <v/>
      </c>
      <c r="AE275" s="20" t="str">
        <f t="shared" si="6413"/>
        <v/>
      </c>
      <c r="AF275" s="20" t="str">
        <f t="shared" si="6414"/>
        <v/>
      </c>
      <c r="AG275" s="20" t="str">
        <f t="shared" si="6415"/>
        <v/>
      </c>
      <c r="AH275" s="20" t="str">
        <f t="shared" si="6416"/>
        <v/>
      </c>
      <c r="AI275" s="20" t="str">
        <f t="shared" si="6417"/>
        <v/>
      </c>
      <c r="AJ275" s="20" t="str">
        <f t="shared" si="6418"/>
        <v/>
      </c>
      <c r="AK275" s="20" t="str">
        <f t="shared" si="6419"/>
        <v/>
      </c>
      <c r="AL275" s="20" t="str">
        <f t="shared" si="6420"/>
        <v/>
      </c>
      <c r="AM275" s="20" t="str">
        <f t="shared" si="6421"/>
        <v/>
      </c>
      <c r="AN275" s="20" t="str">
        <f t="shared" si="6422"/>
        <v/>
      </c>
      <c r="AO275" s="20" t="str">
        <f t="shared" si="6423"/>
        <v/>
      </c>
      <c r="AP275" s="20" t="str">
        <f t="shared" si="6424"/>
        <v/>
      </c>
      <c r="AQ275" s="20" t="str">
        <f t="shared" si="6425"/>
        <v/>
      </c>
      <c r="AR275" s="20" t="str">
        <f t="shared" si="6426"/>
        <v/>
      </c>
      <c r="AS275" s="20" t="str">
        <f t="shared" si="6427"/>
        <v/>
      </c>
      <c r="AT275" s="20" t="str">
        <f t="shared" si="6428"/>
        <v/>
      </c>
      <c r="AU275" s="20" t="str">
        <f t="shared" si="6429"/>
        <v/>
      </c>
      <c r="AV275" s="20" t="str">
        <f t="shared" si="6430"/>
        <v/>
      </c>
      <c r="AW275" s="20" t="str">
        <f t="shared" si="6431"/>
        <v/>
      </c>
      <c r="AX275" s="20" t="str">
        <f t="shared" si="6432"/>
        <v/>
      </c>
      <c r="AY275" s="20" t="str">
        <f t="shared" si="6433"/>
        <v/>
      </c>
      <c r="AZ275" s="20" t="str">
        <f t="shared" si="6434"/>
        <v/>
      </c>
      <c r="BA275" s="20" t="str">
        <f t="shared" si="6435"/>
        <v/>
      </c>
      <c r="BB275" s="20" t="str">
        <f t="shared" si="6436"/>
        <v/>
      </c>
      <c r="BC275" s="223" t="str">
        <f t="shared" si="6437"/>
        <v/>
      </c>
    </row>
    <row r="276" spans="1:55" ht="11.25" customHeight="1" x14ac:dyDescent="0.2">
      <c r="A276" s="222">
        <f t="shared" si="6388"/>
        <v>6</v>
      </c>
      <c r="B276" s="19" t="s">
        <v>15</v>
      </c>
      <c r="C276" s="123">
        <v>0</v>
      </c>
      <c r="D276" s="20">
        <v>0</v>
      </c>
      <c r="E276" s="20">
        <v>0</v>
      </c>
      <c r="F276" s="20">
        <v>0</v>
      </c>
      <c r="G276" s="195">
        <f t="shared" ref="G276" si="6438">IF(G269="","",F269+F270-G269)</f>
        <v>0</v>
      </c>
      <c r="H276" s="20">
        <f t="shared" ref="H276" si="6439">IF(H269="","",G269+G270-H269)</f>
        <v>0</v>
      </c>
      <c r="I276" s="20">
        <f t="shared" ref="I276" si="6440">IF(I269="","",H269+H270-I269)</f>
        <v>6</v>
      </c>
      <c r="J276" s="195">
        <f t="shared" ref="J276" si="6441">IF(J269="","",I269+I270-J269)</f>
        <v>0</v>
      </c>
      <c r="K276" s="20">
        <f t="shared" ref="K276" si="6442">IF(K269="","",J269+J270-K269)</f>
        <v>0</v>
      </c>
      <c r="L276" s="20">
        <f t="shared" ref="L276" si="6443">IF(L269="","",K269+K270-L269)</f>
        <v>0</v>
      </c>
      <c r="M276" s="20">
        <f t="shared" ref="M276" si="6444">IF(M269="","",L269+L270-M269)</f>
        <v>0</v>
      </c>
      <c r="N276" s="195" t="str">
        <f t="shared" ref="N276" si="6445">IF(N269="","",M269+M270-N269)</f>
        <v/>
      </c>
      <c r="O276" s="20" t="str">
        <f t="shared" ref="O276" si="6446">IF(O269="","",N269+N270-O269)</f>
        <v/>
      </c>
      <c r="P276" s="20" t="str">
        <f t="shared" ref="P276" si="6447">IF(P269="","",O269+O270-P269)</f>
        <v/>
      </c>
      <c r="Q276" s="20" t="str">
        <f t="shared" ref="Q276" si="6448">IF(Q269="","",P269+P270-Q269)</f>
        <v/>
      </c>
      <c r="R276" s="20" t="str">
        <f t="shared" ref="R276" si="6449">IF(R269="","",Q269+Q270-R269)</f>
        <v/>
      </c>
      <c r="S276" s="20" t="str">
        <f t="shared" ref="S276" si="6450">IF(S269="","",R269+R270-S269)</f>
        <v/>
      </c>
      <c r="T276" s="20" t="str">
        <f t="shared" ref="T276" si="6451">IF(T269="","",S269+S270-T269)</f>
        <v/>
      </c>
      <c r="U276" s="20" t="str">
        <f t="shared" ref="U276" si="6452">IF(U269="","",T269+T270-U269)</f>
        <v/>
      </c>
      <c r="V276" s="20" t="str">
        <f t="shared" ref="V276" si="6453">IF(V269="","",U269+U270-V269)</f>
        <v/>
      </c>
      <c r="W276" s="20" t="str">
        <f t="shared" ref="W276" si="6454">IF(W269="","",V269+V270-W269)</f>
        <v/>
      </c>
      <c r="X276" s="20" t="str">
        <f t="shared" ref="X276" si="6455">IF(X269="","",W269+W270-X269)</f>
        <v/>
      </c>
      <c r="Y276" s="20" t="str">
        <f t="shared" ref="Y276" si="6456">IF(Y269="","",X269+X270-Y269)</f>
        <v/>
      </c>
      <c r="Z276" s="20" t="str">
        <f t="shared" ref="Z276" si="6457">IF(Z269="","",Y269+Y270-Z269)</f>
        <v/>
      </c>
      <c r="AA276" s="20" t="str">
        <f t="shared" ref="AA276" si="6458">IF(AA269="","",Z269+Z270-AA269)</f>
        <v/>
      </c>
      <c r="AB276" s="20" t="str">
        <f t="shared" ref="AB276" si="6459">IF(AB269="","",AA269+AA270-AB269)</f>
        <v/>
      </c>
      <c r="AC276" s="20" t="str">
        <f t="shared" ref="AC276" si="6460">IF(AC269="","",AB269+AB270-AC269)</f>
        <v/>
      </c>
      <c r="AD276" s="20" t="str">
        <f t="shared" ref="AD276" si="6461">IF(AD269="","",AC269+AC270-AD269)</f>
        <v/>
      </c>
      <c r="AE276" s="20" t="str">
        <f t="shared" ref="AE276" si="6462">IF(AE269="","",AD269+AD270-AE269)</f>
        <v/>
      </c>
      <c r="AF276" s="20" t="str">
        <f t="shared" ref="AF276" si="6463">IF(AF269="","",AE269+AE270-AF269)</f>
        <v/>
      </c>
      <c r="AG276" s="20" t="str">
        <f t="shared" ref="AG276" si="6464">IF(AG269="","",AF269+AF270-AG269)</f>
        <v/>
      </c>
      <c r="AH276" s="20" t="str">
        <f t="shared" ref="AH276" si="6465">IF(AH269="","",AG269+AG270-AH269)</f>
        <v/>
      </c>
      <c r="AI276" s="20" t="str">
        <f t="shared" ref="AI276" si="6466">IF(AI269="","",AH269+AH270-AI269)</f>
        <v/>
      </c>
      <c r="AJ276" s="20" t="str">
        <f t="shared" ref="AJ276" si="6467">IF(AJ269="","",AI269+AI270-AJ269)</f>
        <v/>
      </c>
      <c r="AK276" s="20" t="str">
        <f t="shared" ref="AK276" si="6468">IF(AK269="","",AJ269+AJ270-AK269)</f>
        <v/>
      </c>
      <c r="AL276" s="20" t="str">
        <f t="shared" ref="AL276" si="6469">IF(AL269="","",AK269+AK270-AL269)</f>
        <v/>
      </c>
      <c r="AM276" s="20" t="str">
        <f t="shared" ref="AM276" si="6470">IF(AM269="","",AL269+AL270-AM269)</f>
        <v/>
      </c>
      <c r="AN276" s="20" t="str">
        <f t="shared" ref="AN276" si="6471">IF(AN269="","",AM269+AM270-AN269)</f>
        <v/>
      </c>
      <c r="AO276" s="20" t="str">
        <f t="shared" ref="AO276" si="6472">IF(AO269="","",AN269+AN270-AO269)</f>
        <v/>
      </c>
      <c r="AP276" s="20" t="str">
        <f t="shared" ref="AP276" si="6473">IF(AP269="","",AO269+AO270-AP269)</f>
        <v/>
      </c>
      <c r="AQ276" s="20" t="str">
        <f t="shared" ref="AQ276" si="6474">IF(AQ269="","",AP269+AP270-AQ269)</f>
        <v/>
      </c>
      <c r="AR276" s="20" t="str">
        <f t="shared" ref="AR276" si="6475">IF(AR269="","",AQ269+AQ270-AR269)</f>
        <v/>
      </c>
      <c r="AS276" s="20" t="str">
        <f t="shared" ref="AS276" si="6476">IF(AS269="","",AR269+AR270-AS269)</f>
        <v/>
      </c>
      <c r="AT276" s="20" t="str">
        <f t="shared" ref="AT276" si="6477">IF(AT269="","",AS269+AS270-AT269)</f>
        <v/>
      </c>
      <c r="AU276" s="20" t="str">
        <f t="shared" ref="AU276" si="6478">IF(AU269="","",AT269+AT270-AU269)</f>
        <v/>
      </c>
      <c r="AV276" s="20" t="str">
        <f t="shared" ref="AV276" si="6479">IF(AV269="","",AU269+AU270-AV269)</f>
        <v/>
      </c>
      <c r="AW276" s="20" t="str">
        <f t="shared" ref="AW276" si="6480">IF(AW269="","",AV269+AV270-AW269)</f>
        <v/>
      </c>
      <c r="AX276" s="20" t="str">
        <f t="shared" ref="AX276" si="6481">IF(AX269="","",AW269+AW270-AX269)</f>
        <v/>
      </c>
      <c r="AY276" s="20" t="str">
        <f t="shared" ref="AY276" si="6482">IF(AY269="","",AX269+AX270-AY269)</f>
        <v/>
      </c>
      <c r="AZ276" s="20" t="str">
        <f t="shared" ref="AZ276" si="6483">IF(AZ269="","",AY269+AY270-AZ269)</f>
        <v/>
      </c>
      <c r="BA276" s="20" t="str">
        <f t="shared" ref="BA276" si="6484">IF(BA269="","",AZ269+AZ270-BA269)</f>
        <v/>
      </c>
      <c r="BB276" s="20" t="str">
        <f t="shared" ref="BB276" si="6485">IF(BB269="","",BA269+BA270-BB269)</f>
        <v/>
      </c>
      <c r="BC276" s="223" t="str">
        <f t="shared" ref="BC276" si="6486">IF(BC269="","",BB269+BB270-BC269)</f>
        <v/>
      </c>
    </row>
    <row r="277" spans="1:55" ht="11.25" customHeight="1" x14ac:dyDescent="0.2">
      <c r="A277" s="222">
        <f t="shared" si="6388"/>
        <v>3600</v>
      </c>
      <c r="B277" s="19" t="s">
        <v>16</v>
      </c>
      <c r="C277" s="123">
        <v>0</v>
      </c>
      <c r="D277" s="20">
        <v>0</v>
      </c>
      <c r="E277" s="20">
        <v>0</v>
      </c>
      <c r="F277" s="20">
        <v>0</v>
      </c>
      <c r="G277" s="195">
        <f t="shared" ref="D277:BC277" si="6487">IF(G267="","",G276*G271)</f>
        <v>0</v>
      </c>
      <c r="H277" s="20">
        <f t="shared" si="6487"/>
        <v>0</v>
      </c>
      <c r="I277" s="20">
        <f t="shared" si="6487"/>
        <v>3600</v>
      </c>
      <c r="J277" s="195">
        <f t="shared" si="6487"/>
        <v>0</v>
      </c>
      <c r="K277" s="20">
        <f t="shared" si="6487"/>
        <v>0</v>
      </c>
      <c r="L277" s="20">
        <f t="shared" si="6487"/>
        <v>0</v>
      </c>
      <c r="M277" s="20">
        <f t="shared" si="6487"/>
        <v>0</v>
      </c>
      <c r="N277" s="195" t="str">
        <f t="shared" si="6487"/>
        <v/>
      </c>
      <c r="O277" s="20" t="str">
        <f t="shared" si="6487"/>
        <v/>
      </c>
      <c r="P277" s="20" t="str">
        <f t="shared" si="6487"/>
        <v/>
      </c>
      <c r="Q277" s="20" t="str">
        <f t="shared" si="6487"/>
        <v/>
      </c>
      <c r="R277" s="20" t="str">
        <f t="shared" si="6487"/>
        <v/>
      </c>
      <c r="S277" s="20" t="str">
        <f t="shared" si="6487"/>
        <v/>
      </c>
      <c r="T277" s="20" t="str">
        <f t="shared" si="6487"/>
        <v/>
      </c>
      <c r="U277" s="20" t="str">
        <f t="shared" si="6487"/>
        <v/>
      </c>
      <c r="V277" s="20" t="str">
        <f t="shared" si="6487"/>
        <v/>
      </c>
      <c r="W277" s="20" t="str">
        <f t="shared" si="6487"/>
        <v/>
      </c>
      <c r="X277" s="20" t="str">
        <f t="shared" si="6487"/>
        <v/>
      </c>
      <c r="Y277" s="20" t="str">
        <f t="shared" si="6487"/>
        <v/>
      </c>
      <c r="Z277" s="20" t="str">
        <f t="shared" si="6487"/>
        <v/>
      </c>
      <c r="AA277" s="20" t="str">
        <f t="shared" si="6487"/>
        <v/>
      </c>
      <c r="AB277" s="20" t="str">
        <f t="shared" si="6487"/>
        <v/>
      </c>
      <c r="AC277" s="20" t="str">
        <f t="shared" si="6487"/>
        <v/>
      </c>
      <c r="AD277" s="20" t="str">
        <f t="shared" si="6487"/>
        <v/>
      </c>
      <c r="AE277" s="20" t="str">
        <f t="shared" si="6487"/>
        <v/>
      </c>
      <c r="AF277" s="20" t="str">
        <f t="shared" si="6487"/>
        <v/>
      </c>
      <c r="AG277" s="20" t="str">
        <f t="shared" si="6487"/>
        <v/>
      </c>
      <c r="AH277" s="20" t="str">
        <f t="shared" si="6487"/>
        <v/>
      </c>
      <c r="AI277" s="20" t="str">
        <f t="shared" si="6487"/>
        <v/>
      </c>
      <c r="AJ277" s="20" t="str">
        <f t="shared" si="6487"/>
        <v/>
      </c>
      <c r="AK277" s="20" t="str">
        <f t="shared" si="6487"/>
        <v/>
      </c>
      <c r="AL277" s="20" t="str">
        <f t="shared" si="6487"/>
        <v/>
      </c>
      <c r="AM277" s="20" t="str">
        <f t="shared" si="6487"/>
        <v/>
      </c>
      <c r="AN277" s="20" t="str">
        <f t="shared" si="6487"/>
        <v/>
      </c>
      <c r="AO277" s="20" t="str">
        <f t="shared" si="6487"/>
        <v/>
      </c>
      <c r="AP277" s="20" t="str">
        <f t="shared" si="6487"/>
        <v/>
      </c>
      <c r="AQ277" s="20" t="str">
        <f t="shared" si="6487"/>
        <v/>
      </c>
      <c r="AR277" s="20" t="str">
        <f t="shared" si="6487"/>
        <v/>
      </c>
      <c r="AS277" s="20" t="str">
        <f t="shared" si="6487"/>
        <v/>
      </c>
      <c r="AT277" s="20" t="str">
        <f t="shared" si="6487"/>
        <v/>
      </c>
      <c r="AU277" s="20" t="str">
        <f t="shared" si="6487"/>
        <v/>
      </c>
      <c r="AV277" s="20" t="str">
        <f t="shared" si="6487"/>
        <v/>
      </c>
      <c r="AW277" s="20" t="str">
        <f t="shared" si="6487"/>
        <v/>
      </c>
      <c r="AX277" s="20" t="str">
        <f t="shared" si="6487"/>
        <v/>
      </c>
      <c r="AY277" s="20" t="str">
        <f t="shared" si="6487"/>
        <v/>
      </c>
      <c r="AZ277" s="20" t="str">
        <f t="shared" si="6487"/>
        <v/>
      </c>
      <c r="BA277" s="20" t="str">
        <f t="shared" si="6487"/>
        <v/>
      </c>
      <c r="BB277" s="20" t="str">
        <f t="shared" si="6487"/>
        <v/>
      </c>
      <c r="BC277" s="223" t="str">
        <f t="shared" si="6487"/>
        <v/>
      </c>
    </row>
    <row r="278" spans="1:55" ht="11.25" customHeight="1" thickBot="1" x14ac:dyDescent="0.25">
      <c r="A278" s="224">
        <f>IF(A277="","",A277/(A274*100))</f>
        <v>0.81818181818181823</v>
      </c>
      <c r="B278" s="19" t="s">
        <v>17</v>
      </c>
      <c r="C278" s="146" t="s">
        <v>18</v>
      </c>
      <c r="D278" s="27" t="s">
        <v>18</v>
      </c>
      <c r="E278" s="27" t="s">
        <v>18</v>
      </c>
      <c r="F278" s="27" t="s">
        <v>18</v>
      </c>
      <c r="G278" s="199" t="str">
        <f t="shared" ref="D278:BC278" si="6488">IF(G277="","",IF(G277=0,"",G277/(G274*100)))</f>
        <v/>
      </c>
      <c r="H278" s="27" t="str">
        <f t="shared" si="6488"/>
        <v/>
      </c>
      <c r="I278" s="27">
        <f t="shared" si="6488"/>
        <v>0.81818181818181823</v>
      </c>
      <c r="J278" s="199" t="str">
        <f t="shared" si="6488"/>
        <v/>
      </c>
      <c r="K278" s="27" t="str">
        <f t="shared" si="6488"/>
        <v/>
      </c>
      <c r="L278" s="27" t="str">
        <f t="shared" si="6488"/>
        <v/>
      </c>
      <c r="M278" s="27" t="str">
        <f t="shared" si="6488"/>
        <v/>
      </c>
      <c r="N278" s="199" t="str">
        <f t="shared" si="6488"/>
        <v/>
      </c>
      <c r="O278" s="27" t="str">
        <f t="shared" si="6488"/>
        <v/>
      </c>
      <c r="P278" s="27" t="str">
        <f t="shared" si="6488"/>
        <v/>
      </c>
      <c r="Q278" s="27" t="str">
        <f t="shared" si="6488"/>
        <v/>
      </c>
      <c r="R278" s="27" t="str">
        <f t="shared" si="6488"/>
        <v/>
      </c>
      <c r="S278" s="27" t="str">
        <f t="shared" si="6488"/>
        <v/>
      </c>
      <c r="T278" s="27" t="str">
        <f t="shared" si="6488"/>
        <v/>
      </c>
      <c r="U278" s="27" t="str">
        <f t="shared" si="6488"/>
        <v/>
      </c>
      <c r="V278" s="27" t="str">
        <f t="shared" si="6488"/>
        <v/>
      </c>
      <c r="W278" s="27" t="str">
        <f t="shared" si="6488"/>
        <v/>
      </c>
      <c r="X278" s="27" t="str">
        <f t="shared" si="6488"/>
        <v/>
      </c>
      <c r="Y278" s="27" t="str">
        <f t="shared" si="6488"/>
        <v/>
      </c>
      <c r="Z278" s="27" t="str">
        <f t="shared" si="6488"/>
        <v/>
      </c>
      <c r="AA278" s="27" t="str">
        <f t="shared" si="6488"/>
        <v/>
      </c>
      <c r="AB278" s="27" t="str">
        <f t="shared" si="6488"/>
        <v/>
      </c>
      <c r="AC278" s="27" t="str">
        <f t="shared" si="6488"/>
        <v/>
      </c>
      <c r="AD278" s="27" t="str">
        <f t="shared" si="6488"/>
        <v/>
      </c>
      <c r="AE278" s="27" t="str">
        <f t="shared" si="6488"/>
        <v/>
      </c>
      <c r="AF278" s="27" t="str">
        <f t="shared" si="6488"/>
        <v/>
      </c>
      <c r="AG278" s="27" t="str">
        <f t="shared" si="6488"/>
        <v/>
      </c>
      <c r="AH278" s="27" t="str">
        <f t="shared" si="6488"/>
        <v/>
      </c>
      <c r="AI278" s="27" t="str">
        <f t="shared" si="6488"/>
        <v/>
      </c>
      <c r="AJ278" s="27" t="str">
        <f t="shared" si="6488"/>
        <v/>
      </c>
      <c r="AK278" s="27" t="str">
        <f t="shared" si="6488"/>
        <v/>
      </c>
      <c r="AL278" s="27" t="str">
        <f t="shared" si="6488"/>
        <v/>
      </c>
      <c r="AM278" s="27" t="str">
        <f t="shared" si="6488"/>
        <v/>
      </c>
      <c r="AN278" s="27" t="str">
        <f t="shared" si="6488"/>
        <v/>
      </c>
      <c r="AO278" s="27" t="str">
        <f t="shared" si="6488"/>
        <v/>
      </c>
      <c r="AP278" s="27" t="str">
        <f t="shared" si="6488"/>
        <v/>
      </c>
      <c r="AQ278" s="27" t="str">
        <f t="shared" si="6488"/>
        <v/>
      </c>
      <c r="AR278" s="27" t="str">
        <f t="shared" si="6488"/>
        <v/>
      </c>
      <c r="AS278" s="27" t="str">
        <f t="shared" si="6488"/>
        <v/>
      </c>
      <c r="AT278" s="27" t="str">
        <f t="shared" si="6488"/>
        <v/>
      </c>
      <c r="AU278" s="27" t="str">
        <f t="shared" si="6488"/>
        <v/>
      </c>
      <c r="AV278" s="27" t="str">
        <f t="shared" si="6488"/>
        <v/>
      </c>
      <c r="AW278" s="27" t="str">
        <f t="shared" si="6488"/>
        <v/>
      </c>
      <c r="AX278" s="27" t="str">
        <f t="shared" si="6488"/>
        <v/>
      </c>
      <c r="AY278" s="27" t="str">
        <f t="shared" si="6488"/>
        <v/>
      </c>
      <c r="AZ278" s="27" t="str">
        <f t="shared" si="6488"/>
        <v/>
      </c>
      <c r="BA278" s="27" t="str">
        <f t="shared" si="6488"/>
        <v/>
      </c>
      <c r="BB278" s="27" t="str">
        <f t="shared" si="6488"/>
        <v/>
      </c>
      <c r="BC278" s="225" t="str">
        <f t="shared" si="6488"/>
        <v/>
      </c>
    </row>
    <row r="279" spans="1:55" ht="11.25" customHeight="1" x14ac:dyDescent="0.2">
      <c r="A279" s="226" t="s">
        <v>1</v>
      </c>
      <c r="B279" s="205" t="s">
        <v>2</v>
      </c>
      <c r="C279" s="129">
        <v>0</v>
      </c>
      <c r="D279" s="206">
        <v>0</v>
      </c>
      <c r="E279" s="206">
        <v>0</v>
      </c>
      <c r="F279" s="206">
        <v>0</v>
      </c>
      <c r="G279" s="207">
        <f t="shared" ref="G279:G280" si="6489">IF(G$3="","",F279)</f>
        <v>0</v>
      </c>
      <c r="H279" s="206">
        <f t="shared" ref="H279:H280" si="6490">IF(H$3="","",G279)</f>
        <v>0</v>
      </c>
      <c r="I279" s="206">
        <v>29</v>
      </c>
      <c r="J279" s="207">
        <f t="shared" ref="J279:J280" si="6491">IF(J$3="","",I279)</f>
        <v>29</v>
      </c>
      <c r="K279" s="206">
        <f t="shared" ref="K279:K280" si="6492">IF(K$3="","",J279)</f>
        <v>29</v>
      </c>
      <c r="L279" s="206">
        <f t="shared" ref="L279:L280" si="6493">IF(L$3="","",K279)</f>
        <v>29</v>
      </c>
      <c r="M279" s="206">
        <f t="shared" ref="M279:M280" si="6494">IF(M$3="","",L279)</f>
        <v>29</v>
      </c>
      <c r="N279" s="207" t="str">
        <f t="shared" ref="N279:N280" si="6495">IF(N$3="","",M279)</f>
        <v/>
      </c>
      <c r="O279" s="206" t="str">
        <f t="shared" ref="O279:O280" si="6496">IF(O$3="","",N279)</f>
        <v/>
      </c>
      <c r="P279" s="206" t="str">
        <f t="shared" ref="P279:P280" si="6497">IF(P$3="","",O279)</f>
        <v/>
      </c>
      <c r="Q279" s="206" t="str">
        <f t="shared" ref="Q279:Q280" si="6498">IF(Q$3="","",P279)</f>
        <v/>
      </c>
      <c r="R279" s="206" t="str">
        <f t="shared" ref="R279:R280" si="6499">IF(R$3="","",Q279)</f>
        <v/>
      </c>
      <c r="S279" s="206" t="str">
        <f t="shared" ref="S279:S280" si="6500">IF(S$3="","",R279)</f>
        <v/>
      </c>
      <c r="T279" s="206" t="str">
        <f t="shared" ref="T279:T280" si="6501">IF(T$3="","",S279)</f>
        <v/>
      </c>
      <c r="U279" s="206" t="str">
        <f t="shared" ref="U279:U280" si="6502">IF(U$3="","",T279)</f>
        <v/>
      </c>
      <c r="V279" s="206" t="str">
        <f t="shared" ref="V279:V280" si="6503">IF(V$3="","",U279)</f>
        <v/>
      </c>
      <c r="W279" s="206" t="str">
        <f t="shared" ref="W279:W280" si="6504">IF(W$3="","",V279)</f>
        <v/>
      </c>
      <c r="X279" s="206" t="str">
        <f t="shared" ref="X279:X280" si="6505">IF(X$3="","",W279)</f>
        <v/>
      </c>
      <c r="Y279" s="206" t="str">
        <f t="shared" ref="Y279:Y280" si="6506">IF(Y$3="","",X279)</f>
        <v/>
      </c>
      <c r="Z279" s="206" t="str">
        <f t="shared" ref="Z279:Z280" si="6507">IF(Z$3="","",Y279)</f>
        <v/>
      </c>
      <c r="AA279" s="206" t="str">
        <f t="shared" ref="AA279:AA280" si="6508">IF(AA$3="","",Z279)</f>
        <v/>
      </c>
      <c r="AB279" s="206" t="str">
        <f t="shared" ref="AB279:AB280" si="6509">IF(AB$3="","",AA279)</f>
        <v/>
      </c>
      <c r="AC279" s="206" t="str">
        <f t="shared" ref="AC279:AC280" si="6510">IF(AC$3="","",AB279)</f>
        <v/>
      </c>
      <c r="AD279" s="206" t="str">
        <f t="shared" ref="AD279:AD280" si="6511">IF(AD$3="","",AC279)</f>
        <v/>
      </c>
      <c r="AE279" s="206" t="str">
        <f t="shared" ref="AE279:AE280" si="6512">IF(AE$3="","",AD279)</f>
        <v/>
      </c>
      <c r="AF279" s="206" t="str">
        <f t="shared" ref="AF279:AF280" si="6513">IF(AF$3="","",AE279)</f>
        <v/>
      </c>
      <c r="AG279" s="206" t="str">
        <f t="shared" ref="AG279:AG280" si="6514">IF(AG$3="","",AF279)</f>
        <v/>
      </c>
      <c r="AH279" s="206" t="str">
        <f t="shared" ref="AH279:AH280" si="6515">IF(AH$3="","",AG279)</f>
        <v/>
      </c>
      <c r="AI279" s="206" t="str">
        <f t="shared" ref="AI279:AI280" si="6516">IF(AI$3="","",AH279)</f>
        <v/>
      </c>
      <c r="AJ279" s="206" t="str">
        <f t="shared" ref="AJ279:AJ280" si="6517">IF(AJ$3="","",AI279)</f>
        <v/>
      </c>
      <c r="AK279" s="206" t="str">
        <f t="shared" ref="AK279:AK280" si="6518">IF(AK$3="","",AJ279)</f>
        <v/>
      </c>
      <c r="AL279" s="206" t="str">
        <f t="shared" ref="AL279:AL280" si="6519">IF(AL$3="","",AK279)</f>
        <v/>
      </c>
      <c r="AM279" s="206" t="str">
        <f t="shared" ref="AM279:AM280" si="6520">IF(AM$3="","",AL279)</f>
        <v/>
      </c>
      <c r="AN279" s="206" t="str">
        <f t="shared" ref="AN279:AN280" si="6521">IF(AN$3="","",AM279)</f>
        <v/>
      </c>
      <c r="AO279" s="206" t="str">
        <f t="shared" ref="AO279:AO280" si="6522">IF(AO$3="","",AN279)</f>
        <v/>
      </c>
      <c r="AP279" s="206" t="str">
        <f t="shared" ref="AP279:AP280" si="6523">IF(AP$3="","",AO279)</f>
        <v/>
      </c>
      <c r="AQ279" s="206" t="str">
        <f t="shared" ref="AQ279:AQ280" si="6524">IF(AQ$3="","",AP279)</f>
        <v/>
      </c>
      <c r="AR279" s="206" t="str">
        <f t="shared" ref="AR279:AR280" si="6525">IF(AR$3="","",AQ279)</f>
        <v/>
      </c>
      <c r="AS279" s="206" t="str">
        <f t="shared" ref="AS279:AS280" si="6526">IF(AS$3="","",AR279)</f>
        <v/>
      </c>
      <c r="AT279" s="206" t="str">
        <f t="shared" ref="AT279:AT280" si="6527">IF(AT$3="","",AS279)</f>
        <v/>
      </c>
      <c r="AU279" s="206" t="str">
        <f t="shared" ref="AU279:AU280" si="6528">IF(AU$3="","",AT279)</f>
        <v/>
      </c>
      <c r="AV279" s="206" t="str">
        <f t="shared" ref="AV279:AV280" si="6529">IF(AV$3="","",AU279)</f>
        <v/>
      </c>
      <c r="AW279" s="206" t="str">
        <f t="shared" ref="AW279:AW280" si="6530">IF(AW$3="","",AV279)</f>
        <v/>
      </c>
      <c r="AX279" s="206" t="str">
        <f t="shared" ref="AX279:AX280" si="6531">IF(AX$3="","",AW279)</f>
        <v/>
      </c>
      <c r="AY279" s="206" t="str">
        <f t="shared" ref="AY279:AY280" si="6532">IF(AY$3="","",AX279)</f>
        <v/>
      </c>
      <c r="AZ279" s="206" t="str">
        <f t="shared" ref="AZ279:AZ280" si="6533">IF(AZ$3="","",AY279)</f>
        <v/>
      </c>
      <c r="BA279" s="206" t="str">
        <f t="shared" ref="BA279:BA280" si="6534">IF(BA$3="","",AZ279)</f>
        <v/>
      </c>
      <c r="BB279" s="206" t="str">
        <f t="shared" ref="BB279:BB280" si="6535">IF(BB$3="","",BA279)</f>
        <v/>
      </c>
      <c r="BC279" s="219" t="str">
        <f t="shared" ref="BC279:BC280" si="6536">IF(BC$3="","",BB279)</f>
        <v/>
      </c>
    </row>
    <row r="280" spans="1:55" ht="11.25" customHeight="1" x14ac:dyDescent="0.2">
      <c r="A280" s="214" t="str">
        <f>A268</f>
        <v>BUZZ＃5</v>
      </c>
      <c r="B280" s="11" t="s">
        <v>4</v>
      </c>
      <c r="C280" s="123">
        <v>0</v>
      </c>
      <c r="D280" s="12">
        <v>0</v>
      </c>
      <c r="E280" s="12">
        <v>0</v>
      </c>
      <c r="F280" s="12">
        <v>0</v>
      </c>
      <c r="G280" s="195">
        <f t="shared" si="6489"/>
        <v>0</v>
      </c>
      <c r="H280" s="12">
        <f t="shared" si="6490"/>
        <v>0</v>
      </c>
      <c r="I280" s="12">
        <v>1</v>
      </c>
      <c r="J280" s="195">
        <f t="shared" si="6491"/>
        <v>1</v>
      </c>
      <c r="K280" s="12">
        <f t="shared" si="6492"/>
        <v>1</v>
      </c>
      <c r="L280" s="12">
        <f t="shared" si="6493"/>
        <v>1</v>
      </c>
      <c r="M280" s="12">
        <f t="shared" si="6494"/>
        <v>1</v>
      </c>
      <c r="N280" s="195" t="str">
        <f t="shared" si="6495"/>
        <v/>
      </c>
      <c r="O280" s="12" t="str">
        <f t="shared" si="6496"/>
        <v/>
      </c>
      <c r="P280" s="12" t="str">
        <f t="shared" si="6497"/>
        <v/>
      </c>
      <c r="Q280" s="12" t="str">
        <f t="shared" si="6498"/>
        <v/>
      </c>
      <c r="R280" s="12" t="str">
        <f t="shared" si="6499"/>
        <v/>
      </c>
      <c r="S280" s="12" t="str">
        <f t="shared" si="6500"/>
        <v/>
      </c>
      <c r="T280" s="12" t="str">
        <f t="shared" si="6501"/>
        <v/>
      </c>
      <c r="U280" s="12" t="str">
        <f t="shared" si="6502"/>
        <v/>
      </c>
      <c r="V280" s="12" t="str">
        <f t="shared" si="6503"/>
        <v/>
      </c>
      <c r="W280" s="12" t="str">
        <f t="shared" si="6504"/>
        <v/>
      </c>
      <c r="X280" s="12" t="str">
        <f t="shared" si="6505"/>
        <v/>
      </c>
      <c r="Y280" s="12" t="str">
        <f t="shared" si="6506"/>
        <v/>
      </c>
      <c r="Z280" s="12" t="str">
        <f t="shared" si="6507"/>
        <v/>
      </c>
      <c r="AA280" s="12" t="str">
        <f t="shared" si="6508"/>
        <v/>
      </c>
      <c r="AB280" s="12" t="str">
        <f t="shared" si="6509"/>
        <v/>
      </c>
      <c r="AC280" s="12" t="str">
        <f t="shared" si="6510"/>
        <v/>
      </c>
      <c r="AD280" s="12" t="str">
        <f t="shared" si="6511"/>
        <v/>
      </c>
      <c r="AE280" s="12" t="str">
        <f t="shared" si="6512"/>
        <v/>
      </c>
      <c r="AF280" s="12" t="str">
        <f t="shared" si="6513"/>
        <v/>
      </c>
      <c r="AG280" s="12" t="str">
        <f t="shared" si="6514"/>
        <v/>
      </c>
      <c r="AH280" s="12" t="str">
        <f t="shared" si="6515"/>
        <v/>
      </c>
      <c r="AI280" s="12" t="str">
        <f t="shared" si="6516"/>
        <v/>
      </c>
      <c r="AJ280" s="12" t="str">
        <f t="shared" si="6517"/>
        <v/>
      </c>
      <c r="AK280" s="12" t="str">
        <f t="shared" si="6518"/>
        <v/>
      </c>
      <c r="AL280" s="12" t="str">
        <f t="shared" si="6519"/>
        <v/>
      </c>
      <c r="AM280" s="12" t="str">
        <f t="shared" si="6520"/>
        <v/>
      </c>
      <c r="AN280" s="12" t="str">
        <f t="shared" si="6521"/>
        <v/>
      </c>
      <c r="AO280" s="12" t="str">
        <f t="shared" si="6522"/>
        <v/>
      </c>
      <c r="AP280" s="12" t="str">
        <f t="shared" si="6523"/>
        <v/>
      </c>
      <c r="AQ280" s="12" t="str">
        <f t="shared" si="6524"/>
        <v/>
      </c>
      <c r="AR280" s="12" t="str">
        <f t="shared" si="6525"/>
        <v/>
      </c>
      <c r="AS280" s="12" t="str">
        <f t="shared" si="6526"/>
        <v/>
      </c>
      <c r="AT280" s="12" t="str">
        <f t="shared" si="6527"/>
        <v/>
      </c>
      <c r="AU280" s="12" t="str">
        <f t="shared" si="6528"/>
        <v/>
      </c>
      <c r="AV280" s="12" t="str">
        <f t="shared" si="6529"/>
        <v/>
      </c>
      <c r="AW280" s="12" t="str">
        <f t="shared" si="6530"/>
        <v/>
      </c>
      <c r="AX280" s="12" t="str">
        <f t="shared" si="6531"/>
        <v/>
      </c>
      <c r="AY280" s="12" t="str">
        <f t="shared" si="6532"/>
        <v/>
      </c>
      <c r="AZ280" s="12" t="str">
        <f t="shared" si="6533"/>
        <v/>
      </c>
      <c r="BA280" s="12" t="str">
        <f t="shared" si="6534"/>
        <v/>
      </c>
      <c r="BB280" s="12" t="str">
        <f t="shared" si="6535"/>
        <v/>
      </c>
      <c r="BC280" s="215" t="str">
        <f t="shared" si="6536"/>
        <v/>
      </c>
    </row>
    <row r="281" spans="1:55" ht="11.25" customHeight="1" x14ac:dyDescent="0.25">
      <c r="A281" s="216">
        <v>4</v>
      </c>
      <c r="B281" s="11" t="s">
        <v>5</v>
      </c>
      <c r="C281" s="123">
        <v>12</v>
      </c>
      <c r="D281" s="12">
        <v>12</v>
      </c>
      <c r="E281" s="12">
        <v>12</v>
      </c>
      <c r="F281" s="12">
        <v>12</v>
      </c>
      <c r="G281" s="195">
        <f t="shared" ref="G281" si="6537">IF(G279="","",(F281+F282))</f>
        <v>12</v>
      </c>
      <c r="H281" s="12">
        <f t="shared" ref="H281" si="6538">IF(H279="","",(G281+G282))</f>
        <v>12</v>
      </c>
      <c r="I281" s="12">
        <v>11</v>
      </c>
      <c r="J281" s="195">
        <f t="shared" ref="J281" si="6539">IF(J279="","",(I281+I282))</f>
        <v>11</v>
      </c>
      <c r="K281" s="12">
        <f t="shared" ref="K281" si="6540">IF(K279="","",(J281+J282))</f>
        <v>11</v>
      </c>
      <c r="L281" s="12">
        <f t="shared" ref="L281" si="6541">IF(L279="","",(K281+K282))</f>
        <v>11</v>
      </c>
      <c r="M281" s="12">
        <f t="shared" ref="M281" si="6542">IF(M279="","",(L281+L282))</f>
        <v>11</v>
      </c>
      <c r="N281" s="195" t="str">
        <f t="shared" ref="N281" si="6543">IF(N279="","",(M281+M282))</f>
        <v/>
      </c>
      <c r="O281" s="12" t="str">
        <f t="shared" ref="O281" si="6544">IF(O279="","",(N281+N282))</f>
        <v/>
      </c>
      <c r="P281" s="12" t="str">
        <f t="shared" ref="P281" si="6545">IF(P279="","",(O281+O282))</f>
        <v/>
      </c>
      <c r="Q281" s="12" t="str">
        <f t="shared" ref="Q281" si="6546">IF(Q279="","",(P281+P282))</f>
        <v/>
      </c>
      <c r="R281" s="12" t="str">
        <f t="shared" ref="R281" si="6547">IF(R279="","",(Q281+Q282))</f>
        <v/>
      </c>
      <c r="S281" s="12" t="str">
        <f t="shared" ref="S281" si="6548">IF(S279="","",(R281+R282))</f>
        <v/>
      </c>
      <c r="T281" s="12" t="str">
        <f t="shared" ref="T281" si="6549">IF(T279="","",(S281+S282))</f>
        <v/>
      </c>
      <c r="U281" s="12" t="str">
        <f t="shared" ref="U281" si="6550">IF(U279="","",(T281+T282))</f>
        <v/>
      </c>
      <c r="V281" s="12" t="str">
        <f t="shared" ref="V281" si="6551">IF(V279="","",(U281+U282))</f>
        <v/>
      </c>
      <c r="W281" s="12" t="str">
        <f t="shared" ref="W281" si="6552">IF(W279="","",(V281+V282))</f>
        <v/>
      </c>
      <c r="X281" s="12" t="str">
        <f t="shared" ref="X281" si="6553">IF(X279="","",(W281+W282))</f>
        <v/>
      </c>
      <c r="Y281" s="12" t="str">
        <f t="shared" ref="Y281" si="6554">IF(Y279="","",(X281+X282))</f>
        <v/>
      </c>
      <c r="Z281" s="12" t="str">
        <f t="shared" ref="Z281" si="6555">IF(Z279="","",(Y281+Y282))</f>
        <v/>
      </c>
      <c r="AA281" s="12" t="str">
        <f t="shared" ref="AA281" si="6556">IF(AA279="","",(Z281+Z282))</f>
        <v/>
      </c>
      <c r="AB281" s="12" t="str">
        <f t="shared" ref="AB281" si="6557">IF(AB279="","",(AA281+AA282))</f>
        <v/>
      </c>
      <c r="AC281" s="12" t="str">
        <f t="shared" ref="AC281" si="6558">IF(AC279="","",(AB281+AB282))</f>
        <v/>
      </c>
      <c r="AD281" s="12" t="str">
        <f t="shared" ref="AD281" si="6559">IF(AD279="","",(AC281+AC282))</f>
        <v/>
      </c>
      <c r="AE281" s="12" t="str">
        <f t="shared" ref="AE281" si="6560">IF(AE279="","",(AD281+AD282))</f>
        <v/>
      </c>
      <c r="AF281" s="12" t="str">
        <f t="shared" ref="AF281" si="6561">IF(AF279="","",(AE281+AE282))</f>
        <v/>
      </c>
      <c r="AG281" s="12" t="str">
        <f t="shared" ref="AG281" si="6562">IF(AG279="","",(AF281+AF282))</f>
        <v/>
      </c>
      <c r="AH281" s="12" t="str">
        <f t="shared" ref="AH281" si="6563">IF(AH279="","",(AG281+AG282))</f>
        <v/>
      </c>
      <c r="AI281" s="12" t="str">
        <f t="shared" ref="AI281" si="6564">IF(AI279="","",(AH281+AH282))</f>
        <v/>
      </c>
      <c r="AJ281" s="12" t="str">
        <f t="shared" ref="AJ281" si="6565">IF(AJ279="","",(AI281+AI282))</f>
        <v/>
      </c>
      <c r="AK281" s="12" t="str">
        <f t="shared" ref="AK281" si="6566">IF(AK279="","",(AJ281+AJ282))</f>
        <v/>
      </c>
      <c r="AL281" s="12" t="str">
        <f t="shared" ref="AL281" si="6567">IF(AL279="","",(AK281+AK282))</f>
        <v/>
      </c>
      <c r="AM281" s="12" t="str">
        <f t="shared" ref="AM281" si="6568">IF(AM279="","",(AL281+AL282))</f>
        <v/>
      </c>
      <c r="AN281" s="12" t="str">
        <f t="shared" ref="AN281" si="6569">IF(AN279="","",(AM281+AM282))</f>
        <v/>
      </c>
      <c r="AO281" s="12" t="str">
        <f t="shared" ref="AO281" si="6570">IF(AO279="","",(AN281+AN282))</f>
        <v/>
      </c>
      <c r="AP281" s="12" t="str">
        <f t="shared" ref="AP281" si="6571">IF(AP279="","",(AO281+AO282))</f>
        <v/>
      </c>
      <c r="AQ281" s="12" t="str">
        <f t="shared" ref="AQ281" si="6572">IF(AQ279="","",(AP281+AP282))</f>
        <v/>
      </c>
      <c r="AR281" s="12" t="str">
        <f t="shared" ref="AR281" si="6573">IF(AR279="","",(AQ281+AQ282))</f>
        <v/>
      </c>
      <c r="AS281" s="12" t="str">
        <f t="shared" ref="AS281" si="6574">IF(AS279="","",(AR281+AR282))</f>
        <v/>
      </c>
      <c r="AT281" s="12" t="str">
        <f t="shared" ref="AT281" si="6575">IF(AT279="","",(AS281+AS282))</f>
        <v/>
      </c>
      <c r="AU281" s="12" t="str">
        <f t="shared" ref="AU281" si="6576">IF(AU279="","",(AT281+AT282))</f>
        <v/>
      </c>
      <c r="AV281" s="12" t="str">
        <f t="shared" ref="AV281" si="6577">IF(AV279="","",(AU281+AU282))</f>
        <v/>
      </c>
      <c r="AW281" s="12" t="str">
        <f t="shared" ref="AW281" si="6578">IF(AW279="","",(AV281+AV282))</f>
        <v/>
      </c>
      <c r="AX281" s="12" t="str">
        <f t="shared" ref="AX281" si="6579">IF(AX279="","",(AW281+AW282))</f>
        <v/>
      </c>
      <c r="AY281" s="12" t="str">
        <f t="shared" ref="AY281" si="6580">IF(AY279="","",(AX281+AX282))</f>
        <v/>
      </c>
      <c r="AZ281" s="12" t="str">
        <f t="shared" ref="AZ281" si="6581">IF(AZ279="","",(AY281+AY282))</f>
        <v/>
      </c>
      <c r="BA281" s="12" t="str">
        <f t="shared" ref="BA281" si="6582">IF(BA279="","",(AZ281+AZ282))</f>
        <v/>
      </c>
      <c r="BB281" s="12" t="str">
        <f t="shared" ref="BB281" si="6583">IF(BB279="","",(BA281+BA282))</f>
        <v/>
      </c>
      <c r="BC281" s="215" t="str">
        <f t="shared" ref="BC281" si="6584">IF(BC279="","",(BB281+BB282))</f>
        <v/>
      </c>
    </row>
    <row r="282" spans="1:55" ht="11.25" customHeight="1" x14ac:dyDescent="0.2">
      <c r="A282" s="220"/>
      <c r="B282" s="11" t="s">
        <v>6</v>
      </c>
      <c r="C282" s="123"/>
      <c r="D282" s="12"/>
      <c r="E282" s="12"/>
      <c r="F282" s="12"/>
      <c r="G282" s="195"/>
      <c r="H282" s="12"/>
      <c r="I282" s="12"/>
      <c r="J282" s="195"/>
      <c r="K282" s="12"/>
      <c r="L282" s="12"/>
      <c r="M282" s="12"/>
      <c r="N282" s="195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215"/>
    </row>
    <row r="283" spans="1:55" ht="11.25" customHeight="1" x14ac:dyDescent="0.2">
      <c r="A283" s="222"/>
      <c r="B283" s="11" t="s">
        <v>8</v>
      </c>
      <c r="C283" s="129">
        <v>700</v>
      </c>
      <c r="D283" s="206">
        <v>700</v>
      </c>
      <c r="E283" s="206">
        <v>700</v>
      </c>
      <c r="F283" s="206">
        <v>700</v>
      </c>
      <c r="G283" s="207"/>
      <c r="H283" s="206">
        <f t="shared" ref="H283" si="6585">IF(H279="","",G283)</f>
        <v>0</v>
      </c>
      <c r="I283" s="206">
        <f t="shared" ref="I283" si="6586">IF(I279="","",H283)</f>
        <v>0</v>
      </c>
      <c r="J283" s="207">
        <f t="shared" ref="J283" si="6587">IF(J279="","",I283)</f>
        <v>0</v>
      </c>
      <c r="K283" s="206">
        <f t="shared" ref="K283" si="6588">IF(K279="","",J283)</f>
        <v>0</v>
      </c>
      <c r="L283" s="206">
        <f t="shared" ref="L283" si="6589">IF(L279="","",K283)</f>
        <v>0</v>
      </c>
      <c r="M283" s="206">
        <f t="shared" ref="M283" si="6590">IF(M279="","",L283)</f>
        <v>0</v>
      </c>
      <c r="N283" s="207" t="str">
        <f t="shared" ref="N283" si="6591">IF(N279="","",M283)</f>
        <v/>
      </c>
      <c r="O283" s="206" t="str">
        <f t="shared" ref="O283" si="6592">IF(O279="","",N283)</f>
        <v/>
      </c>
      <c r="P283" s="206" t="str">
        <f t="shared" ref="P283" si="6593">IF(P279="","",O283)</f>
        <v/>
      </c>
      <c r="Q283" s="206" t="str">
        <f t="shared" ref="Q283" si="6594">IF(Q279="","",P283)</f>
        <v/>
      </c>
      <c r="R283" s="206" t="str">
        <f t="shared" ref="R283" si="6595">IF(R279="","",Q283)</f>
        <v/>
      </c>
      <c r="S283" s="206" t="str">
        <f t="shared" ref="S283" si="6596">IF(S279="","",R283)</f>
        <v/>
      </c>
      <c r="T283" s="206" t="str">
        <f t="shared" ref="T283" si="6597">IF(T279="","",S283)</f>
        <v/>
      </c>
      <c r="U283" s="206" t="str">
        <f t="shared" ref="U283" si="6598">IF(U279="","",T283)</f>
        <v/>
      </c>
      <c r="V283" s="206" t="str">
        <f t="shared" ref="V283" si="6599">IF(V279="","",U283)</f>
        <v/>
      </c>
      <c r="W283" s="206" t="str">
        <f t="shared" ref="W283" si="6600">IF(W279="","",V283)</f>
        <v/>
      </c>
      <c r="X283" s="206" t="str">
        <f t="shared" ref="X283" si="6601">IF(X279="","",W283)</f>
        <v/>
      </c>
      <c r="Y283" s="206" t="str">
        <f t="shared" ref="Y283" si="6602">IF(Y279="","",X283)</f>
        <v/>
      </c>
      <c r="Z283" s="206" t="str">
        <f t="shared" ref="Z283" si="6603">IF(Z279="","",Y283)</f>
        <v/>
      </c>
      <c r="AA283" s="206" t="str">
        <f t="shared" ref="AA283" si="6604">IF(AA279="","",Z283)</f>
        <v/>
      </c>
      <c r="AB283" s="206" t="str">
        <f t="shared" ref="AB283" si="6605">IF(AB279="","",AA283)</f>
        <v/>
      </c>
      <c r="AC283" s="206" t="str">
        <f t="shared" ref="AC283" si="6606">IF(AC279="","",AB283)</f>
        <v/>
      </c>
      <c r="AD283" s="206" t="str">
        <f t="shared" ref="AD283" si="6607">IF(AD279="","",AC283)</f>
        <v/>
      </c>
      <c r="AE283" s="206" t="str">
        <f t="shared" ref="AE283" si="6608">IF(AE279="","",AD283)</f>
        <v/>
      </c>
      <c r="AF283" s="206" t="str">
        <f t="shared" ref="AF283" si="6609">IF(AF279="","",AE283)</f>
        <v/>
      </c>
      <c r="AG283" s="206" t="str">
        <f t="shared" ref="AG283" si="6610">IF(AG279="","",AF283)</f>
        <v/>
      </c>
      <c r="AH283" s="206" t="str">
        <f t="shared" ref="AH283" si="6611">IF(AH279="","",AG283)</f>
        <v/>
      </c>
      <c r="AI283" s="206" t="str">
        <f t="shared" ref="AI283" si="6612">IF(AI279="","",AH283)</f>
        <v/>
      </c>
      <c r="AJ283" s="206" t="str">
        <f t="shared" ref="AJ283" si="6613">IF(AJ279="","",AI283)</f>
        <v/>
      </c>
      <c r="AK283" s="206" t="str">
        <f t="shared" ref="AK283" si="6614">IF(AK279="","",AJ283)</f>
        <v/>
      </c>
      <c r="AL283" s="206" t="str">
        <f t="shared" ref="AL283" si="6615">IF(AL279="","",AK283)</f>
        <v/>
      </c>
      <c r="AM283" s="206" t="str">
        <f t="shared" ref="AM283" si="6616">IF(AM279="","",AL283)</f>
        <v/>
      </c>
      <c r="AN283" s="206" t="str">
        <f t="shared" ref="AN283" si="6617">IF(AN279="","",AM283)</f>
        <v/>
      </c>
      <c r="AO283" s="206" t="str">
        <f t="shared" ref="AO283" si="6618">IF(AO279="","",AN283)</f>
        <v/>
      </c>
      <c r="AP283" s="206" t="str">
        <f t="shared" ref="AP283" si="6619">IF(AP279="","",AO283)</f>
        <v/>
      </c>
      <c r="AQ283" s="206" t="str">
        <f t="shared" ref="AQ283" si="6620">IF(AQ279="","",AP283)</f>
        <v/>
      </c>
      <c r="AR283" s="206" t="str">
        <f t="shared" ref="AR283" si="6621">IF(AR279="","",AQ283)</f>
        <v/>
      </c>
      <c r="AS283" s="206" t="str">
        <f t="shared" ref="AS283" si="6622">IF(AS279="","",AR283)</f>
        <v/>
      </c>
      <c r="AT283" s="206" t="str">
        <f t="shared" ref="AT283" si="6623">IF(AT279="","",AS283)</f>
        <v/>
      </c>
      <c r="AU283" s="206" t="str">
        <f t="shared" ref="AU283" si="6624">IF(AU279="","",AT283)</f>
        <v/>
      </c>
      <c r="AV283" s="206" t="str">
        <f t="shared" ref="AV283" si="6625">IF(AV279="","",AU283)</f>
        <v/>
      </c>
      <c r="AW283" s="206" t="str">
        <f t="shared" ref="AW283" si="6626">IF(AW279="","",AV283)</f>
        <v/>
      </c>
      <c r="AX283" s="206" t="str">
        <f t="shared" ref="AX283" si="6627">IF(AX279="","",AW283)</f>
        <v/>
      </c>
      <c r="AY283" s="206" t="str">
        <f t="shared" ref="AY283" si="6628">IF(AY279="","",AX283)</f>
        <v/>
      </c>
      <c r="AZ283" s="206" t="str">
        <f t="shared" ref="AZ283" si="6629">IF(AZ279="","",AY283)</f>
        <v/>
      </c>
      <c r="BA283" s="206" t="str">
        <f t="shared" ref="BA283" si="6630">IF(BA279="","",AZ283)</f>
        <v/>
      </c>
      <c r="BB283" s="206" t="str">
        <f t="shared" ref="BB283" si="6631">IF(BB279="","",BA283)</f>
        <v/>
      </c>
      <c r="BC283" s="219" t="str">
        <f t="shared" ref="BC283" si="6632">IF(BC279="","",BB283)</f>
        <v/>
      </c>
    </row>
    <row r="284" spans="1:55" ht="11.25" customHeight="1" x14ac:dyDescent="0.2">
      <c r="A284" s="220" t="s">
        <v>9</v>
      </c>
      <c r="B284" s="17" t="s">
        <v>10</v>
      </c>
      <c r="C284" s="133" t="s">
        <v>128</v>
      </c>
      <c r="D284" s="18" t="s">
        <v>128</v>
      </c>
      <c r="E284" s="18" t="s">
        <v>128</v>
      </c>
      <c r="F284" s="18" t="s">
        <v>128</v>
      </c>
      <c r="G284" s="197" t="s">
        <v>128</v>
      </c>
      <c r="H284" s="18" t="str">
        <f t="shared" ref="H284" si="6633">IF(H279="","",G284)</f>
        <v>モンチッチケース</v>
      </c>
      <c r="I284" s="18" t="str">
        <f t="shared" ref="I284" si="6634">IF(I279="","",H284)</f>
        <v>モンチッチケース</v>
      </c>
      <c r="J284" s="197" t="str">
        <f t="shared" ref="J284" si="6635">IF(J279="","",I284)</f>
        <v>モンチッチケース</v>
      </c>
      <c r="K284" s="18" t="str">
        <f t="shared" ref="K284" si="6636">IF(K279="","",J284)</f>
        <v>モンチッチケース</v>
      </c>
      <c r="L284" s="18" t="str">
        <f t="shared" ref="L284" si="6637">IF(L279="","",K284)</f>
        <v>モンチッチケース</v>
      </c>
      <c r="M284" s="18" t="str">
        <f t="shared" ref="M284" si="6638">IF(M279="","",L284)</f>
        <v>モンチッチケース</v>
      </c>
      <c r="N284" s="197" t="str">
        <f t="shared" ref="N284" si="6639">IF(N279="","",M284)</f>
        <v/>
      </c>
      <c r="O284" s="18" t="str">
        <f t="shared" ref="O284" si="6640">IF(O279="","",N284)</f>
        <v/>
      </c>
      <c r="P284" s="18" t="str">
        <f t="shared" ref="P284" si="6641">IF(P279="","",O284)</f>
        <v/>
      </c>
      <c r="Q284" s="18" t="str">
        <f t="shared" ref="Q284" si="6642">IF(Q279="","",P284)</f>
        <v/>
      </c>
      <c r="R284" s="18" t="str">
        <f t="shared" ref="R284" si="6643">IF(R279="","",Q284)</f>
        <v/>
      </c>
      <c r="S284" s="18" t="str">
        <f t="shared" ref="S284" si="6644">IF(S279="","",R284)</f>
        <v/>
      </c>
      <c r="T284" s="18" t="str">
        <f t="shared" ref="T284" si="6645">IF(T279="","",S284)</f>
        <v/>
      </c>
      <c r="U284" s="18" t="str">
        <f t="shared" ref="U284" si="6646">IF(U279="","",T284)</f>
        <v/>
      </c>
      <c r="V284" s="18" t="str">
        <f t="shared" ref="V284" si="6647">IF(V279="","",U284)</f>
        <v/>
      </c>
      <c r="W284" s="18" t="str">
        <f t="shared" ref="W284" si="6648">IF(W279="","",V284)</f>
        <v/>
      </c>
      <c r="X284" s="18" t="str">
        <f t="shared" ref="X284" si="6649">IF(X279="","",W284)</f>
        <v/>
      </c>
      <c r="Y284" s="18" t="str">
        <f t="shared" ref="Y284" si="6650">IF(Y279="","",X284)</f>
        <v/>
      </c>
      <c r="Z284" s="18" t="str">
        <f t="shared" ref="Z284" si="6651">IF(Z279="","",Y284)</f>
        <v/>
      </c>
      <c r="AA284" s="18" t="str">
        <f t="shared" ref="AA284" si="6652">IF(AA279="","",Z284)</f>
        <v/>
      </c>
      <c r="AB284" s="18" t="str">
        <f t="shared" ref="AB284" si="6653">IF(AB279="","",AA284)</f>
        <v/>
      </c>
      <c r="AC284" s="18" t="str">
        <f t="shared" ref="AC284" si="6654">IF(AC279="","",AB284)</f>
        <v/>
      </c>
      <c r="AD284" s="18" t="str">
        <f t="shared" ref="AD284" si="6655">IF(AD279="","",AC284)</f>
        <v/>
      </c>
      <c r="AE284" s="18" t="str">
        <f t="shared" ref="AE284" si="6656">IF(AE279="","",AD284)</f>
        <v/>
      </c>
      <c r="AF284" s="18" t="str">
        <f t="shared" ref="AF284" si="6657">IF(AF279="","",AE284)</f>
        <v/>
      </c>
      <c r="AG284" s="18" t="str">
        <f t="shared" ref="AG284" si="6658">IF(AG279="","",AF284)</f>
        <v/>
      </c>
      <c r="AH284" s="18" t="str">
        <f t="shared" ref="AH284" si="6659">IF(AH279="","",AG284)</f>
        <v/>
      </c>
      <c r="AI284" s="18" t="str">
        <f t="shared" ref="AI284" si="6660">IF(AI279="","",AH284)</f>
        <v/>
      </c>
      <c r="AJ284" s="18" t="str">
        <f t="shared" ref="AJ284" si="6661">IF(AJ279="","",AI284)</f>
        <v/>
      </c>
      <c r="AK284" s="18" t="str">
        <f t="shared" ref="AK284" si="6662">IF(AK279="","",AJ284)</f>
        <v/>
      </c>
      <c r="AL284" s="18" t="str">
        <f t="shared" ref="AL284" si="6663">IF(AL279="","",AK284)</f>
        <v/>
      </c>
      <c r="AM284" s="18" t="str">
        <f t="shared" ref="AM284" si="6664">IF(AM279="","",AL284)</f>
        <v/>
      </c>
      <c r="AN284" s="18" t="str">
        <f t="shared" ref="AN284" si="6665">IF(AN279="","",AM284)</f>
        <v/>
      </c>
      <c r="AO284" s="18" t="str">
        <f t="shared" ref="AO284" si="6666">IF(AO279="","",AN284)</f>
        <v/>
      </c>
      <c r="AP284" s="18" t="str">
        <f t="shared" ref="AP284" si="6667">IF(AP279="","",AO284)</f>
        <v/>
      </c>
      <c r="AQ284" s="18" t="str">
        <f t="shared" ref="AQ284" si="6668">IF(AQ279="","",AP284)</f>
        <v/>
      </c>
      <c r="AR284" s="18" t="str">
        <f t="shared" ref="AR284" si="6669">IF(AR279="","",AQ284)</f>
        <v/>
      </c>
      <c r="AS284" s="18" t="str">
        <f t="shared" ref="AS284" si="6670">IF(AS279="","",AR284)</f>
        <v/>
      </c>
      <c r="AT284" s="18" t="str">
        <f t="shared" ref="AT284" si="6671">IF(AT279="","",AS284)</f>
        <v/>
      </c>
      <c r="AU284" s="18" t="str">
        <f t="shared" ref="AU284" si="6672">IF(AU279="","",AT284)</f>
        <v/>
      </c>
      <c r="AV284" s="18" t="str">
        <f t="shared" ref="AV284" si="6673">IF(AV279="","",AU284)</f>
        <v/>
      </c>
      <c r="AW284" s="18" t="str">
        <f t="shared" ref="AW284" si="6674">IF(AW279="","",AV284)</f>
        <v/>
      </c>
      <c r="AX284" s="18" t="str">
        <f t="shared" ref="AX284" si="6675">IF(AX279="","",AW284)</f>
        <v/>
      </c>
      <c r="AY284" s="18" t="str">
        <f t="shared" ref="AY284" si="6676">IF(AY279="","",AX284)</f>
        <v/>
      </c>
      <c r="AZ284" s="18" t="str">
        <f t="shared" ref="AZ284" si="6677">IF(AZ279="","",AY284)</f>
        <v/>
      </c>
      <c r="BA284" s="18" t="str">
        <f t="shared" ref="BA284" si="6678">IF(BA279="","",AZ284)</f>
        <v/>
      </c>
      <c r="BB284" s="18" t="str">
        <f t="shared" ref="BB284" si="6679">IF(BB279="","",BA284)</f>
        <v/>
      </c>
      <c r="BC284" s="221" t="str">
        <f t="shared" ref="BC284" si="6680">IF(BC279="","",BB284)</f>
        <v/>
      </c>
    </row>
    <row r="285" spans="1:55" ht="11.25" customHeight="1" x14ac:dyDescent="0.2">
      <c r="A285" s="222">
        <f>AVERAGE(C286:AS286)*30*100</f>
        <v>7909.090909090909</v>
      </c>
      <c r="B285" s="11" t="s">
        <v>12</v>
      </c>
      <c r="C285" s="123"/>
      <c r="D285" s="12"/>
      <c r="E285" s="12"/>
      <c r="F285" s="12"/>
      <c r="G285" s="195"/>
      <c r="H285" s="12"/>
      <c r="I285" s="12"/>
      <c r="J285" s="195"/>
      <c r="K285" s="12"/>
      <c r="L285" s="12"/>
      <c r="M285" s="12"/>
      <c r="N285" s="195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215"/>
    </row>
    <row r="286" spans="1:55" ht="11.25" customHeight="1" x14ac:dyDescent="0.2">
      <c r="A286" s="222">
        <f t="shared" ref="A286:A289" si="6681">SUM(C286:AS286)</f>
        <v>29</v>
      </c>
      <c r="B286" s="19" t="s">
        <v>13</v>
      </c>
      <c r="C286" s="123">
        <v>0</v>
      </c>
      <c r="D286" s="20">
        <v>0</v>
      </c>
      <c r="E286" s="20">
        <v>0</v>
      </c>
      <c r="F286" s="20">
        <v>0</v>
      </c>
      <c r="G286" s="195">
        <f t="shared" ref="G286:G287" si="6682">IF(G279="","",G279-F279)</f>
        <v>0</v>
      </c>
      <c r="H286" s="20">
        <f t="shared" ref="H286:H287" si="6683">IF(H279="","",H279-G279)</f>
        <v>0</v>
      </c>
      <c r="I286" s="20">
        <f t="shared" ref="I286:I287" si="6684">IF(I279="","",I279-H279)</f>
        <v>29</v>
      </c>
      <c r="J286" s="195">
        <f t="shared" ref="J286:J287" si="6685">IF(J279="","",J279-I279)</f>
        <v>0</v>
      </c>
      <c r="K286" s="20">
        <f t="shared" ref="K286:K287" si="6686">IF(K279="","",K279-J279)</f>
        <v>0</v>
      </c>
      <c r="L286" s="20">
        <f t="shared" ref="L286:L287" si="6687">IF(L279="","",L279-K279)</f>
        <v>0</v>
      </c>
      <c r="M286" s="20">
        <f t="shared" ref="M286:M287" si="6688">IF(M279="","",M279-L279)</f>
        <v>0</v>
      </c>
      <c r="N286" s="195" t="str">
        <f t="shared" ref="N286:N287" si="6689">IF(N279="","",N279-M279)</f>
        <v/>
      </c>
      <c r="O286" s="20" t="str">
        <f t="shared" ref="O286:O287" si="6690">IF(O279="","",O279-N279)</f>
        <v/>
      </c>
      <c r="P286" s="20" t="str">
        <f t="shared" ref="P286:P287" si="6691">IF(P279="","",P279-O279)</f>
        <v/>
      </c>
      <c r="Q286" s="20" t="str">
        <f t="shared" ref="Q286:Q287" si="6692">IF(Q279="","",Q279-P279)</f>
        <v/>
      </c>
      <c r="R286" s="20" t="str">
        <f t="shared" ref="R286:R287" si="6693">IF(R279="","",R279-Q279)</f>
        <v/>
      </c>
      <c r="S286" s="20" t="str">
        <f t="shared" ref="S286:S287" si="6694">IF(S279="","",S279-R279)</f>
        <v/>
      </c>
      <c r="T286" s="20" t="str">
        <f t="shared" ref="T286:T287" si="6695">IF(T279="","",T279-S279)</f>
        <v/>
      </c>
      <c r="U286" s="20" t="str">
        <f t="shared" ref="U286:U287" si="6696">IF(U279="","",U279-T279)</f>
        <v/>
      </c>
      <c r="V286" s="20" t="str">
        <f t="shared" ref="V286:V287" si="6697">IF(V279="","",V279-U279)</f>
        <v/>
      </c>
      <c r="W286" s="20" t="str">
        <f t="shared" ref="W286:W287" si="6698">IF(W279="","",W279-V279)</f>
        <v/>
      </c>
      <c r="X286" s="20" t="str">
        <f t="shared" ref="X286:X287" si="6699">IF(X279="","",X279-W279)</f>
        <v/>
      </c>
      <c r="Y286" s="20" t="str">
        <f t="shared" ref="Y286:Y287" si="6700">IF(Y279="","",Y279-X279)</f>
        <v/>
      </c>
      <c r="Z286" s="20" t="str">
        <f t="shared" ref="Z286:Z287" si="6701">IF(Z279="","",Z279-Y279)</f>
        <v/>
      </c>
      <c r="AA286" s="20" t="str">
        <f t="shared" ref="AA286:AA287" si="6702">IF(AA279="","",AA279-Z279)</f>
        <v/>
      </c>
      <c r="AB286" s="20" t="str">
        <f t="shared" ref="AB286:AB287" si="6703">IF(AB279="","",AB279-AA279)</f>
        <v/>
      </c>
      <c r="AC286" s="20" t="str">
        <f t="shared" ref="AC286:AC287" si="6704">IF(AC279="","",AC279-AB279)</f>
        <v/>
      </c>
      <c r="AD286" s="20" t="str">
        <f t="shared" ref="AD286:AD287" si="6705">IF(AD279="","",AD279-AC279)</f>
        <v/>
      </c>
      <c r="AE286" s="20" t="str">
        <f t="shared" ref="AE286:AE287" si="6706">IF(AE279="","",AE279-AD279)</f>
        <v/>
      </c>
      <c r="AF286" s="20" t="str">
        <f t="shared" ref="AF286:AF287" si="6707">IF(AF279="","",AF279-AE279)</f>
        <v/>
      </c>
      <c r="AG286" s="20" t="str">
        <f t="shared" ref="AG286:AG287" si="6708">IF(AG279="","",AG279-AF279)</f>
        <v/>
      </c>
      <c r="AH286" s="20" t="str">
        <f t="shared" ref="AH286:AH287" si="6709">IF(AH279="","",AH279-AG279)</f>
        <v/>
      </c>
      <c r="AI286" s="20" t="str">
        <f t="shared" ref="AI286:AI287" si="6710">IF(AI279="","",AI279-AH279)</f>
        <v/>
      </c>
      <c r="AJ286" s="20" t="str">
        <f t="shared" ref="AJ286:AJ287" si="6711">IF(AJ279="","",AJ279-AI279)</f>
        <v/>
      </c>
      <c r="AK286" s="20" t="str">
        <f t="shared" ref="AK286:AK287" si="6712">IF(AK279="","",AK279-AJ279)</f>
        <v/>
      </c>
      <c r="AL286" s="20" t="str">
        <f t="shared" ref="AL286:AL287" si="6713">IF(AL279="","",AL279-AK279)</f>
        <v/>
      </c>
      <c r="AM286" s="20" t="str">
        <f t="shared" ref="AM286:AM287" si="6714">IF(AM279="","",AM279-AL279)</f>
        <v/>
      </c>
      <c r="AN286" s="20" t="str">
        <f t="shared" ref="AN286:AN287" si="6715">IF(AN279="","",AN279-AM279)</f>
        <v/>
      </c>
      <c r="AO286" s="20" t="str">
        <f t="shared" ref="AO286:AO287" si="6716">IF(AO279="","",AO279-AN279)</f>
        <v/>
      </c>
      <c r="AP286" s="20" t="str">
        <f t="shared" ref="AP286:AP287" si="6717">IF(AP279="","",AP279-AO279)</f>
        <v/>
      </c>
      <c r="AQ286" s="20" t="str">
        <f t="shared" ref="AQ286:AQ287" si="6718">IF(AQ279="","",AQ279-AP279)</f>
        <v/>
      </c>
      <c r="AR286" s="20" t="str">
        <f t="shared" ref="AR286:AR287" si="6719">IF(AR279="","",AR279-AQ279)</f>
        <v/>
      </c>
      <c r="AS286" s="20" t="str">
        <f t="shared" ref="AS286:AS287" si="6720">IF(AS279="","",AS279-AR279)</f>
        <v/>
      </c>
      <c r="AT286" s="20" t="str">
        <f t="shared" ref="AT286:AT287" si="6721">IF(AT279="","",AT279-AS279)</f>
        <v/>
      </c>
      <c r="AU286" s="20" t="str">
        <f t="shared" ref="AU286:AU287" si="6722">IF(AU279="","",AU279-AT279)</f>
        <v/>
      </c>
      <c r="AV286" s="20" t="str">
        <f t="shared" ref="AV286:AV287" si="6723">IF(AV279="","",AV279-AU279)</f>
        <v/>
      </c>
      <c r="AW286" s="20" t="str">
        <f t="shared" ref="AW286:AW287" si="6724">IF(AW279="","",AW279-AV279)</f>
        <v/>
      </c>
      <c r="AX286" s="20" t="str">
        <f t="shared" ref="AX286:AX287" si="6725">IF(AX279="","",AX279-AW279)</f>
        <v/>
      </c>
      <c r="AY286" s="20" t="str">
        <f t="shared" ref="AY286:AY287" si="6726">IF(AY279="","",AY279-AX279)</f>
        <v/>
      </c>
      <c r="AZ286" s="20" t="str">
        <f t="shared" ref="AZ286:AZ287" si="6727">IF(AZ279="","",AZ279-AY279)</f>
        <v/>
      </c>
      <c r="BA286" s="20" t="str">
        <f t="shared" ref="BA286:BA287" si="6728">IF(BA279="","",BA279-AZ279)</f>
        <v/>
      </c>
      <c r="BB286" s="20" t="str">
        <f t="shared" ref="BB286:BB287" si="6729">IF(BB279="","",BB279-BA279)</f>
        <v/>
      </c>
      <c r="BC286" s="223" t="str">
        <f t="shared" ref="BC286:BC287" si="6730">IF(BC279="","",BC279-BB279)</f>
        <v/>
      </c>
    </row>
    <row r="287" spans="1:55" ht="11.25" customHeight="1" x14ac:dyDescent="0.2">
      <c r="A287" s="222">
        <f t="shared" si="6681"/>
        <v>1</v>
      </c>
      <c r="B287" s="19" t="s">
        <v>14</v>
      </c>
      <c r="C287" s="123">
        <v>0</v>
      </c>
      <c r="D287" s="20">
        <v>0</v>
      </c>
      <c r="E287" s="20">
        <v>0</v>
      </c>
      <c r="F287" s="20">
        <v>0</v>
      </c>
      <c r="G287" s="195">
        <f t="shared" si="6682"/>
        <v>0</v>
      </c>
      <c r="H287" s="20">
        <f t="shared" si="6683"/>
        <v>0</v>
      </c>
      <c r="I287" s="20">
        <f t="shared" si="6684"/>
        <v>1</v>
      </c>
      <c r="J287" s="195">
        <f t="shared" si="6685"/>
        <v>0</v>
      </c>
      <c r="K287" s="20">
        <f t="shared" si="6686"/>
        <v>0</v>
      </c>
      <c r="L287" s="20">
        <f t="shared" si="6687"/>
        <v>0</v>
      </c>
      <c r="M287" s="20">
        <f t="shared" si="6688"/>
        <v>0</v>
      </c>
      <c r="N287" s="195" t="str">
        <f t="shared" si="6689"/>
        <v/>
      </c>
      <c r="O287" s="20" t="str">
        <f t="shared" si="6690"/>
        <v/>
      </c>
      <c r="P287" s="20" t="str">
        <f t="shared" si="6691"/>
        <v/>
      </c>
      <c r="Q287" s="20" t="str">
        <f t="shared" si="6692"/>
        <v/>
      </c>
      <c r="R287" s="20" t="str">
        <f t="shared" si="6693"/>
        <v/>
      </c>
      <c r="S287" s="20" t="str">
        <f t="shared" si="6694"/>
        <v/>
      </c>
      <c r="T287" s="20" t="str">
        <f t="shared" si="6695"/>
        <v/>
      </c>
      <c r="U287" s="20" t="str">
        <f t="shared" si="6696"/>
        <v/>
      </c>
      <c r="V287" s="20" t="str">
        <f t="shared" si="6697"/>
        <v/>
      </c>
      <c r="W287" s="20" t="str">
        <f t="shared" si="6698"/>
        <v/>
      </c>
      <c r="X287" s="20" t="str">
        <f t="shared" si="6699"/>
        <v/>
      </c>
      <c r="Y287" s="20" t="str">
        <f t="shared" si="6700"/>
        <v/>
      </c>
      <c r="Z287" s="20" t="str">
        <f t="shared" si="6701"/>
        <v/>
      </c>
      <c r="AA287" s="20" t="str">
        <f t="shared" si="6702"/>
        <v/>
      </c>
      <c r="AB287" s="20" t="str">
        <f t="shared" si="6703"/>
        <v/>
      </c>
      <c r="AC287" s="20" t="str">
        <f t="shared" si="6704"/>
        <v/>
      </c>
      <c r="AD287" s="20" t="str">
        <f t="shared" si="6705"/>
        <v/>
      </c>
      <c r="AE287" s="20" t="str">
        <f t="shared" si="6706"/>
        <v/>
      </c>
      <c r="AF287" s="20" t="str">
        <f t="shared" si="6707"/>
        <v/>
      </c>
      <c r="AG287" s="20" t="str">
        <f t="shared" si="6708"/>
        <v/>
      </c>
      <c r="AH287" s="20" t="str">
        <f t="shared" si="6709"/>
        <v/>
      </c>
      <c r="AI287" s="20" t="str">
        <f t="shared" si="6710"/>
        <v/>
      </c>
      <c r="AJ287" s="20" t="str">
        <f t="shared" si="6711"/>
        <v/>
      </c>
      <c r="AK287" s="20" t="str">
        <f t="shared" si="6712"/>
        <v/>
      </c>
      <c r="AL287" s="20" t="str">
        <f t="shared" si="6713"/>
        <v/>
      </c>
      <c r="AM287" s="20" t="str">
        <f t="shared" si="6714"/>
        <v/>
      </c>
      <c r="AN287" s="20" t="str">
        <f t="shared" si="6715"/>
        <v/>
      </c>
      <c r="AO287" s="20" t="str">
        <f t="shared" si="6716"/>
        <v/>
      </c>
      <c r="AP287" s="20" t="str">
        <f t="shared" si="6717"/>
        <v/>
      </c>
      <c r="AQ287" s="20" t="str">
        <f t="shared" si="6718"/>
        <v/>
      </c>
      <c r="AR287" s="20" t="str">
        <f t="shared" si="6719"/>
        <v/>
      </c>
      <c r="AS287" s="20" t="str">
        <f t="shared" si="6720"/>
        <v/>
      </c>
      <c r="AT287" s="20" t="str">
        <f t="shared" si="6721"/>
        <v/>
      </c>
      <c r="AU287" s="20" t="str">
        <f t="shared" si="6722"/>
        <v/>
      </c>
      <c r="AV287" s="20" t="str">
        <f t="shared" si="6723"/>
        <v/>
      </c>
      <c r="AW287" s="20" t="str">
        <f t="shared" si="6724"/>
        <v/>
      </c>
      <c r="AX287" s="20" t="str">
        <f t="shared" si="6725"/>
        <v/>
      </c>
      <c r="AY287" s="20" t="str">
        <f t="shared" si="6726"/>
        <v/>
      </c>
      <c r="AZ287" s="20" t="str">
        <f t="shared" si="6727"/>
        <v/>
      </c>
      <c r="BA287" s="20" t="str">
        <f t="shared" si="6728"/>
        <v/>
      </c>
      <c r="BB287" s="20" t="str">
        <f t="shared" si="6729"/>
        <v/>
      </c>
      <c r="BC287" s="223" t="str">
        <f t="shared" si="6730"/>
        <v/>
      </c>
    </row>
    <row r="288" spans="1:55" ht="11.25" customHeight="1" x14ac:dyDescent="0.2">
      <c r="A288" s="222">
        <f t="shared" si="6681"/>
        <v>1</v>
      </c>
      <c r="B288" s="19" t="s">
        <v>15</v>
      </c>
      <c r="C288" s="123">
        <v>0</v>
      </c>
      <c r="D288" s="20">
        <v>0</v>
      </c>
      <c r="E288" s="20">
        <v>0</v>
      </c>
      <c r="F288" s="20">
        <v>0</v>
      </c>
      <c r="G288" s="195">
        <f t="shared" ref="G288" si="6731">IF(G281="","",F281+F282-G281)</f>
        <v>0</v>
      </c>
      <c r="H288" s="20">
        <f t="shared" ref="H288" si="6732">IF(H281="","",G281+G282-H281)</f>
        <v>0</v>
      </c>
      <c r="I288" s="20">
        <f t="shared" ref="I288" si="6733">IF(I281="","",H281+H282-I281)</f>
        <v>1</v>
      </c>
      <c r="J288" s="195">
        <f t="shared" ref="J288" si="6734">IF(J281="","",I281+I282-J281)</f>
        <v>0</v>
      </c>
      <c r="K288" s="20">
        <f t="shared" ref="K288" si="6735">IF(K281="","",J281+J282-K281)</f>
        <v>0</v>
      </c>
      <c r="L288" s="20">
        <f t="shared" ref="L288" si="6736">IF(L281="","",K281+K282-L281)</f>
        <v>0</v>
      </c>
      <c r="M288" s="20">
        <f t="shared" ref="M288" si="6737">IF(M281="","",L281+L282-M281)</f>
        <v>0</v>
      </c>
      <c r="N288" s="195" t="str">
        <f t="shared" ref="N288" si="6738">IF(N281="","",M281+M282-N281)</f>
        <v/>
      </c>
      <c r="O288" s="20" t="str">
        <f t="shared" ref="O288" si="6739">IF(O281="","",N281+N282-O281)</f>
        <v/>
      </c>
      <c r="P288" s="20" t="str">
        <f t="shared" ref="P288" si="6740">IF(P281="","",O281+O282-P281)</f>
        <v/>
      </c>
      <c r="Q288" s="20" t="str">
        <f t="shared" ref="Q288" si="6741">IF(Q281="","",P281+P282-Q281)</f>
        <v/>
      </c>
      <c r="R288" s="20" t="str">
        <f t="shared" ref="R288" si="6742">IF(R281="","",Q281+Q282-R281)</f>
        <v/>
      </c>
      <c r="S288" s="20" t="str">
        <f t="shared" ref="S288" si="6743">IF(S281="","",R281+R282-S281)</f>
        <v/>
      </c>
      <c r="T288" s="20" t="str">
        <f t="shared" ref="T288" si="6744">IF(T281="","",S281+S282-T281)</f>
        <v/>
      </c>
      <c r="U288" s="20" t="str">
        <f t="shared" ref="U288" si="6745">IF(U281="","",T281+T282-U281)</f>
        <v/>
      </c>
      <c r="V288" s="20" t="str">
        <f t="shared" ref="V288" si="6746">IF(V281="","",U281+U282-V281)</f>
        <v/>
      </c>
      <c r="W288" s="20" t="str">
        <f t="shared" ref="W288" si="6747">IF(W281="","",V281+V282-W281)</f>
        <v/>
      </c>
      <c r="X288" s="20" t="str">
        <f t="shared" ref="X288" si="6748">IF(X281="","",W281+W282-X281)</f>
        <v/>
      </c>
      <c r="Y288" s="20" t="str">
        <f t="shared" ref="Y288" si="6749">IF(Y281="","",X281+X282-Y281)</f>
        <v/>
      </c>
      <c r="Z288" s="20" t="str">
        <f t="shared" ref="Z288" si="6750">IF(Z281="","",Y281+Y282-Z281)</f>
        <v/>
      </c>
      <c r="AA288" s="20" t="str">
        <f t="shared" ref="AA288" si="6751">IF(AA281="","",Z281+Z282-AA281)</f>
        <v/>
      </c>
      <c r="AB288" s="20" t="str">
        <f t="shared" ref="AB288" si="6752">IF(AB281="","",AA281+AA282-AB281)</f>
        <v/>
      </c>
      <c r="AC288" s="20" t="str">
        <f t="shared" ref="AC288" si="6753">IF(AC281="","",AB281+AB282-AC281)</f>
        <v/>
      </c>
      <c r="AD288" s="20" t="str">
        <f t="shared" ref="AD288" si="6754">IF(AD281="","",AC281+AC282-AD281)</f>
        <v/>
      </c>
      <c r="AE288" s="20" t="str">
        <f t="shared" ref="AE288" si="6755">IF(AE281="","",AD281+AD282-AE281)</f>
        <v/>
      </c>
      <c r="AF288" s="20" t="str">
        <f t="shared" ref="AF288" si="6756">IF(AF281="","",AE281+AE282-AF281)</f>
        <v/>
      </c>
      <c r="AG288" s="20" t="str">
        <f t="shared" ref="AG288" si="6757">IF(AG281="","",AF281+AF282-AG281)</f>
        <v/>
      </c>
      <c r="AH288" s="20" t="str">
        <f t="shared" ref="AH288" si="6758">IF(AH281="","",AG281+AG282-AH281)</f>
        <v/>
      </c>
      <c r="AI288" s="20" t="str">
        <f t="shared" ref="AI288" si="6759">IF(AI281="","",AH281+AH282-AI281)</f>
        <v/>
      </c>
      <c r="AJ288" s="20" t="str">
        <f t="shared" ref="AJ288" si="6760">IF(AJ281="","",AI281+AI282-AJ281)</f>
        <v/>
      </c>
      <c r="AK288" s="20" t="str">
        <f t="shared" ref="AK288" si="6761">IF(AK281="","",AJ281+AJ282-AK281)</f>
        <v/>
      </c>
      <c r="AL288" s="20" t="str">
        <f t="shared" ref="AL288" si="6762">IF(AL281="","",AK281+AK282-AL281)</f>
        <v/>
      </c>
      <c r="AM288" s="20" t="str">
        <f t="shared" ref="AM288" si="6763">IF(AM281="","",AL281+AL282-AM281)</f>
        <v/>
      </c>
      <c r="AN288" s="20" t="str">
        <f t="shared" ref="AN288" si="6764">IF(AN281="","",AM281+AM282-AN281)</f>
        <v/>
      </c>
      <c r="AO288" s="20" t="str">
        <f t="shared" ref="AO288" si="6765">IF(AO281="","",AN281+AN282-AO281)</f>
        <v/>
      </c>
      <c r="AP288" s="20" t="str">
        <f t="shared" ref="AP288" si="6766">IF(AP281="","",AO281+AO282-AP281)</f>
        <v/>
      </c>
      <c r="AQ288" s="20" t="str">
        <f t="shared" ref="AQ288" si="6767">IF(AQ281="","",AP281+AP282-AQ281)</f>
        <v/>
      </c>
      <c r="AR288" s="20" t="str">
        <f t="shared" ref="AR288" si="6768">IF(AR281="","",AQ281+AQ282-AR281)</f>
        <v/>
      </c>
      <c r="AS288" s="20" t="str">
        <f t="shared" ref="AS288" si="6769">IF(AS281="","",AR281+AR282-AS281)</f>
        <v/>
      </c>
      <c r="AT288" s="20" t="str">
        <f t="shared" ref="AT288" si="6770">IF(AT281="","",AS281+AS282-AT281)</f>
        <v/>
      </c>
      <c r="AU288" s="20" t="str">
        <f t="shared" ref="AU288" si="6771">IF(AU281="","",AT281+AT282-AU281)</f>
        <v/>
      </c>
      <c r="AV288" s="20" t="str">
        <f t="shared" ref="AV288" si="6772">IF(AV281="","",AU281+AU282-AV281)</f>
        <v/>
      </c>
      <c r="AW288" s="20" t="str">
        <f t="shared" ref="AW288" si="6773">IF(AW281="","",AV281+AV282-AW281)</f>
        <v/>
      </c>
      <c r="AX288" s="20" t="str">
        <f t="shared" ref="AX288" si="6774">IF(AX281="","",AW281+AW282-AX281)</f>
        <v/>
      </c>
      <c r="AY288" s="20" t="str">
        <f t="shared" ref="AY288" si="6775">IF(AY281="","",AX281+AX282-AY281)</f>
        <v/>
      </c>
      <c r="AZ288" s="20" t="str">
        <f t="shared" ref="AZ288" si="6776">IF(AZ281="","",AY281+AY282-AZ281)</f>
        <v/>
      </c>
      <c r="BA288" s="20" t="str">
        <f t="shared" ref="BA288" si="6777">IF(BA281="","",AZ281+AZ282-BA281)</f>
        <v/>
      </c>
      <c r="BB288" s="20" t="str">
        <f t="shared" ref="BB288" si="6778">IF(BB281="","",BA281+BA282-BB281)</f>
        <v/>
      </c>
      <c r="BC288" s="223" t="str">
        <f t="shared" ref="BC288" si="6779">IF(BC281="","",BB281+BB282-BC281)</f>
        <v/>
      </c>
    </row>
    <row r="289" spans="1:55" ht="11.25" customHeight="1" x14ac:dyDescent="0.2">
      <c r="A289" s="222">
        <f t="shared" si="6681"/>
        <v>0</v>
      </c>
      <c r="B289" s="19" t="s">
        <v>16</v>
      </c>
      <c r="C289" s="123">
        <v>0</v>
      </c>
      <c r="D289" s="20">
        <v>0</v>
      </c>
      <c r="E289" s="20">
        <v>0</v>
      </c>
      <c r="F289" s="20">
        <v>0</v>
      </c>
      <c r="G289" s="195">
        <f t="shared" ref="D289:BC289" si="6780">IF(G279="","",G288*G283)</f>
        <v>0</v>
      </c>
      <c r="H289" s="20">
        <f t="shared" si="6780"/>
        <v>0</v>
      </c>
      <c r="I289" s="20">
        <f t="shared" si="6780"/>
        <v>0</v>
      </c>
      <c r="J289" s="195">
        <f t="shared" si="6780"/>
        <v>0</v>
      </c>
      <c r="K289" s="20">
        <f t="shared" si="6780"/>
        <v>0</v>
      </c>
      <c r="L289" s="20">
        <f t="shared" si="6780"/>
        <v>0</v>
      </c>
      <c r="M289" s="20">
        <f t="shared" si="6780"/>
        <v>0</v>
      </c>
      <c r="N289" s="195" t="str">
        <f t="shared" si="6780"/>
        <v/>
      </c>
      <c r="O289" s="20" t="str">
        <f t="shared" si="6780"/>
        <v/>
      </c>
      <c r="P289" s="20" t="str">
        <f t="shared" si="6780"/>
        <v/>
      </c>
      <c r="Q289" s="20" t="str">
        <f t="shared" si="6780"/>
        <v/>
      </c>
      <c r="R289" s="20" t="str">
        <f t="shared" si="6780"/>
        <v/>
      </c>
      <c r="S289" s="20" t="str">
        <f t="shared" si="6780"/>
        <v/>
      </c>
      <c r="T289" s="20" t="str">
        <f t="shared" si="6780"/>
        <v/>
      </c>
      <c r="U289" s="20" t="str">
        <f t="shared" si="6780"/>
        <v/>
      </c>
      <c r="V289" s="20" t="str">
        <f t="shared" si="6780"/>
        <v/>
      </c>
      <c r="W289" s="20" t="str">
        <f t="shared" si="6780"/>
        <v/>
      </c>
      <c r="X289" s="20" t="str">
        <f t="shared" si="6780"/>
        <v/>
      </c>
      <c r="Y289" s="20" t="str">
        <f t="shared" si="6780"/>
        <v/>
      </c>
      <c r="Z289" s="20" t="str">
        <f t="shared" si="6780"/>
        <v/>
      </c>
      <c r="AA289" s="20" t="str">
        <f t="shared" si="6780"/>
        <v/>
      </c>
      <c r="AB289" s="20" t="str">
        <f t="shared" si="6780"/>
        <v/>
      </c>
      <c r="AC289" s="20" t="str">
        <f t="shared" si="6780"/>
        <v/>
      </c>
      <c r="AD289" s="20" t="str">
        <f t="shared" si="6780"/>
        <v/>
      </c>
      <c r="AE289" s="20" t="str">
        <f t="shared" si="6780"/>
        <v/>
      </c>
      <c r="AF289" s="20" t="str">
        <f t="shared" si="6780"/>
        <v/>
      </c>
      <c r="AG289" s="20" t="str">
        <f t="shared" si="6780"/>
        <v/>
      </c>
      <c r="AH289" s="20" t="str">
        <f t="shared" si="6780"/>
        <v/>
      </c>
      <c r="AI289" s="20" t="str">
        <f t="shared" si="6780"/>
        <v/>
      </c>
      <c r="AJ289" s="20" t="str">
        <f t="shared" si="6780"/>
        <v/>
      </c>
      <c r="AK289" s="20" t="str">
        <f t="shared" si="6780"/>
        <v/>
      </c>
      <c r="AL289" s="20" t="str">
        <f t="shared" si="6780"/>
        <v/>
      </c>
      <c r="AM289" s="20" t="str">
        <f t="shared" si="6780"/>
        <v/>
      </c>
      <c r="AN289" s="20" t="str">
        <f t="shared" si="6780"/>
        <v/>
      </c>
      <c r="AO289" s="20" t="str">
        <f t="shared" si="6780"/>
        <v/>
      </c>
      <c r="AP289" s="20" t="str">
        <f t="shared" si="6780"/>
        <v/>
      </c>
      <c r="AQ289" s="20" t="str">
        <f t="shared" si="6780"/>
        <v/>
      </c>
      <c r="AR289" s="20" t="str">
        <f t="shared" si="6780"/>
        <v/>
      </c>
      <c r="AS289" s="20" t="str">
        <f t="shared" si="6780"/>
        <v/>
      </c>
      <c r="AT289" s="20" t="str">
        <f t="shared" si="6780"/>
        <v/>
      </c>
      <c r="AU289" s="20" t="str">
        <f t="shared" si="6780"/>
        <v/>
      </c>
      <c r="AV289" s="20" t="str">
        <f t="shared" si="6780"/>
        <v/>
      </c>
      <c r="AW289" s="20" t="str">
        <f t="shared" si="6780"/>
        <v/>
      </c>
      <c r="AX289" s="20" t="str">
        <f t="shared" si="6780"/>
        <v/>
      </c>
      <c r="AY289" s="20" t="str">
        <f t="shared" si="6780"/>
        <v/>
      </c>
      <c r="AZ289" s="20" t="str">
        <f t="shared" si="6780"/>
        <v/>
      </c>
      <c r="BA289" s="20" t="str">
        <f t="shared" si="6780"/>
        <v/>
      </c>
      <c r="BB289" s="20" t="str">
        <f t="shared" si="6780"/>
        <v/>
      </c>
      <c r="BC289" s="223" t="str">
        <f t="shared" si="6780"/>
        <v/>
      </c>
    </row>
    <row r="290" spans="1:55" ht="11.25" customHeight="1" thickBot="1" x14ac:dyDescent="0.25">
      <c r="A290" s="227">
        <f>IF(A289="","",A289/(A286*100))</f>
        <v>0</v>
      </c>
      <c r="B290" s="228" t="s">
        <v>17</v>
      </c>
      <c r="C290" s="229" t="s">
        <v>18</v>
      </c>
      <c r="D290" s="230" t="s">
        <v>18</v>
      </c>
      <c r="E290" s="230" t="s">
        <v>18</v>
      </c>
      <c r="F290" s="230" t="s">
        <v>18</v>
      </c>
      <c r="G290" s="231" t="str">
        <f t="shared" ref="D290:BC290" si="6781">IF(G289="","",IF(G289=0,"",G289/(G286*100)))</f>
        <v/>
      </c>
      <c r="H290" s="230" t="str">
        <f t="shared" si="6781"/>
        <v/>
      </c>
      <c r="I290" s="230" t="str">
        <f t="shared" si="6781"/>
        <v/>
      </c>
      <c r="J290" s="231" t="str">
        <f t="shared" si="6781"/>
        <v/>
      </c>
      <c r="K290" s="230" t="str">
        <f t="shared" si="6781"/>
        <v/>
      </c>
      <c r="L290" s="230" t="str">
        <f t="shared" si="6781"/>
        <v/>
      </c>
      <c r="M290" s="230" t="str">
        <f t="shared" si="6781"/>
        <v/>
      </c>
      <c r="N290" s="231" t="str">
        <f t="shared" si="6781"/>
        <v/>
      </c>
      <c r="O290" s="230" t="str">
        <f t="shared" si="6781"/>
        <v/>
      </c>
      <c r="P290" s="230" t="str">
        <f t="shared" si="6781"/>
        <v/>
      </c>
      <c r="Q290" s="230" t="str">
        <f t="shared" si="6781"/>
        <v/>
      </c>
      <c r="R290" s="230" t="str">
        <f t="shared" si="6781"/>
        <v/>
      </c>
      <c r="S290" s="230" t="str">
        <f t="shared" si="6781"/>
        <v/>
      </c>
      <c r="T290" s="230" t="str">
        <f t="shared" si="6781"/>
        <v/>
      </c>
      <c r="U290" s="230" t="str">
        <f t="shared" si="6781"/>
        <v/>
      </c>
      <c r="V290" s="230" t="str">
        <f t="shared" si="6781"/>
        <v/>
      </c>
      <c r="W290" s="230" t="str">
        <f t="shared" si="6781"/>
        <v/>
      </c>
      <c r="X290" s="230" t="str">
        <f t="shared" si="6781"/>
        <v/>
      </c>
      <c r="Y290" s="230" t="str">
        <f t="shared" si="6781"/>
        <v/>
      </c>
      <c r="Z290" s="230" t="str">
        <f t="shared" si="6781"/>
        <v/>
      </c>
      <c r="AA290" s="230" t="str">
        <f t="shared" si="6781"/>
        <v/>
      </c>
      <c r="AB290" s="230" t="str">
        <f t="shared" si="6781"/>
        <v/>
      </c>
      <c r="AC290" s="230" t="str">
        <f t="shared" si="6781"/>
        <v/>
      </c>
      <c r="AD290" s="230" t="str">
        <f t="shared" si="6781"/>
        <v/>
      </c>
      <c r="AE290" s="230" t="str">
        <f t="shared" si="6781"/>
        <v/>
      </c>
      <c r="AF290" s="230" t="str">
        <f t="shared" si="6781"/>
        <v/>
      </c>
      <c r="AG290" s="230" t="str">
        <f t="shared" si="6781"/>
        <v/>
      </c>
      <c r="AH290" s="230" t="str">
        <f t="shared" si="6781"/>
        <v/>
      </c>
      <c r="AI290" s="230" t="str">
        <f t="shared" si="6781"/>
        <v/>
      </c>
      <c r="AJ290" s="230" t="str">
        <f t="shared" si="6781"/>
        <v/>
      </c>
      <c r="AK290" s="230" t="str">
        <f t="shared" si="6781"/>
        <v/>
      </c>
      <c r="AL290" s="230" t="str">
        <f t="shared" si="6781"/>
        <v/>
      </c>
      <c r="AM290" s="230" t="str">
        <f t="shared" si="6781"/>
        <v/>
      </c>
      <c r="AN290" s="230" t="str">
        <f t="shared" si="6781"/>
        <v/>
      </c>
      <c r="AO290" s="230" t="str">
        <f t="shared" si="6781"/>
        <v/>
      </c>
      <c r="AP290" s="230" t="str">
        <f t="shared" si="6781"/>
        <v/>
      </c>
      <c r="AQ290" s="230" t="str">
        <f t="shared" si="6781"/>
        <v/>
      </c>
      <c r="AR290" s="230" t="str">
        <f t="shared" si="6781"/>
        <v/>
      </c>
      <c r="AS290" s="230" t="str">
        <f t="shared" si="6781"/>
        <v/>
      </c>
      <c r="AT290" s="230" t="str">
        <f t="shared" si="6781"/>
        <v/>
      </c>
      <c r="AU290" s="230" t="str">
        <f t="shared" si="6781"/>
        <v/>
      </c>
      <c r="AV290" s="230" t="str">
        <f t="shared" si="6781"/>
        <v/>
      </c>
      <c r="AW290" s="230" t="str">
        <f t="shared" si="6781"/>
        <v/>
      </c>
      <c r="AX290" s="230" t="str">
        <f t="shared" si="6781"/>
        <v/>
      </c>
      <c r="AY290" s="230" t="str">
        <f t="shared" si="6781"/>
        <v/>
      </c>
      <c r="AZ290" s="230" t="str">
        <f t="shared" si="6781"/>
        <v/>
      </c>
      <c r="BA290" s="230" t="str">
        <f t="shared" si="6781"/>
        <v/>
      </c>
      <c r="BB290" s="230" t="str">
        <f t="shared" si="6781"/>
        <v/>
      </c>
      <c r="BC290" s="232" t="str">
        <f t="shared" si="6781"/>
        <v/>
      </c>
    </row>
    <row r="291" spans="1:55" ht="11.25" customHeight="1" x14ac:dyDescent="0.2">
      <c r="A291" s="208" t="s">
        <v>1</v>
      </c>
      <c r="B291" s="209" t="s">
        <v>2</v>
      </c>
      <c r="C291" s="210">
        <v>0</v>
      </c>
      <c r="D291" s="211">
        <v>0</v>
      </c>
      <c r="E291" s="211">
        <v>0</v>
      </c>
      <c r="F291" s="211">
        <v>0</v>
      </c>
      <c r="G291" s="212">
        <f t="shared" ref="G291:G292" si="6782">IF(G$3="","",F291)</f>
        <v>0</v>
      </c>
      <c r="H291" s="211">
        <f t="shared" ref="H291:H292" si="6783">IF(H$3="","",G291)</f>
        <v>0</v>
      </c>
      <c r="I291" s="211">
        <v>42</v>
      </c>
      <c r="J291" s="212">
        <f t="shared" ref="J291:J292" si="6784">IF(J$3="","",I291)</f>
        <v>42</v>
      </c>
      <c r="K291" s="211">
        <f t="shared" ref="K291:K292" si="6785">IF(K$3="","",J291)</f>
        <v>42</v>
      </c>
      <c r="L291" s="211">
        <f t="shared" ref="L291:L292" si="6786">IF(L$3="","",K291)</f>
        <v>42</v>
      </c>
      <c r="M291" s="211">
        <f t="shared" ref="M291:M292" si="6787">IF(M$3="","",L291)</f>
        <v>42</v>
      </c>
      <c r="N291" s="212" t="str">
        <f t="shared" ref="N291:N292" si="6788">IF(N$3="","",M291)</f>
        <v/>
      </c>
      <c r="O291" s="211" t="str">
        <f t="shared" ref="O291:O292" si="6789">IF(O$3="","",N291)</f>
        <v/>
      </c>
      <c r="P291" s="211" t="str">
        <f t="shared" ref="P291:P292" si="6790">IF(P$3="","",O291)</f>
        <v/>
      </c>
      <c r="Q291" s="211" t="str">
        <f t="shared" ref="Q291:Q292" si="6791">IF(Q$3="","",P291)</f>
        <v/>
      </c>
      <c r="R291" s="211" t="str">
        <f t="shared" ref="R291:R292" si="6792">IF(R$3="","",Q291)</f>
        <v/>
      </c>
      <c r="S291" s="211" t="str">
        <f t="shared" ref="S291:S292" si="6793">IF(S$3="","",R291)</f>
        <v/>
      </c>
      <c r="T291" s="211" t="str">
        <f t="shared" ref="T291:T292" si="6794">IF(T$3="","",S291)</f>
        <v/>
      </c>
      <c r="U291" s="211" t="str">
        <f t="shared" ref="U291:U292" si="6795">IF(U$3="","",T291)</f>
        <v/>
      </c>
      <c r="V291" s="211" t="str">
        <f t="shared" ref="V291:V292" si="6796">IF(V$3="","",U291)</f>
        <v/>
      </c>
      <c r="W291" s="211" t="str">
        <f t="shared" ref="W291:W292" si="6797">IF(W$3="","",V291)</f>
        <v/>
      </c>
      <c r="X291" s="211" t="str">
        <f t="shared" ref="X291:X292" si="6798">IF(X$3="","",W291)</f>
        <v/>
      </c>
      <c r="Y291" s="211" t="str">
        <f t="shared" ref="Y291:Y292" si="6799">IF(Y$3="","",X291)</f>
        <v/>
      </c>
      <c r="Z291" s="211" t="str">
        <f t="shared" ref="Z291:Z292" si="6800">IF(Z$3="","",Y291)</f>
        <v/>
      </c>
      <c r="AA291" s="211" t="str">
        <f t="shared" ref="AA291:AA292" si="6801">IF(AA$3="","",Z291)</f>
        <v/>
      </c>
      <c r="AB291" s="211" t="str">
        <f t="shared" ref="AB291:AB292" si="6802">IF(AB$3="","",AA291)</f>
        <v/>
      </c>
      <c r="AC291" s="211" t="str">
        <f t="shared" ref="AC291:AC292" si="6803">IF(AC$3="","",AB291)</f>
        <v/>
      </c>
      <c r="AD291" s="211" t="str">
        <f t="shared" ref="AD291:AD292" si="6804">IF(AD$3="","",AC291)</f>
        <v/>
      </c>
      <c r="AE291" s="211" t="str">
        <f t="shared" ref="AE291:AE292" si="6805">IF(AE$3="","",AD291)</f>
        <v/>
      </c>
      <c r="AF291" s="211" t="str">
        <f t="shared" ref="AF291:AF292" si="6806">IF(AF$3="","",AE291)</f>
        <v/>
      </c>
      <c r="AG291" s="211" t="str">
        <f t="shared" ref="AG291:AG292" si="6807">IF(AG$3="","",AF291)</f>
        <v/>
      </c>
      <c r="AH291" s="211" t="str">
        <f t="shared" ref="AH291:AH292" si="6808">IF(AH$3="","",AG291)</f>
        <v/>
      </c>
      <c r="AI291" s="211" t="str">
        <f t="shared" ref="AI291:AI292" si="6809">IF(AI$3="","",AH291)</f>
        <v/>
      </c>
      <c r="AJ291" s="211" t="str">
        <f t="shared" ref="AJ291:AJ292" si="6810">IF(AJ$3="","",AI291)</f>
        <v/>
      </c>
      <c r="AK291" s="211" t="str">
        <f t="shared" ref="AK291:AK292" si="6811">IF(AK$3="","",AJ291)</f>
        <v/>
      </c>
      <c r="AL291" s="211" t="str">
        <f t="shared" ref="AL291:AL292" si="6812">IF(AL$3="","",AK291)</f>
        <v/>
      </c>
      <c r="AM291" s="211" t="str">
        <f t="shared" ref="AM291:AM292" si="6813">IF(AM$3="","",AL291)</f>
        <v/>
      </c>
      <c r="AN291" s="211" t="str">
        <f t="shared" ref="AN291:AN292" si="6814">IF(AN$3="","",AM291)</f>
        <v/>
      </c>
      <c r="AO291" s="211" t="str">
        <f t="shared" ref="AO291:AO292" si="6815">IF(AO$3="","",AN291)</f>
        <v/>
      </c>
      <c r="AP291" s="211" t="str">
        <f t="shared" ref="AP291:AP292" si="6816">IF(AP$3="","",AO291)</f>
        <v/>
      </c>
      <c r="AQ291" s="211" t="str">
        <f t="shared" ref="AQ291:AQ292" si="6817">IF(AQ$3="","",AP291)</f>
        <v/>
      </c>
      <c r="AR291" s="211" t="str">
        <f t="shared" ref="AR291:AR292" si="6818">IF(AR$3="","",AQ291)</f>
        <v/>
      </c>
      <c r="AS291" s="211" t="str">
        <f t="shared" ref="AS291:AS292" si="6819">IF(AS$3="","",AR291)</f>
        <v/>
      </c>
      <c r="AT291" s="211" t="str">
        <f t="shared" ref="AT291:AT292" si="6820">IF(AT$3="","",AS291)</f>
        <v/>
      </c>
      <c r="AU291" s="211" t="str">
        <f t="shared" ref="AU291:AU292" si="6821">IF(AU$3="","",AT291)</f>
        <v/>
      </c>
      <c r="AV291" s="211" t="str">
        <f t="shared" ref="AV291:AV292" si="6822">IF(AV$3="","",AU291)</f>
        <v/>
      </c>
      <c r="AW291" s="211" t="str">
        <f t="shared" ref="AW291:AW292" si="6823">IF(AW$3="","",AV291)</f>
        <v/>
      </c>
      <c r="AX291" s="211" t="str">
        <f t="shared" ref="AX291:AX292" si="6824">IF(AX$3="","",AW291)</f>
        <v/>
      </c>
      <c r="AY291" s="211" t="str">
        <f t="shared" ref="AY291:AY292" si="6825">IF(AY$3="","",AX291)</f>
        <v/>
      </c>
      <c r="AZ291" s="211" t="str">
        <f t="shared" ref="AZ291:AZ292" si="6826">IF(AZ$3="","",AY291)</f>
        <v/>
      </c>
      <c r="BA291" s="211" t="str">
        <f t="shared" ref="BA291:BA292" si="6827">IF(BA$3="","",AZ291)</f>
        <v/>
      </c>
      <c r="BB291" s="211" t="str">
        <f t="shared" ref="BB291:BB292" si="6828">IF(BB$3="","",BA291)</f>
        <v/>
      </c>
      <c r="BC291" s="213" t="str">
        <f t="shared" ref="BC291:BC292" si="6829">IF(BC$3="","",BB291)</f>
        <v/>
      </c>
    </row>
    <row r="292" spans="1:55" ht="11.25" customHeight="1" x14ac:dyDescent="0.2">
      <c r="A292" s="214" t="s">
        <v>271</v>
      </c>
      <c r="B292" s="11" t="s">
        <v>4</v>
      </c>
      <c r="C292" s="123">
        <v>0</v>
      </c>
      <c r="D292" s="12">
        <v>0</v>
      </c>
      <c r="E292" s="12">
        <v>0</v>
      </c>
      <c r="F292" s="12">
        <v>0</v>
      </c>
      <c r="G292" s="195">
        <f t="shared" si="6782"/>
        <v>0</v>
      </c>
      <c r="H292" s="12">
        <f t="shared" si="6783"/>
        <v>0</v>
      </c>
      <c r="I292" s="12">
        <v>4</v>
      </c>
      <c r="J292" s="195">
        <f t="shared" si="6784"/>
        <v>4</v>
      </c>
      <c r="K292" s="12">
        <f t="shared" si="6785"/>
        <v>4</v>
      </c>
      <c r="L292" s="12">
        <f t="shared" si="6786"/>
        <v>4</v>
      </c>
      <c r="M292" s="12">
        <f t="shared" si="6787"/>
        <v>4</v>
      </c>
      <c r="N292" s="195" t="str">
        <f t="shared" si="6788"/>
        <v/>
      </c>
      <c r="O292" s="12" t="str">
        <f t="shared" si="6789"/>
        <v/>
      </c>
      <c r="P292" s="12" t="str">
        <f t="shared" si="6790"/>
        <v/>
      </c>
      <c r="Q292" s="12" t="str">
        <f t="shared" si="6791"/>
        <v/>
      </c>
      <c r="R292" s="12" t="str">
        <f t="shared" si="6792"/>
        <v/>
      </c>
      <c r="S292" s="12" t="str">
        <f t="shared" si="6793"/>
        <v/>
      </c>
      <c r="T292" s="12" t="str">
        <f t="shared" si="6794"/>
        <v/>
      </c>
      <c r="U292" s="12" t="str">
        <f t="shared" si="6795"/>
        <v/>
      </c>
      <c r="V292" s="12" t="str">
        <f t="shared" si="6796"/>
        <v/>
      </c>
      <c r="W292" s="12" t="str">
        <f t="shared" si="6797"/>
        <v/>
      </c>
      <c r="X292" s="12" t="str">
        <f t="shared" si="6798"/>
        <v/>
      </c>
      <c r="Y292" s="12" t="str">
        <f t="shared" si="6799"/>
        <v/>
      </c>
      <c r="Z292" s="12" t="str">
        <f t="shared" si="6800"/>
        <v/>
      </c>
      <c r="AA292" s="12" t="str">
        <f t="shared" si="6801"/>
        <v/>
      </c>
      <c r="AB292" s="12" t="str">
        <f t="shared" si="6802"/>
        <v/>
      </c>
      <c r="AC292" s="12" t="str">
        <f t="shared" si="6803"/>
        <v/>
      </c>
      <c r="AD292" s="12" t="str">
        <f t="shared" si="6804"/>
        <v/>
      </c>
      <c r="AE292" s="12" t="str">
        <f t="shared" si="6805"/>
        <v/>
      </c>
      <c r="AF292" s="12" t="str">
        <f t="shared" si="6806"/>
        <v/>
      </c>
      <c r="AG292" s="12" t="str">
        <f t="shared" si="6807"/>
        <v/>
      </c>
      <c r="AH292" s="12" t="str">
        <f t="shared" si="6808"/>
        <v/>
      </c>
      <c r="AI292" s="12" t="str">
        <f t="shared" si="6809"/>
        <v/>
      </c>
      <c r="AJ292" s="12" t="str">
        <f t="shared" si="6810"/>
        <v/>
      </c>
      <c r="AK292" s="12" t="str">
        <f t="shared" si="6811"/>
        <v/>
      </c>
      <c r="AL292" s="12" t="str">
        <f t="shared" si="6812"/>
        <v/>
      </c>
      <c r="AM292" s="12" t="str">
        <f t="shared" si="6813"/>
        <v/>
      </c>
      <c r="AN292" s="12" t="str">
        <f t="shared" si="6814"/>
        <v/>
      </c>
      <c r="AO292" s="12" t="str">
        <f t="shared" si="6815"/>
        <v/>
      </c>
      <c r="AP292" s="12" t="str">
        <f t="shared" si="6816"/>
        <v/>
      </c>
      <c r="AQ292" s="12" t="str">
        <f t="shared" si="6817"/>
        <v/>
      </c>
      <c r="AR292" s="12" t="str">
        <f t="shared" si="6818"/>
        <v/>
      </c>
      <c r="AS292" s="12" t="str">
        <f t="shared" si="6819"/>
        <v/>
      </c>
      <c r="AT292" s="12" t="str">
        <f t="shared" si="6820"/>
        <v/>
      </c>
      <c r="AU292" s="12" t="str">
        <f t="shared" si="6821"/>
        <v/>
      </c>
      <c r="AV292" s="12" t="str">
        <f t="shared" si="6822"/>
        <v/>
      </c>
      <c r="AW292" s="12" t="str">
        <f t="shared" si="6823"/>
        <v/>
      </c>
      <c r="AX292" s="12" t="str">
        <f t="shared" si="6824"/>
        <v/>
      </c>
      <c r="AY292" s="12" t="str">
        <f t="shared" si="6825"/>
        <v/>
      </c>
      <c r="AZ292" s="12" t="str">
        <f t="shared" si="6826"/>
        <v/>
      </c>
      <c r="BA292" s="12" t="str">
        <f t="shared" si="6827"/>
        <v/>
      </c>
      <c r="BB292" s="12" t="str">
        <f t="shared" si="6828"/>
        <v/>
      </c>
      <c r="BC292" s="215" t="str">
        <f t="shared" si="6829"/>
        <v/>
      </c>
    </row>
    <row r="293" spans="1:55" ht="11.25" customHeight="1" x14ac:dyDescent="0.25">
      <c r="A293" s="216">
        <v>1</v>
      </c>
      <c r="B293" s="11" t="s">
        <v>5</v>
      </c>
      <c r="C293" s="123">
        <v>20</v>
      </c>
      <c r="D293" s="12">
        <v>20</v>
      </c>
      <c r="E293" s="12">
        <v>20</v>
      </c>
      <c r="F293" s="12">
        <v>20</v>
      </c>
      <c r="G293" s="195">
        <f t="shared" ref="G293" si="6830">IF(G291="","",(F293+F294))</f>
        <v>20</v>
      </c>
      <c r="H293" s="12">
        <f t="shared" ref="H293" si="6831">IF(H291="","",(G293+G294))</f>
        <v>20</v>
      </c>
      <c r="I293" s="12">
        <v>19</v>
      </c>
      <c r="J293" s="195">
        <f t="shared" ref="J293" si="6832">IF(J291="","",(I293+I294))</f>
        <v>20</v>
      </c>
      <c r="K293" s="12">
        <f t="shared" ref="K293" si="6833">IF(K291="","",(J293+J294))</f>
        <v>20</v>
      </c>
      <c r="L293" s="12">
        <f t="shared" ref="L293" si="6834">IF(L291="","",(K293+K294))</f>
        <v>20</v>
      </c>
      <c r="M293" s="12">
        <f t="shared" ref="M293" si="6835">IF(M291="","",(L293+L294))</f>
        <v>20</v>
      </c>
      <c r="N293" s="195" t="str">
        <f t="shared" ref="N293" si="6836">IF(N291="","",(M293+M294))</f>
        <v/>
      </c>
      <c r="O293" s="12" t="str">
        <f t="shared" ref="O293" si="6837">IF(O291="","",(N293+N294))</f>
        <v/>
      </c>
      <c r="P293" s="12" t="str">
        <f t="shared" ref="P293" si="6838">IF(P291="","",(O293+O294))</f>
        <v/>
      </c>
      <c r="Q293" s="12" t="str">
        <f t="shared" ref="Q293" si="6839">IF(Q291="","",(P293+P294))</f>
        <v/>
      </c>
      <c r="R293" s="12" t="str">
        <f t="shared" ref="R293" si="6840">IF(R291="","",(Q293+Q294))</f>
        <v/>
      </c>
      <c r="S293" s="12" t="str">
        <f t="shared" ref="S293" si="6841">IF(S291="","",(R293+R294))</f>
        <v/>
      </c>
      <c r="T293" s="12" t="str">
        <f t="shared" ref="T293" si="6842">IF(T291="","",(S293+S294))</f>
        <v/>
      </c>
      <c r="U293" s="12" t="str">
        <f t="shared" ref="U293" si="6843">IF(U291="","",(T293+T294))</f>
        <v/>
      </c>
      <c r="V293" s="12" t="str">
        <f t="shared" ref="V293" si="6844">IF(V291="","",(U293+U294))</f>
        <v/>
      </c>
      <c r="W293" s="12" t="str">
        <f t="shared" ref="W293" si="6845">IF(W291="","",(V293+V294))</f>
        <v/>
      </c>
      <c r="X293" s="12" t="str">
        <f t="shared" ref="X293" si="6846">IF(X291="","",(W293+W294))</f>
        <v/>
      </c>
      <c r="Y293" s="12" t="str">
        <f t="shared" ref="Y293" si="6847">IF(Y291="","",(X293+X294))</f>
        <v/>
      </c>
      <c r="Z293" s="12" t="str">
        <f t="shared" ref="Z293" si="6848">IF(Z291="","",(Y293+Y294))</f>
        <v/>
      </c>
      <c r="AA293" s="12" t="str">
        <f t="shared" ref="AA293" si="6849">IF(AA291="","",(Z293+Z294))</f>
        <v/>
      </c>
      <c r="AB293" s="12" t="str">
        <f t="shared" ref="AB293" si="6850">IF(AB291="","",(AA293+AA294))</f>
        <v/>
      </c>
      <c r="AC293" s="12" t="str">
        <f t="shared" ref="AC293" si="6851">IF(AC291="","",(AB293+AB294))</f>
        <v/>
      </c>
      <c r="AD293" s="12" t="str">
        <f t="shared" ref="AD293" si="6852">IF(AD291="","",(AC293+AC294))</f>
        <v/>
      </c>
      <c r="AE293" s="12" t="str">
        <f t="shared" ref="AE293" si="6853">IF(AE291="","",(AD293+AD294))</f>
        <v/>
      </c>
      <c r="AF293" s="12" t="str">
        <f t="shared" ref="AF293" si="6854">IF(AF291="","",(AE293+AE294))</f>
        <v/>
      </c>
      <c r="AG293" s="12" t="str">
        <f t="shared" ref="AG293" si="6855">IF(AG291="","",(AF293+AF294))</f>
        <v/>
      </c>
      <c r="AH293" s="12" t="str">
        <f t="shared" ref="AH293" si="6856">IF(AH291="","",(AG293+AG294))</f>
        <v/>
      </c>
      <c r="AI293" s="12" t="str">
        <f t="shared" ref="AI293" si="6857">IF(AI291="","",(AH293+AH294))</f>
        <v/>
      </c>
      <c r="AJ293" s="12" t="str">
        <f t="shared" ref="AJ293" si="6858">IF(AJ291="","",(AI293+AI294))</f>
        <v/>
      </c>
      <c r="AK293" s="12" t="str">
        <f t="shared" ref="AK293" si="6859">IF(AK291="","",(AJ293+AJ294))</f>
        <v/>
      </c>
      <c r="AL293" s="12" t="str">
        <f t="shared" ref="AL293" si="6860">IF(AL291="","",(AK293+AK294))</f>
        <v/>
      </c>
      <c r="AM293" s="12" t="str">
        <f t="shared" ref="AM293" si="6861">IF(AM291="","",(AL293+AL294))</f>
        <v/>
      </c>
      <c r="AN293" s="12" t="str">
        <f t="shared" ref="AN293" si="6862">IF(AN291="","",(AM293+AM294))</f>
        <v/>
      </c>
      <c r="AO293" s="12" t="str">
        <f t="shared" ref="AO293" si="6863">IF(AO291="","",(AN293+AN294))</f>
        <v/>
      </c>
      <c r="AP293" s="12" t="str">
        <f t="shared" ref="AP293" si="6864">IF(AP291="","",(AO293+AO294))</f>
        <v/>
      </c>
      <c r="AQ293" s="12" t="str">
        <f t="shared" ref="AQ293" si="6865">IF(AQ291="","",(AP293+AP294))</f>
        <v/>
      </c>
      <c r="AR293" s="12" t="str">
        <f t="shared" ref="AR293" si="6866">IF(AR291="","",(AQ293+AQ294))</f>
        <v/>
      </c>
      <c r="AS293" s="12" t="str">
        <f t="shared" ref="AS293" si="6867">IF(AS291="","",(AR293+AR294))</f>
        <v/>
      </c>
      <c r="AT293" s="12" t="str">
        <f t="shared" ref="AT293" si="6868">IF(AT291="","",(AS293+AS294))</f>
        <v/>
      </c>
      <c r="AU293" s="12" t="str">
        <f t="shared" ref="AU293" si="6869">IF(AU291="","",(AT293+AT294))</f>
        <v/>
      </c>
      <c r="AV293" s="12" t="str">
        <f t="shared" ref="AV293" si="6870">IF(AV291="","",(AU293+AU294))</f>
        <v/>
      </c>
      <c r="AW293" s="12" t="str">
        <f t="shared" ref="AW293" si="6871">IF(AW291="","",(AV293+AV294))</f>
        <v/>
      </c>
      <c r="AX293" s="12" t="str">
        <f t="shared" ref="AX293" si="6872">IF(AX291="","",(AW293+AW294))</f>
        <v/>
      </c>
      <c r="AY293" s="12" t="str">
        <f t="shared" ref="AY293" si="6873">IF(AY291="","",(AX293+AX294))</f>
        <v/>
      </c>
      <c r="AZ293" s="12" t="str">
        <f t="shared" ref="AZ293" si="6874">IF(AZ291="","",(AY293+AY294))</f>
        <v/>
      </c>
      <c r="BA293" s="12" t="str">
        <f t="shared" ref="BA293" si="6875">IF(BA291="","",(AZ293+AZ294))</f>
        <v/>
      </c>
      <c r="BB293" s="12" t="str">
        <f t="shared" ref="BB293" si="6876">IF(BB291="","",(BA293+BA294))</f>
        <v/>
      </c>
      <c r="BC293" s="215" t="str">
        <f t="shared" ref="BC293" si="6877">IF(BC291="","",(BB293+BB294))</f>
        <v/>
      </c>
    </row>
    <row r="294" spans="1:55" ht="11.25" customHeight="1" x14ac:dyDescent="0.25">
      <c r="A294" s="217" t="s">
        <v>20</v>
      </c>
      <c r="B294" s="11" t="s">
        <v>6</v>
      </c>
      <c r="C294" s="123"/>
      <c r="D294" s="12"/>
      <c r="E294" s="12"/>
      <c r="F294" s="12"/>
      <c r="G294" s="195"/>
      <c r="H294" s="12"/>
      <c r="I294" s="12">
        <v>1</v>
      </c>
      <c r="J294" s="195"/>
      <c r="K294" s="12"/>
      <c r="L294" s="12"/>
      <c r="M294" s="12"/>
      <c r="N294" s="195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215"/>
    </row>
    <row r="295" spans="1:55" ht="11.25" customHeight="1" x14ac:dyDescent="0.25">
      <c r="A295" s="218">
        <f>+(A298+A310+A322+A334)*100</f>
        <v>15100</v>
      </c>
      <c r="B295" s="11" t="s">
        <v>8</v>
      </c>
      <c r="C295" s="129">
        <v>860</v>
      </c>
      <c r="D295" s="206">
        <v>860</v>
      </c>
      <c r="E295" s="206">
        <v>860</v>
      </c>
      <c r="F295" s="206">
        <v>860</v>
      </c>
      <c r="G295" s="207">
        <f t="shared" ref="G295" si="6878">IF(G291="","",F295)</f>
        <v>860</v>
      </c>
      <c r="H295" s="206">
        <f t="shared" ref="H295" si="6879">IF(H291="","",G295)</f>
        <v>860</v>
      </c>
      <c r="I295" s="206">
        <f t="shared" ref="I295" si="6880">IF(I291="","",H295)</f>
        <v>860</v>
      </c>
      <c r="J295" s="207">
        <f t="shared" ref="J295" si="6881">IF(J291="","",I295)</f>
        <v>860</v>
      </c>
      <c r="K295" s="206">
        <f t="shared" ref="K295" si="6882">IF(K291="","",J295)</f>
        <v>860</v>
      </c>
      <c r="L295" s="206">
        <f t="shared" ref="L295" si="6883">IF(L291="","",K295)</f>
        <v>860</v>
      </c>
      <c r="M295" s="206">
        <f t="shared" ref="M295" si="6884">IF(M291="","",L295)</f>
        <v>860</v>
      </c>
      <c r="N295" s="207" t="str">
        <f t="shared" ref="N295" si="6885">IF(N291="","",M295)</f>
        <v/>
      </c>
      <c r="O295" s="206" t="str">
        <f t="shared" ref="O295" si="6886">IF(O291="","",N295)</f>
        <v/>
      </c>
      <c r="P295" s="206" t="str">
        <f t="shared" ref="P295" si="6887">IF(P291="","",O295)</f>
        <v/>
      </c>
      <c r="Q295" s="206" t="str">
        <f t="shared" ref="Q295" si="6888">IF(Q291="","",P295)</f>
        <v/>
      </c>
      <c r="R295" s="206" t="str">
        <f t="shared" ref="R295" si="6889">IF(R291="","",Q295)</f>
        <v/>
      </c>
      <c r="S295" s="206" t="str">
        <f t="shared" ref="S295" si="6890">IF(S291="","",R295)</f>
        <v/>
      </c>
      <c r="T295" s="206" t="str">
        <f t="shared" ref="T295" si="6891">IF(T291="","",S295)</f>
        <v/>
      </c>
      <c r="U295" s="206" t="str">
        <f t="shared" ref="U295" si="6892">IF(U291="","",T295)</f>
        <v/>
      </c>
      <c r="V295" s="206" t="str">
        <f t="shared" ref="V295" si="6893">IF(V291="","",U295)</f>
        <v/>
      </c>
      <c r="W295" s="206" t="str">
        <f t="shared" ref="W295" si="6894">IF(W291="","",V295)</f>
        <v/>
      </c>
      <c r="X295" s="206" t="str">
        <f t="shared" ref="X295" si="6895">IF(X291="","",W295)</f>
        <v/>
      </c>
      <c r="Y295" s="206" t="str">
        <f t="shared" ref="Y295" si="6896">IF(Y291="","",X295)</f>
        <v/>
      </c>
      <c r="Z295" s="206" t="str">
        <f t="shared" ref="Z295" si="6897">IF(Z291="","",Y295)</f>
        <v/>
      </c>
      <c r="AA295" s="206" t="str">
        <f t="shared" ref="AA295" si="6898">IF(AA291="","",Z295)</f>
        <v/>
      </c>
      <c r="AB295" s="206" t="str">
        <f t="shared" ref="AB295" si="6899">IF(AB291="","",AA295)</f>
        <v/>
      </c>
      <c r="AC295" s="206" t="str">
        <f t="shared" ref="AC295" si="6900">IF(AC291="","",AB295)</f>
        <v/>
      </c>
      <c r="AD295" s="206" t="str">
        <f t="shared" ref="AD295" si="6901">IF(AD291="","",AC295)</f>
        <v/>
      </c>
      <c r="AE295" s="206" t="str">
        <f t="shared" ref="AE295" si="6902">IF(AE291="","",AD295)</f>
        <v/>
      </c>
      <c r="AF295" s="206" t="str">
        <f t="shared" ref="AF295" si="6903">IF(AF291="","",AE295)</f>
        <v/>
      </c>
      <c r="AG295" s="206" t="str">
        <f t="shared" ref="AG295" si="6904">IF(AG291="","",AF295)</f>
        <v/>
      </c>
      <c r="AH295" s="206" t="str">
        <f t="shared" ref="AH295" si="6905">IF(AH291="","",AG295)</f>
        <v/>
      </c>
      <c r="AI295" s="206" t="str">
        <f t="shared" ref="AI295" si="6906">IF(AI291="","",AH295)</f>
        <v/>
      </c>
      <c r="AJ295" s="206" t="str">
        <f t="shared" ref="AJ295" si="6907">IF(AJ291="","",AI295)</f>
        <v/>
      </c>
      <c r="AK295" s="206" t="str">
        <f t="shared" ref="AK295" si="6908">IF(AK291="","",AJ295)</f>
        <v/>
      </c>
      <c r="AL295" s="206" t="str">
        <f t="shared" ref="AL295" si="6909">IF(AL291="","",AK295)</f>
        <v/>
      </c>
      <c r="AM295" s="206" t="str">
        <f t="shared" ref="AM295" si="6910">IF(AM291="","",AL295)</f>
        <v/>
      </c>
      <c r="AN295" s="206" t="str">
        <f t="shared" ref="AN295" si="6911">IF(AN291="","",AM295)</f>
        <v/>
      </c>
      <c r="AO295" s="206" t="str">
        <f t="shared" ref="AO295" si="6912">IF(AO291="","",AN295)</f>
        <v/>
      </c>
      <c r="AP295" s="206" t="str">
        <f t="shared" ref="AP295" si="6913">IF(AP291="","",AO295)</f>
        <v/>
      </c>
      <c r="AQ295" s="206" t="str">
        <f t="shared" ref="AQ295" si="6914">IF(AQ291="","",AP295)</f>
        <v/>
      </c>
      <c r="AR295" s="206" t="str">
        <f t="shared" ref="AR295" si="6915">IF(AR291="","",AQ295)</f>
        <v/>
      </c>
      <c r="AS295" s="206" t="str">
        <f t="shared" ref="AS295" si="6916">IF(AS291="","",AR295)</f>
        <v/>
      </c>
      <c r="AT295" s="206" t="str">
        <f t="shared" ref="AT295" si="6917">IF(AT291="","",AS295)</f>
        <v/>
      </c>
      <c r="AU295" s="206" t="str">
        <f t="shared" ref="AU295" si="6918">IF(AU291="","",AT295)</f>
        <v/>
      </c>
      <c r="AV295" s="206" t="str">
        <f t="shared" ref="AV295" si="6919">IF(AV291="","",AU295)</f>
        <v/>
      </c>
      <c r="AW295" s="206" t="str">
        <f t="shared" ref="AW295" si="6920">IF(AW291="","",AV295)</f>
        <v/>
      </c>
      <c r="AX295" s="206" t="str">
        <f t="shared" ref="AX295" si="6921">IF(AX291="","",AW295)</f>
        <v/>
      </c>
      <c r="AY295" s="206" t="str">
        <f t="shared" ref="AY295" si="6922">IF(AY291="","",AX295)</f>
        <v/>
      </c>
      <c r="AZ295" s="206" t="str">
        <f t="shared" ref="AZ295" si="6923">IF(AZ291="","",AY295)</f>
        <v/>
      </c>
      <c r="BA295" s="206" t="str">
        <f t="shared" ref="BA295" si="6924">IF(BA291="","",AZ295)</f>
        <v/>
      </c>
      <c r="BB295" s="206" t="str">
        <f t="shared" ref="BB295" si="6925">IF(BB291="","",BA295)</f>
        <v/>
      </c>
      <c r="BC295" s="219" t="str">
        <f t="shared" ref="BC295" si="6926">IF(BC291="","",BB295)</f>
        <v/>
      </c>
    </row>
    <row r="296" spans="1:55" ht="11.25" customHeight="1" x14ac:dyDescent="0.2">
      <c r="A296" s="220" t="s">
        <v>9</v>
      </c>
      <c r="B296" s="17" t="s">
        <v>10</v>
      </c>
      <c r="C296" s="133" t="s">
        <v>228</v>
      </c>
      <c r="D296" s="18" t="s">
        <v>228</v>
      </c>
      <c r="E296" s="18" t="s">
        <v>228</v>
      </c>
      <c r="F296" s="18" t="s">
        <v>228</v>
      </c>
      <c r="G296" s="197" t="str">
        <f t="shared" ref="G296" si="6927">IF(G291="","",F296)</f>
        <v>ベアブリック</v>
      </c>
      <c r="H296" s="18" t="str">
        <f t="shared" ref="H296" si="6928">IF(H291="","",G296)</f>
        <v>ベアブリック</v>
      </c>
      <c r="I296" s="18" t="str">
        <f t="shared" ref="I296" si="6929">IF(I291="","",H296)</f>
        <v>ベアブリック</v>
      </c>
      <c r="J296" s="197" t="str">
        <f t="shared" ref="J296" si="6930">IF(J291="","",I296)</f>
        <v>ベアブリック</v>
      </c>
      <c r="K296" s="18" t="str">
        <f t="shared" ref="K296" si="6931">IF(K291="","",J296)</f>
        <v>ベアブリック</v>
      </c>
      <c r="L296" s="18" t="str">
        <f t="shared" ref="L296" si="6932">IF(L291="","",K296)</f>
        <v>ベアブリック</v>
      </c>
      <c r="M296" s="18" t="str">
        <f t="shared" ref="M296" si="6933">IF(M291="","",L296)</f>
        <v>ベアブリック</v>
      </c>
      <c r="N296" s="197" t="str">
        <f t="shared" ref="N296" si="6934">IF(N291="","",M296)</f>
        <v/>
      </c>
      <c r="O296" s="18" t="str">
        <f t="shared" ref="O296" si="6935">IF(O291="","",N296)</f>
        <v/>
      </c>
      <c r="P296" s="18" t="str">
        <f t="shared" ref="P296" si="6936">IF(P291="","",O296)</f>
        <v/>
      </c>
      <c r="Q296" s="18" t="str">
        <f t="shared" ref="Q296" si="6937">IF(Q291="","",P296)</f>
        <v/>
      </c>
      <c r="R296" s="18" t="str">
        <f t="shared" ref="R296" si="6938">IF(R291="","",Q296)</f>
        <v/>
      </c>
      <c r="S296" s="18" t="str">
        <f t="shared" ref="S296" si="6939">IF(S291="","",R296)</f>
        <v/>
      </c>
      <c r="T296" s="18" t="str">
        <f t="shared" ref="T296" si="6940">IF(T291="","",S296)</f>
        <v/>
      </c>
      <c r="U296" s="18" t="str">
        <f t="shared" ref="U296" si="6941">IF(U291="","",T296)</f>
        <v/>
      </c>
      <c r="V296" s="18" t="str">
        <f t="shared" ref="V296" si="6942">IF(V291="","",U296)</f>
        <v/>
      </c>
      <c r="W296" s="18" t="str">
        <f t="shared" ref="W296" si="6943">IF(W291="","",V296)</f>
        <v/>
      </c>
      <c r="X296" s="18" t="str">
        <f t="shared" ref="X296" si="6944">IF(X291="","",W296)</f>
        <v/>
      </c>
      <c r="Y296" s="18" t="str">
        <f t="shared" ref="Y296" si="6945">IF(Y291="","",X296)</f>
        <v/>
      </c>
      <c r="Z296" s="18" t="str">
        <f t="shared" ref="Z296" si="6946">IF(Z291="","",Y296)</f>
        <v/>
      </c>
      <c r="AA296" s="18" t="str">
        <f t="shared" ref="AA296" si="6947">IF(AA291="","",Z296)</f>
        <v/>
      </c>
      <c r="AB296" s="18" t="str">
        <f t="shared" ref="AB296" si="6948">IF(AB291="","",AA296)</f>
        <v/>
      </c>
      <c r="AC296" s="18" t="str">
        <f t="shared" ref="AC296" si="6949">IF(AC291="","",AB296)</f>
        <v/>
      </c>
      <c r="AD296" s="18" t="str">
        <f t="shared" ref="AD296" si="6950">IF(AD291="","",AC296)</f>
        <v/>
      </c>
      <c r="AE296" s="18" t="str">
        <f t="shared" ref="AE296" si="6951">IF(AE291="","",AD296)</f>
        <v/>
      </c>
      <c r="AF296" s="18" t="str">
        <f t="shared" ref="AF296" si="6952">IF(AF291="","",AE296)</f>
        <v/>
      </c>
      <c r="AG296" s="18" t="str">
        <f t="shared" ref="AG296" si="6953">IF(AG291="","",AF296)</f>
        <v/>
      </c>
      <c r="AH296" s="18" t="str">
        <f t="shared" ref="AH296" si="6954">IF(AH291="","",AG296)</f>
        <v/>
      </c>
      <c r="AI296" s="18" t="str">
        <f t="shared" ref="AI296" si="6955">IF(AI291="","",AH296)</f>
        <v/>
      </c>
      <c r="AJ296" s="18" t="str">
        <f t="shared" ref="AJ296" si="6956">IF(AJ291="","",AI296)</f>
        <v/>
      </c>
      <c r="AK296" s="18" t="str">
        <f t="shared" ref="AK296" si="6957">IF(AK291="","",AJ296)</f>
        <v/>
      </c>
      <c r="AL296" s="18" t="str">
        <f t="shared" ref="AL296" si="6958">IF(AL291="","",AK296)</f>
        <v/>
      </c>
      <c r="AM296" s="18" t="str">
        <f t="shared" ref="AM296" si="6959">IF(AM291="","",AL296)</f>
        <v/>
      </c>
      <c r="AN296" s="18" t="str">
        <f t="shared" ref="AN296" si="6960">IF(AN291="","",AM296)</f>
        <v/>
      </c>
      <c r="AO296" s="18" t="str">
        <f t="shared" ref="AO296" si="6961">IF(AO291="","",AN296)</f>
        <v/>
      </c>
      <c r="AP296" s="18" t="str">
        <f t="shared" ref="AP296" si="6962">IF(AP291="","",AO296)</f>
        <v/>
      </c>
      <c r="AQ296" s="18" t="str">
        <f t="shared" ref="AQ296" si="6963">IF(AQ291="","",AP296)</f>
        <v/>
      </c>
      <c r="AR296" s="18" t="str">
        <f t="shared" ref="AR296" si="6964">IF(AR291="","",AQ296)</f>
        <v/>
      </c>
      <c r="AS296" s="18" t="str">
        <f t="shared" ref="AS296" si="6965">IF(AS291="","",AR296)</f>
        <v/>
      </c>
      <c r="AT296" s="18" t="str">
        <f t="shared" ref="AT296" si="6966">IF(AT291="","",AS296)</f>
        <v/>
      </c>
      <c r="AU296" s="18" t="str">
        <f t="shared" ref="AU296" si="6967">IF(AU291="","",AT296)</f>
        <v/>
      </c>
      <c r="AV296" s="18" t="str">
        <f t="shared" ref="AV296" si="6968">IF(AV291="","",AU296)</f>
        <v/>
      </c>
      <c r="AW296" s="18" t="str">
        <f t="shared" ref="AW296" si="6969">IF(AW291="","",AV296)</f>
        <v/>
      </c>
      <c r="AX296" s="18" t="str">
        <f t="shared" ref="AX296" si="6970">IF(AX291="","",AW296)</f>
        <v/>
      </c>
      <c r="AY296" s="18" t="str">
        <f t="shared" ref="AY296" si="6971">IF(AY291="","",AX296)</f>
        <v/>
      </c>
      <c r="AZ296" s="18" t="str">
        <f t="shared" ref="AZ296" si="6972">IF(AZ291="","",AY296)</f>
        <v/>
      </c>
      <c r="BA296" s="18" t="str">
        <f t="shared" ref="BA296" si="6973">IF(BA291="","",AZ296)</f>
        <v/>
      </c>
      <c r="BB296" s="18" t="str">
        <f t="shared" ref="BB296" si="6974">IF(BB291="","",BA296)</f>
        <v/>
      </c>
      <c r="BC296" s="221" t="str">
        <f t="shared" ref="BC296" si="6975">IF(BC291="","",BB296)</f>
        <v/>
      </c>
    </row>
    <row r="297" spans="1:55" ht="11.25" customHeight="1" x14ac:dyDescent="0.2">
      <c r="A297" s="222">
        <f>AVERAGE(C298:AS298)*30*100</f>
        <v>11454.545454545454</v>
      </c>
      <c r="B297" s="11" t="s">
        <v>12</v>
      </c>
      <c r="C297" s="123"/>
      <c r="D297" s="12"/>
      <c r="E297" s="12"/>
      <c r="F297" s="12"/>
      <c r="G297" s="195"/>
      <c r="H297" s="12"/>
      <c r="I297" s="12"/>
      <c r="J297" s="195"/>
      <c r="K297" s="12"/>
      <c r="L297" s="12"/>
      <c r="M297" s="12"/>
      <c r="N297" s="195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215"/>
    </row>
    <row r="298" spans="1:55" ht="11.25" customHeight="1" x14ac:dyDescent="0.2">
      <c r="A298" s="222">
        <f t="shared" ref="A298:A301" si="6976">SUM(C298:AS298)</f>
        <v>42</v>
      </c>
      <c r="B298" s="19" t="s">
        <v>13</v>
      </c>
      <c r="C298" s="123">
        <v>0</v>
      </c>
      <c r="D298" s="20">
        <v>0</v>
      </c>
      <c r="E298" s="20">
        <v>0</v>
      </c>
      <c r="F298" s="20">
        <v>0</v>
      </c>
      <c r="G298" s="195">
        <f t="shared" ref="G298:G299" si="6977">IF(G291="","",G291-F291)</f>
        <v>0</v>
      </c>
      <c r="H298" s="20">
        <f t="shared" ref="H298:H299" si="6978">IF(H291="","",H291-G291)</f>
        <v>0</v>
      </c>
      <c r="I298" s="20">
        <f t="shared" ref="I298:I299" si="6979">IF(I291="","",I291-H291)</f>
        <v>42</v>
      </c>
      <c r="J298" s="195">
        <f t="shared" ref="J298:J299" si="6980">IF(J291="","",J291-I291)</f>
        <v>0</v>
      </c>
      <c r="K298" s="20">
        <f t="shared" ref="K298:K299" si="6981">IF(K291="","",K291-J291)</f>
        <v>0</v>
      </c>
      <c r="L298" s="20">
        <f t="shared" ref="L298:L299" si="6982">IF(L291="","",L291-K291)</f>
        <v>0</v>
      </c>
      <c r="M298" s="20">
        <f t="shared" ref="M298:M299" si="6983">IF(M291="","",M291-L291)</f>
        <v>0</v>
      </c>
      <c r="N298" s="195" t="str">
        <f t="shared" ref="N298:N299" si="6984">IF(N291="","",N291-M291)</f>
        <v/>
      </c>
      <c r="O298" s="20" t="str">
        <f t="shared" ref="O298:O299" si="6985">IF(O291="","",O291-N291)</f>
        <v/>
      </c>
      <c r="P298" s="20" t="str">
        <f t="shared" ref="P298:P299" si="6986">IF(P291="","",P291-O291)</f>
        <v/>
      </c>
      <c r="Q298" s="20" t="str">
        <f t="shared" ref="Q298:Q299" si="6987">IF(Q291="","",Q291-P291)</f>
        <v/>
      </c>
      <c r="R298" s="20" t="str">
        <f t="shared" ref="R298:R299" si="6988">IF(R291="","",R291-Q291)</f>
        <v/>
      </c>
      <c r="S298" s="20" t="str">
        <f t="shared" ref="S298:S299" si="6989">IF(S291="","",S291-R291)</f>
        <v/>
      </c>
      <c r="T298" s="20" t="str">
        <f t="shared" ref="T298:T299" si="6990">IF(T291="","",T291-S291)</f>
        <v/>
      </c>
      <c r="U298" s="20" t="str">
        <f t="shared" ref="U298:U299" si="6991">IF(U291="","",U291-T291)</f>
        <v/>
      </c>
      <c r="V298" s="20" t="str">
        <f t="shared" ref="V298:V299" si="6992">IF(V291="","",V291-U291)</f>
        <v/>
      </c>
      <c r="W298" s="20" t="str">
        <f t="shared" ref="W298:W299" si="6993">IF(W291="","",W291-V291)</f>
        <v/>
      </c>
      <c r="X298" s="20" t="str">
        <f t="shared" ref="X298:X299" si="6994">IF(X291="","",X291-W291)</f>
        <v/>
      </c>
      <c r="Y298" s="20" t="str">
        <f t="shared" ref="Y298:Y299" si="6995">IF(Y291="","",Y291-X291)</f>
        <v/>
      </c>
      <c r="Z298" s="20" t="str">
        <f t="shared" ref="Z298:Z299" si="6996">IF(Z291="","",Z291-Y291)</f>
        <v/>
      </c>
      <c r="AA298" s="20" t="str">
        <f t="shared" ref="AA298:AA299" si="6997">IF(AA291="","",AA291-Z291)</f>
        <v/>
      </c>
      <c r="AB298" s="20" t="str">
        <f t="shared" ref="AB298:AB299" si="6998">IF(AB291="","",AB291-AA291)</f>
        <v/>
      </c>
      <c r="AC298" s="20" t="str">
        <f t="shared" ref="AC298:AC299" si="6999">IF(AC291="","",AC291-AB291)</f>
        <v/>
      </c>
      <c r="AD298" s="20" t="str">
        <f t="shared" ref="AD298:AD299" si="7000">IF(AD291="","",AD291-AC291)</f>
        <v/>
      </c>
      <c r="AE298" s="20" t="str">
        <f t="shared" ref="AE298:AE299" si="7001">IF(AE291="","",AE291-AD291)</f>
        <v/>
      </c>
      <c r="AF298" s="20" t="str">
        <f t="shared" ref="AF298:AF299" si="7002">IF(AF291="","",AF291-AE291)</f>
        <v/>
      </c>
      <c r="AG298" s="20" t="str">
        <f t="shared" ref="AG298:AG299" si="7003">IF(AG291="","",AG291-AF291)</f>
        <v/>
      </c>
      <c r="AH298" s="20" t="str">
        <f t="shared" ref="AH298:AH299" si="7004">IF(AH291="","",AH291-AG291)</f>
        <v/>
      </c>
      <c r="AI298" s="20" t="str">
        <f t="shared" ref="AI298:AI299" si="7005">IF(AI291="","",AI291-AH291)</f>
        <v/>
      </c>
      <c r="AJ298" s="20" t="str">
        <f t="shared" ref="AJ298:AJ299" si="7006">IF(AJ291="","",AJ291-AI291)</f>
        <v/>
      </c>
      <c r="AK298" s="20" t="str">
        <f t="shared" ref="AK298:AK299" si="7007">IF(AK291="","",AK291-AJ291)</f>
        <v/>
      </c>
      <c r="AL298" s="20" t="str">
        <f t="shared" ref="AL298:AL299" si="7008">IF(AL291="","",AL291-AK291)</f>
        <v/>
      </c>
      <c r="AM298" s="20" t="str">
        <f t="shared" ref="AM298:AM299" si="7009">IF(AM291="","",AM291-AL291)</f>
        <v/>
      </c>
      <c r="AN298" s="20" t="str">
        <f t="shared" ref="AN298:AN299" si="7010">IF(AN291="","",AN291-AM291)</f>
        <v/>
      </c>
      <c r="AO298" s="20" t="str">
        <f t="shared" ref="AO298:AO299" si="7011">IF(AO291="","",AO291-AN291)</f>
        <v/>
      </c>
      <c r="AP298" s="20" t="str">
        <f t="shared" ref="AP298:AP299" si="7012">IF(AP291="","",AP291-AO291)</f>
        <v/>
      </c>
      <c r="AQ298" s="20" t="str">
        <f t="shared" ref="AQ298:AQ299" si="7013">IF(AQ291="","",AQ291-AP291)</f>
        <v/>
      </c>
      <c r="AR298" s="20" t="str">
        <f t="shared" ref="AR298:AR299" si="7014">IF(AR291="","",AR291-AQ291)</f>
        <v/>
      </c>
      <c r="AS298" s="20" t="str">
        <f t="shared" ref="AS298:AS299" si="7015">IF(AS291="","",AS291-AR291)</f>
        <v/>
      </c>
      <c r="AT298" s="20" t="str">
        <f t="shared" ref="AT298:AT299" si="7016">IF(AT291="","",AT291-AS291)</f>
        <v/>
      </c>
      <c r="AU298" s="20" t="str">
        <f t="shared" ref="AU298:AU299" si="7017">IF(AU291="","",AU291-AT291)</f>
        <v/>
      </c>
      <c r="AV298" s="20" t="str">
        <f t="shared" ref="AV298:AV299" si="7018">IF(AV291="","",AV291-AU291)</f>
        <v/>
      </c>
      <c r="AW298" s="20" t="str">
        <f t="shared" ref="AW298:AW299" si="7019">IF(AW291="","",AW291-AV291)</f>
        <v/>
      </c>
      <c r="AX298" s="20" t="str">
        <f t="shared" ref="AX298:AX299" si="7020">IF(AX291="","",AX291-AW291)</f>
        <v/>
      </c>
      <c r="AY298" s="20" t="str">
        <f t="shared" ref="AY298:AY299" si="7021">IF(AY291="","",AY291-AX291)</f>
        <v/>
      </c>
      <c r="AZ298" s="20" t="str">
        <f t="shared" ref="AZ298:AZ299" si="7022">IF(AZ291="","",AZ291-AY291)</f>
        <v/>
      </c>
      <c r="BA298" s="20" t="str">
        <f t="shared" ref="BA298:BA299" si="7023">IF(BA291="","",BA291-AZ291)</f>
        <v/>
      </c>
      <c r="BB298" s="20" t="str">
        <f t="shared" ref="BB298:BB299" si="7024">IF(BB291="","",BB291-BA291)</f>
        <v/>
      </c>
      <c r="BC298" s="223" t="str">
        <f t="shared" ref="BC298:BC299" si="7025">IF(BC291="","",BC291-BB291)</f>
        <v/>
      </c>
    </row>
    <row r="299" spans="1:55" ht="11.25" customHeight="1" x14ac:dyDescent="0.2">
      <c r="A299" s="222">
        <f t="shared" si="6976"/>
        <v>4</v>
      </c>
      <c r="B299" s="19" t="s">
        <v>14</v>
      </c>
      <c r="C299" s="123">
        <v>0</v>
      </c>
      <c r="D299" s="20">
        <v>0</v>
      </c>
      <c r="E299" s="20">
        <v>0</v>
      </c>
      <c r="F299" s="20">
        <v>0</v>
      </c>
      <c r="G299" s="195">
        <f t="shared" si="6977"/>
        <v>0</v>
      </c>
      <c r="H299" s="20">
        <f t="shared" si="6978"/>
        <v>0</v>
      </c>
      <c r="I299" s="20">
        <f t="shared" si="6979"/>
        <v>4</v>
      </c>
      <c r="J299" s="195">
        <f t="shared" si="6980"/>
        <v>0</v>
      </c>
      <c r="K299" s="20">
        <f t="shared" si="6981"/>
        <v>0</v>
      </c>
      <c r="L299" s="20">
        <f t="shared" si="6982"/>
        <v>0</v>
      </c>
      <c r="M299" s="20">
        <f t="shared" si="6983"/>
        <v>0</v>
      </c>
      <c r="N299" s="195" t="str">
        <f t="shared" si="6984"/>
        <v/>
      </c>
      <c r="O299" s="20" t="str">
        <f t="shared" si="6985"/>
        <v/>
      </c>
      <c r="P299" s="20" t="str">
        <f t="shared" si="6986"/>
        <v/>
      </c>
      <c r="Q299" s="20" t="str">
        <f t="shared" si="6987"/>
        <v/>
      </c>
      <c r="R299" s="20" t="str">
        <f t="shared" si="6988"/>
        <v/>
      </c>
      <c r="S299" s="20" t="str">
        <f t="shared" si="6989"/>
        <v/>
      </c>
      <c r="T299" s="20" t="str">
        <f t="shared" si="6990"/>
        <v/>
      </c>
      <c r="U299" s="20" t="str">
        <f t="shared" si="6991"/>
        <v/>
      </c>
      <c r="V299" s="20" t="str">
        <f t="shared" si="6992"/>
        <v/>
      </c>
      <c r="W299" s="20" t="str">
        <f t="shared" si="6993"/>
        <v/>
      </c>
      <c r="X299" s="20" t="str">
        <f t="shared" si="6994"/>
        <v/>
      </c>
      <c r="Y299" s="20" t="str">
        <f t="shared" si="6995"/>
        <v/>
      </c>
      <c r="Z299" s="20" t="str">
        <f t="shared" si="6996"/>
        <v/>
      </c>
      <c r="AA299" s="20" t="str">
        <f t="shared" si="6997"/>
        <v/>
      </c>
      <c r="AB299" s="20" t="str">
        <f t="shared" si="6998"/>
        <v/>
      </c>
      <c r="AC299" s="20" t="str">
        <f t="shared" si="6999"/>
        <v/>
      </c>
      <c r="AD299" s="20" t="str">
        <f t="shared" si="7000"/>
        <v/>
      </c>
      <c r="AE299" s="20" t="str">
        <f t="shared" si="7001"/>
        <v/>
      </c>
      <c r="AF299" s="20" t="str">
        <f t="shared" si="7002"/>
        <v/>
      </c>
      <c r="AG299" s="20" t="str">
        <f t="shared" si="7003"/>
        <v/>
      </c>
      <c r="AH299" s="20" t="str">
        <f t="shared" si="7004"/>
        <v/>
      </c>
      <c r="AI299" s="20" t="str">
        <f t="shared" si="7005"/>
        <v/>
      </c>
      <c r="AJ299" s="20" t="str">
        <f t="shared" si="7006"/>
        <v/>
      </c>
      <c r="AK299" s="20" t="str">
        <f t="shared" si="7007"/>
        <v/>
      </c>
      <c r="AL299" s="20" t="str">
        <f t="shared" si="7008"/>
        <v/>
      </c>
      <c r="AM299" s="20" t="str">
        <f t="shared" si="7009"/>
        <v/>
      </c>
      <c r="AN299" s="20" t="str">
        <f t="shared" si="7010"/>
        <v/>
      </c>
      <c r="AO299" s="20" t="str">
        <f t="shared" si="7011"/>
        <v/>
      </c>
      <c r="AP299" s="20" t="str">
        <f t="shared" si="7012"/>
        <v/>
      </c>
      <c r="AQ299" s="20" t="str">
        <f t="shared" si="7013"/>
        <v/>
      </c>
      <c r="AR299" s="20" t="str">
        <f t="shared" si="7014"/>
        <v/>
      </c>
      <c r="AS299" s="20" t="str">
        <f t="shared" si="7015"/>
        <v/>
      </c>
      <c r="AT299" s="20" t="str">
        <f t="shared" si="7016"/>
        <v/>
      </c>
      <c r="AU299" s="20" t="str">
        <f t="shared" si="7017"/>
        <v/>
      </c>
      <c r="AV299" s="20" t="str">
        <f t="shared" si="7018"/>
        <v/>
      </c>
      <c r="AW299" s="20" t="str">
        <f t="shared" si="7019"/>
        <v/>
      </c>
      <c r="AX299" s="20" t="str">
        <f t="shared" si="7020"/>
        <v/>
      </c>
      <c r="AY299" s="20" t="str">
        <f t="shared" si="7021"/>
        <v/>
      </c>
      <c r="AZ299" s="20" t="str">
        <f t="shared" si="7022"/>
        <v/>
      </c>
      <c r="BA299" s="20" t="str">
        <f t="shared" si="7023"/>
        <v/>
      </c>
      <c r="BB299" s="20" t="str">
        <f t="shared" si="7024"/>
        <v/>
      </c>
      <c r="BC299" s="223" t="str">
        <f t="shared" si="7025"/>
        <v/>
      </c>
    </row>
    <row r="300" spans="1:55" ht="11.25" customHeight="1" x14ac:dyDescent="0.2">
      <c r="A300" s="222">
        <f t="shared" si="6976"/>
        <v>1</v>
      </c>
      <c r="B300" s="19" t="s">
        <v>15</v>
      </c>
      <c r="C300" s="123">
        <v>0</v>
      </c>
      <c r="D300" s="20">
        <v>0</v>
      </c>
      <c r="E300" s="20">
        <v>0</v>
      </c>
      <c r="F300" s="20">
        <v>0</v>
      </c>
      <c r="G300" s="195">
        <f t="shared" ref="G300" si="7026">IF(G293="","",F293+F294-G293)</f>
        <v>0</v>
      </c>
      <c r="H300" s="20">
        <f t="shared" ref="H300" si="7027">IF(H293="","",G293+G294-H293)</f>
        <v>0</v>
      </c>
      <c r="I300" s="20">
        <f t="shared" ref="I300" si="7028">IF(I293="","",H293+H294-I293)</f>
        <v>1</v>
      </c>
      <c r="J300" s="195">
        <f t="shared" ref="J300" si="7029">IF(J293="","",I293+I294-J293)</f>
        <v>0</v>
      </c>
      <c r="K300" s="20">
        <f t="shared" ref="K300" si="7030">IF(K293="","",J293+J294-K293)</f>
        <v>0</v>
      </c>
      <c r="L300" s="20">
        <f t="shared" ref="L300" si="7031">IF(L293="","",K293+K294-L293)</f>
        <v>0</v>
      </c>
      <c r="M300" s="20">
        <f t="shared" ref="M300" si="7032">IF(M293="","",L293+L294-M293)</f>
        <v>0</v>
      </c>
      <c r="N300" s="195" t="str">
        <f t="shared" ref="N300" si="7033">IF(N293="","",M293+M294-N293)</f>
        <v/>
      </c>
      <c r="O300" s="20" t="str">
        <f t="shared" ref="O300" si="7034">IF(O293="","",N293+N294-O293)</f>
        <v/>
      </c>
      <c r="P300" s="20" t="str">
        <f t="shared" ref="P300" si="7035">IF(P293="","",O293+O294-P293)</f>
        <v/>
      </c>
      <c r="Q300" s="20" t="str">
        <f t="shared" ref="Q300" si="7036">IF(Q293="","",P293+P294-Q293)</f>
        <v/>
      </c>
      <c r="R300" s="20" t="str">
        <f t="shared" ref="R300" si="7037">IF(R293="","",Q293+Q294-R293)</f>
        <v/>
      </c>
      <c r="S300" s="20" t="str">
        <f t="shared" ref="S300" si="7038">IF(S293="","",R293+R294-S293)</f>
        <v/>
      </c>
      <c r="T300" s="20" t="str">
        <f t="shared" ref="T300" si="7039">IF(T293="","",S293+S294-T293)</f>
        <v/>
      </c>
      <c r="U300" s="20" t="str">
        <f t="shared" ref="U300" si="7040">IF(U293="","",T293+T294-U293)</f>
        <v/>
      </c>
      <c r="V300" s="20" t="str">
        <f t="shared" ref="V300" si="7041">IF(V293="","",U293+U294-V293)</f>
        <v/>
      </c>
      <c r="W300" s="20" t="str">
        <f t="shared" ref="W300" si="7042">IF(W293="","",V293+V294-W293)</f>
        <v/>
      </c>
      <c r="X300" s="20" t="str">
        <f t="shared" ref="X300" si="7043">IF(X293="","",W293+W294-X293)</f>
        <v/>
      </c>
      <c r="Y300" s="20" t="str">
        <f t="shared" ref="Y300" si="7044">IF(Y293="","",X293+X294-Y293)</f>
        <v/>
      </c>
      <c r="Z300" s="20" t="str">
        <f t="shared" ref="Z300" si="7045">IF(Z293="","",Y293+Y294-Z293)</f>
        <v/>
      </c>
      <c r="AA300" s="20" t="str">
        <f t="shared" ref="AA300" si="7046">IF(AA293="","",Z293+Z294-AA293)</f>
        <v/>
      </c>
      <c r="AB300" s="20" t="str">
        <f t="shared" ref="AB300" si="7047">IF(AB293="","",AA293+AA294-AB293)</f>
        <v/>
      </c>
      <c r="AC300" s="20" t="str">
        <f t="shared" ref="AC300" si="7048">IF(AC293="","",AB293+AB294-AC293)</f>
        <v/>
      </c>
      <c r="AD300" s="20" t="str">
        <f t="shared" ref="AD300" si="7049">IF(AD293="","",AC293+AC294-AD293)</f>
        <v/>
      </c>
      <c r="AE300" s="20" t="str">
        <f t="shared" ref="AE300" si="7050">IF(AE293="","",AD293+AD294-AE293)</f>
        <v/>
      </c>
      <c r="AF300" s="20" t="str">
        <f t="shared" ref="AF300" si="7051">IF(AF293="","",AE293+AE294-AF293)</f>
        <v/>
      </c>
      <c r="AG300" s="20" t="str">
        <f t="shared" ref="AG300" si="7052">IF(AG293="","",AF293+AF294-AG293)</f>
        <v/>
      </c>
      <c r="AH300" s="20" t="str">
        <f t="shared" ref="AH300" si="7053">IF(AH293="","",AG293+AG294-AH293)</f>
        <v/>
      </c>
      <c r="AI300" s="20" t="str">
        <f t="shared" ref="AI300" si="7054">IF(AI293="","",AH293+AH294-AI293)</f>
        <v/>
      </c>
      <c r="AJ300" s="20" t="str">
        <f t="shared" ref="AJ300" si="7055">IF(AJ293="","",AI293+AI294-AJ293)</f>
        <v/>
      </c>
      <c r="AK300" s="20" t="str">
        <f t="shared" ref="AK300" si="7056">IF(AK293="","",AJ293+AJ294-AK293)</f>
        <v/>
      </c>
      <c r="AL300" s="20" t="str">
        <f t="shared" ref="AL300" si="7057">IF(AL293="","",AK293+AK294-AL293)</f>
        <v/>
      </c>
      <c r="AM300" s="20" t="str">
        <f t="shared" ref="AM300" si="7058">IF(AM293="","",AL293+AL294-AM293)</f>
        <v/>
      </c>
      <c r="AN300" s="20" t="str">
        <f t="shared" ref="AN300" si="7059">IF(AN293="","",AM293+AM294-AN293)</f>
        <v/>
      </c>
      <c r="AO300" s="20" t="str">
        <f t="shared" ref="AO300" si="7060">IF(AO293="","",AN293+AN294-AO293)</f>
        <v/>
      </c>
      <c r="AP300" s="20" t="str">
        <f t="shared" ref="AP300" si="7061">IF(AP293="","",AO293+AO294-AP293)</f>
        <v/>
      </c>
      <c r="AQ300" s="20" t="str">
        <f t="shared" ref="AQ300" si="7062">IF(AQ293="","",AP293+AP294-AQ293)</f>
        <v/>
      </c>
      <c r="AR300" s="20" t="str">
        <f t="shared" ref="AR300" si="7063">IF(AR293="","",AQ293+AQ294-AR293)</f>
        <v/>
      </c>
      <c r="AS300" s="20" t="str">
        <f t="shared" ref="AS300" si="7064">IF(AS293="","",AR293+AR294-AS293)</f>
        <v/>
      </c>
      <c r="AT300" s="20" t="str">
        <f t="shared" ref="AT300" si="7065">IF(AT293="","",AS293+AS294-AT293)</f>
        <v/>
      </c>
      <c r="AU300" s="20" t="str">
        <f t="shared" ref="AU300" si="7066">IF(AU293="","",AT293+AT294-AU293)</f>
        <v/>
      </c>
      <c r="AV300" s="20" t="str">
        <f t="shared" ref="AV300" si="7067">IF(AV293="","",AU293+AU294-AV293)</f>
        <v/>
      </c>
      <c r="AW300" s="20" t="str">
        <f t="shared" ref="AW300" si="7068">IF(AW293="","",AV293+AV294-AW293)</f>
        <v/>
      </c>
      <c r="AX300" s="20" t="str">
        <f t="shared" ref="AX300" si="7069">IF(AX293="","",AW293+AW294-AX293)</f>
        <v/>
      </c>
      <c r="AY300" s="20" t="str">
        <f t="shared" ref="AY300" si="7070">IF(AY293="","",AX293+AX294-AY293)</f>
        <v/>
      </c>
      <c r="AZ300" s="20" t="str">
        <f t="shared" ref="AZ300" si="7071">IF(AZ293="","",AY293+AY294-AZ293)</f>
        <v/>
      </c>
      <c r="BA300" s="20" t="str">
        <f t="shared" ref="BA300" si="7072">IF(BA293="","",AZ293+AZ294-BA293)</f>
        <v/>
      </c>
      <c r="BB300" s="20" t="str">
        <f t="shared" ref="BB300" si="7073">IF(BB293="","",BA293+BA294-BB293)</f>
        <v/>
      </c>
      <c r="BC300" s="223" t="str">
        <f t="shared" ref="BC300" si="7074">IF(BC293="","",BB293+BB294-BC293)</f>
        <v/>
      </c>
    </row>
    <row r="301" spans="1:55" ht="11.25" customHeight="1" x14ac:dyDescent="0.2">
      <c r="A301" s="222">
        <f t="shared" si="6976"/>
        <v>860</v>
      </c>
      <c r="B301" s="19" t="s">
        <v>16</v>
      </c>
      <c r="C301" s="123">
        <v>0</v>
      </c>
      <c r="D301" s="20">
        <v>0</v>
      </c>
      <c r="E301" s="20">
        <v>0</v>
      </c>
      <c r="F301" s="20">
        <v>0</v>
      </c>
      <c r="G301" s="195">
        <f t="shared" ref="D301:BC301" si="7075">IF(G291="","",G300*G295)</f>
        <v>0</v>
      </c>
      <c r="H301" s="20">
        <f t="shared" si="7075"/>
        <v>0</v>
      </c>
      <c r="I301" s="20">
        <f t="shared" si="7075"/>
        <v>860</v>
      </c>
      <c r="J301" s="195">
        <f t="shared" si="7075"/>
        <v>0</v>
      </c>
      <c r="K301" s="20">
        <f t="shared" si="7075"/>
        <v>0</v>
      </c>
      <c r="L301" s="20">
        <f t="shared" si="7075"/>
        <v>0</v>
      </c>
      <c r="M301" s="20">
        <f t="shared" si="7075"/>
        <v>0</v>
      </c>
      <c r="N301" s="195" t="str">
        <f t="shared" si="7075"/>
        <v/>
      </c>
      <c r="O301" s="20" t="str">
        <f t="shared" si="7075"/>
        <v/>
      </c>
      <c r="P301" s="20" t="str">
        <f t="shared" si="7075"/>
        <v/>
      </c>
      <c r="Q301" s="20" t="str">
        <f t="shared" si="7075"/>
        <v/>
      </c>
      <c r="R301" s="20" t="str">
        <f t="shared" si="7075"/>
        <v/>
      </c>
      <c r="S301" s="20" t="str">
        <f t="shared" si="7075"/>
        <v/>
      </c>
      <c r="T301" s="20" t="str">
        <f t="shared" si="7075"/>
        <v/>
      </c>
      <c r="U301" s="20" t="str">
        <f t="shared" si="7075"/>
        <v/>
      </c>
      <c r="V301" s="20" t="str">
        <f t="shared" si="7075"/>
        <v/>
      </c>
      <c r="W301" s="20" t="str">
        <f t="shared" si="7075"/>
        <v/>
      </c>
      <c r="X301" s="20" t="str">
        <f t="shared" si="7075"/>
        <v/>
      </c>
      <c r="Y301" s="20" t="str">
        <f t="shared" si="7075"/>
        <v/>
      </c>
      <c r="Z301" s="20" t="str">
        <f t="shared" si="7075"/>
        <v/>
      </c>
      <c r="AA301" s="20" t="str">
        <f t="shared" si="7075"/>
        <v/>
      </c>
      <c r="AB301" s="20" t="str">
        <f t="shared" si="7075"/>
        <v/>
      </c>
      <c r="AC301" s="20" t="str">
        <f t="shared" si="7075"/>
        <v/>
      </c>
      <c r="AD301" s="20" t="str">
        <f t="shared" si="7075"/>
        <v/>
      </c>
      <c r="AE301" s="20" t="str">
        <f t="shared" si="7075"/>
        <v/>
      </c>
      <c r="AF301" s="20" t="str">
        <f t="shared" si="7075"/>
        <v/>
      </c>
      <c r="AG301" s="20" t="str">
        <f t="shared" si="7075"/>
        <v/>
      </c>
      <c r="AH301" s="20" t="str">
        <f t="shared" si="7075"/>
        <v/>
      </c>
      <c r="AI301" s="20" t="str">
        <f t="shared" si="7075"/>
        <v/>
      </c>
      <c r="AJ301" s="20" t="str">
        <f t="shared" si="7075"/>
        <v/>
      </c>
      <c r="AK301" s="20" t="str">
        <f t="shared" si="7075"/>
        <v/>
      </c>
      <c r="AL301" s="20" t="str">
        <f t="shared" si="7075"/>
        <v/>
      </c>
      <c r="AM301" s="20" t="str">
        <f t="shared" si="7075"/>
        <v/>
      </c>
      <c r="AN301" s="20" t="str">
        <f t="shared" si="7075"/>
        <v/>
      </c>
      <c r="AO301" s="20" t="str">
        <f t="shared" si="7075"/>
        <v/>
      </c>
      <c r="AP301" s="20" t="str">
        <f t="shared" si="7075"/>
        <v/>
      </c>
      <c r="AQ301" s="20" t="str">
        <f t="shared" si="7075"/>
        <v/>
      </c>
      <c r="AR301" s="20" t="str">
        <f t="shared" si="7075"/>
        <v/>
      </c>
      <c r="AS301" s="20" t="str">
        <f t="shared" si="7075"/>
        <v/>
      </c>
      <c r="AT301" s="20" t="str">
        <f t="shared" si="7075"/>
        <v/>
      </c>
      <c r="AU301" s="20" t="str">
        <f t="shared" si="7075"/>
        <v/>
      </c>
      <c r="AV301" s="20" t="str">
        <f t="shared" si="7075"/>
        <v/>
      </c>
      <c r="AW301" s="20" t="str">
        <f t="shared" si="7075"/>
        <v/>
      </c>
      <c r="AX301" s="20" t="str">
        <f t="shared" si="7075"/>
        <v/>
      </c>
      <c r="AY301" s="20" t="str">
        <f t="shared" si="7075"/>
        <v/>
      </c>
      <c r="AZ301" s="20" t="str">
        <f t="shared" si="7075"/>
        <v/>
      </c>
      <c r="BA301" s="20" t="str">
        <f t="shared" si="7075"/>
        <v/>
      </c>
      <c r="BB301" s="20" t="str">
        <f t="shared" si="7075"/>
        <v/>
      </c>
      <c r="BC301" s="223" t="str">
        <f t="shared" si="7075"/>
        <v/>
      </c>
    </row>
    <row r="302" spans="1:55" ht="11.25" customHeight="1" thickBot="1" x14ac:dyDescent="0.25">
      <c r="A302" s="224">
        <f>IF(A301="","",A301/(A298*100))</f>
        <v>0.20476190476190476</v>
      </c>
      <c r="B302" s="19" t="s">
        <v>17</v>
      </c>
      <c r="C302" s="146" t="s">
        <v>18</v>
      </c>
      <c r="D302" s="27" t="s">
        <v>18</v>
      </c>
      <c r="E302" s="27" t="s">
        <v>18</v>
      </c>
      <c r="F302" s="27" t="s">
        <v>18</v>
      </c>
      <c r="G302" s="199" t="str">
        <f t="shared" ref="D302:BC302" si="7076">IF(G301="","",IF(G301=0,"",G301/(G298*100)))</f>
        <v/>
      </c>
      <c r="H302" s="27" t="str">
        <f t="shared" si="7076"/>
        <v/>
      </c>
      <c r="I302" s="27">
        <f t="shared" si="7076"/>
        <v>0.20476190476190476</v>
      </c>
      <c r="J302" s="199" t="str">
        <f t="shared" si="7076"/>
        <v/>
      </c>
      <c r="K302" s="27" t="str">
        <f t="shared" si="7076"/>
        <v/>
      </c>
      <c r="L302" s="27" t="str">
        <f t="shared" si="7076"/>
        <v/>
      </c>
      <c r="M302" s="27" t="str">
        <f t="shared" si="7076"/>
        <v/>
      </c>
      <c r="N302" s="199" t="str">
        <f t="shared" si="7076"/>
        <v/>
      </c>
      <c r="O302" s="27" t="str">
        <f t="shared" si="7076"/>
        <v/>
      </c>
      <c r="P302" s="27" t="str">
        <f t="shared" si="7076"/>
        <v/>
      </c>
      <c r="Q302" s="27" t="str">
        <f t="shared" si="7076"/>
        <v/>
      </c>
      <c r="R302" s="27" t="str">
        <f t="shared" si="7076"/>
        <v/>
      </c>
      <c r="S302" s="27" t="str">
        <f t="shared" si="7076"/>
        <v/>
      </c>
      <c r="T302" s="27" t="str">
        <f t="shared" si="7076"/>
        <v/>
      </c>
      <c r="U302" s="27" t="str">
        <f t="shared" si="7076"/>
        <v/>
      </c>
      <c r="V302" s="27" t="str">
        <f t="shared" si="7076"/>
        <v/>
      </c>
      <c r="W302" s="27" t="str">
        <f t="shared" si="7076"/>
        <v/>
      </c>
      <c r="X302" s="27" t="str">
        <f t="shared" si="7076"/>
        <v/>
      </c>
      <c r="Y302" s="27" t="str">
        <f t="shared" si="7076"/>
        <v/>
      </c>
      <c r="Z302" s="27" t="str">
        <f t="shared" si="7076"/>
        <v/>
      </c>
      <c r="AA302" s="27" t="str">
        <f t="shared" si="7076"/>
        <v/>
      </c>
      <c r="AB302" s="27" t="str">
        <f t="shared" si="7076"/>
        <v/>
      </c>
      <c r="AC302" s="27" t="str">
        <f t="shared" si="7076"/>
        <v/>
      </c>
      <c r="AD302" s="27" t="str">
        <f t="shared" si="7076"/>
        <v/>
      </c>
      <c r="AE302" s="27" t="str">
        <f t="shared" si="7076"/>
        <v/>
      </c>
      <c r="AF302" s="27" t="str">
        <f t="shared" si="7076"/>
        <v/>
      </c>
      <c r="AG302" s="27" t="str">
        <f t="shared" si="7076"/>
        <v/>
      </c>
      <c r="AH302" s="27" t="str">
        <f t="shared" si="7076"/>
        <v/>
      </c>
      <c r="AI302" s="27" t="str">
        <f t="shared" si="7076"/>
        <v/>
      </c>
      <c r="AJ302" s="27" t="str">
        <f t="shared" si="7076"/>
        <v/>
      </c>
      <c r="AK302" s="27" t="str">
        <f t="shared" si="7076"/>
        <v/>
      </c>
      <c r="AL302" s="27" t="str">
        <f t="shared" si="7076"/>
        <v/>
      </c>
      <c r="AM302" s="27" t="str">
        <f t="shared" si="7076"/>
        <v/>
      </c>
      <c r="AN302" s="27" t="str">
        <f t="shared" si="7076"/>
        <v/>
      </c>
      <c r="AO302" s="27" t="str">
        <f t="shared" si="7076"/>
        <v/>
      </c>
      <c r="AP302" s="27" t="str">
        <f t="shared" si="7076"/>
        <v/>
      </c>
      <c r="AQ302" s="27" t="str">
        <f t="shared" si="7076"/>
        <v/>
      </c>
      <c r="AR302" s="27" t="str">
        <f t="shared" si="7076"/>
        <v/>
      </c>
      <c r="AS302" s="27" t="str">
        <f t="shared" si="7076"/>
        <v/>
      </c>
      <c r="AT302" s="27" t="str">
        <f t="shared" si="7076"/>
        <v/>
      </c>
      <c r="AU302" s="27" t="str">
        <f t="shared" si="7076"/>
        <v/>
      </c>
      <c r="AV302" s="27" t="str">
        <f t="shared" si="7076"/>
        <v/>
      </c>
      <c r="AW302" s="27" t="str">
        <f t="shared" si="7076"/>
        <v/>
      </c>
      <c r="AX302" s="27" t="str">
        <f t="shared" si="7076"/>
        <v/>
      </c>
      <c r="AY302" s="27" t="str">
        <f t="shared" si="7076"/>
        <v/>
      </c>
      <c r="AZ302" s="27" t="str">
        <f t="shared" si="7076"/>
        <v/>
      </c>
      <c r="BA302" s="27" t="str">
        <f t="shared" si="7076"/>
        <v/>
      </c>
      <c r="BB302" s="27" t="str">
        <f t="shared" si="7076"/>
        <v/>
      </c>
      <c r="BC302" s="225" t="str">
        <f t="shared" si="7076"/>
        <v/>
      </c>
    </row>
    <row r="303" spans="1:55" ht="11.25" customHeight="1" x14ac:dyDescent="0.2">
      <c r="A303" s="226" t="s">
        <v>1</v>
      </c>
      <c r="B303" s="205" t="s">
        <v>2</v>
      </c>
      <c r="C303" s="129">
        <v>0</v>
      </c>
      <c r="D303" s="206">
        <v>0</v>
      </c>
      <c r="E303" s="206">
        <v>0</v>
      </c>
      <c r="F303" s="206">
        <v>0</v>
      </c>
      <c r="G303" s="207">
        <f t="shared" ref="G303:G304" si="7077">IF(G$3="","",F303)</f>
        <v>0</v>
      </c>
      <c r="H303" s="206">
        <f t="shared" ref="H303:H304" si="7078">IF(H$3="","",G303)</f>
        <v>0</v>
      </c>
      <c r="I303" s="206">
        <v>12</v>
      </c>
      <c r="J303" s="207">
        <f t="shared" ref="J303:J304" si="7079">IF(J$3="","",I303)</f>
        <v>12</v>
      </c>
      <c r="K303" s="206">
        <f t="shared" ref="K303:K304" si="7080">IF(K$3="","",J303)</f>
        <v>12</v>
      </c>
      <c r="L303" s="206">
        <f t="shared" ref="L303:L304" si="7081">IF(L$3="","",K303)</f>
        <v>12</v>
      </c>
      <c r="M303" s="206">
        <f t="shared" ref="M303:M304" si="7082">IF(M$3="","",L303)</f>
        <v>12</v>
      </c>
      <c r="N303" s="207" t="str">
        <f t="shared" ref="N303:N304" si="7083">IF(N$3="","",M303)</f>
        <v/>
      </c>
      <c r="O303" s="206" t="str">
        <f t="shared" ref="O303:O304" si="7084">IF(O$3="","",N303)</f>
        <v/>
      </c>
      <c r="P303" s="206" t="str">
        <f t="shared" ref="P303:P304" si="7085">IF(P$3="","",O303)</f>
        <v/>
      </c>
      <c r="Q303" s="206" t="str">
        <f t="shared" ref="Q303:Q304" si="7086">IF(Q$3="","",P303)</f>
        <v/>
      </c>
      <c r="R303" s="206" t="str">
        <f t="shared" ref="R303:R304" si="7087">IF(R$3="","",Q303)</f>
        <v/>
      </c>
      <c r="S303" s="206" t="str">
        <f t="shared" ref="S303:S304" si="7088">IF(S$3="","",R303)</f>
        <v/>
      </c>
      <c r="T303" s="206" t="str">
        <f t="shared" ref="T303:T304" si="7089">IF(T$3="","",S303)</f>
        <v/>
      </c>
      <c r="U303" s="206" t="str">
        <f t="shared" ref="U303:U304" si="7090">IF(U$3="","",T303)</f>
        <v/>
      </c>
      <c r="V303" s="206" t="str">
        <f t="shared" ref="V303:V304" si="7091">IF(V$3="","",U303)</f>
        <v/>
      </c>
      <c r="W303" s="206" t="str">
        <f t="shared" ref="W303:W304" si="7092">IF(W$3="","",V303)</f>
        <v/>
      </c>
      <c r="X303" s="206" t="str">
        <f t="shared" ref="X303:X304" si="7093">IF(X$3="","",W303)</f>
        <v/>
      </c>
      <c r="Y303" s="206" t="str">
        <f t="shared" ref="Y303:Y304" si="7094">IF(Y$3="","",X303)</f>
        <v/>
      </c>
      <c r="Z303" s="206" t="str">
        <f t="shared" ref="Z303:Z304" si="7095">IF(Z$3="","",Y303)</f>
        <v/>
      </c>
      <c r="AA303" s="206" t="str">
        <f t="shared" ref="AA303:AA304" si="7096">IF(AA$3="","",Z303)</f>
        <v/>
      </c>
      <c r="AB303" s="206" t="str">
        <f t="shared" ref="AB303:AB304" si="7097">IF(AB$3="","",AA303)</f>
        <v/>
      </c>
      <c r="AC303" s="206" t="str">
        <f t="shared" ref="AC303:AC304" si="7098">IF(AC$3="","",AB303)</f>
        <v/>
      </c>
      <c r="AD303" s="206" t="str">
        <f t="shared" ref="AD303:AD304" si="7099">IF(AD$3="","",AC303)</f>
        <v/>
      </c>
      <c r="AE303" s="206" t="str">
        <f t="shared" ref="AE303:AE304" si="7100">IF(AE$3="","",AD303)</f>
        <v/>
      </c>
      <c r="AF303" s="206" t="str">
        <f t="shared" ref="AF303:AF304" si="7101">IF(AF$3="","",AE303)</f>
        <v/>
      </c>
      <c r="AG303" s="206" t="str">
        <f t="shared" ref="AG303:AG304" si="7102">IF(AG$3="","",AF303)</f>
        <v/>
      </c>
      <c r="AH303" s="206" t="str">
        <f t="shared" ref="AH303:AH304" si="7103">IF(AH$3="","",AG303)</f>
        <v/>
      </c>
      <c r="AI303" s="206" t="str">
        <f t="shared" ref="AI303:AI304" si="7104">IF(AI$3="","",AH303)</f>
        <v/>
      </c>
      <c r="AJ303" s="206" t="str">
        <f t="shared" ref="AJ303:AJ304" si="7105">IF(AJ$3="","",AI303)</f>
        <v/>
      </c>
      <c r="AK303" s="206" t="str">
        <f t="shared" ref="AK303:AK304" si="7106">IF(AK$3="","",AJ303)</f>
        <v/>
      </c>
      <c r="AL303" s="206" t="str">
        <f t="shared" ref="AL303:AL304" si="7107">IF(AL$3="","",AK303)</f>
        <v/>
      </c>
      <c r="AM303" s="206" t="str">
        <f t="shared" ref="AM303:AM304" si="7108">IF(AM$3="","",AL303)</f>
        <v/>
      </c>
      <c r="AN303" s="206" t="str">
        <f t="shared" ref="AN303:AN304" si="7109">IF(AN$3="","",AM303)</f>
        <v/>
      </c>
      <c r="AO303" s="206" t="str">
        <f t="shared" ref="AO303:AO304" si="7110">IF(AO$3="","",AN303)</f>
        <v/>
      </c>
      <c r="AP303" s="206" t="str">
        <f t="shared" ref="AP303:AP304" si="7111">IF(AP$3="","",AO303)</f>
        <v/>
      </c>
      <c r="AQ303" s="206" t="str">
        <f t="shared" ref="AQ303:AQ304" si="7112">IF(AQ$3="","",AP303)</f>
        <v/>
      </c>
      <c r="AR303" s="206" t="str">
        <f t="shared" ref="AR303:AR304" si="7113">IF(AR$3="","",AQ303)</f>
        <v/>
      </c>
      <c r="AS303" s="206" t="str">
        <f t="shared" ref="AS303:AS304" si="7114">IF(AS$3="","",AR303)</f>
        <v/>
      </c>
      <c r="AT303" s="206" t="str">
        <f t="shared" ref="AT303:AT304" si="7115">IF(AT$3="","",AS303)</f>
        <v/>
      </c>
      <c r="AU303" s="206" t="str">
        <f t="shared" ref="AU303:AU304" si="7116">IF(AU$3="","",AT303)</f>
        <v/>
      </c>
      <c r="AV303" s="206" t="str">
        <f t="shared" ref="AV303:AV304" si="7117">IF(AV$3="","",AU303)</f>
        <v/>
      </c>
      <c r="AW303" s="206" t="str">
        <f t="shared" ref="AW303:AW304" si="7118">IF(AW$3="","",AV303)</f>
        <v/>
      </c>
      <c r="AX303" s="206" t="str">
        <f t="shared" ref="AX303:AX304" si="7119">IF(AX$3="","",AW303)</f>
        <v/>
      </c>
      <c r="AY303" s="206" t="str">
        <f t="shared" ref="AY303:AY304" si="7120">IF(AY$3="","",AX303)</f>
        <v/>
      </c>
      <c r="AZ303" s="206" t="str">
        <f t="shared" ref="AZ303:AZ304" si="7121">IF(AZ$3="","",AY303)</f>
        <v/>
      </c>
      <c r="BA303" s="206" t="str">
        <f t="shared" ref="BA303:BA304" si="7122">IF(BA$3="","",AZ303)</f>
        <v/>
      </c>
      <c r="BB303" s="206" t="str">
        <f t="shared" ref="BB303:BB304" si="7123">IF(BB$3="","",BA303)</f>
        <v/>
      </c>
      <c r="BC303" s="219" t="str">
        <f t="shared" ref="BC303:BC304" si="7124">IF(BC$3="","",BB303)</f>
        <v/>
      </c>
    </row>
    <row r="304" spans="1:55" ht="11.25" customHeight="1" x14ac:dyDescent="0.2">
      <c r="A304" s="214" t="str">
        <f>A292</f>
        <v>BUZZ＃6</v>
      </c>
      <c r="B304" s="11" t="s">
        <v>4</v>
      </c>
      <c r="C304" s="123">
        <v>0</v>
      </c>
      <c r="D304" s="12">
        <v>0</v>
      </c>
      <c r="E304" s="12">
        <v>0</v>
      </c>
      <c r="F304" s="12">
        <v>0</v>
      </c>
      <c r="G304" s="195">
        <f t="shared" si="7077"/>
        <v>0</v>
      </c>
      <c r="H304" s="12">
        <f t="shared" si="7078"/>
        <v>0</v>
      </c>
      <c r="I304" s="12">
        <v>12</v>
      </c>
      <c r="J304" s="195">
        <f t="shared" si="7079"/>
        <v>12</v>
      </c>
      <c r="K304" s="12">
        <f t="shared" si="7080"/>
        <v>12</v>
      </c>
      <c r="L304" s="12">
        <f t="shared" si="7081"/>
        <v>12</v>
      </c>
      <c r="M304" s="12">
        <f t="shared" si="7082"/>
        <v>12</v>
      </c>
      <c r="N304" s="195" t="str">
        <f t="shared" si="7083"/>
        <v/>
      </c>
      <c r="O304" s="12" t="str">
        <f t="shared" si="7084"/>
        <v/>
      </c>
      <c r="P304" s="12" t="str">
        <f t="shared" si="7085"/>
        <v/>
      </c>
      <c r="Q304" s="12" t="str">
        <f t="shared" si="7086"/>
        <v/>
      </c>
      <c r="R304" s="12" t="str">
        <f t="shared" si="7087"/>
        <v/>
      </c>
      <c r="S304" s="12" t="str">
        <f t="shared" si="7088"/>
        <v/>
      </c>
      <c r="T304" s="12" t="str">
        <f t="shared" si="7089"/>
        <v/>
      </c>
      <c r="U304" s="12" t="str">
        <f t="shared" si="7090"/>
        <v/>
      </c>
      <c r="V304" s="12" t="str">
        <f t="shared" si="7091"/>
        <v/>
      </c>
      <c r="W304" s="12" t="str">
        <f t="shared" si="7092"/>
        <v/>
      </c>
      <c r="X304" s="12" t="str">
        <f t="shared" si="7093"/>
        <v/>
      </c>
      <c r="Y304" s="12" t="str">
        <f t="shared" si="7094"/>
        <v/>
      </c>
      <c r="Z304" s="12" t="str">
        <f t="shared" si="7095"/>
        <v/>
      </c>
      <c r="AA304" s="12" t="str">
        <f t="shared" si="7096"/>
        <v/>
      </c>
      <c r="AB304" s="12" t="str">
        <f t="shared" si="7097"/>
        <v/>
      </c>
      <c r="AC304" s="12" t="str">
        <f t="shared" si="7098"/>
        <v/>
      </c>
      <c r="AD304" s="12" t="str">
        <f t="shared" si="7099"/>
        <v/>
      </c>
      <c r="AE304" s="12" t="str">
        <f t="shared" si="7100"/>
        <v/>
      </c>
      <c r="AF304" s="12" t="str">
        <f t="shared" si="7101"/>
        <v/>
      </c>
      <c r="AG304" s="12" t="str">
        <f t="shared" si="7102"/>
        <v/>
      </c>
      <c r="AH304" s="12" t="str">
        <f t="shared" si="7103"/>
        <v/>
      </c>
      <c r="AI304" s="12" t="str">
        <f t="shared" si="7104"/>
        <v/>
      </c>
      <c r="AJ304" s="12" t="str">
        <f t="shared" si="7105"/>
        <v/>
      </c>
      <c r="AK304" s="12" t="str">
        <f t="shared" si="7106"/>
        <v/>
      </c>
      <c r="AL304" s="12" t="str">
        <f t="shared" si="7107"/>
        <v/>
      </c>
      <c r="AM304" s="12" t="str">
        <f t="shared" si="7108"/>
        <v/>
      </c>
      <c r="AN304" s="12" t="str">
        <f t="shared" si="7109"/>
        <v/>
      </c>
      <c r="AO304" s="12" t="str">
        <f t="shared" si="7110"/>
        <v/>
      </c>
      <c r="AP304" s="12" t="str">
        <f t="shared" si="7111"/>
        <v/>
      </c>
      <c r="AQ304" s="12" t="str">
        <f t="shared" si="7112"/>
        <v/>
      </c>
      <c r="AR304" s="12" t="str">
        <f t="shared" si="7113"/>
        <v/>
      </c>
      <c r="AS304" s="12" t="str">
        <f t="shared" si="7114"/>
        <v/>
      </c>
      <c r="AT304" s="12" t="str">
        <f t="shared" si="7115"/>
        <v/>
      </c>
      <c r="AU304" s="12" t="str">
        <f t="shared" si="7116"/>
        <v/>
      </c>
      <c r="AV304" s="12" t="str">
        <f t="shared" si="7117"/>
        <v/>
      </c>
      <c r="AW304" s="12" t="str">
        <f t="shared" si="7118"/>
        <v/>
      </c>
      <c r="AX304" s="12" t="str">
        <f t="shared" si="7119"/>
        <v/>
      </c>
      <c r="AY304" s="12" t="str">
        <f t="shared" si="7120"/>
        <v/>
      </c>
      <c r="AZ304" s="12" t="str">
        <f t="shared" si="7121"/>
        <v/>
      </c>
      <c r="BA304" s="12" t="str">
        <f t="shared" si="7122"/>
        <v/>
      </c>
      <c r="BB304" s="12" t="str">
        <f t="shared" si="7123"/>
        <v/>
      </c>
      <c r="BC304" s="215" t="str">
        <f t="shared" si="7124"/>
        <v/>
      </c>
    </row>
    <row r="305" spans="1:55" ht="11.25" customHeight="1" x14ac:dyDescent="0.25">
      <c r="A305" s="216">
        <v>2</v>
      </c>
      <c r="B305" s="11" t="s">
        <v>5</v>
      </c>
      <c r="C305" s="123">
        <v>13</v>
      </c>
      <c r="D305" s="12">
        <v>13</v>
      </c>
      <c r="E305" s="12">
        <v>13</v>
      </c>
      <c r="F305" s="12">
        <v>13</v>
      </c>
      <c r="G305" s="195">
        <f t="shared" ref="G305" si="7125">IF(G303="","",(F305+F306))</f>
        <v>13</v>
      </c>
      <c r="H305" s="12">
        <f t="shared" ref="H305" si="7126">IF(H303="","",(G305+G306))</f>
        <v>13</v>
      </c>
      <c r="I305" s="12">
        <f t="shared" ref="I305" si="7127">IF(I303="","",(H305+H306))</f>
        <v>13</v>
      </c>
      <c r="J305" s="195">
        <f t="shared" ref="J305" si="7128">IF(J303="","",(I305+I306))</f>
        <v>13</v>
      </c>
      <c r="K305" s="12">
        <f t="shared" ref="K305" si="7129">IF(K303="","",(J305+J306))</f>
        <v>13</v>
      </c>
      <c r="L305" s="12">
        <f t="shared" ref="L305" si="7130">IF(L303="","",(K305+K306))</f>
        <v>13</v>
      </c>
      <c r="M305" s="12">
        <f t="shared" ref="M305" si="7131">IF(M303="","",(L305+L306))</f>
        <v>13</v>
      </c>
      <c r="N305" s="195" t="str">
        <f t="shared" ref="N305" si="7132">IF(N303="","",(M305+M306))</f>
        <v/>
      </c>
      <c r="O305" s="12" t="str">
        <f t="shared" ref="O305" si="7133">IF(O303="","",(N305+N306))</f>
        <v/>
      </c>
      <c r="P305" s="12" t="str">
        <f t="shared" ref="P305" si="7134">IF(P303="","",(O305+O306))</f>
        <v/>
      </c>
      <c r="Q305" s="12" t="str">
        <f t="shared" ref="Q305" si="7135">IF(Q303="","",(P305+P306))</f>
        <v/>
      </c>
      <c r="R305" s="12" t="str">
        <f t="shared" ref="R305" si="7136">IF(R303="","",(Q305+Q306))</f>
        <v/>
      </c>
      <c r="S305" s="12" t="str">
        <f t="shared" ref="S305" si="7137">IF(S303="","",(R305+R306))</f>
        <v/>
      </c>
      <c r="T305" s="12" t="str">
        <f t="shared" ref="T305" si="7138">IF(T303="","",(S305+S306))</f>
        <v/>
      </c>
      <c r="U305" s="12" t="str">
        <f t="shared" ref="U305" si="7139">IF(U303="","",(T305+T306))</f>
        <v/>
      </c>
      <c r="V305" s="12" t="str">
        <f t="shared" ref="V305" si="7140">IF(V303="","",(U305+U306))</f>
        <v/>
      </c>
      <c r="W305" s="12" t="str">
        <f t="shared" ref="W305" si="7141">IF(W303="","",(V305+V306))</f>
        <v/>
      </c>
      <c r="X305" s="12" t="str">
        <f t="shared" ref="X305" si="7142">IF(X303="","",(W305+W306))</f>
        <v/>
      </c>
      <c r="Y305" s="12" t="str">
        <f t="shared" ref="Y305" si="7143">IF(Y303="","",(X305+X306))</f>
        <v/>
      </c>
      <c r="Z305" s="12" t="str">
        <f t="shared" ref="Z305" si="7144">IF(Z303="","",(Y305+Y306))</f>
        <v/>
      </c>
      <c r="AA305" s="12" t="str">
        <f t="shared" ref="AA305" si="7145">IF(AA303="","",(Z305+Z306))</f>
        <v/>
      </c>
      <c r="AB305" s="12" t="str">
        <f t="shared" ref="AB305" si="7146">IF(AB303="","",(AA305+AA306))</f>
        <v/>
      </c>
      <c r="AC305" s="12" t="str">
        <f t="shared" ref="AC305" si="7147">IF(AC303="","",(AB305+AB306))</f>
        <v/>
      </c>
      <c r="AD305" s="12" t="str">
        <f t="shared" ref="AD305" si="7148">IF(AD303="","",(AC305+AC306))</f>
        <v/>
      </c>
      <c r="AE305" s="12" t="str">
        <f t="shared" ref="AE305" si="7149">IF(AE303="","",(AD305+AD306))</f>
        <v/>
      </c>
      <c r="AF305" s="12" t="str">
        <f t="shared" ref="AF305" si="7150">IF(AF303="","",(AE305+AE306))</f>
        <v/>
      </c>
      <c r="AG305" s="12" t="str">
        <f t="shared" ref="AG305" si="7151">IF(AG303="","",(AF305+AF306))</f>
        <v/>
      </c>
      <c r="AH305" s="12" t="str">
        <f t="shared" ref="AH305" si="7152">IF(AH303="","",(AG305+AG306))</f>
        <v/>
      </c>
      <c r="AI305" s="12" t="str">
        <f t="shared" ref="AI305" si="7153">IF(AI303="","",(AH305+AH306))</f>
        <v/>
      </c>
      <c r="AJ305" s="12" t="str">
        <f t="shared" ref="AJ305" si="7154">IF(AJ303="","",(AI305+AI306))</f>
        <v/>
      </c>
      <c r="AK305" s="12" t="str">
        <f t="shared" ref="AK305" si="7155">IF(AK303="","",(AJ305+AJ306))</f>
        <v/>
      </c>
      <c r="AL305" s="12" t="str">
        <f t="shared" ref="AL305" si="7156">IF(AL303="","",(AK305+AK306))</f>
        <v/>
      </c>
      <c r="AM305" s="12" t="str">
        <f t="shared" ref="AM305" si="7157">IF(AM303="","",(AL305+AL306))</f>
        <v/>
      </c>
      <c r="AN305" s="12" t="str">
        <f t="shared" ref="AN305" si="7158">IF(AN303="","",(AM305+AM306))</f>
        <v/>
      </c>
      <c r="AO305" s="12" t="str">
        <f t="shared" ref="AO305" si="7159">IF(AO303="","",(AN305+AN306))</f>
        <v/>
      </c>
      <c r="AP305" s="12" t="str">
        <f t="shared" ref="AP305" si="7160">IF(AP303="","",(AO305+AO306))</f>
        <v/>
      </c>
      <c r="AQ305" s="12" t="str">
        <f t="shared" ref="AQ305" si="7161">IF(AQ303="","",(AP305+AP306))</f>
        <v/>
      </c>
      <c r="AR305" s="12" t="str">
        <f t="shared" ref="AR305" si="7162">IF(AR303="","",(AQ305+AQ306))</f>
        <v/>
      </c>
      <c r="AS305" s="12" t="str">
        <f t="shared" ref="AS305" si="7163">IF(AS303="","",(AR305+AR306))</f>
        <v/>
      </c>
      <c r="AT305" s="12" t="str">
        <f t="shared" ref="AT305" si="7164">IF(AT303="","",(AS305+AS306))</f>
        <v/>
      </c>
      <c r="AU305" s="12" t="str">
        <f t="shared" ref="AU305" si="7165">IF(AU303="","",(AT305+AT306))</f>
        <v/>
      </c>
      <c r="AV305" s="12" t="str">
        <f t="shared" ref="AV305" si="7166">IF(AV303="","",(AU305+AU306))</f>
        <v/>
      </c>
      <c r="AW305" s="12" t="str">
        <f t="shared" ref="AW305" si="7167">IF(AW303="","",(AV305+AV306))</f>
        <v/>
      </c>
      <c r="AX305" s="12" t="str">
        <f t="shared" ref="AX305" si="7168">IF(AX303="","",(AW305+AW306))</f>
        <v/>
      </c>
      <c r="AY305" s="12" t="str">
        <f t="shared" ref="AY305" si="7169">IF(AY303="","",(AX305+AX306))</f>
        <v/>
      </c>
      <c r="AZ305" s="12" t="str">
        <f t="shared" ref="AZ305" si="7170">IF(AZ303="","",(AY305+AY306))</f>
        <v/>
      </c>
      <c r="BA305" s="12" t="str">
        <f t="shared" ref="BA305" si="7171">IF(BA303="","",(AZ305+AZ306))</f>
        <v/>
      </c>
      <c r="BB305" s="12" t="str">
        <f t="shared" ref="BB305" si="7172">IF(BB303="","",(BA305+BA306))</f>
        <v/>
      </c>
      <c r="BC305" s="215" t="str">
        <f t="shared" ref="BC305" si="7173">IF(BC303="","",(BB305+BB306))</f>
        <v/>
      </c>
    </row>
    <row r="306" spans="1:55" ht="11.25" customHeight="1" x14ac:dyDescent="0.2">
      <c r="A306" s="220"/>
      <c r="B306" s="11" t="s">
        <v>6</v>
      </c>
      <c r="C306" s="123"/>
      <c r="D306" s="12"/>
      <c r="E306" s="12"/>
      <c r="F306" s="12"/>
      <c r="G306" s="195"/>
      <c r="H306" s="12"/>
      <c r="I306" s="12"/>
      <c r="J306" s="195"/>
      <c r="K306" s="12"/>
      <c r="L306" s="12"/>
      <c r="M306" s="12"/>
      <c r="N306" s="195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215"/>
    </row>
    <row r="307" spans="1:55" ht="11.25" customHeight="1" x14ac:dyDescent="0.2">
      <c r="A307" s="222"/>
      <c r="B307" s="11" t="s">
        <v>8</v>
      </c>
      <c r="C307" s="129">
        <v>800</v>
      </c>
      <c r="D307" s="206">
        <v>800</v>
      </c>
      <c r="E307" s="206">
        <v>800</v>
      </c>
      <c r="F307" s="206">
        <v>800</v>
      </c>
      <c r="G307" s="207">
        <f t="shared" ref="G307" si="7174">IF(G303="","",F307)</f>
        <v>800</v>
      </c>
      <c r="H307" s="206">
        <f t="shared" ref="H307" si="7175">IF(H303="","",G307)</f>
        <v>800</v>
      </c>
      <c r="I307" s="206">
        <f t="shared" ref="I307" si="7176">IF(I303="","",H307)</f>
        <v>800</v>
      </c>
      <c r="J307" s="207">
        <f t="shared" ref="J307" si="7177">IF(J303="","",I307)</f>
        <v>800</v>
      </c>
      <c r="K307" s="206">
        <f t="shared" ref="K307" si="7178">IF(K303="","",J307)</f>
        <v>800</v>
      </c>
      <c r="L307" s="206">
        <f t="shared" ref="L307" si="7179">IF(L303="","",K307)</f>
        <v>800</v>
      </c>
      <c r="M307" s="206">
        <f t="shared" ref="M307" si="7180">IF(M303="","",L307)</f>
        <v>800</v>
      </c>
      <c r="N307" s="207" t="str">
        <f t="shared" ref="N307" si="7181">IF(N303="","",M307)</f>
        <v/>
      </c>
      <c r="O307" s="206" t="str">
        <f t="shared" ref="O307" si="7182">IF(O303="","",N307)</f>
        <v/>
      </c>
      <c r="P307" s="206" t="str">
        <f t="shared" ref="P307" si="7183">IF(P303="","",O307)</f>
        <v/>
      </c>
      <c r="Q307" s="206" t="str">
        <f t="shared" ref="Q307" si="7184">IF(Q303="","",P307)</f>
        <v/>
      </c>
      <c r="R307" s="206" t="str">
        <f t="shared" ref="R307" si="7185">IF(R303="","",Q307)</f>
        <v/>
      </c>
      <c r="S307" s="206" t="str">
        <f t="shared" ref="S307" si="7186">IF(S303="","",R307)</f>
        <v/>
      </c>
      <c r="T307" s="206" t="str">
        <f t="shared" ref="T307" si="7187">IF(T303="","",S307)</f>
        <v/>
      </c>
      <c r="U307" s="206" t="str">
        <f t="shared" ref="U307" si="7188">IF(U303="","",T307)</f>
        <v/>
      </c>
      <c r="V307" s="206" t="str">
        <f t="shared" ref="V307" si="7189">IF(V303="","",U307)</f>
        <v/>
      </c>
      <c r="W307" s="206" t="str">
        <f t="shared" ref="W307" si="7190">IF(W303="","",V307)</f>
        <v/>
      </c>
      <c r="X307" s="206" t="str">
        <f t="shared" ref="X307" si="7191">IF(X303="","",W307)</f>
        <v/>
      </c>
      <c r="Y307" s="206" t="str">
        <f t="shared" ref="Y307" si="7192">IF(Y303="","",X307)</f>
        <v/>
      </c>
      <c r="Z307" s="206" t="str">
        <f t="shared" ref="Z307" si="7193">IF(Z303="","",Y307)</f>
        <v/>
      </c>
      <c r="AA307" s="206" t="str">
        <f t="shared" ref="AA307" si="7194">IF(AA303="","",Z307)</f>
        <v/>
      </c>
      <c r="AB307" s="206" t="str">
        <f t="shared" ref="AB307" si="7195">IF(AB303="","",AA307)</f>
        <v/>
      </c>
      <c r="AC307" s="206" t="str">
        <f t="shared" ref="AC307" si="7196">IF(AC303="","",AB307)</f>
        <v/>
      </c>
      <c r="AD307" s="206" t="str">
        <f t="shared" ref="AD307" si="7197">IF(AD303="","",AC307)</f>
        <v/>
      </c>
      <c r="AE307" s="206" t="str">
        <f t="shared" ref="AE307" si="7198">IF(AE303="","",AD307)</f>
        <v/>
      </c>
      <c r="AF307" s="206" t="str">
        <f t="shared" ref="AF307" si="7199">IF(AF303="","",AE307)</f>
        <v/>
      </c>
      <c r="AG307" s="206" t="str">
        <f t="shared" ref="AG307" si="7200">IF(AG303="","",AF307)</f>
        <v/>
      </c>
      <c r="AH307" s="206" t="str">
        <f t="shared" ref="AH307" si="7201">IF(AH303="","",AG307)</f>
        <v/>
      </c>
      <c r="AI307" s="206" t="str">
        <f t="shared" ref="AI307" si="7202">IF(AI303="","",AH307)</f>
        <v/>
      </c>
      <c r="AJ307" s="206" t="str">
        <f t="shared" ref="AJ307" si="7203">IF(AJ303="","",AI307)</f>
        <v/>
      </c>
      <c r="AK307" s="206" t="str">
        <f t="shared" ref="AK307" si="7204">IF(AK303="","",AJ307)</f>
        <v/>
      </c>
      <c r="AL307" s="206" t="str">
        <f t="shared" ref="AL307" si="7205">IF(AL303="","",AK307)</f>
        <v/>
      </c>
      <c r="AM307" s="206" t="str">
        <f t="shared" ref="AM307" si="7206">IF(AM303="","",AL307)</f>
        <v/>
      </c>
      <c r="AN307" s="206" t="str">
        <f t="shared" ref="AN307" si="7207">IF(AN303="","",AM307)</f>
        <v/>
      </c>
      <c r="AO307" s="206" t="str">
        <f t="shared" ref="AO307" si="7208">IF(AO303="","",AN307)</f>
        <v/>
      </c>
      <c r="AP307" s="206" t="str">
        <f t="shared" ref="AP307" si="7209">IF(AP303="","",AO307)</f>
        <v/>
      </c>
      <c r="AQ307" s="206" t="str">
        <f t="shared" ref="AQ307" si="7210">IF(AQ303="","",AP307)</f>
        <v/>
      </c>
      <c r="AR307" s="206" t="str">
        <f t="shared" ref="AR307" si="7211">IF(AR303="","",AQ307)</f>
        <v/>
      </c>
      <c r="AS307" s="206" t="str">
        <f t="shared" ref="AS307" si="7212">IF(AS303="","",AR307)</f>
        <v/>
      </c>
      <c r="AT307" s="206" t="str">
        <f t="shared" ref="AT307" si="7213">IF(AT303="","",AS307)</f>
        <v/>
      </c>
      <c r="AU307" s="206" t="str">
        <f t="shared" ref="AU307" si="7214">IF(AU303="","",AT307)</f>
        <v/>
      </c>
      <c r="AV307" s="206" t="str">
        <f t="shared" ref="AV307" si="7215">IF(AV303="","",AU307)</f>
        <v/>
      </c>
      <c r="AW307" s="206" t="str">
        <f t="shared" ref="AW307" si="7216">IF(AW303="","",AV307)</f>
        <v/>
      </c>
      <c r="AX307" s="206" t="str">
        <f t="shared" ref="AX307" si="7217">IF(AX303="","",AW307)</f>
        <v/>
      </c>
      <c r="AY307" s="206" t="str">
        <f t="shared" ref="AY307" si="7218">IF(AY303="","",AX307)</f>
        <v/>
      </c>
      <c r="AZ307" s="206" t="str">
        <f t="shared" ref="AZ307" si="7219">IF(AZ303="","",AY307)</f>
        <v/>
      </c>
      <c r="BA307" s="206" t="str">
        <f t="shared" ref="BA307" si="7220">IF(BA303="","",AZ307)</f>
        <v/>
      </c>
      <c r="BB307" s="206" t="str">
        <f t="shared" ref="BB307" si="7221">IF(BB303="","",BA307)</f>
        <v/>
      </c>
      <c r="BC307" s="219" t="str">
        <f t="shared" ref="BC307" si="7222">IF(BC303="","",BB307)</f>
        <v/>
      </c>
    </row>
    <row r="308" spans="1:55" ht="11.25" customHeight="1" x14ac:dyDescent="0.2">
      <c r="A308" s="220" t="s">
        <v>9</v>
      </c>
      <c r="B308" s="17" t="s">
        <v>10</v>
      </c>
      <c r="C308" s="133" t="s">
        <v>284</v>
      </c>
      <c r="D308" s="18" t="s">
        <v>284</v>
      </c>
      <c r="E308" s="18" t="s">
        <v>284</v>
      </c>
      <c r="F308" s="18" t="s">
        <v>284</v>
      </c>
      <c r="G308" s="197" t="str">
        <f t="shared" ref="G308" si="7223">IF(G303="","",F308)</f>
        <v>キラキラマルチポーチ</v>
      </c>
      <c r="H308" s="18" t="str">
        <f t="shared" ref="H308" si="7224">IF(H303="","",G308)</f>
        <v>キラキラマルチポーチ</v>
      </c>
      <c r="I308" s="18" t="str">
        <f t="shared" ref="I308" si="7225">IF(I303="","",H308)</f>
        <v>キラキラマルチポーチ</v>
      </c>
      <c r="J308" s="197" t="str">
        <f t="shared" ref="J308" si="7226">IF(J303="","",I308)</f>
        <v>キラキラマルチポーチ</v>
      </c>
      <c r="K308" s="18" t="str">
        <f t="shared" ref="K308" si="7227">IF(K303="","",J308)</f>
        <v>キラキラマルチポーチ</v>
      </c>
      <c r="L308" s="18" t="str">
        <f t="shared" ref="L308" si="7228">IF(L303="","",K308)</f>
        <v>キラキラマルチポーチ</v>
      </c>
      <c r="M308" s="18" t="str">
        <f t="shared" ref="M308" si="7229">IF(M303="","",L308)</f>
        <v>キラキラマルチポーチ</v>
      </c>
      <c r="N308" s="197" t="str">
        <f t="shared" ref="N308" si="7230">IF(N303="","",M308)</f>
        <v/>
      </c>
      <c r="O308" s="18" t="str">
        <f t="shared" ref="O308" si="7231">IF(O303="","",N308)</f>
        <v/>
      </c>
      <c r="P308" s="18" t="str">
        <f t="shared" ref="P308" si="7232">IF(P303="","",O308)</f>
        <v/>
      </c>
      <c r="Q308" s="18" t="str">
        <f t="shared" ref="Q308" si="7233">IF(Q303="","",P308)</f>
        <v/>
      </c>
      <c r="R308" s="18" t="str">
        <f t="shared" ref="R308" si="7234">IF(R303="","",Q308)</f>
        <v/>
      </c>
      <c r="S308" s="18" t="str">
        <f t="shared" ref="S308" si="7235">IF(S303="","",R308)</f>
        <v/>
      </c>
      <c r="T308" s="18" t="str">
        <f t="shared" ref="T308" si="7236">IF(T303="","",S308)</f>
        <v/>
      </c>
      <c r="U308" s="18" t="str">
        <f t="shared" ref="U308" si="7237">IF(U303="","",T308)</f>
        <v/>
      </c>
      <c r="V308" s="18" t="str">
        <f t="shared" ref="V308" si="7238">IF(V303="","",U308)</f>
        <v/>
      </c>
      <c r="W308" s="18" t="str">
        <f t="shared" ref="W308" si="7239">IF(W303="","",V308)</f>
        <v/>
      </c>
      <c r="X308" s="18" t="str">
        <f t="shared" ref="X308" si="7240">IF(X303="","",W308)</f>
        <v/>
      </c>
      <c r="Y308" s="18" t="str">
        <f t="shared" ref="Y308" si="7241">IF(Y303="","",X308)</f>
        <v/>
      </c>
      <c r="Z308" s="18" t="str">
        <f t="shared" ref="Z308" si="7242">IF(Z303="","",Y308)</f>
        <v/>
      </c>
      <c r="AA308" s="18" t="str">
        <f t="shared" ref="AA308" si="7243">IF(AA303="","",Z308)</f>
        <v/>
      </c>
      <c r="AB308" s="18" t="str">
        <f t="shared" ref="AB308" si="7244">IF(AB303="","",AA308)</f>
        <v/>
      </c>
      <c r="AC308" s="18" t="str">
        <f t="shared" ref="AC308" si="7245">IF(AC303="","",AB308)</f>
        <v/>
      </c>
      <c r="AD308" s="18" t="str">
        <f t="shared" ref="AD308" si="7246">IF(AD303="","",AC308)</f>
        <v/>
      </c>
      <c r="AE308" s="18" t="str">
        <f t="shared" ref="AE308" si="7247">IF(AE303="","",AD308)</f>
        <v/>
      </c>
      <c r="AF308" s="18" t="str">
        <f t="shared" ref="AF308" si="7248">IF(AF303="","",AE308)</f>
        <v/>
      </c>
      <c r="AG308" s="18" t="str">
        <f t="shared" ref="AG308" si="7249">IF(AG303="","",AF308)</f>
        <v/>
      </c>
      <c r="AH308" s="18" t="str">
        <f t="shared" ref="AH308" si="7250">IF(AH303="","",AG308)</f>
        <v/>
      </c>
      <c r="AI308" s="18" t="str">
        <f t="shared" ref="AI308" si="7251">IF(AI303="","",AH308)</f>
        <v/>
      </c>
      <c r="AJ308" s="18" t="str">
        <f t="shared" ref="AJ308" si="7252">IF(AJ303="","",AI308)</f>
        <v/>
      </c>
      <c r="AK308" s="18" t="str">
        <f t="shared" ref="AK308" si="7253">IF(AK303="","",AJ308)</f>
        <v/>
      </c>
      <c r="AL308" s="18" t="str">
        <f t="shared" ref="AL308" si="7254">IF(AL303="","",AK308)</f>
        <v/>
      </c>
      <c r="AM308" s="18" t="str">
        <f t="shared" ref="AM308" si="7255">IF(AM303="","",AL308)</f>
        <v/>
      </c>
      <c r="AN308" s="18" t="str">
        <f t="shared" ref="AN308" si="7256">IF(AN303="","",AM308)</f>
        <v/>
      </c>
      <c r="AO308" s="18" t="str">
        <f t="shared" ref="AO308" si="7257">IF(AO303="","",AN308)</f>
        <v/>
      </c>
      <c r="AP308" s="18" t="str">
        <f t="shared" ref="AP308" si="7258">IF(AP303="","",AO308)</f>
        <v/>
      </c>
      <c r="AQ308" s="18" t="str">
        <f t="shared" ref="AQ308" si="7259">IF(AQ303="","",AP308)</f>
        <v/>
      </c>
      <c r="AR308" s="18" t="str">
        <f t="shared" ref="AR308" si="7260">IF(AR303="","",AQ308)</f>
        <v/>
      </c>
      <c r="AS308" s="18" t="str">
        <f t="shared" ref="AS308" si="7261">IF(AS303="","",AR308)</f>
        <v/>
      </c>
      <c r="AT308" s="18" t="str">
        <f t="shared" ref="AT308" si="7262">IF(AT303="","",AS308)</f>
        <v/>
      </c>
      <c r="AU308" s="18" t="str">
        <f t="shared" ref="AU308" si="7263">IF(AU303="","",AT308)</f>
        <v/>
      </c>
      <c r="AV308" s="18" t="str">
        <f t="shared" ref="AV308" si="7264">IF(AV303="","",AU308)</f>
        <v/>
      </c>
      <c r="AW308" s="18" t="str">
        <f t="shared" ref="AW308" si="7265">IF(AW303="","",AV308)</f>
        <v/>
      </c>
      <c r="AX308" s="18" t="str">
        <f t="shared" ref="AX308" si="7266">IF(AX303="","",AW308)</f>
        <v/>
      </c>
      <c r="AY308" s="18" t="str">
        <f t="shared" ref="AY308" si="7267">IF(AY303="","",AX308)</f>
        <v/>
      </c>
      <c r="AZ308" s="18" t="str">
        <f t="shared" ref="AZ308" si="7268">IF(AZ303="","",AY308)</f>
        <v/>
      </c>
      <c r="BA308" s="18" t="str">
        <f t="shared" ref="BA308" si="7269">IF(BA303="","",AZ308)</f>
        <v/>
      </c>
      <c r="BB308" s="18" t="str">
        <f t="shared" ref="BB308" si="7270">IF(BB303="","",BA308)</f>
        <v/>
      </c>
      <c r="BC308" s="221" t="str">
        <f t="shared" ref="BC308" si="7271">IF(BC303="","",BB308)</f>
        <v/>
      </c>
    </row>
    <row r="309" spans="1:55" ht="11.25" customHeight="1" x14ac:dyDescent="0.2">
      <c r="A309" s="222">
        <f>AVERAGE(C310:AS310)*30*100</f>
        <v>3272.7272727272725</v>
      </c>
      <c r="B309" s="11" t="s">
        <v>12</v>
      </c>
      <c r="C309" s="123"/>
      <c r="D309" s="12"/>
      <c r="E309" s="12"/>
      <c r="F309" s="12"/>
      <c r="G309" s="195"/>
      <c r="H309" s="12"/>
      <c r="I309" s="12"/>
      <c r="J309" s="195"/>
      <c r="K309" s="12"/>
      <c r="L309" s="12"/>
      <c r="M309" s="12"/>
      <c r="N309" s="195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215"/>
    </row>
    <row r="310" spans="1:55" ht="11.25" customHeight="1" x14ac:dyDescent="0.2">
      <c r="A310" s="222">
        <f t="shared" ref="A310:A313" si="7272">SUM(C310:AS310)</f>
        <v>12</v>
      </c>
      <c r="B310" s="19" t="s">
        <v>13</v>
      </c>
      <c r="C310" s="123">
        <v>0</v>
      </c>
      <c r="D310" s="20">
        <v>0</v>
      </c>
      <c r="E310" s="20">
        <v>0</v>
      </c>
      <c r="F310" s="20">
        <v>0</v>
      </c>
      <c r="G310" s="195">
        <f t="shared" ref="G310:G311" si="7273">IF(G303="","",G303-F303)</f>
        <v>0</v>
      </c>
      <c r="H310" s="20">
        <f t="shared" ref="H310:H311" si="7274">IF(H303="","",H303-G303)</f>
        <v>0</v>
      </c>
      <c r="I310" s="20">
        <f t="shared" ref="I310:I311" si="7275">IF(I303="","",I303-H303)</f>
        <v>12</v>
      </c>
      <c r="J310" s="195">
        <f t="shared" ref="J310:J311" si="7276">IF(J303="","",J303-I303)</f>
        <v>0</v>
      </c>
      <c r="K310" s="20">
        <f t="shared" ref="K310:K311" si="7277">IF(K303="","",K303-J303)</f>
        <v>0</v>
      </c>
      <c r="L310" s="20">
        <f t="shared" ref="L310:L311" si="7278">IF(L303="","",L303-K303)</f>
        <v>0</v>
      </c>
      <c r="M310" s="20">
        <f t="shared" ref="M310:M311" si="7279">IF(M303="","",M303-L303)</f>
        <v>0</v>
      </c>
      <c r="N310" s="195" t="str">
        <f t="shared" ref="N310:N311" si="7280">IF(N303="","",N303-M303)</f>
        <v/>
      </c>
      <c r="O310" s="20" t="str">
        <f t="shared" ref="O310:O311" si="7281">IF(O303="","",O303-N303)</f>
        <v/>
      </c>
      <c r="P310" s="20" t="str">
        <f t="shared" ref="P310:P311" si="7282">IF(P303="","",P303-O303)</f>
        <v/>
      </c>
      <c r="Q310" s="20" t="str">
        <f t="shared" ref="Q310:Q311" si="7283">IF(Q303="","",Q303-P303)</f>
        <v/>
      </c>
      <c r="R310" s="20" t="str">
        <f t="shared" ref="R310:R311" si="7284">IF(R303="","",R303-Q303)</f>
        <v/>
      </c>
      <c r="S310" s="20" t="str">
        <f t="shared" ref="S310:S311" si="7285">IF(S303="","",S303-R303)</f>
        <v/>
      </c>
      <c r="T310" s="20" t="str">
        <f t="shared" ref="T310:T311" si="7286">IF(T303="","",T303-S303)</f>
        <v/>
      </c>
      <c r="U310" s="20" t="str">
        <f t="shared" ref="U310:U311" si="7287">IF(U303="","",U303-T303)</f>
        <v/>
      </c>
      <c r="V310" s="20" t="str">
        <f t="shared" ref="V310:V311" si="7288">IF(V303="","",V303-U303)</f>
        <v/>
      </c>
      <c r="W310" s="20" t="str">
        <f t="shared" ref="W310:W311" si="7289">IF(W303="","",W303-V303)</f>
        <v/>
      </c>
      <c r="X310" s="20" t="str">
        <f t="shared" ref="X310:X311" si="7290">IF(X303="","",X303-W303)</f>
        <v/>
      </c>
      <c r="Y310" s="20" t="str">
        <f t="shared" ref="Y310:Y311" si="7291">IF(Y303="","",Y303-X303)</f>
        <v/>
      </c>
      <c r="Z310" s="20" t="str">
        <f t="shared" ref="Z310:Z311" si="7292">IF(Z303="","",Z303-Y303)</f>
        <v/>
      </c>
      <c r="AA310" s="20" t="str">
        <f t="shared" ref="AA310:AA311" si="7293">IF(AA303="","",AA303-Z303)</f>
        <v/>
      </c>
      <c r="AB310" s="20" t="str">
        <f t="shared" ref="AB310:AB311" si="7294">IF(AB303="","",AB303-AA303)</f>
        <v/>
      </c>
      <c r="AC310" s="20" t="str">
        <f t="shared" ref="AC310:AC311" si="7295">IF(AC303="","",AC303-AB303)</f>
        <v/>
      </c>
      <c r="AD310" s="20" t="str">
        <f t="shared" ref="AD310:AD311" si="7296">IF(AD303="","",AD303-AC303)</f>
        <v/>
      </c>
      <c r="AE310" s="20" t="str">
        <f t="shared" ref="AE310:AE311" si="7297">IF(AE303="","",AE303-AD303)</f>
        <v/>
      </c>
      <c r="AF310" s="20" t="str">
        <f t="shared" ref="AF310:AF311" si="7298">IF(AF303="","",AF303-AE303)</f>
        <v/>
      </c>
      <c r="AG310" s="20" t="str">
        <f t="shared" ref="AG310:AG311" si="7299">IF(AG303="","",AG303-AF303)</f>
        <v/>
      </c>
      <c r="AH310" s="20" t="str">
        <f t="shared" ref="AH310:AH311" si="7300">IF(AH303="","",AH303-AG303)</f>
        <v/>
      </c>
      <c r="AI310" s="20" t="str">
        <f t="shared" ref="AI310:AI311" si="7301">IF(AI303="","",AI303-AH303)</f>
        <v/>
      </c>
      <c r="AJ310" s="20" t="str">
        <f t="shared" ref="AJ310:AJ311" si="7302">IF(AJ303="","",AJ303-AI303)</f>
        <v/>
      </c>
      <c r="AK310" s="20" t="str">
        <f t="shared" ref="AK310:AK311" si="7303">IF(AK303="","",AK303-AJ303)</f>
        <v/>
      </c>
      <c r="AL310" s="20" t="str">
        <f t="shared" ref="AL310:AL311" si="7304">IF(AL303="","",AL303-AK303)</f>
        <v/>
      </c>
      <c r="AM310" s="20" t="str">
        <f t="shared" ref="AM310:AM311" si="7305">IF(AM303="","",AM303-AL303)</f>
        <v/>
      </c>
      <c r="AN310" s="20" t="str">
        <f t="shared" ref="AN310:AN311" si="7306">IF(AN303="","",AN303-AM303)</f>
        <v/>
      </c>
      <c r="AO310" s="20" t="str">
        <f t="shared" ref="AO310:AO311" si="7307">IF(AO303="","",AO303-AN303)</f>
        <v/>
      </c>
      <c r="AP310" s="20" t="str">
        <f t="shared" ref="AP310:AP311" si="7308">IF(AP303="","",AP303-AO303)</f>
        <v/>
      </c>
      <c r="AQ310" s="20" t="str">
        <f t="shared" ref="AQ310:AQ311" si="7309">IF(AQ303="","",AQ303-AP303)</f>
        <v/>
      </c>
      <c r="AR310" s="20" t="str">
        <f t="shared" ref="AR310:AR311" si="7310">IF(AR303="","",AR303-AQ303)</f>
        <v/>
      </c>
      <c r="AS310" s="20" t="str">
        <f t="shared" ref="AS310:AS311" si="7311">IF(AS303="","",AS303-AR303)</f>
        <v/>
      </c>
      <c r="AT310" s="20" t="str">
        <f t="shared" ref="AT310:AT311" si="7312">IF(AT303="","",AT303-AS303)</f>
        <v/>
      </c>
      <c r="AU310" s="20" t="str">
        <f t="shared" ref="AU310:AU311" si="7313">IF(AU303="","",AU303-AT303)</f>
        <v/>
      </c>
      <c r="AV310" s="20" t="str">
        <f t="shared" ref="AV310:AV311" si="7314">IF(AV303="","",AV303-AU303)</f>
        <v/>
      </c>
      <c r="AW310" s="20" t="str">
        <f t="shared" ref="AW310:AW311" si="7315">IF(AW303="","",AW303-AV303)</f>
        <v/>
      </c>
      <c r="AX310" s="20" t="str">
        <f t="shared" ref="AX310:AX311" si="7316">IF(AX303="","",AX303-AW303)</f>
        <v/>
      </c>
      <c r="AY310" s="20" t="str">
        <f t="shared" ref="AY310:AY311" si="7317">IF(AY303="","",AY303-AX303)</f>
        <v/>
      </c>
      <c r="AZ310" s="20" t="str">
        <f t="shared" ref="AZ310:AZ311" si="7318">IF(AZ303="","",AZ303-AY303)</f>
        <v/>
      </c>
      <c r="BA310" s="20" t="str">
        <f t="shared" ref="BA310:BA311" si="7319">IF(BA303="","",BA303-AZ303)</f>
        <v/>
      </c>
      <c r="BB310" s="20" t="str">
        <f t="shared" ref="BB310:BB311" si="7320">IF(BB303="","",BB303-BA303)</f>
        <v/>
      </c>
      <c r="BC310" s="223" t="str">
        <f t="shared" ref="BC310:BC311" si="7321">IF(BC303="","",BC303-BB303)</f>
        <v/>
      </c>
    </row>
    <row r="311" spans="1:55" ht="11.25" customHeight="1" x14ac:dyDescent="0.2">
      <c r="A311" s="222">
        <f t="shared" si="7272"/>
        <v>12</v>
      </c>
      <c r="B311" s="19" t="s">
        <v>14</v>
      </c>
      <c r="C311" s="123">
        <v>0</v>
      </c>
      <c r="D311" s="20">
        <v>0</v>
      </c>
      <c r="E311" s="20">
        <v>0</v>
      </c>
      <c r="F311" s="20">
        <v>0</v>
      </c>
      <c r="G311" s="195">
        <f t="shared" si="7273"/>
        <v>0</v>
      </c>
      <c r="H311" s="20">
        <f t="shared" si="7274"/>
        <v>0</v>
      </c>
      <c r="I311" s="20">
        <f t="shared" si="7275"/>
        <v>12</v>
      </c>
      <c r="J311" s="195">
        <f t="shared" si="7276"/>
        <v>0</v>
      </c>
      <c r="K311" s="20">
        <f t="shared" si="7277"/>
        <v>0</v>
      </c>
      <c r="L311" s="20">
        <f t="shared" si="7278"/>
        <v>0</v>
      </c>
      <c r="M311" s="20">
        <f t="shared" si="7279"/>
        <v>0</v>
      </c>
      <c r="N311" s="195" t="str">
        <f t="shared" si="7280"/>
        <v/>
      </c>
      <c r="O311" s="20" t="str">
        <f t="shared" si="7281"/>
        <v/>
      </c>
      <c r="P311" s="20" t="str">
        <f t="shared" si="7282"/>
        <v/>
      </c>
      <c r="Q311" s="20" t="str">
        <f t="shared" si="7283"/>
        <v/>
      </c>
      <c r="R311" s="20" t="str">
        <f t="shared" si="7284"/>
        <v/>
      </c>
      <c r="S311" s="20" t="str">
        <f t="shared" si="7285"/>
        <v/>
      </c>
      <c r="T311" s="20" t="str">
        <f t="shared" si="7286"/>
        <v/>
      </c>
      <c r="U311" s="20" t="str">
        <f t="shared" si="7287"/>
        <v/>
      </c>
      <c r="V311" s="20" t="str">
        <f t="shared" si="7288"/>
        <v/>
      </c>
      <c r="W311" s="20" t="str">
        <f t="shared" si="7289"/>
        <v/>
      </c>
      <c r="X311" s="20" t="str">
        <f t="shared" si="7290"/>
        <v/>
      </c>
      <c r="Y311" s="20" t="str">
        <f t="shared" si="7291"/>
        <v/>
      </c>
      <c r="Z311" s="20" t="str">
        <f t="shared" si="7292"/>
        <v/>
      </c>
      <c r="AA311" s="20" t="str">
        <f t="shared" si="7293"/>
        <v/>
      </c>
      <c r="AB311" s="20" t="str">
        <f t="shared" si="7294"/>
        <v/>
      </c>
      <c r="AC311" s="20" t="str">
        <f t="shared" si="7295"/>
        <v/>
      </c>
      <c r="AD311" s="20" t="str">
        <f t="shared" si="7296"/>
        <v/>
      </c>
      <c r="AE311" s="20" t="str">
        <f t="shared" si="7297"/>
        <v/>
      </c>
      <c r="AF311" s="20" t="str">
        <f t="shared" si="7298"/>
        <v/>
      </c>
      <c r="AG311" s="20" t="str">
        <f t="shared" si="7299"/>
        <v/>
      </c>
      <c r="AH311" s="20" t="str">
        <f t="shared" si="7300"/>
        <v/>
      </c>
      <c r="AI311" s="20" t="str">
        <f t="shared" si="7301"/>
        <v/>
      </c>
      <c r="AJ311" s="20" t="str">
        <f t="shared" si="7302"/>
        <v/>
      </c>
      <c r="AK311" s="20" t="str">
        <f t="shared" si="7303"/>
        <v/>
      </c>
      <c r="AL311" s="20" t="str">
        <f t="shared" si="7304"/>
        <v/>
      </c>
      <c r="AM311" s="20" t="str">
        <f t="shared" si="7305"/>
        <v/>
      </c>
      <c r="AN311" s="20" t="str">
        <f t="shared" si="7306"/>
        <v/>
      </c>
      <c r="AO311" s="20" t="str">
        <f t="shared" si="7307"/>
        <v/>
      </c>
      <c r="AP311" s="20" t="str">
        <f t="shared" si="7308"/>
        <v/>
      </c>
      <c r="AQ311" s="20" t="str">
        <f t="shared" si="7309"/>
        <v/>
      </c>
      <c r="AR311" s="20" t="str">
        <f t="shared" si="7310"/>
        <v/>
      </c>
      <c r="AS311" s="20" t="str">
        <f t="shared" si="7311"/>
        <v/>
      </c>
      <c r="AT311" s="20" t="str">
        <f t="shared" si="7312"/>
        <v/>
      </c>
      <c r="AU311" s="20" t="str">
        <f t="shared" si="7313"/>
        <v/>
      </c>
      <c r="AV311" s="20" t="str">
        <f t="shared" si="7314"/>
        <v/>
      </c>
      <c r="AW311" s="20" t="str">
        <f t="shared" si="7315"/>
        <v/>
      </c>
      <c r="AX311" s="20" t="str">
        <f t="shared" si="7316"/>
        <v/>
      </c>
      <c r="AY311" s="20" t="str">
        <f t="shared" si="7317"/>
        <v/>
      </c>
      <c r="AZ311" s="20" t="str">
        <f t="shared" si="7318"/>
        <v/>
      </c>
      <c r="BA311" s="20" t="str">
        <f t="shared" si="7319"/>
        <v/>
      </c>
      <c r="BB311" s="20" t="str">
        <f t="shared" si="7320"/>
        <v/>
      </c>
      <c r="BC311" s="223" t="str">
        <f t="shared" si="7321"/>
        <v/>
      </c>
    </row>
    <row r="312" spans="1:55" ht="11.25" customHeight="1" x14ac:dyDescent="0.2">
      <c r="A312" s="222">
        <f t="shared" si="7272"/>
        <v>0</v>
      </c>
      <c r="B312" s="19" t="s">
        <v>15</v>
      </c>
      <c r="C312" s="123">
        <v>0</v>
      </c>
      <c r="D312" s="20">
        <v>0</v>
      </c>
      <c r="E312" s="20">
        <v>0</v>
      </c>
      <c r="F312" s="20">
        <v>0</v>
      </c>
      <c r="G312" s="195">
        <f t="shared" ref="G312" si="7322">IF(G305="","",F305+F306-G305)</f>
        <v>0</v>
      </c>
      <c r="H312" s="20">
        <f t="shared" ref="H312" si="7323">IF(H305="","",G305+G306-H305)</f>
        <v>0</v>
      </c>
      <c r="I312" s="20">
        <f t="shared" ref="I312" si="7324">IF(I305="","",H305+H306-I305)</f>
        <v>0</v>
      </c>
      <c r="J312" s="195">
        <f t="shared" ref="J312" si="7325">IF(J305="","",I305+I306-J305)</f>
        <v>0</v>
      </c>
      <c r="K312" s="20">
        <f t="shared" ref="K312" si="7326">IF(K305="","",J305+J306-K305)</f>
        <v>0</v>
      </c>
      <c r="L312" s="20">
        <f t="shared" ref="L312" si="7327">IF(L305="","",K305+K306-L305)</f>
        <v>0</v>
      </c>
      <c r="M312" s="20">
        <f t="shared" ref="M312" si="7328">IF(M305="","",L305+L306-M305)</f>
        <v>0</v>
      </c>
      <c r="N312" s="195" t="str">
        <f t="shared" ref="N312" si="7329">IF(N305="","",M305+M306-N305)</f>
        <v/>
      </c>
      <c r="O312" s="20" t="str">
        <f t="shared" ref="O312" si="7330">IF(O305="","",N305+N306-O305)</f>
        <v/>
      </c>
      <c r="P312" s="20" t="str">
        <f t="shared" ref="P312" si="7331">IF(P305="","",O305+O306-P305)</f>
        <v/>
      </c>
      <c r="Q312" s="20" t="str">
        <f t="shared" ref="Q312" si="7332">IF(Q305="","",P305+P306-Q305)</f>
        <v/>
      </c>
      <c r="R312" s="20" t="str">
        <f t="shared" ref="R312" si="7333">IF(R305="","",Q305+Q306-R305)</f>
        <v/>
      </c>
      <c r="S312" s="20" t="str">
        <f t="shared" ref="S312" si="7334">IF(S305="","",R305+R306-S305)</f>
        <v/>
      </c>
      <c r="T312" s="20" t="str">
        <f t="shared" ref="T312" si="7335">IF(T305="","",S305+S306-T305)</f>
        <v/>
      </c>
      <c r="U312" s="20" t="str">
        <f t="shared" ref="U312" si="7336">IF(U305="","",T305+T306-U305)</f>
        <v/>
      </c>
      <c r="V312" s="20" t="str">
        <f t="shared" ref="V312" si="7337">IF(V305="","",U305+U306-V305)</f>
        <v/>
      </c>
      <c r="W312" s="20" t="str">
        <f t="shared" ref="W312" si="7338">IF(W305="","",V305+V306-W305)</f>
        <v/>
      </c>
      <c r="X312" s="20" t="str">
        <f t="shared" ref="X312" si="7339">IF(X305="","",W305+W306-X305)</f>
        <v/>
      </c>
      <c r="Y312" s="20" t="str">
        <f t="shared" ref="Y312" si="7340">IF(Y305="","",X305+X306-Y305)</f>
        <v/>
      </c>
      <c r="Z312" s="20" t="str">
        <f t="shared" ref="Z312" si="7341">IF(Z305="","",Y305+Y306-Z305)</f>
        <v/>
      </c>
      <c r="AA312" s="20" t="str">
        <f t="shared" ref="AA312" si="7342">IF(AA305="","",Z305+Z306-AA305)</f>
        <v/>
      </c>
      <c r="AB312" s="20" t="str">
        <f t="shared" ref="AB312" si="7343">IF(AB305="","",AA305+AA306-AB305)</f>
        <v/>
      </c>
      <c r="AC312" s="20" t="str">
        <f t="shared" ref="AC312" si="7344">IF(AC305="","",AB305+AB306-AC305)</f>
        <v/>
      </c>
      <c r="AD312" s="20" t="str">
        <f t="shared" ref="AD312" si="7345">IF(AD305="","",AC305+AC306-AD305)</f>
        <v/>
      </c>
      <c r="AE312" s="20" t="str">
        <f t="shared" ref="AE312" si="7346">IF(AE305="","",AD305+AD306-AE305)</f>
        <v/>
      </c>
      <c r="AF312" s="20" t="str">
        <f t="shared" ref="AF312" si="7347">IF(AF305="","",AE305+AE306-AF305)</f>
        <v/>
      </c>
      <c r="AG312" s="20" t="str">
        <f t="shared" ref="AG312" si="7348">IF(AG305="","",AF305+AF306-AG305)</f>
        <v/>
      </c>
      <c r="AH312" s="20" t="str">
        <f t="shared" ref="AH312" si="7349">IF(AH305="","",AG305+AG306-AH305)</f>
        <v/>
      </c>
      <c r="AI312" s="20" t="str">
        <f t="shared" ref="AI312" si="7350">IF(AI305="","",AH305+AH306-AI305)</f>
        <v/>
      </c>
      <c r="AJ312" s="20" t="str">
        <f t="shared" ref="AJ312" si="7351">IF(AJ305="","",AI305+AI306-AJ305)</f>
        <v/>
      </c>
      <c r="AK312" s="20" t="str">
        <f t="shared" ref="AK312" si="7352">IF(AK305="","",AJ305+AJ306-AK305)</f>
        <v/>
      </c>
      <c r="AL312" s="20" t="str">
        <f t="shared" ref="AL312" si="7353">IF(AL305="","",AK305+AK306-AL305)</f>
        <v/>
      </c>
      <c r="AM312" s="20" t="str">
        <f t="shared" ref="AM312" si="7354">IF(AM305="","",AL305+AL306-AM305)</f>
        <v/>
      </c>
      <c r="AN312" s="20" t="str">
        <f t="shared" ref="AN312" si="7355">IF(AN305="","",AM305+AM306-AN305)</f>
        <v/>
      </c>
      <c r="AO312" s="20" t="str">
        <f t="shared" ref="AO312" si="7356">IF(AO305="","",AN305+AN306-AO305)</f>
        <v/>
      </c>
      <c r="AP312" s="20" t="str">
        <f t="shared" ref="AP312" si="7357">IF(AP305="","",AO305+AO306-AP305)</f>
        <v/>
      </c>
      <c r="AQ312" s="20" t="str">
        <f t="shared" ref="AQ312" si="7358">IF(AQ305="","",AP305+AP306-AQ305)</f>
        <v/>
      </c>
      <c r="AR312" s="20" t="str">
        <f t="shared" ref="AR312" si="7359">IF(AR305="","",AQ305+AQ306-AR305)</f>
        <v/>
      </c>
      <c r="AS312" s="20" t="str">
        <f t="shared" ref="AS312" si="7360">IF(AS305="","",AR305+AR306-AS305)</f>
        <v/>
      </c>
      <c r="AT312" s="20" t="str">
        <f t="shared" ref="AT312" si="7361">IF(AT305="","",AS305+AS306-AT305)</f>
        <v/>
      </c>
      <c r="AU312" s="20" t="str">
        <f t="shared" ref="AU312" si="7362">IF(AU305="","",AT305+AT306-AU305)</f>
        <v/>
      </c>
      <c r="AV312" s="20" t="str">
        <f t="shared" ref="AV312" si="7363">IF(AV305="","",AU305+AU306-AV305)</f>
        <v/>
      </c>
      <c r="AW312" s="20" t="str">
        <f t="shared" ref="AW312" si="7364">IF(AW305="","",AV305+AV306-AW305)</f>
        <v/>
      </c>
      <c r="AX312" s="20" t="str">
        <f t="shared" ref="AX312" si="7365">IF(AX305="","",AW305+AW306-AX305)</f>
        <v/>
      </c>
      <c r="AY312" s="20" t="str">
        <f t="shared" ref="AY312" si="7366">IF(AY305="","",AX305+AX306-AY305)</f>
        <v/>
      </c>
      <c r="AZ312" s="20" t="str">
        <f t="shared" ref="AZ312" si="7367">IF(AZ305="","",AY305+AY306-AZ305)</f>
        <v/>
      </c>
      <c r="BA312" s="20" t="str">
        <f t="shared" ref="BA312" si="7368">IF(BA305="","",AZ305+AZ306-BA305)</f>
        <v/>
      </c>
      <c r="BB312" s="20" t="str">
        <f t="shared" ref="BB312" si="7369">IF(BB305="","",BA305+BA306-BB305)</f>
        <v/>
      </c>
      <c r="BC312" s="223" t="str">
        <f t="shared" ref="BC312" si="7370">IF(BC305="","",BB305+BB306-BC305)</f>
        <v/>
      </c>
    </row>
    <row r="313" spans="1:55" ht="11.25" customHeight="1" x14ac:dyDescent="0.2">
      <c r="A313" s="222">
        <f t="shared" si="7272"/>
        <v>0</v>
      </c>
      <c r="B313" s="19" t="s">
        <v>16</v>
      </c>
      <c r="C313" s="123">
        <v>0</v>
      </c>
      <c r="D313" s="20">
        <v>0</v>
      </c>
      <c r="E313" s="20">
        <v>0</v>
      </c>
      <c r="F313" s="20">
        <v>0</v>
      </c>
      <c r="G313" s="195">
        <f t="shared" ref="D313:BC313" si="7371">IF(G303="","",G312*G307)</f>
        <v>0</v>
      </c>
      <c r="H313" s="20">
        <f t="shared" si="7371"/>
        <v>0</v>
      </c>
      <c r="I313" s="20">
        <f t="shared" si="7371"/>
        <v>0</v>
      </c>
      <c r="J313" s="195">
        <f t="shared" si="7371"/>
        <v>0</v>
      </c>
      <c r="K313" s="20">
        <f t="shared" si="7371"/>
        <v>0</v>
      </c>
      <c r="L313" s="20">
        <f t="shared" si="7371"/>
        <v>0</v>
      </c>
      <c r="M313" s="20">
        <f t="shared" si="7371"/>
        <v>0</v>
      </c>
      <c r="N313" s="195" t="str">
        <f t="shared" si="7371"/>
        <v/>
      </c>
      <c r="O313" s="20" t="str">
        <f t="shared" si="7371"/>
        <v/>
      </c>
      <c r="P313" s="20" t="str">
        <f t="shared" si="7371"/>
        <v/>
      </c>
      <c r="Q313" s="20" t="str">
        <f t="shared" si="7371"/>
        <v/>
      </c>
      <c r="R313" s="20" t="str">
        <f t="shared" si="7371"/>
        <v/>
      </c>
      <c r="S313" s="20" t="str">
        <f t="shared" si="7371"/>
        <v/>
      </c>
      <c r="T313" s="20" t="str">
        <f t="shared" si="7371"/>
        <v/>
      </c>
      <c r="U313" s="20" t="str">
        <f t="shared" si="7371"/>
        <v/>
      </c>
      <c r="V313" s="20" t="str">
        <f t="shared" si="7371"/>
        <v/>
      </c>
      <c r="W313" s="20" t="str">
        <f t="shared" si="7371"/>
        <v/>
      </c>
      <c r="X313" s="20" t="str">
        <f t="shared" si="7371"/>
        <v/>
      </c>
      <c r="Y313" s="20" t="str">
        <f t="shared" si="7371"/>
        <v/>
      </c>
      <c r="Z313" s="20" t="str">
        <f t="shared" si="7371"/>
        <v/>
      </c>
      <c r="AA313" s="20" t="str">
        <f t="shared" si="7371"/>
        <v/>
      </c>
      <c r="AB313" s="20" t="str">
        <f t="shared" si="7371"/>
        <v/>
      </c>
      <c r="AC313" s="20" t="str">
        <f t="shared" si="7371"/>
        <v/>
      </c>
      <c r="AD313" s="20" t="str">
        <f t="shared" si="7371"/>
        <v/>
      </c>
      <c r="AE313" s="20" t="str">
        <f t="shared" si="7371"/>
        <v/>
      </c>
      <c r="AF313" s="20" t="str">
        <f t="shared" si="7371"/>
        <v/>
      </c>
      <c r="AG313" s="20" t="str">
        <f t="shared" si="7371"/>
        <v/>
      </c>
      <c r="AH313" s="20" t="str">
        <f t="shared" si="7371"/>
        <v/>
      </c>
      <c r="AI313" s="20" t="str">
        <f t="shared" si="7371"/>
        <v/>
      </c>
      <c r="AJ313" s="20" t="str">
        <f t="shared" si="7371"/>
        <v/>
      </c>
      <c r="AK313" s="20" t="str">
        <f t="shared" si="7371"/>
        <v/>
      </c>
      <c r="AL313" s="20" t="str">
        <f t="shared" si="7371"/>
        <v/>
      </c>
      <c r="AM313" s="20" t="str">
        <f t="shared" si="7371"/>
        <v/>
      </c>
      <c r="AN313" s="20" t="str">
        <f t="shared" si="7371"/>
        <v/>
      </c>
      <c r="AO313" s="20" t="str">
        <f t="shared" si="7371"/>
        <v/>
      </c>
      <c r="AP313" s="20" t="str">
        <f t="shared" si="7371"/>
        <v/>
      </c>
      <c r="AQ313" s="20" t="str">
        <f t="shared" si="7371"/>
        <v/>
      </c>
      <c r="AR313" s="20" t="str">
        <f t="shared" si="7371"/>
        <v/>
      </c>
      <c r="AS313" s="20" t="str">
        <f t="shared" si="7371"/>
        <v/>
      </c>
      <c r="AT313" s="20" t="str">
        <f t="shared" si="7371"/>
        <v/>
      </c>
      <c r="AU313" s="20" t="str">
        <f t="shared" si="7371"/>
        <v/>
      </c>
      <c r="AV313" s="20" t="str">
        <f t="shared" si="7371"/>
        <v/>
      </c>
      <c r="AW313" s="20" t="str">
        <f t="shared" si="7371"/>
        <v/>
      </c>
      <c r="AX313" s="20" t="str">
        <f t="shared" si="7371"/>
        <v/>
      </c>
      <c r="AY313" s="20" t="str">
        <f t="shared" si="7371"/>
        <v/>
      </c>
      <c r="AZ313" s="20" t="str">
        <f t="shared" si="7371"/>
        <v/>
      </c>
      <c r="BA313" s="20" t="str">
        <f t="shared" si="7371"/>
        <v/>
      </c>
      <c r="BB313" s="20" t="str">
        <f t="shared" si="7371"/>
        <v/>
      </c>
      <c r="BC313" s="223" t="str">
        <f t="shared" si="7371"/>
        <v/>
      </c>
    </row>
    <row r="314" spans="1:55" ht="11.25" customHeight="1" thickBot="1" x14ac:dyDescent="0.25">
      <c r="A314" s="224">
        <f>IF(A313="","",A313/(A310*100))</f>
        <v>0</v>
      </c>
      <c r="B314" s="19" t="s">
        <v>17</v>
      </c>
      <c r="C314" s="146" t="s">
        <v>18</v>
      </c>
      <c r="D314" s="27" t="s">
        <v>18</v>
      </c>
      <c r="E314" s="27" t="s">
        <v>18</v>
      </c>
      <c r="F314" s="27" t="s">
        <v>18</v>
      </c>
      <c r="G314" s="199" t="str">
        <f t="shared" ref="D314:BC314" si="7372">IF(G313="","",IF(G313=0,"",G313/(G310*100)))</f>
        <v/>
      </c>
      <c r="H314" s="27" t="str">
        <f t="shared" si="7372"/>
        <v/>
      </c>
      <c r="I314" s="27" t="str">
        <f t="shared" si="7372"/>
        <v/>
      </c>
      <c r="J314" s="199" t="str">
        <f t="shared" si="7372"/>
        <v/>
      </c>
      <c r="K314" s="27" t="str">
        <f t="shared" si="7372"/>
        <v/>
      </c>
      <c r="L314" s="27" t="str">
        <f t="shared" si="7372"/>
        <v/>
      </c>
      <c r="M314" s="27" t="str">
        <f t="shared" si="7372"/>
        <v/>
      </c>
      <c r="N314" s="199" t="str">
        <f t="shared" si="7372"/>
        <v/>
      </c>
      <c r="O314" s="27" t="str">
        <f t="shared" si="7372"/>
        <v/>
      </c>
      <c r="P314" s="27" t="str">
        <f t="shared" si="7372"/>
        <v/>
      </c>
      <c r="Q314" s="27" t="str">
        <f t="shared" si="7372"/>
        <v/>
      </c>
      <c r="R314" s="27" t="str">
        <f t="shared" si="7372"/>
        <v/>
      </c>
      <c r="S314" s="27" t="str">
        <f t="shared" si="7372"/>
        <v/>
      </c>
      <c r="T314" s="27" t="str">
        <f t="shared" si="7372"/>
        <v/>
      </c>
      <c r="U314" s="27" t="str">
        <f t="shared" si="7372"/>
        <v/>
      </c>
      <c r="V314" s="27" t="str">
        <f t="shared" si="7372"/>
        <v/>
      </c>
      <c r="W314" s="27" t="str">
        <f t="shared" si="7372"/>
        <v/>
      </c>
      <c r="X314" s="27" t="str">
        <f t="shared" si="7372"/>
        <v/>
      </c>
      <c r="Y314" s="27" t="str">
        <f t="shared" si="7372"/>
        <v/>
      </c>
      <c r="Z314" s="27" t="str">
        <f t="shared" si="7372"/>
        <v/>
      </c>
      <c r="AA314" s="27" t="str">
        <f t="shared" si="7372"/>
        <v/>
      </c>
      <c r="AB314" s="27" t="str">
        <f t="shared" si="7372"/>
        <v/>
      </c>
      <c r="AC314" s="27" t="str">
        <f t="shared" si="7372"/>
        <v/>
      </c>
      <c r="AD314" s="27" t="str">
        <f t="shared" si="7372"/>
        <v/>
      </c>
      <c r="AE314" s="27" t="str">
        <f t="shared" si="7372"/>
        <v/>
      </c>
      <c r="AF314" s="27" t="str">
        <f t="shared" si="7372"/>
        <v/>
      </c>
      <c r="AG314" s="27" t="str">
        <f t="shared" si="7372"/>
        <v/>
      </c>
      <c r="AH314" s="27" t="str">
        <f t="shared" si="7372"/>
        <v/>
      </c>
      <c r="AI314" s="27" t="str">
        <f t="shared" si="7372"/>
        <v/>
      </c>
      <c r="AJ314" s="27" t="str">
        <f t="shared" si="7372"/>
        <v/>
      </c>
      <c r="AK314" s="27" t="str">
        <f t="shared" si="7372"/>
        <v/>
      </c>
      <c r="AL314" s="27" t="str">
        <f t="shared" si="7372"/>
        <v/>
      </c>
      <c r="AM314" s="27" t="str">
        <f t="shared" si="7372"/>
        <v/>
      </c>
      <c r="AN314" s="27" t="str">
        <f t="shared" si="7372"/>
        <v/>
      </c>
      <c r="AO314" s="27" t="str">
        <f t="shared" si="7372"/>
        <v/>
      </c>
      <c r="AP314" s="27" t="str">
        <f t="shared" si="7372"/>
        <v/>
      </c>
      <c r="AQ314" s="27" t="str">
        <f t="shared" si="7372"/>
        <v/>
      </c>
      <c r="AR314" s="27" t="str">
        <f t="shared" si="7372"/>
        <v/>
      </c>
      <c r="AS314" s="27" t="str">
        <f t="shared" si="7372"/>
        <v/>
      </c>
      <c r="AT314" s="27" t="str">
        <f t="shared" si="7372"/>
        <v/>
      </c>
      <c r="AU314" s="27" t="str">
        <f t="shared" si="7372"/>
        <v/>
      </c>
      <c r="AV314" s="27" t="str">
        <f t="shared" si="7372"/>
        <v/>
      </c>
      <c r="AW314" s="27" t="str">
        <f t="shared" si="7372"/>
        <v/>
      </c>
      <c r="AX314" s="27" t="str">
        <f t="shared" si="7372"/>
        <v/>
      </c>
      <c r="AY314" s="27" t="str">
        <f t="shared" si="7372"/>
        <v/>
      </c>
      <c r="AZ314" s="27" t="str">
        <f t="shared" si="7372"/>
        <v/>
      </c>
      <c r="BA314" s="27" t="str">
        <f t="shared" si="7372"/>
        <v/>
      </c>
      <c r="BB314" s="27" t="str">
        <f t="shared" si="7372"/>
        <v/>
      </c>
      <c r="BC314" s="225" t="str">
        <f t="shared" si="7372"/>
        <v/>
      </c>
    </row>
    <row r="315" spans="1:55" ht="11.25" customHeight="1" x14ac:dyDescent="0.2">
      <c r="A315" s="226" t="s">
        <v>1</v>
      </c>
      <c r="B315" s="205" t="s">
        <v>2</v>
      </c>
      <c r="C315" s="129">
        <v>0</v>
      </c>
      <c r="D315" s="206">
        <v>0</v>
      </c>
      <c r="E315" s="206">
        <v>0</v>
      </c>
      <c r="F315" s="206">
        <v>0</v>
      </c>
      <c r="G315" s="207">
        <f t="shared" ref="G315:G316" si="7373">IF(G$3="","",F315)</f>
        <v>0</v>
      </c>
      <c r="H315" s="206">
        <f t="shared" ref="H315:H316" si="7374">IF(H$3="","",G315)</f>
        <v>0</v>
      </c>
      <c r="I315" s="206">
        <v>19</v>
      </c>
      <c r="J315" s="207">
        <f t="shared" ref="J315:J316" si="7375">IF(J$3="","",I315)</f>
        <v>19</v>
      </c>
      <c r="K315" s="206">
        <f t="shared" ref="K315:K316" si="7376">IF(K$3="","",J315)</f>
        <v>19</v>
      </c>
      <c r="L315" s="206">
        <f t="shared" ref="L315:L316" si="7377">IF(L$3="","",K315)</f>
        <v>19</v>
      </c>
      <c r="M315" s="206">
        <f t="shared" ref="M315:M316" si="7378">IF(M$3="","",L315)</f>
        <v>19</v>
      </c>
      <c r="N315" s="207" t="str">
        <f t="shared" ref="N315:N316" si="7379">IF(N$3="","",M315)</f>
        <v/>
      </c>
      <c r="O315" s="206" t="str">
        <f t="shared" ref="O315:O316" si="7380">IF(O$3="","",N315)</f>
        <v/>
      </c>
      <c r="P315" s="206" t="str">
        <f t="shared" ref="P315:P316" si="7381">IF(P$3="","",O315)</f>
        <v/>
      </c>
      <c r="Q315" s="206" t="str">
        <f t="shared" ref="Q315:Q316" si="7382">IF(Q$3="","",P315)</f>
        <v/>
      </c>
      <c r="R315" s="206" t="str">
        <f t="shared" ref="R315:R316" si="7383">IF(R$3="","",Q315)</f>
        <v/>
      </c>
      <c r="S315" s="206" t="str">
        <f t="shared" ref="S315:S316" si="7384">IF(S$3="","",R315)</f>
        <v/>
      </c>
      <c r="T315" s="206" t="str">
        <f t="shared" ref="T315:T316" si="7385">IF(T$3="","",S315)</f>
        <v/>
      </c>
      <c r="U315" s="206" t="str">
        <f t="shared" ref="U315:U316" si="7386">IF(U$3="","",T315)</f>
        <v/>
      </c>
      <c r="V315" s="206" t="str">
        <f t="shared" ref="V315:V316" si="7387">IF(V$3="","",U315)</f>
        <v/>
      </c>
      <c r="W315" s="206" t="str">
        <f t="shared" ref="W315:W316" si="7388">IF(W$3="","",V315)</f>
        <v/>
      </c>
      <c r="X315" s="206" t="str">
        <f t="shared" ref="X315:X316" si="7389">IF(X$3="","",W315)</f>
        <v/>
      </c>
      <c r="Y315" s="206" t="str">
        <f t="shared" ref="Y315:Y316" si="7390">IF(Y$3="","",X315)</f>
        <v/>
      </c>
      <c r="Z315" s="206" t="str">
        <f t="shared" ref="Z315:Z316" si="7391">IF(Z$3="","",Y315)</f>
        <v/>
      </c>
      <c r="AA315" s="206" t="str">
        <f t="shared" ref="AA315:AA316" si="7392">IF(AA$3="","",Z315)</f>
        <v/>
      </c>
      <c r="AB315" s="206" t="str">
        <f t="shared" ref="AB315:AB316" si="7393">IF(AB$3="","",AA315)</f>
        <v/>
      </c>
      <c r="AC315" s="206" t="str">
        <f t="shared" ref="AC315:AC316" si="7394">IF(AC$3="","",AB315)</f>
        <v/>
      </c>
      <c r="AD315" s="206" t="str">
        <f t="shared" ref="AD315:AD316" si="7395">IF(AD$3="","",AC315)</f>
        <v/>
      </c>
      <c r="AE315" s="206" t="str">
        <f t="shared" ref="AE315:AE316" si="7396">IF(AE$3="","",AD315)</f>
        <v/>
      </c>
      <c r="AF315" s="206" t="str">
        <f t="shared" ref="AF315:AF316" si="7397">IF(AF$3="","",AE315)</f>
        <v/>
      </c>
      <c r="AG315" s="206" t="str">
        <f t="shared" ref="AG315:AG316" si="7398">IF(AG$3="","",AF315)</f>
        <v/>
      </c>
      <c r="AH315" s="206" t="str">
        <f t="shared" ref="AH315:AH316" si="7399">IF(AH$3="","",AG315)</f>
        <v/>
      </c>
      <c r="AI315" s="206" t="str">
        <f t="shared" ref="AI315:AI316" si="7400">IF(AI$3="","",AH315)</f>
        <v/>
      </c>
      <c r="AJ315" s="206" t="str">
        <f t="shared" ref="AJ315:AJ316" si="7401">IF(AJ$3="","",AI315)</f>
        <v/>
      </c>
      <c r="AK315" s="206" t="str">
        <f t="shared" ref="AK315:AK316" si="7402">IF(AK$3="","",AJ315)</f>
        <v/>
      </c>
      <c r="AL315" s="206" t="str">
        <f t="shared" ref="AL315:AL316" si="7403">IF(AL$3="","",AK315)</f>
        <v/>
      </c>
      <c r="AM315" s="206" t="str">
        <f t="shared" ref="AM315:AM316" si="7404">IF(AM$3="","",AL315)</f>
        <v/>
      </c>
      <c r="AN315" s="206" t="str">
        <f t="shared" ref="AN315:AN316" si="7405">IF(AN$3="","",AM315)</f>
        <v/>
      </c>
      <c r="AO315" s="206" t="str">
        <f t="shared" ref="AO315:AO316" si="7406">IF(AO$3="","",AN315)</f>
        <v/>
      </c>
      <c r="AP315" s="206" t="str">
        <f t="shared" ref="AP315:AP316" si="7407">IF(AP$3="","",AO315)</f>
        <v/>
      </c>
      <c r="AQ315" s="206" t="str">
        <f t="shared" ref="AQ315:AQ316" si="7408">IF(AQ$3="","",AP315)</f>
        <v/>
      </c>
      <c r="AR315" s="206" t="str">
        <f t="shared" ref="AR315:AR316" si="7409">IF(AR$3="","",AQ315)</f>
        <v/>
      </c>
      <c r="AS315" s="206" t="str">
        <f t="shared" ref="AS315:AS316" si="7410">IF(AS$3="","",AR315)</f>
        <v/>
      </c>
      <c r="AT315" s="206" t="str">
        <f t="shared" ref="AT315:AT316" si="7411">IF(AT$3="","",AS315)</f>
        <v/>
      </c>
      <c r="AU315" s="206" t="str">
        <f t="shared" ref="AU315:AU316" si="7412">IF(AU$3="","",AT315)</f>
        <v/>
      </c>
      <c r="AV315" s="206" t="str">
        <f t="shared" ref="AV315:AV316" si="7413">IF(AV$3="","",AU315)</f>
        <v/>
      </c>
      <c r="AW315" s="206" t="str">
        <f t="shared" ref="AW315:AW316" si="7414">IF(AW$3="","",AV315)</f>
        <v/>
      </c>
      <c r="AX315" s="206" t="str">
        <f t="shared" ref="AX315:AX316" si="7415">IF(AX$3="","",AW315)</f>
        <v/>
      </c>
      <c r="AY315" s="206" t="str">
        <f t="shared" ref="AY315:AY316" si="7416">IF(AY$3="","",AX315)</f>
        <v/>
      </c>
      <c r="AZ315" s="206" t="str">
        <f t="shared" ref="AZ315:AZ316" si="7417">IF(AZ$3="","",AY315)</f>
        <v/>
      </c>
      <c r="BA315" s="206" t="str">
        <f t="shared" ref="BA315:BA316" si="7418">IF(BA$3="","",AZ315)</f>
        <v/>
      </c>
      <c r="BB315" s="206" t="str">
        <f t="shared" ref="BB315:BB316" si="7419">IF(BB$3="","",BA315)</f>
        <v/>
      </c>
      <c r="BC315" s="219" t="str">
        <f t="shared" ref="BC315:BC316" si="7420">IF(BC$3="","",BB315)</f>
        <v/>
      </c>
    </row>
    <row r="316" spans="1:55" ht="11.25" customHeight="1" x14ac:dyDescent="0.2">
      <c r="A316" s="214" t="str">
        <f>A304</f>
        <v>BUZZ＃6</v>
      </c>
      <c r="B316" s="11" t="s">
        <v>4</v>
      </c>
      <c r="C316" s="123">
        <v>0</v>
      </c>
      <c r="D316" s="12">
        <v>0</v>
      </c>
      <c r="E316" s="12">
        <v>0</v>
      </c>
      <c r="F316" s="12">
        <v>0</v>
      </c>
      <c r="G316" s="195">
        <f t="shared" si="7373"/>
        <v>0</v>
      </c>
      <c r="H316" s="12">
        <f t="shared" si="7374"/>
        <v>0</v>
      </c>
      <c r="I316" s="12">
        <v>1</v>
      </c>
      <c r="J316" s="195">
        <f t="shared" si="7375"/>
        <v>1</v>
      </c>
      <c r="K316" s="12">
        <f t="shared" si="7376"/>
        <v>1</v>
      </c>
      <c r="L316" s="12">
        <f t="shared" si="7377"/>
        <v>1</v>
      </c>
      <c r="M316" s="12">
        <f t="shared" si="7378"/>
        <v>1</v>
      </c>
      <c r="N316" s="195" t="str">
        <f t="shared" si="7379"/>
        <v/>
      </c>
      <c r="O316" s="12" t="str">
        <f t="shared" si="7380"/>
        <v/>
      </c>
      <c r="P316" s="12" t="str">
        <f t="shared" si="7381"/>
        <v/>
      </c>
      <c r="Q316" s="12" t="str">
        <f t="shared" si="7382"/>
        <v/>
      </c>
      <c r="R316" s="12" t="str">
        <f t="shared" si="7383"/>
        <v/>
      </c>
      <c r="S316" s="12" t="str">
        <f t="shared" si="7384"/>
        <v/>
      </c>
      <c r="T316" s="12" t="str">
        <f t="shared" si="7385"/>
        <v/>
      </c>
      <c r="U316" s="12" t="str">
        <f t="shared" si="7386"/>
        <v/>
      </c>
      <c r="V316" s="12" t="str">
        <f t="shared" si="7387"/>
        <v/>
      </c>
      <c r="W316" s="12" t="str">
        <f t="shared" si="7388"/>
        <v/>
      </c>
      <c r="X316" s="12" t="str">
        <f t="shared" si="7389"/>
        <v/>
      </c>
      <c r="Y316" s="12" t="str">
        <f t="shared" si="7390"/>
        <v/>
      </c>
      <c r="Z316" s="12" t="str">
        <f t="shared" si="7391"/>
        <v/>
      </c>
      <c r="AA316" s="12" t="str">
        <f t="shared" si="7392"/>
        <v/>
      </c>
      <c r="AB316" s="12" t="str">
        <f t="shared" si="7393"/>
        <v/>
      </c>
      <c r="AC316" s="12" t="str">
        <f t="shared" si="7394"/>
        <v/>
      </c>
      <c r="AD316" s="12" t="str">
        <f t="shared" si="7395"/>
        <v/>
      </c>
      <c r="AE316" s="12" t="str">
        <f t="shared" si="7396"/>
        <v/>
      </c>
      <c r="AF316" s="12" t="str">
        <f t="shared" si="7397"/>
        <v/>
      </c>
      <c r="AG316" s="12" t="str">
        <f t="shared" si="7398"/>
        <v/>
      </c>
      <c r="AH316" s="12" t="str">
        <f t="shared" si="7399"/>
        <v/>
      </c>
      <c r="AI316" s="12" t="str">
        <f t="shared" si="7400"/>
        <v/>
      </c>
      <c r="AJ316" s="12" t="str">
        <f t="shared" si="7401"/>
        <v/>
      </c>
      <c r="AK316" s="12" t="str">
        <f t="shared" si="7402"/>
        <v/>
      </c>
      <c r="AL316" s="12" t="str">
        <f t="shared" si="7403"/>
        <v/>
      </c>
      <c r="AM316" s="12" t="str">
        <f t="shared" si="7404"/>
        <v/>
      </c>
      <c r="AN316" s="12" t="str">
        <f t="shared" si="7405"/>
        <v/>
      </c>
      <c r="AO316" s="12" t="str">
        <f t="shared" si="7406"/>
        <v/>
      </c>
      <c r="AP316" s="12" t="str">
        <f t="shared" si="7407"/>
        <v/>
      </c>
      <c r="AQ316" s="12" t="str">
        <f t="shared" si="7408"/>
        <v/>
      </c>
      <c r="AR316" s="12" t="str">
        <f t="shared" si="7409"/>
        <v/>
      </c>
      <c r="AS316" s="12" t="str">
        <f t="shared" si="7410"/>
        <v/>
      </c>
      <c r="AT316" s="12" t="str">
        <f t="shared" si="7411"/>
        <v/>
      </c>
      <c r="AU316" s="12" t="str">
        <f t="shared" si="7412"/>
        <v/>
      </c>
      <c r="AV316" s="12" t="str">
        <f t="shared" si="7413"/>
        <v/>
      </c>
      <c r="AW316" s="12" t="str">
        <f t="shared" si="7414"/>
        <v/>
      </c>
      <c r="AX316" s="12" t="str">
        <f t="shared" si="7415"/>
        <v/>
      </c>
      <c r="AY316" s="12" t="str">
        <f t="shared" si="7416"/>
        <v/>
      </c>
      <c r="AZ316" s="12" t="str">
        <f t="shared" si="7417"/>
        <v/>
      </c>
      <c r="BA316" s="12" t="str">
        <f t="shared" si="7418"/>
        <v/>
      </c>
      <c r="BB316" s="12" t="str">
        <f t="shared" si="7419"/>
        <v/>
      </c>
      <c r="BC316" s="215" t="str">
        <f t="shared" si="7420"/>
        <v/>
      </c>
    </row>
    <row r="317" spans="1:55" ht="11.25" customHeight="1" x14ac:dyDescent="0.25">
      <c r="A317" s="216">
        <v>3</v>
      </c>
      <c r="B317" s="11" t="s">
        <v>5</v>
      </c>
      <c r="C317" s="123">
        <v>28</v>
      </c>
      <c r="D317" s="12">
        <v>28</v>
      </c>
      <c r="E317" s="12">
        <v>28</v>
      </c>
      <c r="F317" s="12">
        <v>28</v>
      </c>
      <c r="G317" s="195">
        <f t="shared" ref="G317" si="7421">IF(G315="","",(F317+F318))</f>
        <v>28</v>
      </c>
      <c r="H317" s="12">
        <f t="shared" ref="H317" si="7422">IF(H315="","",(G317+G318))</f>
        <v>28</v>
      </c>
      <c r="I317" s="12">
        <v>27</v>
      </c>
      <c r="J317" s="195">
        <f t="shared" ref="J317" si="7423">IF(J315="","",(I317+I318))</f>
        <v>27</v>
      </c>
      <c r="K317" s="12">
        <f t="shared" ref="K317" si="7424">IF(K315="","",(J317+J318))</f>
        <v>27</v>
      </c>
      <c r="L317" s="12">
        <f t="shared" ref="L317" si="7425">IF(L315="","",(K317+K318))</f>
        <v>27</v>
      </c>
      <c r="M317" s="12">
        <f t="shared" ref="M317" si="7426">IF(M315="","",(L317+L318))</f>
        <v>27</v>
      </c>
      <c r="N317" s="195" t="str">
        <f t="shared" ref="N317" si="7427">IF(N315="","",(M317+M318))</f>
        <v/>
      </c>
      <c r="O317" s="12" t="str">
        <f t="shared" ref="O317" si="7428">IF(O315="","",(N317+N318))</f>
        <v/>
      </c>
      <c r="P317" s="12" t="str">
        <f t="shared" ref="P317" si="7429">IF(P315="","",(O317+O318))</f>
        <v/>
      </c>
      <c r="Q317" s="12" t="str">
        <f t="shared" ref="Q317" si="7430">IF(Q315="","",(P317+P318))</f>
        <v/>
      </c>
      <c r="R317" s="12" t="str">
        <f t="shared" ref="R317" si="7431">IF(R315="","",(Q317+Q318))</f>
        <v/>
      </c>
      <c r="S317" s="12" t="str">
        <f t="shared" ref="S317" si="7432">IF(S315="","",(R317+R318))</f>
        <v/>
      </c>
      <c r="T317" s="12" t="str">
        <f t="shared" ref="T317" si="7433">IF(T315="","",(S317+S318))</f>
        <v/>
      </c>
      <c r="U317" s="12" t="str">
        <f t="shared" ref="U317" si="7434">IF(U315="","",(T317+T318))</f>
        <v/>
      </c>
      <c r="V317" s="12" t="str">
        <f t="shared" ref="V317" si="7435">IF(V315="","",(U317+U318))</f>
        <v/>
      </c>
      <c r="W317" s="12" t="str">
        <f t="shared" ref="W317" si="7436">IF(W315="","",(V317+V318))</f>
        <v/>
      </c>
      <c r="X317" s="12" t="str">
        <f t="shared" ref="X317" si="7437">IF(X315="","",(W317+W318))</f>
        <v/>
      </c>
      <c r="Y317" s="12" t="str">
        <f t="shared" ref="Y317" si="7438">IF(Y315="","",(X317+X318))</f>
        <v/>
      </c>
      <c r="Z317" s="12" t="str">
        <f t="shared" ref="Z317" si="7439">IF(Z315="","",(Y317+Y318))</f>
        <v/>
      </c>
      <c r="AA317" s="12" t="str">
        <f t="shared" ref="AA317" si="7440">IF(AA315="","",(Z317+Z318))</f>
        <v/>
      </c>
      <c r="AB317" s="12" t="str">
        <f t="shared" ref="AB317" si="7441">IF(AB315="","",(AA317+AA318))</f>
        <v/>
      </c>
      <c r="AC317" s="12" t="str">
        <f t="shared" ref="AC317" si="7442">IF(AC315="","",(AB317+AB318))</f>
        <v/>
      </c>
      <c r="AD317" s="12" t="str">
        <f t="shared" ref="AD317" si="7443">IF(AD315="","",(AC317+AC318))</f>
        <v/>
      </c>
      <c r="AE317" s="12" t="str">
        <f t="shared" ref="AE317" si="7444">IF(AE315="","",(AD317+AD318))</f>
        <v/>
      </c>
      <c r="AF317" s="12" t="str">
        <f t="shared" ref="AF317" si="7445">IF(AF315="","",(AE317+AE318))</f>
        <v/>
      </c>
      <c r="AG317" s="12" t="str">
        <f t="shared" ref="AG317" si="7446">IF(AG315="","",(AF317+AF318))</f>
        <v/>
      </c>
      <c r="AH317" s="12" t="str">
        <f t="shared" ref="AH317" si="7447">IF(AH315="","",(AG317+AG318))</f>
        <v/>
      </c>
      <c r="AI317" s="12" t="str">
        <f t="shared" ref="AI317" si="7448">IF(AI315="","",(AH317+AH318))</f>
        <v/>
      </c>
      <c r="AJ317" s="12" t="str">
        <f t="shared" ref="AJ317" si="7449">IF(AJ315="","",(AI317+AI318))</f>
        <v/>
      </c>
      <c r="AK317" s="12" t="str">
        <f t="shared" ref="AK317" si="7450">IF(AK315="","",(AJ317+AJ318))</f>
        <v/>
      </c>
      <c r="AL317" s="12" t="str">
        <f t="shared" ref="AL317" si="7451">IF(AL315="","",(AK317+AK318))</f>
        <v/>
      </c>
      <c r="AM317" s="12" t="str">
        <f t="shared" ref="AM317" si="7452">IF(AM315="","",(AL317+AL318))</f>
        <v/>
      </c>
      <c r="AN317" s="12" t="str">
        <f t="shared" ref="AN317" si="7453">IF(AN315="","",(AM317+AM318))</f>
        <v/>
      </c>
      <c r="AO317" s="12" t="str">
        <f t="shared" ref="AO317" si="7454">IF(AO315="","",(AN317+AN318))</f>
        <v/>
      </c>
      <c r="AP317" s="12" t="str">
        <f t="shared" ref="AP317" si="7455">IF(AP315="","",(AO317+AO318))</f>
        <v/>
      </c>
      <c r="AQ317" s="12" t="str">
        <f t="shared" ref="AQ317" si="7456">IF(AQ315="","",(AP317+AP318))</f>
        <v/>
      </c>
      <c r="AR317" s="12" t="str">
        <f t="shared" ref="AR317" si="7457">IF(AR315="","",(AQ317+AQ318))</f>
        <v/>
      </c>
      <c r="AS317" s="12" t="str">
        <f t="shared" ref="AS317" si="7458">IF(AS315="","",(AR317+AR318))</f>
        <v/>
      </c>
      <c r="AT317" s="12" t="str">
        <f t="shared" ref="AT317" si="7459">IF(AT315="","",(AS317+AS318))</f>
        <v/>
      </c>
      <c r="AU317" s="12" t="str">
        <f t="shared" ref="AU317" si="7460">IF(AU315="","",(AT317+AT318))</f>
        <v/>
      </c>
      <c r="AV317" s="12" t="str">
        <f t="shared" ref="AV317" si="7461">IF(AV315="","",(AU317+AU318))</f>
        <v/>
      </c>
      <c r="AW317" s="12" t="str">
        <f t="shared" ref="AW317" si="7462">IF(AW315="","",(AV317+AV318))</f>
        <v/>
      </c>
      <c r="AX317" s="12" t="str">
        <f t="shared" ref="AX317" si="7463">IF(AX315="","",(AW317+AW318))</f>
        <v/>
      </c>
      <c r="AY317" s="12" t="str">
        <f t="shared" ref="AY317" si="7464">IF(AY315="","",(AX317+AX318))</f>
        <v/>
      </c>
      <c r="AZ317" s="12" t="str">
        <f t="shared" ref="AZ317" si="7465">IF(AZ315="","",(AY317+AY318))</f>
        <v/>
      </c>
      <c r="BA317" s="12" t="str">
        <f t="shared" ref="BA317" si="7466">IF(BA315="","",(AZ317+AZ318))</f>
        <v/>
      </c>
      <c r="BB317" s="12" t="str">
        <f t="shared" ref="BB317" si="7467">IF(BB315="","",(BA317+BA318))</f>
        <v/>
      </c>
      <c r="BC317" s="215" t="str">
        <f t="shared" ref="BC317" si="7468">IF(BC315="","",(BB317+BB318))</f>
        <v/>
      </c>
    </row>
    <row r="318" spans="1:55" ht="11.25" customHeight="1" x14ac:dyDescent="0.2">
      <c r="A318" s="220"/>
      <c r="B318" s="11" t="s">
        <v>6</v>
      </c>
      <c r="C318" s="123"/>
      <c r="D318" s="12"/>
      <c r="E318" s="12"/>
      <c r="F318" s="12"/>
      <c r="G318" s="195"/>
      <c r="H318" s="12"/>
      <c r="I318" s="12"/>
      <c r="J318" s="195"/>
      <c r="K318" s="12"/>
      <c r="L318" s="12"/>
      <c r="M318" s="12"/>
      <c r="N318" s="195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215"/>
    </row>
    <row r="319" spans="1:55" ht="11.25" customHeight="1" x14ac:dyDescent="0.2">
      <c r="A319" s="222"/>
      <c r="B319" s="11" t="s">
        <v>8</v>
      </c>
      <c r="C319" s="129">
        <v>462</v>
      </c>
      <c r="D319" s="206">
        <v>462</v>
      </c>
      <c r="E319" s="206">
        <v>462</v>
      </c>
      <c r="F319" s="206">
        <v>462</v>
      </c>
      <c r="G319" s="207">
        <f t="shared" ref="G319" si="7469">IF(G315="","",F319)</f>
        <v>462</v>
      </c>
      <c r="H319" s="206">
        <f t="shared" ref="H319" si="7470">IF(H315="","",G319)</f>
        <v>462</v>
      </c>
      <c r="I319" s="206">
        <f t="shared" ref="I319" si="7471">IF(I315="","",H319)</f>
        <v>462</v>
      </c>
      <c r="J319" s="207">
        <f t="shared" ref="J319" si="7472">IF(J315="","",I319)</f>
        <v>462</v>
      </c>
      <c r="K319" s="206">
        <f t="shared" ref="K319" si="7473">IF(K315="","",J319)</f>
        <v>462</v>
      </c>
      <c r="L319" s="206">
        <f t="shared" ref="L319" si="7474">IF(L315="","",K319)</f>
        <v>462</v>
      </c>
      <c r="M319" s="206">
        <f t="shared" ref="M319" si="7475">IF(M315="","",L319)</f>
        <v>462</v>
      </c>
      <c r="N319" s="207" t="str">
        <f t="shared" ref="N319" si="7476">IF(N315="","",M319)</f>
        <v/>
      </c>
      <c r="O319" s="206" t="str">
        <f t="shared" ref="O319" si="7477">IF(O315="","",N319)</f>
        <v/>
      </c>
      <c r="P319" s="206" t="str">
        <f t="shared" ref="P319" si="7478">IF(P315="","",O319)</f>
        <v/>
      </c>
      <c r="Q319" s="206" t="str">
        <f t="shared" ref="Q319" si="7479">IF(Q315="","",P319)</f>
        <v/>
      </c>
      <c r="R319" s="206" t="str">
        <f t="shared" ref="R319" si="7480">IF(R315="","",Q319)</f>
        <v/>
      </c>
      <c r="S319" s="206" t="str">
        <f t="shared" ref="S319" si="7481">IF(S315="","",R319)</f>
        <v/>
      </c>
      <c r="T319" s="206" t="str">
        <f t="shared" ref="T319" si="7482">IF(T315="","",S319)</f>
        <v/>
      </c>
      <c r="U319" s="206" t="str">
        <f t="shared" ref="U319" si="7483">IF(U315="","",T319)</f>
        <v/>
      </c>
      <c r="V319" s="206" t="str">
        <f t="shared" ref="V319" si="7484">IF(V315="","",U319)</f>
        <v/>
      </c>
      <c r="W319" s="206" t="str">
        <f t="shared" ref="W319" si="7485">IF(W315="","",V319)</f>
        <v/>
      </c>
      <c r="X319" s="206" t="str">
        <f t="shared" ref="X319" si="7486">IF(X315="","",W319)</f>
        <v/>
      </c>
      <c r="Y319" s="206" t="str">
        <f t="shared" ref="Y319" si="7487">IF(Y315="","",X319)</f>
        <v/>
      </c>
      <c r="Z319" s="206" t="str">
        <f t="shared" ref="Z319" si="7488">IF(Z315="","",Y319)</f>
        <v/>
      </c>
      <c r="AA319" s="206" t="str">
        <f t="shared" ref="AA319" si="7489">IF(AA315="","",Z319)</f>
        <v/>
      </c>
      <c r="AB319" s="206" t="str">
        <f t="shared" ref="AB319" si="7490">IF(AB315="","",AA319)</f>
        <v/>
      </c>
      <c r="AC319" s="206" t="str">
        <f t="shared" ref="AC319" si="7491">IF(AC315="","",AB319)</f>
        <v/>
      </c>
      <c r="AD319" s="206" t="str">
        <f t="shared" ref="AD319" si="7492">IF(AD315="","",AC319)</f>
        <v/>
      </c>
      <c r="AE319" s="206" t="str">
        <f t="shared" ref="AE319" si="7493">IF(AE315="","",AD319)</f>
        <v/>
      </c>
      <c r="AF319" s="206" t="str">
        <f t="shared" ref="AF319" si="7494">IF(AF315="","",AE319)</f>
        <v/>
      </c>
      <c r="AG319" s="206" t="str">
        <f t="shared" ref="AG319" si="7495">IF(AG315="","",AF319)</f>
        <v/>
      </c>
      <c r="AH319" s="206" t="str">
        <f t="shared" ref="AH319" si="7496">IF(AH315="","",AG319)</f>
        <v/>
      </c>
      <c r="AI319" s="206" t="str">
        <f t="shared" ref="AI319" si="7497">IF(AI315="","",AH319)</f>
        <v/>
      </c>
      <c r="AJ319" s="206" t="str">
        <f t="shared" ref="AJ319" si="7498">IF(AJ315="","",AI319)</f>
        <v/>
      </c>
      <c r="AK319" s="206" t="str">
        <f t="shared" ref="AK319" si="7499">IF(AK315="","",AJ319)</f>
        <v/>
      </c>
      <c r="AL319" s="206" t="str">
        <f t="shared" ref="AL319" si="7500">IF(AL315="","",AK319)</f>
        <v/>
      </c>
      <c r="AM319" s="206" t="str">
        <f t="shared" ref="AM319" si="7501">IF(AM315="","",AL319)</f>
        <v/>
      </c>
      <c r="AN319" s="206" t="str">
        <f t="shared" ref="AN319" si="7502">IF(AN315="","",AM319)</f>
        <v/>
      </c>
      <c r="AO319" s="206" t="str">
        <f t="shared" ref="AO319" si="7503">IF(AO315="","",AN319)</f>
        <v/>
      </c>
      <c r="AP319" s="206" t="str">
        <f t="shared" ref="AP319" si="7504">IF(AP315="","",AO319)</f>
        <v/>
      </c>
      <c r="AQ319" s="206" t="str">
        <f t="shared" ref="AQ319" si="7505">IF(AQ315="","",AP319)</f>
        <v/>
      </c>
      <c r="AR319" s="206" t="str">
        <f t="shared" ref="AR319" si="7506">IF(AR315="","",AQ319)</f>
        <v/>
      </c>
      <c r="AS319" s="206" t="str">
        <f t="shared" ref="AS319" si="7507">IF(AS315="","",AR319)</f>
        <v/>
      </c>
      <c r="AT319" s="206" t="str">
        <f t="shared" ref="AT319" si="7508">IF(AT315="","",AS319)</f>
        <v/>
      </c>
      <c r="AU319" s="206" t="str">
        <f t="shared" ref="AU319" si="7509">IF(AU315="","",AT319)</f>
        <v/>
      </c>
      <c r="AV319" s="206" t="str">
        <f t="shared" ref="AV319" si="7510">IF(AV315="","",AU319)</f>
        <v/>
      </c>
      <c r="AW319" s="206" t="str">
        <f t="shared" ref="AW319" si="7511">IF(AW315="","",AV319)</f>
        <v/>
      </c>
      <c r="AX319" s="206" t="str">
        <f t="shared" ref="AX319" si="7512">IF(AX315="","",AW319)</f>
        <v/>
      </c>
      <c r="AY319" s="206" t="str">
        <f t="shared" ref="AY319" si="7513">IF(AY315="","",AX319)</f>
        <v/>
      </c>
      <c r="AZ319" s="206" t="str">
        <f t="shared" ref="AZ319" si="7514">IF(AZ315="","",AY319)</f>
        <v/>
      </c>
      <c r="BA319" s="206" t="str">
        <f t="shared" ref="BA319" si="7515">IF(BA315="","",AZ319)</f>
        <v/>
      </c>
      <c r="BB319" s="206" t="str">
        <f t="shared" ref="BB319" si="7516">IF(BB315="","",BA319)</f>
        <v/>
      </c>
      <c r="BC319" s="219" t="str">
        <f t="shared" ref="BC319" si="7517">IF(BC315="","",BB319)</f>
        <v/>
      </c>
    </row>
    <row r="320" spans="1:55" ht="11.25" customHeight="1" x14ac:dyDescent="0.2">
      <c r="A320" s="220" t="s">
        <v>9</v>
      </c>
      <c r="B320" s="17" t="s">
        <v>10</v>
      </c>
      <c r="C320" s="133" t="s">
        <v>285</v>
      </c>
      <c r="D320" s="18" t="s">
        <v>285</v>
      </c>
      <c r="E320" s="18" t="s">
        <v>285</v>
      </c>
      <c r="F320" s="18" t="s">
        <v>285</v>
      </c>
      <c r="G320" s="197" t="str">
        <f t="shared" ref="G320" si="7518">IF(G315="","",F320)</f>
        <v>モンチッチプチがま口</v>
      </c>
      <c r="H320" s="18" t="str">
        <f t="shared" ref="H320" si="7519">IF(H315="","",G320)</f>
        <v>モンチッチプチがま口</v>
      </c>
      <c r="I320" s="18" t="str">
        <f t="shared" ref="I320" si="7520">IF(I315="","",H320)</f>
        <v>モンチッチプチがま口</v>
      </c>
      <c r="J320" s="197" t="str">
        <f t="shared" ref="J320" si="7521">IF(J315="","",I320)</f>
        <v>モンチッチプチがま口</v>
      </c>
      <c r="K320" s="18" t="str">
        <f t="shared" ref="K320" si="7522">IF(K315="","",J320)</f>
        <v>モンチッチプチがま口</v>
      </c>
      <c r="L320" s="18" t="str">
        <f t="shared" ref="L320" si="7523">IF(L315="","",K320)</f>
        <v>モンチッチプチがま口</v>
      </c>
      <c r="M320" s="18" t="str">
        <f t="shared" ref="M320" si="7524">IF(M315="","",L320)</f>
        <v>モンチッチプチがま口</v>
      </c>
      <c r="N320" s="197" t="str">
        <f t="shared" ref="N320" si="7525">IF(N315="","",M320)</f>
        <v/>
      </c>
      <c r="O320" s="18" t="str">
        <f t="shared" ref="O320" si="7526">IF(O315="","",N320)</f>
        <v/>
      </c>
      <c r="P320" s="18" t="str">
        <f t="shared" ref="P320" si="7527">IF(P315="","",O320)</f>
        <v/>
      </c>
      <c r="Q320" s="18" t="str">
        <f t="shared" ref="Q320" si="7528">IF(Q315="","",P320)</f>
        <v/>
      </c>
      <c r="R320" s="18" t="str">
        <f t="shared" ref="R320" si="7529">IF(R315="","",Q320)</f>
        <v/>
      </c>
      <c r="S320" s="18" t="str">
        <f t="shared" ref="S320" si="7530">IF(S315="","",R320)</f>
        <v/>
      </c>
      <c r="T320" s="18" t="str">
        <f t="shared" ref="T320" si="7531">IF(T315="","",S320)</f>
        <v/>
      </c>
      <c r="U320" s="18" t="str">
        <f t="shared" ref="U320" si="7532">IF(U315="","",T320)</f>
        <v/>
      </c>
      <c r="V320" s="18" t="str">
        <f t="shared" ref="V320" si="7533">IF(V315="","",U320)</f>
        <v/>
      </c>
      <c r="W320" s="18" t="str">
        <f t="shared" ref="W320" si="7534">IF(W315="","",V320)</f>
        <v/>
      </c>
      <c r="X320" s="18" t="str">
        <f t="shared" ref="X320" si="7535">IF(X315="","",W320)</f>
        <v/>
      </c>
      <c r="Y320" s="18" t="str">
        <f t="shared" ref="Y320" si="7536">IF(Y315="","",X320)</f>
        <v/>
      </c>
      <c r="Z320" s="18" t="str">
        <f t="shared" ref="Z320" si="7537">IF(Z315="","",Y320)</f>
        <v/>
      </c>
      <c r="AA320" s="18" t="str">
        <f t="shared" ref="AA320" si="7538">IF(AA315="","",Z320)</f>
        <v/>
      </c>
      <c r="AB320" s="18" t="str">
        <f t="shared" ref="AB320" si="7539">IF(AB315="","",AA320)</f>
        <v/>
      </c>
      <c r="AC320" s="18" t="str">
        <f t="shared" ref="AC320" si="7540">IF(AC315="","",AB320)</f>
        <v/>
      </c>
      <c r="AD320" s="18" t="str">
        <f t="shared" ref="AD320" si="7541">IF(AD315="","",AC320)</f>
        <v/>
      </c>
      <c r="AE320" s="18" t="str">
        <f t="shared" ref="AE320" si="7542">IF(AE315="","",AD320)</f>
        <v/>
      </c>
      <c r="AF320" s="18" t="str">
        <f t="shared" ref="AF320" si="7543">IF(AF315="","",AE320)</f>
        <v/>
      </c>
      <c r="AG320" s="18" t="str">
        <f t="shared" ref="AG320" si="7544">IF(AG315="","",AF320)</f>
        <v/>
      </c>
      <c r="AH320" s="18" t="str">
        <f t="shared" ref="AH320" si="7545">IF(AH315="","",AG320)</f>
        <v/>
      </c>
      <c r="AI320" s="18" t="str">
        <f t="shared" ref="AI320" si="7546">IF(AI315="","",AH320)</f>
        <v/>
      </c>
      <c r="AJ320" s="18" t="str">
        <f t="shared" ref="AJ320" si="7547">IF(AJ315="","",AI320)</f>
        <v/>
      </c>
      <c r="AK320" s="18" t="str">
        <f t="shared" ref="AK320" si="7548">IF(AK315="","",AJ320)</f>
        <v/>
      </c>
      <c r="AL320" s="18" t="str">
        <f t="shared" ref="AL320" si="7549">IF(AL315="","",AK320)</f>
        <v/>
      </c>
      <c r="AM320" s="18" t="str">
        <f t="shared" ref="AM320" si="7550">IF(AM315="","",AL320)</f>
        <v/>
      </c>
      <c r="AN320" s="18" t="str">
        <f t="shared" ref="AN320" si="7551">IF(AN315="","",AM320)</f>
        <v/>
      </c>
      <c r="AO320" s="18" t="str">
        <f t="shared" ref="AO320" si="7552">IF(AO315="","",AN320)</f>
        <v/>
      </c>
      <c r="AP320" s="18" t="str">
        <f t="shared" ref="AP320" si="7553">IF(AP315="","",AO320)</f>
        <v/>
      </c>
      <c r="AQ320" s="18" t="str">
        <f t="shared" ref="AQ320" si="7554">IF(AQ315="","",AP320)</f>
        <v/>
      </c>
      <c r="AR320" s="18" t="str">
        <f t="shared" ref="AR320" si="7555">IF(AR315="","",AQ320)</f>
        <v/>
      </c>
      <c r="AS320" s="18" t="str">
        <f t="shared" ref="AS320" si="7556">IF(AS315="","",AR320)</f>
        <v/>
      </c>
      <c r="AT320" s="18" t="str">
        <f t="shared" ref="AT320" si="7557">IF(AT315="","",AS320)</f>
        <v/>
      </c>
      <c r="AU320" s="18" t="str">
        <f t="shared" ref="AU320" si="7558">IF(AU315="","",AT320)</f>
        <v/>
      </c>
      <c r="AV320" s="18" t="str">
        <f t="shared" ref="AV320" si="7559">IF(AV315="","",AU320)</f>
        <v/>
      </c>
      <c r="AW320" s="18" t="str">
        <f t="shared" ref="AW320" si="7560">IF(AW315="","",AV320)</f>
        <v/>
      </c>
      <c r="AX320" s="18" t="str">
        <f t="shared" ref="AX320" si="7561">IF(AX315="","",AW320)</f>
        <v/>
      </c>
      <c r="AY320" s="18" t="str">
        <f t="shared" ref="AY320" si="7562">IF(AY315="","",AX320)</f>
        <v/>
      </c>
      <c r="AZ320" s="18" t="str">
        <f t="shared" ref="AZ320" si="7563">IF(AZ315="","",AY320)</f>
        <v/>
      </c>
      <c r="BA320" s="18" t="str">
        <f t="shared" ref="BA320" si="7564">IF(BA315="","",AZ320)</f>
        <v/>
      </c>
      <c r="BB320" s="18" t="str">
        <f t="shared" ref="BB320" si="7565">IF(BB315="","",BA320)</f>
        <v/>
      </c>
      <c r="BC320" s="221" t="str">
        <f t="shared" ref="BC320" si="7566">IF(BC315="","",BB320)</f>
        <v/>
      </c>
    </row>
    <row r="321" spans="1:55" ht="11.25" customHeight="1" x14ac:dyDescent="0.2">
      <c r="A321" s="222">
        <f>AVERAGE(C322:AS322)*30*100</f>
        <v>5181.818181818182</v>
      </c>
      <c r="B321" s="11" t="s">
        <v>12</v>
      </c>
      <c r="C321" s="123"/>
      <c r="D321" s="12"/>
      <c r="E321" s="12"/>
      <c r="F321" s="12"/>
      <c r="G321" s="195"/>
      <c r="H321" s="12"/>
      <c r="I321" s="12"/>
      <c r="J321" s="195"/>
      <c r="K321" s="12"/>
      <c r="L321" s="12"/>
      <c r="M321" s="12"/>
      <c r="N321" s="195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215"/>
    </row>
    <row r="322" spans="1:55" ht="11.25" customHeight="1" x14ac:dyDescent="0.2">
      <c r="A322" s="222">
        <f t="shared" ref="A322:A325" si="7567">SUM(C322:AS322)</f>
        <v>19</v>
      </c>
      <c r="B322" s="19" t="s">
        <v>13</v>
      </c>
      <c r="C322" s="123">
        <v>0</v>
      </c>
      <c r="D322" s="20">
        <v>0</v>
      </c>
      <c r="E322" s="20">
        <v>0</v>
      </c>
      <c r="F322" s="20">
        <v>0</v>
      </c>
      <c r="G322" s="195">
        <f t="shared" ref="G322:G323" si="7568">IF(G315="","",G315-F315)</f>
        <v>0</v>
      </c>
      <c r="H322" s="20">
        <f t="shared" ref="H322:H323" si="7569">IF(H315="","",H315-G315)</f>
        <v>0</v>
      </c>
      <c r="I322" s="20">
        <f t="shared" ref="I322:I323" si="7570">IF(I315="","",I315-H315)</f>
        <v>19</v>
      </c>
      <c r="J322" s="195">
        <f t="shared" ref="J322:J323" si="7571">IF(J315="","",J315-I315)</f>
        <v>0</v>
      </c>
      <c r="K322" s="20">
        <f t="shared" ref="K322:K323" si="7572">IF(K315="","",K315-J315)</f>
        <v>0</v>
      </c>
      <c r="L322" s="20">
        <f t="shared" ref="L322:L323" si="7573">IF(L315="","",L315-K315)</f>
        <v>0</v>
      </c>
      <c r="M322" s="20">
        <f t="shared" ref="M322:M323" si="7574">IF(M315="","",M315-L315)</f>
        <v>0</v>
      </c>
      <c r="N322" s="195" t="str">
        <f t="shared" ref="N322:N323" si="7575">IF(N315="","",N315-M315)</f>
        <v/>
      </c>
      <c r="O322" s="20" t="str">
        <f t="shared" ref="O322:O323" si="7576">IF(O315="","",O315-N315)</f>
        <v/>
      </c>
      <c r="P322" s="20" t="str">
        <f t="shared" ref="P322:P323" si="7577">IF(P315="","",P315-O315)</f>
        <v/>
      </c>
      <c r="Q322" s="20" t="str">
        <f t="shared" ref="Q322:Q323" si="7578">IF(Q315="","",Q315-P315)</f>
        <v/>
      </c>
      <c r="R322" s="20" t="str">
        <f t="shared" ref="R322:R323" si="7579">IF(R315="","",R315-Q315)</f>
        <v/>
      </c>
      <c r="S322" s="20" t="str">
        <f t="shared" ref="S322:S323" si="7580">IF(S315="","",S315-R315)</f>
        <v/>
      </c>
      <c r="T322" s="20" t="str">
        <f t="shared" ref="T322:T323" si="7581">IF(T315="","",T315-S315)</f>
        <v/>
      </c>
      <c r="U322" s="20" t="str">
        <f t="shared" ref="U322:U323" si="7582">IF(U315="","",U315-T315)</f>
        <v/>
      </c>
      <c r="V322" s="20" t="str">
        <f t="shared" ref="V322:V323" si="7583">IF(V315="","",V315-U315)</f>
        <v/>
      </c>
      <c r="W322" s="20" t="str">
        <f t="shared" ref="W322:W323" si="7584">IF(W315="","",W315-V315)</f>
        <v/>
      </c>
      <c r="X322" s="20" t="str">
        <f t="shared" ref="X322:X323" si="7585">IF(X315="","",X315-W315)</f>
        <v/>
      </c>
      <c r="Y322" s="20" t="str">
        <f t="shared" ref="Y322:Y323" si="7586">IF(Y315="","",Y315-X315)</f>
        <v/>
      </c>
      <c r="Z322" s="20" t="str">
        <f t="shared" ref="Z322:Z323" si="7587">IF(Z315="","",Z315-Y315)</f>
        <v/>
      </c>
      <c r="AA322" s="20" t="str">
        <f t="shared" ref="AA322:AA323" si="7588">IF(AA315="","",AA315-Z315)</f>
        <v/>
      </c>
      <c r="AB322" s="20" t="str">
        <f t="shared" ref="AB322:AB323" si="7589">IF(AB315="","",AB315-AA315)</f>
        <v/>
      </c>
      <c r="AC322" s="20" t="str">
        <f t="shared" ref="AC322:AC323" si="7590">IF(AC315="","",AC315-AB315)</f>
        <v/>
      </c>
      <c r="AD322" s="20" t="str">
        <f t="shared" ref="AD322:AD323" si="7591">IF(AD315="","",AD315-AC315)</f>
        <v/>
      </c>
      <c r="AE322" s="20" t="str">
        <f t="shared" ref="AE322:AE323" si="7592">IF(AE315="","",AE315-AD315)</f>
        <v/>
      </c>
      <c r="AF322" s="20" t="str">
        <f t="shared" ref="AF322:AF323" si="7593">IF(AF315="","",AF315-AE315)</f>
        <v/>
      </c>
      <c r="AG322" s="20" t="str">
        <f t="shared" ref="AG322:AG323" si="7594">IF(AG315="","",AG315-AF315)</f>
        <v/>
      </c>
      <c r="AH322" s="20" t="str">
        <f t="shared" ref="AH322:AH323" si="7595">IF(AH315="","",AH315-AG315)</f>
        <v/>
      </c>
      <c r="AI322" s="20" t="str">
        <f t="shared" ref="AI322:AI323" si="7596">IF(AI315="","",AI315-AH315)</f>
        <v/>
      </c>
      <c r="AJ322" s="20" t="str">
        <f t="shared" ref="AJ322:AJ323" si="7597">IF(AJ315="","",AJ315-AI315)</f>
        <v/>
      </c>
      <c r="AK322" s="20" t="str">
        <f t="shared" ref="AK322:AK323" si="7598">IF(AK315="","",AK315-AJ315)</f>
        <v/>
      </c>
      <c r="AL322" s="20" t="str">
        <f t="shared" ref="AL322:AL323" si="7599">IF(AL315="","",AL315-AK315)</f>
        <v/>
      </c>
      <c r="AM322" s="20" t="str">
        <f t="shared" ref="AM322:AM323" si="7600">IF(AM315="","",AM315-AL315)</f>
        <v/>
      </c>
      <c r="AN322" s="20" t="str">
        <f t="shared" ref="AN322:AN323" si="7601">IF(AN315="","",AN315-AM315)</f>
        <v/>
      </c>
      <c r="AO322" s="20" t="str">
        <f t="shared" ref="AO322:AO323" si="7602">IF(AO315="","",AO315-AN315)</f>
        <v/>
      </c>
      <c r="AP322" s="20" t="str">
        <f t="shared" ref="AP322:AP323" si="7603">IF(AP315="","",AP315-AO315)</f>
        <v/>
      </c>
      <c r="AQ322" s="20" t="str">
        <f t="shared" ref="AQ322:AQ323" si="7604">IF(AQ315="","",AQ315-AP315)</f>
        <v/>
      </c>
      <c r="AR322" s="20" t="str">
        <f t="shared" ref="AR322:AR323" si="7605">IF(AR315="","",AR315-AQ315)</f>
        <v/>
      </c>
      <c r="AS322" s="20" t="str">
        <f t="shared" ref="AS322:AS323" si="7606">IF(AS315="","",AS315-AR315)</f>
        <v/>
      </c>
      <c r="AT322" s="20" t="str">
        <f t="shared" ref="AT322:AT323" si="7607">IF(AT315="","",AT315-AS315)</f>
        <v/>
      </c>
      <c r="AU322" s="20" t="str">
        <f t="shared" ref="AU322:AU323" si="7608">IF(AU315="","",AU315-AT315)</f>
        <v/>
      </c>
      <c r="AV322" s="20" t="str">
        <f t="shared" ref="AV322:AV323" si="7609">IF(AV315="","",AV315-AU315)</f>
        <v/>
      </c>
      <c r="AW322" s="20" t="str">
        <f t="shared" ref="AW322:AW323" si="7610">IF(AW315="","",AW315-AV315)</f>
        <v/>
      </c>
      <c r="AX322" s="20" t="str">
        <f t="shared" ref="AX322:AX323" si="7611">IF(AX315="","",AX315-AW315)</f>
        <v/>
      </c>
      <c r="AY322" s="20" t="str">
        <f t="shared" ref="AY322:AY323" si="7612">IF(AY315="","",AY315-AX315)</f>
        <v/>
      </c>
      <c r="AZ322" s="20" t="str">
        <f t="shared" ref="AZ322:AZ323" si="7613">IF(AZ315="","",AZ315-AY315)</f>
        <v/>
      </c>
      <c r="BA322" s="20" t="str">
        <f t="shared" ref="BA322:BA323" si="7614">IF(BA315="","",BA315-AZ315)</f>
        <v/>
      </c>
      <c r="BB322" s="20" t="str">
        <f t="shared" ref="BB322:BB323" si="7615">IF(BB315="","",BB315-BA315)</f>
        <v/>
      </c>
      <c r="BC322" s="223" t="str">
        <f t="shared" ref="BC322:BC323" si="7616">IF(BC315="","",BC315-BB315)</f>
        <v/>
      </c>
    </row>
    <row r="323" spans="1:55" ht="11.25" customHeight="1" x14ac:dyDescent="0.2">
      <c r="A323" s="222">
        <f t="shared" si="7567"/>
        <v>1</v>
      </c>
      <c r="B323" s="19" t="s">
        <v>14</v>
      </c>
      <c r="C323" s="123">
        <v>0</v>
      </c>
      <c r="D323" s="20">
        <v>0</v>
      </c>
      <c r="E323" s="20">
        <v>0</v>
      </c>
      <c r="F323" s="20">
        <v>0</v>
      </c>
      <c r="G323" s="195">
        <f t="shared" si="7568"/>
        <v>0</v>
      </c>
      <c r="H323" s="20">
        <f t="shared" si="7569"/>
        <v>0</v>
      </c>
      <c r="I323" s="20">
        <f t="shared" si="7570"/>
        <v>1</v>
      </c>
      <c r="J323" s="195">
        <f t="shared" si="7571"/>
        <v>0</v>
      </c>
      <c r="K323" s="20">
        <f t="shared" si="7572"/>
        <v>0</v>
      </c>
      <c r="L323" s="20">
        <f t="shared" si="7573"/>
        <v>0</v>
      </c>
      <c r="M323" s="20">
        <f t="shared" si="7574"/>
        <v>0</v>
      </c>
      <c r="N323" s="195" t="str">
        <f t="shared" si="7575"/>
        <v/>
      </c>
      <c r="O323" s="20" t="str">
        <f t="shared" si="7576"/>
        <v/>
      </c>
      <c r="P323" s="20" t="str">
        <f t="shared" si="7577"/>
        <v/>
      </c>
      <c r="Q323" s="20" t="str">
        <f t="shared" si="7578"/>
        <v/>
      </c>
      <c r="R323" s="20" t="str">
        <f t="shared" si="7579"/>
        <v/>
      </c>
      <c r="S323" s="20" t="str">
        <f t="shared" si="7580"/>
        <v/>
      </c>
      <c r="T323" s="20" t="str">
        <f t="shared" si="7581"/>
        <v/>
      </c>
      <c r="U323" s="20" t="str">
        <f t="shared" si="7582"/>
        <v/>
      </c>
      <c r="V323" s="20" t="str">
        <f t="shared" si="7583"/>
        <v/>
      </c>
      <c r="W323" s="20" t="str">
        <f t="shared" si="7584"/>
        <v/>
      </c>
      <c r="X323" s="20" t="str">
        <f t="shared" si="7585"/>
        <v/>
      </c>
      <c r="Y323" s="20" t="str">
        <f t="shared" si="7586"/>
        <v/>
      </c>
      <c r="Z323" s="20" t="str">
        <f t="shared" si="7587"/>
        <v/>
      </c>
      <c r="AA323" s="20" t="str">
        <f t="shared" si="7588"/>
        <v/>
      </c>
      <c r="AB323" s="20" t="str">
        <f t="shared" si="7589"/>
        <v/>
      </c>
      <c r="AC323" s="20" t="str">
        <f t="shared" si="7590"/>
        <v/>
      </c>
      <c r="AD323" s="20" t="str">
        <f t="shared" si="7591"/>
        <v/>
      </c>
      <c r="AE323" s="20" t="str">
        <f t="shared" si="7592"/>
        <v/>
      </c>
      <c r="AF323" s="20" t="str">
        <f t="shared" si="7593"/>
        <v/>
      </c>
      <c r="AG323" s="20" t="str">
        <f t="shared" si="7594"/>
        <v/>
      </c>
      <c r="AH323" s="20" t="str">
        <f t="shared" si="7595"/>
        <v/>
      </c>
      <c r="AI323" s="20" t="str">
        <f t="shared" si="7596"/>
        <v/>
      </c>
      <c r="AJ323" s="20" t="str">
        <f t="shared" si="7597"/>
        <v/>
      </c>
      <c r="AK323" s="20" t="str">
        <f t="shared" si="7598"/>
        <v/>
      </c>
      <c r="AL323" s="20" t="str">
        <f t="shared" si="7599"/>
        <v/>
      </c>
      <c r="AM323" s="20" t="str">
        <f t="shared" si="7600"/>
        <v/>
      </c>
      <c r="AN323" s="20" t="str">
        <f t="shared" si="7601"/>
        <v/>
      </c>
      <c r="AO323" s="20" t="str">
        <f t="shared" si="7602"/>
        <v/>
      </c>
      <c r="AP323" s="20" t="str">
        <f t="shared" si="7603"/>
        <v/>
      </c>
      <c r="AQ323" s="20" t="str">
        <f t="shared" si="7604"/>
        <v/>
      </c>
      <c r="AR323" s="20" t="str">
        <f t="shared" si="7605"/>
        <v/>
      </c>
      <c r="AS323" s="20" t="str">
        <f t="shared" si="7606"/>
        <v/>
      </c>
      <c r="AT323" s="20" t="str">
        <f t="shared" si="7607"/>
        <v/>
      </c>
      <c r="AU323" s="20" t="str">
        <f t="shared" si="7608"/>
        <v/>
      </c>
      <c r="AV323" s="20" t="str">
        <f t="shared" si="7609"/>
        <v/>
      </c>
      <c r="AW323" s="20" t="str">
        <f t="shared" si="7610"/>
        <v/>
      </c>
      <c r="AX323" s="20" t="str">
        <f t="shared" si="7611"/>
        <v/>
      </c>
      <c r="AY323" s="20" t="str">
        <f t="shared" si="7612"/>
        <v/>
      </c>
      <c r="AZ323" s="20" t="str">
        <f t="shared" si="7613"/>
        <v/>
      </c>
      <c r="BA323" s="20" t="str">
        <f t="shared" si="7614"/>
        <v/>
      </c>
      <c r="BB323" s="20" t="str">
        <f t="shared" si="7615"/>
        <v/>
      </c>
      <c r="BC323" s="223" t="str">
        <f t="shared" si="7616"/>
        <v/>
      </c>
    </row>
    <row r="324" spans="1:55" ht="11.25" customHeight="1" x14ac:dyDescent="0.2">
      <c r="A324" s="222">
        <f t="shared" si="7567"/>
        <v>1</v>
      </c>
      <c r="B324" s="19" t="s">
        <v>15</v>
      </c>
      <c r="C324" s="123">
        <v>0</v>
      </c>
      <c r="D324" s="20">
        <v>0</v>
      </c>
      <c r="E324" s="20">
        <v>0</v>
      </c>
      <c r="F324" s="20">
        <v>0</v>
      </c>
      <c r="G324" s="195">
        <f t="shared" ref="G324" si="7617">IF(G317="","",F317+F318-G317)</f>
        <v>0</v>
      </c>
      <c r="H324" s="20">
        <f t="shared" ref="H324" si="7618">IF(H317="","",G317+G318-H317)</f>
        <v>0</v>
      </c>
      <c r="I324" s="20">
        <f t="shared" ref="I324" si="7619">IF(I317="","",H317+H318-I317)</f>
        <v>1</v>
      </c>
      <c r="J324" s="195">
        <f t="shared" ref="J324" si="7620">IF(J317="","",I317+I318-J317)</f>
        <v>0</v>
      </c>
      <c r="K324" s="20">
        <f t="shared" ref="K324" si="7621">IF(K317="","",J317+J318-K317)</f>
        <v>0</v>
      </c>
      <c r="L324" s="20">
        <f t="shared" ref="L324" si="7622">IF(L317="","",K317+K318-L317)</f>
        <v>0</v>
      </c>
      <c r="M324" s="20">
        <f t="shared" ref="M324" si="7623">IF(M317="","",L317+L318-M317)</f>
        <v>0</v>
      </c>
      <c r="N324" s="195" t="str">
        <f t="shared" ref="N324" si="7624">IF(N317="","",M317+M318-N317)</f>
        <v/>
      </c>
      <c r="O324" s="20" t="str">
        <f t="shared" ref="O324" si="7625">IF(O317="","",N317+N318-O317)</f>
        <v/>
      </c>
      <c r="P324" s="20" t="str">
        <f t="shared" ref="P324" si="7626">IF(P317="","",O317+O318-P317)</f>
        <v/>
      </c>
      <c r="Q324" s="20" t="str">
        <f t="shared" ref="Q324" si="7627">IF(Q317="","",P317+P318-Q317)</f>
        <v/>
      </c>
      <c r="R324" s="20" t="str">
        <f t="shared" ref="R324" si="7628">IF(R317="","",Q317+Q318-R317)</f>
        <v/>
      </c>
      <c r="S324" s="20" t="str">
        <f t="shared" ref="S324" si="7629">IF(S317="","",R317+R318-S317)</f>
        <v/>
      </c>
      <c r="T324" s="20" t="str">
        <f t="shared" ref="T324" si="7630">IF(T317="","",S317+S318-T317)</f>
        <v/>
      </c>
      <c r="U324" s="20" t="str">
        <f t="shared" ref="U324" si="7631">IF(U317="","",T317+T318-U317)</f>
        <v/>
      </c>
      <c r="V324" s="20" t="str">
        <f t="shared" ref="V324" si="7632">IF(V317="","",U317+U318-V317)</f>
        <v/>
      </c>
      <c r="W324" s="20" t="str">
        <f t="shared" ref="W324" si="7633">IF(W317="","",V317+V318-W317)</f>
        <v/>
      </c>
      <c r="X324" s="20" t="str">
        <f t="shared" ref="X324" si="7634">IF(X317="","",W317+W318-X317)</f>
        <v/>
      </c>
      <c r="Y324" s="20" t="str">
        <f t="shared" ref="Y324" si="7635">IF(Y317="","",X317+X318-Y317)</f>
        <v/>
      </c>
      <c r="Z324" s="20" t="str">
        <f t="shared" ref="Z324" si="7636">IF(Z317="","",Y317+Y318-Z317)</f>
        <v/>
      </c>
      <c r="AA324" s="20" t="str">
        <f t="shared" ref="AA324" si="7637">IF(AA317="","",Z317+Z318-AA317)</f>
        <v/>
      </c>
      <c r="AB324" s="20" t="str">
        <f t="shared" ref="AB324" si="7638">IF(AB317="","",AA317+AA318-AB317)</f>
        <v/>
      </c>
      <c r="AC324" s="20" t="str">
        <f t="shared" ref="AC324" si="7639">IF(AC317="","",AB317+AB318-AC317)</f>
        <v/>
      </c>
      <c r="AD324" s="20" t="str">
        <f t="shared" ref="AD324" si="7640">IF(AD317="","",AC317+AC318-AD317)</f>
        <v/>
      </c>
      <c r="AE324" s="20" t="str">
        <f t="shared" ref="AE324" si="7641">IF(AE317="","",AD317+AD318-AE317)</f>
        <v/>
      </c>
      <c r="AF324" s="20" t="str">
        <f t="shared" ref="AF324" si="7642">IF(AF317="","",AE317+AE318-AF317)</f>
        <v/>
      </c>
      <c r="AG324" s="20" t="str">
        <f t="shared" ref="AG324" si="7643">IF(AG317="","",AF317+AF318-AG317)</f>
        <v/>
      </c>
      <c r="AH324" s="20" t="str">
        <f t="shared" ref="AH324" si="7644">IF(AH317="","",AG317+AG318-AH317)</f>
        <v/>
      </c>
      <c r="AI324" s="20" t="str">
        <f t="shared" ref="AI324" si="7645">IF(AI317="","",AH317+AH318-AI317)</f>
        <v/>
      </c>
      <c r="AJ324" s="20" t="str">
        <f t="shared" ref="AJ324" si="7646">IF(AJ317="","",AI317+AI318-AJ317)</f>
        <v/>
      </c>
      <c r="AK324" s="20" t="str">
        <f t="shared" ref="AK324" si="7647">IF(AK317="","",AJ317+AJ318-AK317)</f>
        <v/>
      </c>
      <c r="AL324" s="20" t="str">
        <f t="shared" ref="AL324" si="7648">IF(AL317="","",AK317+AK318-AL317)</f>
        <v/>
      </c>
      <c r="AM324" s="20" t="str">
        <f t="shared" ref="AM324" si="7649">IF(AM317="","",AL317+AL318-AM317)</f>
        <v/>
      </c>
      <c r="AN324" s="20" t="str">
        <f t="shared" ref="AN324" si="7650">IF(AN317="","",AM317+AM318-AN317)</f>
        <v/>
      </c>
      <c r="AO324" s="20" t="str">
        <f t="shared" ref="AO324" si="7651">IF(AO317="","",AN317+AN318-AO317)</f>
        <v/>
      </c>
      <c r="AP324" s="20" t="str">
        <f t="shared" ref="AP324" si="7652">IF(AP317="","",AO317+AO318-AP317)</f>
        <v/>
      </c>
      <c r="AQ324" s="20" t="str">
        <f t="shared" ref="AQ324" si="7653">IF(AQ317="","",AP317+AP318-AQ317)</f>
        <v/>
      </c>
      <c r="AR324" s="20" t="str">
        <f t="shared" ref="AR324" si="7654">IF(AR317="","",AQ317+AQ318-AR317)</f>
        <v/>
      </c>
      <c r="AS324" s="20" t="str">
        <f t="shared" ref="AS324" si="7655">IF(AS317="","",AR317+AR318-AS317)</f>
        <v/>
      </c>
      <c r="AT324" s="20" t="str">
        <f t="shared" ref="AT324" si="7656">IF(AT317="","",AS317+AS318-AT317)</f>
        <v/>
      </c>
      <c r="AU324" s="20" t="str">
        <f t="shared" ref="AU324" si="7657">IF(AU317="","",AT317+AT318-AU317)</f>
        <v/>
      </c>
      <c r="AV324" s="20" t="str">
        <f t="shared" ref="AV324" si="7658">IF(AV317="","",AU317+AU318-AV317)</f>
        <v/>
      </c>
      <c r="AW324" s="20" t="str">
        <f t="shared" ref="AW324" si="7659">IF(AW317="","",AV317+AV318-AW317)</f>
        <v/>
      </c>
      <c r="AX324" s="20" t="str">
        <f t="shared" ref="AX324" si="7660">IF(AX317="","",AW317+AW318-AX317)</f>
        <v/>
      </c>
      <c r="AY324" s="20" t="str">
        <f t="shared" ref="AY324" si="7661">IF(AY317="","",AX317+AX318-AY317)</f>
        <v/>
      </c>
      <c r="AZ324" s="20" t="str">
        <f t="shared" ref="AZ324" si="7662">IF(AZ317="","",AY317+AY318-AZ317)</f>
        <v/>
      </c>
      <c r="BA324" s="20" t="str">
        <f t="shared" ref="BA324" si="7663">IF(BA317="","",AZ317+AZ318-BA317)</f>
        <v/>
      </c>
      <c r="BB324" s="20" t="str">
        <f t="shared" ref="BB324" si="7664">IF(BB317="","",BA317+BA318-BB317)</f>
        <v/>
      </c>
      <c r="BC324" s="223" t="str">
        <f t="shared" ref="BC324" si="7665">IF(BC317="","",BB317+BB318-BC317)</f>
        <v/>
      </c>
    </row>
    <row r="325" spans="1:55" ht="11.25" customHeight="1" x14ac:dyDescent="0.2">
      <c r="A325" s="222">
        <f t="shared" si="7567"/>
        <v>462</v>
      </c>
      <c r="B325" s="19" t="s">
        <v>16</v>
      </c>
      <c r="C325" s="123">
        <v>0</v>
      </c>
      <c r="D325" s="20">
        <v>0</v>
      </c>
      <c r="E325" s="20">
        <v>0</v>
      </c>
      <c r="F325" s="20">
        <v>0</v>
      </c>
      <c r="G325" s="195">
        <f t="shared" ref="D325:BC325" si="7666">IF(G315="","",G324*G319)</f>
        <v>0</v>
      </c>
      <c r="H325" s="20">
        <f t="shared" si="7666"/>
        <v>0</v>
      </c>
      <c r="I325" s="20">
        <f t="shared" si="7666"/>
        <v>462</v>
      </c>
      <c r="J325" s="195">
        <f t="shared" si="7666"/>
        <v>0</v>
      </c>
      <c r="K325" s="20">
        <f t="shared" si="7666"/>
        <v>0</v>
      </c>
      <c r="L325" s="20">
        <f t="shared" si="7666"/>
        <v>0</v>
      </c>
      <c r="M325" s="20">
        <f t="shared" si="7666"/>
        <v>0</v>
      </c>
      <c r="N325" s="195" t="str">
        <f t="shared" si="7666"/>
        <v/>
      </c>
      <c r="O325" s="20" t="str">
        <f t="shared" si="7666"/>
        <v/>
      </c>
      <c r="P325" s="20" t="str">
        <f t="shared" si="7666"/>
        <v/>
      </c>
      <c r="Q325" s="20" t="str">
        <f t="shared" si="7666"/>
        <v/>
      </c>
      <c r="R325" s="20" t="str">
        <f t="shared" si="7666"/>
        <v/>
      </c>
      <c r="S325" s="20" t="str">
        <f t="shared" si="7666"/>
        <v/>
      </c>
      <c r="T325" s="20" t="str">
        <f t="shared" si="7666"/>
        <v/>
      </c>
      <c r="U325" s="20" t="str">
        <f t="shared" si="7666"/>
        <v/>
      </c>
      <c r="V325" s="20" t="str">
        <f t="shared" si="7666"/>
        <v/>
      </c>
      <c r="W325" s="20" t="str">
        <f t="shared" si="7666"/>
        <v/>
      </c>
      <c r="X325" s="20" t="str">
        <f t="shared" si="7666"/>
        <v/>
      </c>
      <c r="Y325" s="20" t="str">
        <f t="shared" si="7666"/>
        <v/>
      </c>
      <c r="Z325" s="20" t="str">
        <f t="shared" si="7666"/>
        <v/>
      </c>
      <c r="AA325" s="20" t="str">
        <f t="shared" si="7666"/>
        <v/>
      </c>
      <c r="AB325" s="20" t="str">
        <f t="shared" si="7666"/>
        <v/>
      </c>
      <c r="AC325" s="20" t="str">
        <f t="shared" si="7666"/>
        <v/>
      </c>
      <c r="AD325" s="20" t="str">
        <f t="shared" si="7666"/>
        <v/>
      </c>
      <c r="AE325" s="20" t="str">
        <f t="shared" si="7666"/>
        <v/>
      </c>
      <c r="AF325" s="20" t="str">
        <f t="shared" si="7666"/>
        <v/>
      </c>
      <c r="AG325" s="20" t="str">
        <f t="shared" si="7666"/>
        <v/>
      </c>
      <c r="AH325" s="20" t="str">
        <f t="shared" si="7666"/>
        <v/>
      </c>
      <c r="AI325" s="20" t="str">
        <f t="shared" si="7666"/>
        <v/>
      </c>
      <c r="AJ325" s="20" t="str">
        <f t="shared" si="7666"/>
        <v/>
      </c>
      <c r="AK325" s="20" t="str">
        <f t="shared" si="7666"/>
        <v/>
      </c>
      <c r="AL325" s="20" t="str">
        <f t="shared" si="7666"/>
        <v/>
      </c>
      <c r="AM325" s="20" t="str">
        <f t="shared" si="7666"/>
        <v/>
      </c>
      <c r="AN325" s="20" t="str">
        <f t="shared" si="7666"/>
        <v/>
      </c>
      <c r="AO325" s="20" t="str">
        <f t="shared" si="7666"/>
        <v/>
      </c>
      <c r="AP325" s="20" t="str">
        <f t="shared" si="7666"/>
        <v/>
      </c>
      <c r="AQ325" s="20" t="str">
        <f t="shared" si="7666"/>
        <v/>
      </c>
      <c r="AR325" s="20" t="str">
        <f t="shared" si="7666"/>
        <v/>
      </c>
      <c r="AS325" s="20" t="str">
        <f t="shared" si="7666"/>
        <v/>
      </c>
      <c r="AT325" s="20" t="str">
        <f t="shared" si="7666"/>
        <v/>
      </c>
      <c r="AU325" s="20" t="str">
        <f t="shared" si="7666"/>
        <v/>
      </c>
      <c r="AV325" s="20" t="str">
        <f t="shared" si="7666"/>
        <v/>
      </c>
      <c r="AW325" s="20" t="str">
        <f t="shared" si="7666"/>
        <v/>
      </c>
      <c r="AX325" s="20" t="str">
        <f t="shared" si="7666"/>
        <v/>
      </c>
      <c r="AY325" s="20" t="str">
        <f t="shared" si="7666"/>
        <v/>
      </c>
      <c r="AZ325" s="20" t="str">
        <f t="shared" si="7666"/>
        <v/>
      </c>
      <c r="BA325" s="20" t="str">
        <f t="shared" si="7666"/>
        <v/>
      </c>
      <c r="BB325" s="20" t="str">
        <f t="shared" si="7666"/>
        <v/>
      </c>
      <c r="BC325" s="223" t="str">
        <f t="shared" si="7666"/>
        <v/>
      </c>
    </row>
    <row r="326" spans="1:55" ht="11.25" customHeight="1" thickBot="1" x14ac:dyDescent="0.25">
      <c r="A326" s="224">
        <f>IF(A325="","",A325/(A322*100))</f>
        <v>0.2431578947368421</v>
      </c>
      <c r="B326" s="19" t="s">
        <v>17</v>
      </c>
      <c r="C326" s="146" t="s">
        <v>18</v>
      </c>
      <c r="D326" s="27" t="s">
        <v>18</v>
      </c>
      <c r="E326" s="27" t="s">
        <v>18</v>
      </c>
      <c r="F326" s="27" t="s">
        <v>18</v>
      </c>
      <c r="G326" s="199" t="str">
        <f t="shared" ref="D326:BC326" si="7667">IF(G325="","",IF(G325=0,"",G325/(G322*100)))</f>
        <v/>
      </c>
      <c r="H326" s="27" t="str">
        <f t="shared" si="7667"/>
        <v/>
      </c>
      <c r="I326" s="27">
        <f t="shared" si="7667"/>
        <v>0.2431578947368421</v>
      </c>
      <c r="J326" s="199" t="str">
        <f t="shared" si="7667"/>
        <v/>
      </c>
      <c r="K326" s="27" t="str">
        <f t="shared" si="7667"/>
        <v/>
      </c>
      <c r="L326" s="27" t="str">
        <f t="shared" si="7667"/>
        <v/>
      </c>
      <c r="M326" s="27" t="str">
        <f t="shared" si="7667"/>
        <v/>
      </c>
      <c r="N326" s="199" t="str">
        <f t="shared" si="7667"/>
        <v/>
      </c>
      <c r="O326" s="27" t="str">
        <f t="shared" si="7667"/>
        <v/>
      </c>
      <c r="P326" s="27" t="str">
        <f t="shared" si="7667"/>
        <v/>
      </c>
      <c r="Q326" s="27" t="str">
        <f t="shared" si="7667"/>
        <v/>
      </c>
      <c r="R326" s="27" t="str">
        <f t="shared" si="7667"/>
        <v/>
      </c>
      <c r="S326" s="27" t="str">
        <f t="shared" si="7667"/>
        <v/>
      </c>
      <c r="T326" s="27" t="str">
        <f t="shared" si="7667"/>
        <v/>
      </c>
      <c r="U326" s="27" t="str">
        <f t="shared" si="7667"/>
        <v/>
      </c>
      <c r="V326" s="27" t="str">
        <f t="shared" si="7667"/>
        <v/>
      </c>
      <c r="W326" s="27" t="str">
        <f t="shared" si="7667"/>
        <v/>
      </c>
      <c r="X326" s="27" t="str">
        <f t="shared" si="7667"/>
        <v/>
      </c>
      <c r="Y326" s="27" t="str">
        <f t="shared" si="7667"/>
        <v/>
      </c>
      <c r="Z326" s="27" t="str">
        <f t="shared" si="7667"/>
        <v/>
      </c>
      <c r="AA326" s="27" t="str">
        <f t="shared" si="7667"/>
        <v/>
      </c>
      <c r="AB326" s="27" t="str">
        <f t="shared" si="7667"/>
        <v/>
      </c>
      <c r="AC326" s="27" t="str">
        <f t="shared" si="7667"/>
        <v/>
      </c>
      <c r="AD326" s="27" t="str">
        <f t="shared" si="7667"/>
        <v/>
      </c>
      <c r="AE326" s="27" t="str">
        <f t="shared" si="7667"/>
        <v/>
      </c>
      <c r="AF326" s="27" t="str">
        <f t="shared" si="7667"/>
        <v/>
      </c>
      <c r="AG326" s="27" t="str">
        <f t="shared" si="7667"/>
        <v/>
      </c>
      <c r="AH326" s="27" t="str">
        <f t="shared" si="7667"/>
        <v/>
      </c>
      <c r="AI326" s="27" t="str">
        <f t="shared" si="7667"/>
        <v/>
      </c>
      <c r="AJ326" s="27" t="str">
        <f t="shared" si="7667"/>
        <v/>
      </c>
      <c r="AK326" s="27" t="str">
        <f t="shared" si="7667"/>
        <v/>
      </c>
      <c r="AL326" s="27" t="str">
        <f t="shared" si="7667"/>
        <v/>
      </c>
      <c r="AM326" s="27" t="str">
        <f t="shared" si="7667"/>
        <v/>
      </c>
      <c r="AN326" s="27" t="str">
        <f t="shared" si="7667"/>
        <v/>
      </c>
      <c r="AO326" s="27" t="str">
        <f t="shared" si="7667"/>
        <v/>
      </c>
      <c r="AP326" s="27" t="str">
        <f t="shared" si="7667"/>
        <v/>
      </c>
      <c r="AQ326" s="27" t="str">
        <f t="shared" si="7667"/>
        <v/>
      </c>
      <c r="AR326" s="27" t="str">
        <f t="shared" si="7667"/>
        <v/>
      </c>
      <c r="AS326" s="27" t="str">
        <f t="shared" si="7667"/>
        <v/>
      </c>
      <c r="AT326" s="27" t="str">
        <f t="shared" si="7667"/>
        <v/>
      </c>
      <c r="AU326" s="27" t="str">
        <f t="shared" si="7667"/>
        <v/>
      </c>
      <c r="AV326" s="27" t="str">
        <f t="shared" si="7667"/>
        <v/>
      </c>
      <c r="AW326" s="27" t="str">
        <f t="shared" si="7667"/>
        <v/>
      </c>
      <c r="AX326" s="27" t="str">
        <f t="shared" si="7667"/>
        <v/>
      </c>
      <c r="AY326" s="27" t="str">
        <f t="shared" si="7667"/>
        <v/>
      </c>
      <c r="AZ326" s="27" t="str">
        <f t="shared" si="7667"/>
        <v/>
      </c>
      <c r="BA326" s="27" t="str">
        <f t="shared" si="7667"/>
        <v/>
      </c>
      <c r="BB326" s="27" t="str">
        <f t="shared" si="7667"/>
        <v/>
      </c>
      <c r="BC326" s="225" t="str">
        <f t="shared" si="7667"/>
        <v/>
      </c>
    </row>
    <row r="327" spans="1:55" ht="11.25" customHeight="1" x14ac:dyDescent="0.2">
      <c r="A327" s="226" t="s">
        <v>1</v>
      </c>
      <c r="B327" s="205" t="s">
        <v>2</v>
      </c>
      <c r="C327" s="129">
        <v>0</v>
      </c>
      <c r="D327" s="206">
        <v>0</v>
      </c>
      <c r="E327" s="206">
        <v>0</v>
      </c>
      <c r="F327" s="206">
        <v>0</v>
      </c>
      <c r="G327" s="207">
        <f t="shared" ref="G327:G328" si="7668">IF(G$3="","",F327)</f>
        <v>0</v>
      </c>
      <c r="H327" s="206">
        <f t="shared" ref="H327:H328" si="7669">IF(H$3="","",G327)</f>
        <v>0</v>
      </c>
      <c r="I327" s="206">
        <v>78</v>
      </c>
      <c r="J327" s="207">
        <f t="shared" ref="J327:J328" si="7670">IF(J$3="","",I327)</f>
        <v>78</v>
      </c>
      <c r="K327" s="206">
        <f t="shared" ref="K327:K328" si="7671">IF(K$3="","",J327)</f>
        <v>78</v>
      </c>
      <c r="L327" s="206">
        <f t="shared" ref="L327:L328" si="7672">IF(L$3="","",K327)</f>
        <v>78</v>
      </c>
      <c r="M327" s="206">
        <f t="shared" ref="M327:M328" si="7673">IF(M$3="","",L327)</f>
        <v>78</v>
      </c>
      <c r="N327" s="207" t="str">
        <f t="shared" ref="N327:N328" si="7674">IF(N$3="","",M327)</f>
        <v/>
      </c>
      <c r="O327" s="206" t="str">
        <f t="shared" ref="O327:O328" si="7675">IF(O$3="","",N327)</f>
        <v/>
      </c>
      <c r="P327" s="206" t="str">
        <f t="shared" ref="P327:P328" si="7676">IF(P$3="","",O327)</f>
        <v/>
      </c>
      <c r="Q327" s="206" t="str">
        <f t="shared" ref="Q327:Q328" si="7677">IF(Q$3="","",P327)</f>
        <v/>
      </c>
      <c r="R327" s="206" t="str">
        <f t="shared" ref="R327:R328" si="7678">IF(R$3="","",Q327)</f>
        <v/>
      </c>
      <c r="S327" s="206" t="str">
        <f t="shared" ref="S327:S328" si="7679">IF(S$3="","",R327)</f>
        <v/>
      </c>
      <c r="T327" s="206" t="str">
        <f t="shared" ref="T327:T328" si="7680">IF(T$3="","",S327)</f>
        <v/>
      </c>
      <c r="U327" s="206" t="str">
        <f t="shared" ref="U327:U328" si="7681">IF(U$3="","",T327)</f>
        <v/>
      </c>
      <c r="V327" s="206" t="str">
        <f t="shared" ref="V327:V328" si="7682">IF(V$3="","",U327)</f>
        <v/>
      </c>
      <c r="W327" s="206" t="str">
        <f t="shared" ref="W327:W328" si="7683">IF(W$3="","",V327)</f>
        <v/>
      </c>
      <c r="X327" s="206" t="str">
        <f t="shared" ref="X327:X328" si="7684">IF(X$3="","",W327)</f>
        <v/>
      </c>
      <c r="Y327" s="206" t="str">
        <f t="shared" ref="Y327:Y328" si="7685">IF(Y$3="","",X327)</f>
        <v/>
      </c>
      <c r="Z327" s="206" t="str">
        <f t="shared" ref="Z327:Z328" si="7686">IF(Z$3="","",Y327)</f>
        <v/>
      </c>
      <c r="AA327" s="206" t="str">
        <f t="shared" ref="AA327:AA328" si="7687">IF(AA$3="","",Z327)</f>
        <v/>
      </c>
      <c r="AB327" s="206" t="str">
        <f t="shared" ref="AB327:AB328" si="7688">IF(AB$3="","",AA327)</f>
        <v/>
      </c>
      <c r="AC327" s="206" t="str">
        <f t="shared" ref="AC327:AC328" si="7689">IF(AC$3="","",AB327)</f>
        <v/>
      </c>
      <c r="AD327" s="206" t="str">
        <f t="shared" ref="AD327:AD328" si="7690">IF(AD$3="","",AC327)</f>
        <v/>
      </c>
      <c r="AE327" s="206" t="str">
        <f t="shared" ref="AE327:AE328" si="7691">IF(AE$3="","",AD327)</f>
        <v/>
      </c>
      <c r="AF327" s="206" t="str">
        <f t="shared" ref="AF327:AF328" si="7692">IF(AF$3="","",AE327)</f>
        <v/>
      </c>
      <c r="AG327" s="206" t="str">
        <f t="shared" ref="AG327:AG328" si="7693">IF(AG$3="","",AF327)</f>
        <v/>
      </c>
      <c r="AH327" s="206" t="str">
        <f t="shared" ref="AH327:AH328" si="7694">IF(AH$3="","",AG327)</f>
        <v/>
      </c>
      <c r="AI327" s="206" t="str">
        <f t="shared" ref="AI327:AI328" si="7695">IF(AI$3="","",AH327)</f>
        <v/>
      </c>
      <c r="AJ327" s="206" t="str">
        <f t="shared" ref="AJ327:AJ328" si="7696">IF(AJ$3="","",AI327)</f>
        <v/>
      </c>
      <c r="AK327" s="206" t="str">
        <f t="shared" ref="AK327:AK328" si="7697">IF(AK$3="","",AJ327)</f>
        <v/>
      </c>
      <c r="AL327" s="206" t="str">
        <f t="shared" ref="AL327:AL328" si="7698">IF(AL$3="","",AK327)</f>
        <v/>
      </c>
      <c r="AM327" s="206" t="str">
        <f t="shared" ref="AM327:AM328" si="7699">IF(AM$3="","",AL327)</f>
        <v/>
      </c>
      <c r="AN327" s="206" t="str">
        <f t="shared" ref="AN327:AN328" si="7700">IF(AN$3="","",AM327)</f>
        <v/>
      </c>
      <c r="AO327" s="206" t="str">
        <f t="shared" ref="AO327:AO328" si="7701">IF(AO$3="","",AN327)</f>
        <v/>
      </c>
      <c r="AP327" s="206" t="str">
        <f t="shared" ref="AP327:AP328" si="7702">IF(AP$3="","",AO327)</f>
        <v/>
      </c>
      <c r="AQ327" s="206" t="str">
        <f t="shared" ref="AQ327:AQ328" si="7703">IF(AQ$3="","",AP327)</f>
        <v/>
      </c>
      <c r="AR327" s="206" t="str">
        <f t="shared" ref="AR327:AR328" si="7704">IF(AR$3="","",AQ327)</f>
        <v/>
      </c>
      <c r="AS327" s="206" t="str">
        <f t="shared" ref="AS327:AS328" si="7705">IF(AS$3="","",AR327)</f>
        <v/>
      </c>
      <c r="AT327" s="206" t="str">
        <f t="shared" ref="AT327:AT328" si="7706">IF(AT$3="","",AS327)</f>
        <v/>
      </c>
      <c r="AU327" s="206" t="str">
        <f t="shared" ref="AU327:AU328" si="7707">IF(AU$3="","",AT327)</f>
        <v/>
      </c>
      <c r="AV327" s="206" t="str">
        <f t="shared" ref="AV327:AV328" si="7708">IF(AV$3="","",AU327)</f>
        <v/>
      </c>
      <c r="AW327" s="206" t="str">
        <f t="shared" ref="AW327:AW328" si="7709">IF(AW$3="","",AV327)</f>
        <v/>
      </c>
      <c r="AX327" s="206" t="str">
        <f t="shared" ref="AX327:AX328" si="7710">IF(AX$3="","",AW327)</f>
        <v/>
      </c>
      <c r="AY327" s="206" t="str">
        <f t="shared" ref="AY327:AY328" si="7711">IF(AY$3="","",AX327)</f>
        <v/>
      </c>
      <c r="AZ327" s="206" t="str">
        <f t="shared" ref="AZ327:AZ328" si="7712">IF(AZ$3="","",AY327)</f>
        <v/>
      </c>
      <c r="BA327" s="206" t="str">
        <f t="shared" ref="BA327:BA328" si="7713">IF(BA$3="","",AZ327)</f>
        <v/>
      </c>
      <c r="BB327" s="206" t="str">
        <f t="shared" ref="BB327:BB328" si="7714">IF(BB$3="","",BA327)</f>
        <v/>
      </c>
      <c r="BC327" s="219" t="str">
        <f t="shared" ref="BC327:BC328" si="7715">IF(BC$3="","",BB327)</f>
        <v/>
      </c>
    </row>
    <row r="328" spans="1:55" ht="11.25" customHeight="1" x14ac:dyDescent="0.2">
      <c r="A328" s="214" t="str">
        <f>A316</f>
        <v>BUZZ＃6</v>
      </c>
      <c r="B328" s="11" t="s">
        <v>4</v>
      </c>
      <c r="C328" s="123">
        <v>0</v>
      </c>
      <c r="D328" s="12">
        <v>0</v>
      </c>
      <c r="E328" s="12">
        <v>0</v>
      </c>
      <c r="F328" s="12">
        <v>0</v>
      </c>
      <c r="G328" s="195">
        <f t="shared" si="7668"/>
        <v>0</v>
      </c>
      <c r="H328" s="12">
        <f t="shared" si="7669"/>
        <v>0</v>
      </c>
      <c r="I328" s="12">
        <v>3</v>
      </c>
      <c r="J328" s="195">
        <f t="shared" si="7670"/>
        <v>3</v>
      </c>
      <c r="K328" s="12">
        <f t="shared" si="7671"/>
        <v>3</v>
      </c>
      <c r="L328" s="12">
        <f t="shared" si="7672"/>
        <v>3</v>
      </c>
      <c r="M328" s="12">
        <f t="shared" si="7673"/>
        <v>3</v>
      </c>
      <c r="N328" s="195" t="str">
        <f t="shared" si="7674"/>
        <v/>
      </c>
      <c r="O328" s="12" t="str">
        <f t="shared" si="7675"/>
        <v/>
      </c>
      <c r="P328" s="12" t="str">
        <f t="shared" si="7676"/>
        <v/>
      </c>
      <c r="Q328" s="12" t="str">
        <f t="shared" si="7677"/>
        <v/>
      </c>
      <c r="R328" s="12" t="str">
        <f t="shared" si="7678"/>
        <v/>
      </c>
      <c r="S328" s="12" t="str">
        <f t="shared" si="7679"/>
        <v/>
      </c>
      <c r="T328" s="12" t="str">
        <f t="shared" si="7680"/>
        <v/>
      </c>
      <c r="U328" s="12" t="str">
        <f t="shared" si="7681"/>
        <v/>
      </c>
      <c r="V328" s="12" t="str">
        <f t="shared" si="7682"/>
        <v/>
      </c>
      <c r="W328" s="12" t="str">
        <f t="shared" si="7683"/>
        <v/>
      </c>
      <c r="X328" s="12" t="str">
        <f t="shared" si="7684"/>
        <v/>
      </c>
      <c r="Y328" s="12" t="str">
        <f t="shared" si="7685"/>
        <v/>
      </c>
      <c r="Z328" s="12" t="str">
        <f t="shared" si="7686"/>
        <v/>
      </c>
      <c r="AA328" s="12" t="str">
        <f t="shared" si="7687"/>
        <v/>
      </c>
      <c r="AB328" s="12" t="str">
        <f t="shared" si="7688"/>
        <v/>
      </c>
      <c r="AC328" s="12" t="str">
        <f t="shared" si="7689"/>
        <v/>
      </c>
      <c r="AD328" s="12" t="str">
        <f t="shared" si="7690"/>
        <v/>
      </c>
      <c r="AE328" s="12" t="str">
        <f t="shared" si="7691"/>
        <v/>
      </c>
      <c r="AF328" s="12" t="str">
        <f t="shared" si="7692"/>
        <v/>
      </c>
      <c r="AG328" s="12" t="str">
        <f t="shared" si="7693"/>
        <v/>
      </c>
      <c r="AH328" s="12" t="str">
        <f t="shared" si="7694"/>
        <v/>
      </c>
      <c r="AI328" s="12" t="str">
        <f t="shared" si="7695"/>
        <v/>
      </c>
      <c r="AJ328" s="12" t="str">
        <f t="shared" si="7696"/>
        <v/>
      </c>
      <c r="AK328" s="12" t="str">
        <f t="shared" si="7697"/>
        <v/>
      </c>
      <c r="AL328" s="12" t="str">
        <f t="shared" si="7698"/>
        <v/>
      </c>
      <c r="AM328" s="12" t="str">
        <f t="shared" si="7699"/>
        <v/>
      </c>
      <c r="AN328" s="12" t="str">
        <f t="shared" si="7700"/>
        <v/>
      </c>
      <c r="AO328" s="12" t="str">
        <f t="shared" si="7701"/>
        <v/>
      </c>
      <c r="AP328" s="12" t="str">
        <f t="shared" si="7702"/>
        <v/>
      </c>
      <c r="AQ328" s="12" t="str">
        <f t="shared" si="7703"/>
        <v/>
      </c>
      <c r="AR328" s="12" t="str">
        <f t="shared" si="7704"/>
        <v/>
      </c>
      <c r="AS328" s="12" t="str">
        <f t="shared" si="7705"/>
        <v/>
      </c>
      <c r="AT328" s="12" t="str">
        <f t="shared" si="7706"/>
        <v/>
      </c>
      <c r="AU328" s="12" t="str">
        <f t="shared" si="7707"/>
        <v/>
      </c>
      <c r="AV328" s="12" t="str">
        <f t="shared" si="7708"/>
        <v/>
      </c>
      <c r="AW328" s="12" t="str">
        <f t="shared" si="7709"/>
        <v/>
      </c>
      <c r="AX328" s="12" t="str">
        <f t="shared" si="7710"/>
        <v/>
      </c>
      <c r="AY328" s="12" t="str">
        <f t="shared" si="7711"/>
        <v/>
      </c>
      <c r="AZ328" s="12" t="str">
        <f t="shared" si="7712"/>
        <v/>
      </c>
      <c r="BA328" s="12" t="str">
        <f t="shared" si="7713"/>
        <v/>
      </c>
      <c r="BB328" s="12" t="str">
        <f t="shared" si="7714"/>
        <v/>
      </c>
      <c r="BC328" s="215" t="str">
        <f t="shared" si="7715"/>
        <v/>
      </c>
    </row>
    <row r="329" spans="1:55" ht="11.25" customHeight="1" x14ac:dyDescent="0.25">
      <c r="A329" s="216">
        <v>4</v>
      </c>
      <c r="B329" s="11" t="s">
        <v>5</v>
      </c>
      <c r="C329" s="123">
        <v>30</v>
      </c>
      <c r="D329" s="12">
        <v>30</v>
      </c>
      <c r="E329" s="12">
        <v>30</v>
      </c>
      <c r="F329" s="12">
        <v>30</v>
      </c>
      <c r="G329" s="195">
        <f t="shared" ref="G329" si="7716">IF(G327="","",(F329+F330))</f>
        <v>30</v>
      </c>
      <c r="H329" s="12">
        <f t="shared" ref="H329" si="7717">IF(H327="","",(G329+G330))</f>
        <v>30</v>
      </c>
      <c r="I329" s="12">
        <v>27</v>
      </c>
      <c r="J329" s="195">
        <f t="shared" ref="J329" si="7718">IF(J327="","",(I329+I330))</f>
        <v>27</v>
      </c>
      <c r="K329" s="12">
        <f t="shared" ref="K329" si="7719">IF(K327="","",(J329+J330))</f>
        <v>27</v>
      </c>
      <c r="L329" s="12">
        <f t="shared" ref="L329" si="7720">IF(L327="","",(K329+K330))</f>
        <v>27</v>
      </c>
      <c r="M329" s="12">
        <f t="shared" ref="M329" si="7721">IF(M327="","",(L329+L330))</f>
        <v>27</v>
      </c>
      <c r="N329" s="195" t="str">
        <f t="shared" ref="N329" si="7722">IF(N327="","",(M329+M330))</f>
        <v/>
      </c>
      <c r="O329" s="12" t="str">
        <f t="shared" ref="O329" si="7723">IF(O327="","",(N329+N330))</f>
        <v/>
      </c>
      <c r="P329" s="12" t="str">
        <f t="shared" ref="P329" si="7724">IF(P327="","",(O329+O330))</f>
        <v/>
      </c>
      <c r="Q329" s="12" t="str">
        <f t="shared" ref="Q329" si="7725">IF(Q327="","",(P329+P330))</f>
        <v/>
      </c>
      <c r="R329" s="12" t="str">
        <f t="shared" ref="R329" si="7726">IF(R327="","",(Q329+Q330))</f>
        <v/>
      </c>
      <c r="S329" s="12" t="str">
        <f t="shared" ref="S329" si="7727">IF(S327="","",(R329+R330))</f>
        <v/>
      </c>
      <c r="T329" s="12" t="str">
        <f t="shared" ref="T329" si="7728">IF(T327="","",(S329+S330))</f>
        <v/>
      </c>
      <c r="U329" s="12" t="str">
        <f t="shared" ref="U329" si="7729">IF(U327="","",(T329+T330))</f>
        <v/>
      </c>
      <c r="V329" s="12" t="str">
        <f t="shared" ref="V329" si="7730">IF(V327="","",(U329+U330))</f>
        <v/>
      </c>
      <c r="W329" s="12" t="str">
        <f t="shared" ref="W329" si="7731">IF(W327="","",(V329+V330))</f>
        <v/>
      </c>
      <c r="X329" s="12" t="str">
        <f t="shared" ref="X329" si="7732">IF(X327="","",(W329+W330))</f>
        <v/>
      </c>
      <c r="Y329" s="12" t="str">
        <f t="shared" ref="Y329" si="7733">IF(Y327="","",(X329+X330))</f>
        <v/>
      </c>
      <c r="Z329" s="12" t="str">
        <f t="shared" ref="Z329" si="7734">IF(Z327="","",(Y329+Y330))</f>
        <v/>
      </c>
      <c r="AA329" s="12" t="str">
        <f t="shared" ref="AA329" si="7735">IF(AA327="","",(Z329+Z330))</f>
        <v/>
      </c>
      <c r="AB329" s="12" t="str">
        <f t="shared" ref="AB329" si="7736">IF(AB327="","",(AA329+AA330))</f>
        <v/>
      </c>
      <c r="AC329" s="12" t="str">
        <f t="shared" ref="AC329" si="7737">IF(AC327="","",(AB329+AB330))</f>
        <v/>
      </c>
      <c r="AD329" s="12" t="str">
        <f t="shared" ref="AD329" si="7738">IF(AD327="","",(AC329+AC330))</f>
        <v/>
      </c>
      <c r="AE329" s="12" t="str">
        <f t="shared" ref="AE329" si="7739">IF(AE327="","",(AD329+AD330))</f>
        <v/>
      </c>
      <c r="AF329" s="12" t="str">
        <f t="shared" ref="AF329" si="7740">IF(AF327="","",(AE329+AE330))</f>
        <v/>
      </c>
      <c r="AG329" s="12" t="str">
        <f t="shared" ref="AG329" si="7741">IF(AG327="","",(AF329+AF330))</f>
        <v/>
      </c>
      <c r="AH329" s="12" t="str">
        <f t="shared" ref="AH329" si="7742">IF(AH327="","",(AG329+AG330))</f>
        <v/>
      </c>
      <c r="AI329" s="12" t="str">
        <f t="shared" ref="AI329" si="7743">IF(AI327="","",(AH329+AH330))</f>
        <v/>
      </c>
      <c r="AJ329" s="12" t="str">
        <f t="shared" ref="AJ329" si="7744">IF(AJ327="","",(AI329+AI330))</f>
        <v/>
      </c>
      <c r="AK329" s="12" t="str">
        <f t="shared" ref="AK329" si="7745">IF(AK327="","",(AJ329+AJ330))</f>
        <v/>
      </c>
      <c r="AL329" s="12" t="str">
        <f t="shared" ref="AL329" si="7746">IF(AL327="","",(AK329+AK330))</f>
        <v/>
      </c>
      <c r="AM329" s="12" t="str">
        <f t="shared" ref="AM329" si="7747">IF(AM327="","",(AL329+AL330))</f>
        <v/>
      </c>
      <c r="AN329" s="12" t="str">
        <f t="shared" ref="AN329" si="7748">IF(AN327="","",(AM329+AM330))</f>
        <v/>
      </c>
      <c r="AO329" s="12" t="str">
        <f t="shared" ref="AO329" si="7749">IF(AO327="","",(AN329+AN330))</f>
        <v/>
      </c>
      <c r="AP329" s="12" t="str">
        <f t="shared" ref="AP329" si="7750">IF(AP327="","",(AO329+AO330))</f>
        <v/>
      </c>
      <c r="AQ329" s="12" t="str">
        <f t="shared" ref="AQ329" si="7751">IF(AQ327="","",(AP329+AP330))</f>
        <v/>
      </c>
      <c r="AR329" s="12" t="str">
        <f t="shared" ref="AR329" si="7752">IF(AR327="","",(AQ329+AQ330))</f>
        <v/>
      </c>
      <c r="AS329" s="12" t="str">
        <f t="shared" ref="AS329" si="7753">IF(AS327="","",(AR329+AR330))</f>
        <v/>
      </c>
      <c r="AT329" s="12" t="str">
        <f t="shared" ref="AT329" si="7754">IF(AT327="","",(AS329+AS330))</f>
        <v/>
      </c>
      <c r="AU329" s="12" t="str">
        <f t="shared" ref="AU329" si="7755">IF(AU327="","",(AT329+AT330))</f>
        <v/>
      </c>
      <c r="AV329" s="12" t="str">
        <f t="shared" ref="AV329" si="7756">IF(AV327="","",(AU329+AU330))</f>
        <v/>
      </c>
      <c r="AW329" s="12" t="str">
        <f t="shared" ref="AW329" si="7757">IF(AW327="","",(AV329+AV330))</f>
        <v/>
      </c>
      <c r="AX329" s="12" t="str">
        <f t="shared" ref="AX329" si="7758">IF(AX327="","",(AW329+AW330))</f>
        <v/>
      </c>
      <c r="AY329" s="12" t="str">
        <f t="shared" ref="AY329" si="7759">IF(AY327="","",(AX329+AX330))</f>
        <v/>
      </c>
      <c r="AZ329" s="12" t="str">
        <f t="shared" ref="AZ329" si="7760">IF(AZ327="","",(AY329+AY330))</f>
        <v/>
      </c>
      <c r="BA329" s="12" t="str">
        <f t="shared" ref="BA329" si="7761">IF(BA327="","",(AZ329+AZ330))</f>
        <v/>
      </c>
      <c r="BB329" s="12" t="str">
        <f t="shared" ref="BB329" si="7762">IF(BB327="","",(BA329+BA330))</f>
        <v/>
      </c>
      <c r="BC329" s="215" t="str">
        <f t="shared" ref="BC329" si="7763">IF(BC327="","",(BB329+BB330))</f>
        <v/>
      </c>
    </row>
    <row r="330" spans="1:55" ht="11.25" customHeight="1" x14ac:dyDescent="0.2">
      <c r="A330" s="220"/>
      <c r="B330" s="11" t="s">
        <v>6</v>
      </c>
      <c r="C330" s="123"/>
      <c r="D330" s="12"/>
      <c r="E330" s="12"/>
      <c r="F330" s="12"/>
      <c r="G330" s="195"/>
      <c r="H330" s="12"/>
      <c r="I330" s="12"/>
      <c r="J330" s="195"/>
      <c r="K330" s="12"/>
      <c r="L330" s="12"/>
      <c r="M330" s="12"/>
      <c r="N330" s="195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215"/>
    </row>
    <row r="331" spans="1:55" ht="11.25" customHeight="1" x14ac:dyDescent="0.2">
      <c r="A331" s="222"/>
      <c r="B331" s="11" t="s">
        <v>8</v>
      </c>
      <c r="C331" s="129">
        <v>286</v>
      </c>
      <c r="D331" s="206">
        <v>286</v>
      </c>
      <c r="E331" s="206">
        <v>286</v>
      </c>
      <c r="F331" s="206">
        <v>286</v>
      </c>
      <c r="G331" s="207"/>
      <c r="H331" s="206">
        <f t="shared" ref="H331" si="7764">IF(H327="","",G331)</f>
        <v>0</v>
      </c>
      <c r="I331" s="206">
        <f t="shared" ref="I331" si="7765">IF(I327="","",H331)</f>
        <v>0</v>
      </c>
      <c r="J331" s="207">
        <f t="shared" ref="J331" si="7766">IF(J327="","",I331)</f>
        <v>0</v>
      </c>
      <c r="K331" s="206">
        <f t="shared" ref="K331" si="7767">IF(K327="","",J331)</f>
        <v>0</v>
      </c>
      <c r="L331" s="206">
        <f t="shared" ref="L331" si="7768">IF(L327="","",K331)</f>
        <v>0</v>
      </c>
      <c r="M331" s="206">
        <f t="shared" ref="M331" si="7769">IF(M327="","",L331)</f>
        <v>0</v>
      </c>
      <c r="N331" s="207" t="str">
        <f t="shared" ref="N331" si="7770">IF(N327="","",M331)</f>
        <v/>
      </c>
      <c r="O331" s="206" t="str">
        <f t="shared" ref="O331" si="7771">IF(O327="","",N331)</f>
        <v/>
      </c>
      <c r="P331" s="206" t="str">
        <f t="shared" ref="P331" si="7772">IF(P327="","",O331)</f>
        <v/>
      </c>
      <c r="Q331" s="206" t="str">
        <f t="shared" ref="Q331" si="7773">IF(Q327="","",P331)</f>
        <v/>
      </c>
      <c r="R331" s="206" t="str">
        <f t="shared" ref="R331" si="7774">IF(R327="","",Q331)</f>
        <v/>
      </c>
      <c r="S331" s="206" t="str">
        <f t="shared" ref="S331" si="7775">IF(S327="","",R331)</f>
        <v/>
      </c>
      <c r="T331" s="206" t="str">
        <f t="shared" ref="T331" si="7776">IF(T327="","",S331)</f>
        <v/>
      </c>
      <c r="U331" s="206" t="str">
        <f t="shared" ref="U331" si="7777">IF(U327="","",T331)</f>
        <v/>
      </c>
      <c r="V331" s="206" t="str">
        <f t="shared" ref="V331" si="7778">IF(V327="","",U331)</f>
        <v/>
      </c>
      <c r="W331" s="206" t="str">
        <f t="shared" ref="W331" si="7779">IF(W327="","",V331)</f>
        <v/>
      </c>
      <c r="X331" s="206" t="str">
        <f t="shared" ref="X331" si="7780">IF(X327="","",W331)</f>
        <v/>
      </c>
      <c r="Y331" s="206" t="str">
        <f t="shared" ref="Y331" si="7781">IF(Y327="","",X331)</f>
        <v/>
      </c>
      <c r="Z331" s="206" t="str">
        <f t="shared" ref="Z331" si="7782">IF(Z327="","",Y331)</f>
        <v/>
      </c>
      <c r="AA331" s="206" t="str">
        <f t="shared" ref="AA331" si="7783">IF(AA327="","",Z331)</f>
        <v/>
      </c>
      <c r="AB331" s="206" t="str">
        <f t="shared" ref="AB331" si="7784">IF(AB327="","",AA331)</f>
        <v/>
      </c>
      <c r="AC331" s="206" t="str">
        <f t="shared" ref="AC331" si="7785">IF(AC327="","",AB331)</f>
        <v/>
      </c>
      <c r="AD331" s="206" t="str">
        <f t="shared" ref="AD331" si="7786">IF(AD327="","",AC331)</f>
        <v/>
      </c>
      <c r="AE331" s="206" t="str">
        <f t="shared" ref="AE331" si="7787">IF(AE327="","",AD331)</f>
        <v/>
      </c>
      <c r="AF331" s="206" t="str">
        <f t="shared" ref="AF331" si="7788">IF(AF327="","",AE331)</f>
        <v/>
      </c>
      <c r="AG331" s="206" t="str">
        <f t="shared" ref="AG331" si="7789">IF(AG327="","",AF331)</f>
        <v/>
      </c>
      <c r="AH331" s="206" t="str">
        <f t="shared" ref="AH331" si="7790">IF(AH327="","",AG331)</f>
        <v/>
      </c>
      <c r="AI331" s="206" t="str">
        <f t="shared" ref="AI331" si="7791">IF(AI327="","",AH331)</f>
        <v/>
      </c>
      <c r="AJ331" s="206" t="str">
        <f t="shared" ref="AJ331" si="7792">IF(AJ327="","",AI331)</f>
        <v/>
      </c>
      <c r="AK331" s="206" t="str">
        <f t="shared" ref="AK331" si="7793">IF(AK327="","",AJ331)</f>
        <v/>
      </c>
      <c r="AL331" s="206" t="str">
        <f t="shared" ref="AL331" si="7794">IF(AL327="","",AK331)</f>
        <v/>
      </c>
      <c r="AM331" s="206" t="str">
        <f t="shared" ref="AM331" si="7795">IF(AM327="","",AL331)</f>
        <v/>
      </c>
      <c r="AN331" s="206" t="str">
        <f t="shared" ref="AN331" si="7796">IF(AN327="","",AM331)</f>
        <v/>
      </c>
      <c r="AO331" s="206" t="str">
        <f t="shared" ref="AO331" si="7797">IF(AO327="","",AN331)</f>
        <v/>
      </c>
      <c r="AP331" s="206" t="str">
        <f t="shared" ref="AP331" si="7798">IF(AP327="","",AO331)</f>
        <v/>
      </c>
      <c r="AQ331" s="206" t="str">
        <f t="shared" ref="AQ331" si="7799">IF(AQ327="","",AP331)</f>
        <v/>
      </c>
      <c r="AR331" s="206" t="str">
        <f t="shared" ref="AR331" si="7800">IF(AR327="","",AQ331)</f>
        <v/>
      </c>
      <c r="AS331" s="206" t="str">
        <f t="shared" ref="AS331" si="7801">IF(AS327="","",AR331)</f>
        <v/>
      </c>
      <c r="AT331" s="206" t="str">
        <f t="shared" ref="AT331" si="7802">IF(AT327="","",AS331)</f>
        <v/>
      </c>
      <c r="AU331" s="206" t="str">
        <f t="shared" ref="AU331" si="7803">IF(AU327="","",AT331)</f>
        <v/>
      </c>
      <c r="AV331" s="206" t="str">
        <f t="shared" ref="AV331" si="7804">IF(AV327="","",AU331)</f>
        <v/>
      </c>
      <c r="AW331" s="206" t="str">
        <f t="shared" ref="AW331" si="7805">IF(AW327="","",AV331)</f>
        <v/>
      </c>
      <c r="AX331" s="206" t="str">
        <f t="shared" ref="AX331" si="7806">IF(AX327="","",AW331)</f>
        <v/>
      </c>
      <c r="AY331" s="206" t="str">
        <f t="shared" ref="AY331" si="7807">IF(AY327="","",AX331)</f>
        <v/>
      </c>
      <c r="AZ331" s="206" t="str">
        <f t="shared" ref="AZ331" si="7808">IF(AZ327="","",AY331)</f>
        <v/>
      </c>
      <c r="BA331" s="206" t="str">
        <f t="shared" ref="BA331" si="7809">IF(BA327="","",AZ331)</f>
        <v/>
      </c>
      <c r="BB331" s="206" t="str">
        <f t="shared" ref="BB331" si="7810">IF(BB327="","",BA331)</f>
        <v/>
      </c>
      <c r="BC331" s="219" t="str">
        <f t="shared" ref="BC331" si="7811">IF(BC327="","",BB331)</f>
        <v/>
      </c>
    </row>
    <row r="332" spans="1:55" ht="11.25" customHeight="1" x14ac:dyDescent="0.2">
      <c r="A332" s="220" t="s">
        <v>9</v>
      </c>
      <c r="B332" s="17" t="s">
        <v>10</v>
      </c>
      <c r="C332" s="133" t="s">
        <v>286</v>
      </c>
      <c r="D332" s="18" t="s">
        <v>286</v>
      </c>
      <c r="E332" s="18" t="s">
        <v>286</v>
      </c>
      <c r="F332" s="18" t="s">
        <v>286</v>
      </c>
      <c r="G332" s="197"/>
      <c r="H332" s="18">
        <f t="shared" ref="H332" si="7812">IF(H327="","",G332)</f>
        <v>0</v>
      </c>
      <c r="I332" s="18">
        <f t="shared" ref="I332" si="7813">IF(I327="","",H332)</f>
        <v>0</v>
      </c>
      <c r="J332" s="197">
        <f t="shared" ref="J332" si="7814">IF(J327="","",I332)</f>
        <v>0</v>
      </c>
      <c r="K332" s="18">
        <f t="shared" ref="K332" si="7815">IF(K327="","",J332)</f>
        <v>0</v>
      </c>
      <c r="L332" s="18">
        <f t="shared" ref="L332" si="7816">IF(L327="","",K332)</f>
        <v>0</v>
      </c>
      <c r="M332" s="18">
        <f t="shared" ref="M332" si="7817">IF(M327="","",L332)</f>
        <v>0</v>
      </c>
      <c r="N332" s="197" t="str">
        <f t="shared" ref="N332" si="7818">IF(N327="","",M332)</f>
        <v/>
      </c>
      <c r="O332" s="18" t="str">
        <f t="shared" ref="O332" si="7819">IF(O327="","",N332)</f>
        <v/>
      </c>
      <c r="P332" s="18" t="str">
        <f t="shared" ref="P332" si="7820">IF(P327="","",O332)</f>
        <v/>
      </c>
      <c r="Q332" s="18" t="str">
        <f t="shared" ref="Q332" si="7821">IF(Q327="","",P332)</f>
        <v/>
      </c>
      <c r="R332" s="18" t="str">
        <f t="shared" ref="R332" si="7822">IF(R327="","",Q332)</f>
        <v/>
      </c>
      <c r="S332" s="18" t="str">
        <f t="shared" ref="S332" si="7823">IF(S327="","",R332)</f>
        <v/>
      </c>
      <c r="T332" s="18" t="str">
        <f t="shared" ref="T332" si="7824">IF(T327="","",S332)</f>
        <v/>
      </c>
      <c r="U332" s="18" t="str">
        <f t="shared" ref="U332" si="7825">IF(U327="","",T332)</f>
        <v/>
      </c>
      <c r="V332" s="18" t="str">
        <f t="shared" ref="V332" si="7826">IF(V327="","",U332)</f>
        <v/>
      </c>
      <c r="W332" s="18" t="str">
        <f t="shared" ref="W332" si="7827">IF(W327="","",V332)</f>
        <v/>
      </c>
      <c r="X332" s="18" t="str">
        <f t="shared" ref="X332" si="7828">IF(X327="","",W332)</f>
        <v/>
      </c>
      <c r="Y332" s="18" t="str">
        <f t="shared" ref="Y332" si="7829">IF(Y327="","",X332)</f>
        <v/>
      </c>
      <c r="Z332" s="18" t="str">
        <f t="shared" ref="Z332" si="7830">IF(Z327="","",Y332)</f>
        <v/>
      </c>
      <c r="AA332" s="18" t="str">
        <f t="shared" ref="AA332" si="7831">IF(AA327="","",Z332)</f>
        <v/>
      </c>
      <c r="AB332" s="18" t="str">
        <f t="shared" ref="AB332" si="7832">IF(AB327="","",AA332)</f>
        <v/>
      </c>
      <c r="AC332" s="18" t="str">
        <f t="shared" ref="AC332" si="7833">IF(AC327="","",AB332)</f>
        <v/>
      </c>
      <c r="AD332" s="18" t="str">
        <f t="shared" ref="AD332" si="7834">IF(AD327="","",AC332)</f>
        <v/>
      </c>
      <c r="AE332" s="18" t="str">
        <f t="shared" ref="AE332" si="7835">IF(AE327="","",AD332)</f>
        <v/>
      </c>
      <c r="AF332" s="18" t="str">
        <f t="shared" ref="AF332" si="7836">IF(AF327="","",AE332)</f>
        <v/>
      </c>
      <c r="AG332" s="18" t="str">
        <f t="shared" ref="AG332" si="7837">IF(AG327="","",AF332)</f>
        <v/>
      </c>
      <c r="AH332" s="18" t="str">
        <f t="shared" ref="AH332" si="7838">IF(AH327="","",AG332)</f>
        <v/>
      </c>
      <c r="AI332" s="18" t="str">
        <f t="shared" ref="AI332" si="7839">IF(AI327="","",AH332)</f>
        <v/>
      </c>
      <c r="AJ332" s="18" t="str">
        <f t="shared" ref="AJ332" si="7840">IF(AJ327="","",AI332)</f>
        <v/>
      </c>
      <c r="AK332" s="18" t="str">
        <f t="shared" ref="AK332" si="7841">IF(AK327="","",AJ332)</f>
        <v/>
      </c>
      <c r="AL332" s="18" t="str">
        <f t="shared" ref="AL332" si="7842">IF(AL327="","",AK332)</f>
        <v/>
      </c>
      <c r="AM332" s="18" t="str">
        <f t="shared" ref="AM332" si="7843">IF(AM327="","",AL332)</f>
        <v/>
      </c>
      <c r="AN332" s="18" t="str">
        <f t="shared" ref="AN332" si="7844">IF(AN327="","",AM332)</f>
        <v/>
      </c>
      <c r="AO332" s="18" t="str">
        <f t="shared" ref="AO332" si="7845">IF(AO327="","",AN332)</f>
        <v/>
      </c>
      <c r="AP332" s="18" t="str">
        <f t="shared" ref="AP332" si="7846">IF(AP327="","",AO332)</f>
        <v/>
      </c>
      <c r="AQ332" s="18" t="str">
        <f t="shared" ref="AQ332" si="7847">IF(AQ327="","",AP332)</f>
        <v/>
      </c>
      <c r="AR332" s="18" t="str">
        <f t="shared" ref="AR332" si="7848">IF(AR327="","",AQ332)</f>
        <v/>
      </c>
      <c r="AS332" s="18" t="str">
        <f t="shared" ref="AS332" si="7849">IF(AS327="","",AR332)</f>
        <v/>
      </c>
      <c r="AT332" s="18" t="str">
        <f t="shared" ref="AT332" si="7850">IF(AT327="","",AS332)</f>
        <v/>
      </c>
      <c r="AU332" s="18" t="str">
        <f t="shared" ref="AU332" si="7851">IF(AU327="","",AT332)</f>
        <v/>
      </c>
      <c r="AV332" s="18" t="str">
        <f t="shared" ref="AV332" si="7852">IF(AV327="","",AU332)</f>
        <v/>
      </c>
      <c r="AW332" s="18" t="str">
        <f t="shared" ref="AW332" si="7853">IF(AW327="","",AV332)</f>
        <v/>
      </c>
      <c r="AX332" s="18" t="str">
        <f t="shared" ref="AX332" si="7854">IF(AX327="","",AW332)</f>
        <v/>
      </c>
      <c r="AY332" s="18" t="str">
        <f t="shared" ref="AY332" si="7855">IF(AY327="","",AX332)</f>
        <v/>
      </c>
      <c r="AZ332" s="18" t="str">
        <f t="shared" ref="AZ332" si="7856">IF(AZ327="","",AY332)</f>
        <v/>
      </c>
      <c r="BA332" s="18" t="str">
        <f t="shared" ref="BA332" si="7857">IF(BA327="","",AZ332)</f>
        <v/>
      </c>
      <c r="BB332" s="18" t="str">
        <f t="shared" ref="BB332" si="7858">IF(BB327="","",BA332)</f>
        <v/>
      </c>
      <c r="BC332" s="221" t="str">
        <f t="shared" ref="BC332" si="7859">IF(BC327="","",BB332)</f>
        <v/>
      </c>
    </row>
    <row r="333" spans="1:55" ht="11.25" customHeight="1" x14ac:dyDescent="0.2">
      <c r="A333" s="222">
        <f>AVERAGE(C334:AS334)*30*100</f>
        <v>21272.727272727272</v>
      </c>
      <c r="B333" s="11" t="s">
        <v>12</v>
      </c>
      <c r="C333" s="123"/>
      <c r="D333" s="12"/>
      <c r="E333" s="12"/>
      <c r="F333" s="12"/>
      <c r="G333" s="195"/>
      <c r="H333" s="12"/>
      <c r="I333" s="12"/>
      <c r="J333" s="195"/>
      <c r="K333" s="12"/>
      <c r="L333" s="12"/>
      <c r="M333" s="12"/>
      <c r="N333" s="195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215"/>
    </row>
    <row r="334" spans="1:55" ht="11.25" customHeight="1" x14ac:dyDescent="0.2">
      <c r="A334" s="222">
        <f t="shared" ref="A334:A337" si="7860">SUM(C334:AS334)</f>
        <v>78</v>
      </c>
      <c r="B334" s="19" t="s">
        <v>13</v>
      </c>
      <c r="C334" s="123">
        <v>0</v>
      </c>
      <c r="D334" s="20">
        <v>0</v>
      </c>
      <c r="E334" s="20">
        <v>0</v>
      </c>
      <c r="F334" s="20">
        <v>0</v>
      </c>
      <c r="G334" s="195">
        <f t="shared" ref="G334:G335" si="7861">IF(G327="","",G327-F327)</f>
        <v>0</v>
      </c>
      <c r="H334" s="20">
        <f t="shared" ref="H334:H335" si="7862">IF(H327="","",H327-G327)</f>
        <v>0</v>
      </c>
      <c r="I334" s="20">
        <f t="shared" ref="I334:I335" si="7863">IF(I327="","",I327-H327)</f>
        <v>78</v>
      </c>
      <c r="J334" s="195">
        <f t="shared" ref="J334:J335" si="7864">IF(J327="","",J327-I327)</f>
        <v>0</v>
      </c>
      <c r="K334" s="20">
        <f t="shared" ref="K334:K335" si="7865">IF(K327="","",K327-J327)</f>
        <v>0</v>
      </c>
      <c r="L334" s="20">
        <f t="shared" ref="L334:L335" si="7866">IF(L327="","",L327-K327)</f>
        <v>0</v>
      </c>
      <c r="M334" s="20">
        <f t="shared" ref="M334:M335" si="7867">IF(M327="","",M327-L327)</f>
        <v>0</v>
      </c>
      <c r="N334" s="195" t="str">
        <f t="shared" ref="N334:N335" si="7868">IF(N327="","",N327-M327)</f>
        <v/>
      </c>
      <c r="O334" s="20" t="str">
        <f t="shared" ref="O334:O335" si="7869">IF(O327="","",O327-N327)</f>
        <v/>
      </c>
      <c r="P334" s="20" t="str">
        <f t="shared" ref="P334:P335" si="7870">IF(P327="","",P327-O327)</f>
        <v/>
      </c>
      <c r="Q334" s="20" t="str">
        <f t="shared" ref="Q334:Q335" si="7871">IF(Q327="","",Q327-P327)</f>
        <v/>
      </c>
      <c r="R334" s="20" t="str">
        <f t="shared" ref="R334:R335" si="7872">IF(R327="","",R327-Q327)</f>
        <v/>
      </c>
      <c r="S334" s="20" t="str">
        <f t="shared" ref="S334:S335" si="7873">IF(S327="","",S327-R327)</f>
        <v/>
      </c>
      <c r="T334" s="20" t="str">
        <f t="shared" ref="T334:T335" si="7874">IF(T327="","",T327-S327)</f>
        <v/>
      </c>
      <c r="U334" s="20" t="str">
        <f t="shared" ref="U334:U335" si="7875">IF(U327="","",U327-T327)</f>
        <v/>
      </c>
      <c r="V334" s="20" t="str">
        <f t="shared" ref="V334:V335" si="7876">IF(V327="","",V327-U327)</f>
        <v/>
      </c>
      <c r="W334" s="20" t="str">
        <f t="shared" ref="W334:W335" si="7877">IF(W327="","",W327-V327)</f>
        <v/>
      </c>
      <c r="X334" s="20" t="str">
        <f t="shared" ref="X334:X335" si="7878">IF(X327="","",X327-W327)</f>
        <v/>
      </c>
      <c r="Y334" s="20" t="str">
        <f t="shared" ref="Y334:Y335" si="7879">IF(Y327="","",Y327-X327)</f>
        <v/>
      </c>
      <c r="Z334" s="20" t="str">
        <f t="shared" ref="Z334:Z335" si="7880">IF(Z327="","",Z327-Y327)</f>
        <v/>
      </c>
      <c r="AA334" s="20" t="str">
        <f t="shared" ref="AA334:AA335" si="7881">IF(AA327="","",AA327-Z327)</f>
        <v/>
      </c>
      <c r="AB334" s="20" t="str">
        <f t="shared" ref="AB334:AB335" si="7882">IF(AB327="","",AB327-AA327)</f>
        <v/>
      </c>
      <c r="AC334" s="20" t="str">
        <f t="shared" ref="AC334:AC335" si="7883">IF(AC327="","",AC327-AB327)</f>
        <v/>
      </c>
      <c r="AD334" s="20" t="str">
        <f t="shared" ref="AD334:AD335" si="7884">IF(AD327="","",AD327-AC327)</f>
        <v/>
      </c>
      <c r="AE334" s="20" t="str">
        <f t="shared" ref="AE334:AE335" si="7885">IF(AE327="","",AE327-AD327)</f>
        <v/>
      </c>
      <c r="AF334" s="20" t="str">
        <f t="shared" ref="AF334:AF335" si="7886">IF(AF327="","",AF327-AE327)</f>
        <v/>
      </c>
      <c r="AG334" s="20" t="str">
        <f t="shared" ref="AG334:AG335" si="7887">IF(AG327="","",AG327-AF327)</f>
        <v/>
      </c>
      <c r="AH334" s="20" t="str">
        <f t="shared" ref="AH334:AH335" si="7888">IF(AH327="","",AH327-AG327)</f>
        <v/>
      </c>
      <c r="AI334" s="20" t="str">
        <f t="shared" ref="AI334:AI335" si="7889">IF(AI327="","",AI327-AH327)</f>
        <v/>
      </c>
      <c r="AJ334" s="20" t="str">
        <f t="shared" ref="AJ334:AJ335" si="7890">IF(AJ327="","",AJ327-AI327)</f>
        <v/>
      </c>
      <c r="AK334" s="20" t="str">
        <f t="shared" ref="AK334:AK335" si="7891">IF(AK327="","",AK327-AJ327)</f>
        <v/>
      </c>
      <c r="AL334" s="20" t="str">
        <f t="shared" ref="AL334:AL335" si="7892">IF(AL327="","",AL327-AK327)</f>
        <v/>
      </c>
      <c r="AM334" s="20" t="str">
        <f t="shared" ref="AM334:AM335" si="7893">IF(AM327="","",AM327-AL327)</f>
        <v/>
      </c>
      <c r="AN334" s="20" t="str">
        <f t="shared" ref="AN334:AN335" si="7894">IF(AN327="","",AN327-AM327)</f>
        <v/>
      </c>
      <c r="AO334" s="20" t="str">
        <f t="shared" ref="AO334:AO335" si="7895">IF(AO327="","",AO327-AN327)</f>
        <v/>
      </c>
      <c r="AP334" s="20" t="str">
        <f t="shared" ref="AP334:AP335" si="7896">IF(AP327="","",AP327-AO327)</f>
        <v/>
      </c>
      <c r="AQ334" s="20" t="str">
        <f t="shared" ref="AQ334:AQ335" si="7897">IF(AQ327="","",AQ327-AP327)</f>
        <v/>
      </c>
      <c r="AR334" s="20" t="str">
        <f t="shared" ref="AR334:AR335" si="7898">IF(AR327="","",AR327-AQ327)</f>
        <v/>
      </c>
      <c r="AS334" s="20" t="str">
        <f t="shared" ref="AS334:AS335" si="7899">IF(AS327="","",AS327-AR327)</f>
        <v/>
      </c>
      <c r="AT334" s="20" t="str">
        <f t="shared" ref="AT334:AT335" si="7900">IF(AT327="","",AT327-AS327)</f>
        <v/>
      </c>
      <c r="AU334" s="20" t="str">
        <f t="shared" ref="AU334:AU335" si="7901">IF(AU327="","",AU327-AT327)</f>
        <v/>
      </c>
      <c r="AV334" s="20" t="str">
        <f t="shared" ref="AV334:AV335" si="7902">IF(AV327="","",AV327-AU327)</f>
        <v/>
      </c>
      <c r="AW334" s="20" t="str">
        <f t="shared" ref="AW334:AW335" si="7903">IF(AW327="","",AW327-AV327)</f>
        <v/>
      </c>
      <c r="AX334" s="20" t="str">
        <f t="shared" ref="AX334:AX335" si="7904">IF(AX327="","",AX327-AW327)</f>
        <v/>
      </c>
      <c r="AY334" s="20" t="str">
        <f t="shared" ref="AY334:AY335" si="7905">IF(AY327="","",AY327-AX327)</f>
        <v/>
      </c>
      <c r="AZ334" s="20" t="str">
        <f t="shared" ref="AZ334:AZ335" si="7906">IF(AZ327="","",AZ327-AY327)</f>
        <v/>
      </c>
      <c r="BA334" s="20" t="str">
        <f t="shared" ref="BA334:BA335" si="7907">IF(BA327="","",BA327-AZ327)</f>
        <v/>
      </c>
      <c r="BB334" s="20" t="str">
        <f t="shared" ref="BB334:BB335" si="7908">IF(BB327="","",BB327-BA327)</f>
        <v/>
      </c>
      <c r="BC334" s="223" t="str">
        <f t="shared" ref="BC334:BC335" si="7909">IF(BC327="","",BC327-BB327)</f>
        <v/>
      </c>
    </row>
    <row r="335" spans="1:55" ht="11.25" customHeight="1" x14ac:dyDescent="0.2">
      <c r="A335" s="222">
        <f t="shared" si="7860"/>
        <v>3</v>
      </c>
      <c r="B335" s="19" t="s">
        <v>14</v>
      </c>
      <c r="C335" s="123">
        <v>0</v>
      </c>
      <c r="D335" s="20">
        <v>0</v>
      </c>
      <c r="E335" s="20">
        <v>0</v>
      </c>
      <c r="F335" s="20">
        <v>0</v>
      </c>
      <c r="G335" s="195">
        <f t="shared" si="7861"/>
        <v>0</v>
      </c>
      <c r="H335" s="20">
        <f t="shared" si="7862"/>
        <v>0</v>
      </c>
      <c r="I335" s="20">
        <f t="shared" si="7863"/>
        <v>3</v>
      </c>
      <c r="J335" s="195">
        <f t="shared" si="7864"/>
        <v>0</v>
      </c>
      <c r="K335" s="20">
        <f t="shared" si="7865"/>
        <v>0</v>
      </c>
      <c r="L335" s="20">
        <f t="shared" si="7866"/>
        <v>0</v>
      </c>
      <c r="M335" s="20">
        <f t="shared" si="7867"/>
        <v>0</v>
      </c>
      <c r="N335" s="195" t="str">
        <f t="shared" si="7868"/>
        <v/>
      </c>
      <c r="O335" s="20" t="str">
        <f t="shared" si="7869"/>
        <v/>
      </c>
      <c r="P335" s="20" t="str">
        <f t="shared" si="7870"/>
        <v/>
      </c>
      <c r="Q335" s="20" t="str">
        <f t="shared" si="7871"/>
        <v/>
      </c>
      <c r="R335" s="20" t="str">
        <f t="shared" si="7872"/>
        <v/>
      </c>
      <c r="S335" s="20" t="str">
        <f t="shared" si="7873"/>
        <v/>
      </c>
      <c r="T335" s="20" t="str">
        <f t="shared" si="7874"/>
        <v/>
      </c>
      <c r="U335" s="20" t="str">
        <f t="shared" si="7875"/>
        <v/>
      </c>
      <c r="V335" s="20" t="str">
        <f t="shared" si="7876"/>
        <v/>
      </c>
      <c r="W335" s="20" t="str">
        <f t="shared" si="7877"/>
        <v/>
      </c>
      <c r="X335" s="20" t="str">
        <f t="shared" si="7878"/>
        <v/>
      </c>
      <c r="Y335" s="20" t="str">
        <f t="shared" si="7879"/>
        <v/>
      </c>
      <c r="Z335" s="20" t="str">
        <f t="shared" si="7880"/>
        <v/>
      </c>
      <c r="AA335" s="20" t="str">
        <f t="shared" si="7881"/>
        <v/>
      </c>
      <c r="AB335" s="20" t="str">
        <f t="shared" si="7882"/>
        <v/>
      </c>
      <c r="AC335" s="20" t="str">
        <f t="shared" si="7883"/>
        <v/>
      </c>
      <c r="AD335" s="20" t="str">
        <f t="shared" si="7884"/>
        <v/>
      </c>
      <c r="AE335" s="20" t="str">
        <f t="shared" si="7885"/>
        <v/>
      </c>
      <c r="AF335" s="20" t="str">
        <f t="shared" si="7886"/>
        <v/>
      </c>
      <c r="AG335" s="20" t="str">
        <f t="shared" si="7887"/>
        <v/>
      </c>
      <c r="AH335" s="20" t="str">
        <f t="shared" si="7888"/>
        <v/>
      </c>
      <c r="AI335" s="20" t="str">
        <f t="shared" si="7889"/>
        <v/>
      </c>
      <c r="AJ335" s="20" t="str">
        <f t="shared" si="7890"/>
        <v/>
      </c>
      <c r="AK335" s="20" t="str">
        <f t="shared" si="7891"/>
        <v/>
      </c>
      <c r="AL335" s="20" t="str">
        <f t="shared" si="7892"/>
        <v/>
      </c>
      <c r="AM335" s="20" t="str">
        <f t="shared" si="7893"/>
        <v/>
      </c>
      <c r="AN335" s="20" t="str">
        <f t="shared" si="7894"/>
        <v/>
      </c>
      <c r="AO335" s="20" t="str">
        <f t="shared" si="7895"/>
        <v/>
      </c>
      <c r="AP335" s="20" t="str">
        <f t="shared" si="7896"/>
        <v/>
      </c>
      <c r="AQ335" s="20" t="str">
        <f t="shared" si="7897"/>
        <v/>
      </c>
      <c r="AR335" s="20" t="str">
        <f t="shared" si="7898"/>
        <v/>
      </c>
      <c r="AS335" s="20" t="str">
        <f t="shared" si="7899"/>
        <v/>
      </c>
      <c r="AT335" s="20" t="str">
        <f t="shared" si="7900"/>
        <v/>
      </c>
      <c r="AU335" s="20" t="str">
        <f t="shared" si="7901"/>
        <v/>
      </c>
      <c r="AV335" s="20" t="str">
        <f t="shared" si="7902"/>
        <v/>
      </c>
      <c r="AW335" s="20" t="str">
        <f t="shared" si="7903"/>
        <v/>
      </c>
      <c r="AX335" s="20" t="str">
        <f t="shared" si="7904"/>
        <v/>
      </c>
      <c r="AY335" s="20" t="str">
        <f t="shared" si="7905"/>
        <v/>
      </c>
      <c r="AZ335" s="20" t="str">
        <f t="shared" si="7906"/>
        <v/>
      </c>
      <c r="BA335" s="20" t="str">
        <f t="shared" si="7907"/>
        <v/>
      </c>
      <c r="BB335" s="20" t="str">
        <f t="shared" si="7908"/>
        <v/>
      </c>
      <c r="BC335" s="223" t="str">
        <f t="shared" si="7909"/>
        <v/>
      </c>
    </row>
    <row r="336" spans="1:55" ht="11.25" customHeight="1" x14ac:dyDescent="0.2">
      <c r="A336" s="222">
        <f t="shared" si="7860"/>
        <v>3</v>
      </c>
      <c r="B336" s="19" t="s">
        <v>15</v>
      </c>
      <c r="C336" s="123">
        <v>0</v>
      </c>
      <c r="D336" s="20">
        <v>0</v>
      </c>
      <c r="E336" s="20">
        <v>0</v>
      </c>
      <c r="F336" s="20">
        <v>0</v>
      </c>
      <c r="G336" s="195">
        <f t="shared" ref="G336" si="7910">IF(G329="","",F329+F330-G329)</f>
        <v>0</v>
      </c>
      <c r="H336" s="20">
        <f t="shared" ref="H336" si="7911">IF(H329="","",G329+G330-H329)</f>
        <v>0</v>
      </c>
      <c r="I336" s="20">
        <f t="shared" ref="I336" si="7912">IF(I329="","",H329+H330-I329)</f>
        <v>3</v>
      </c>
      <c r="J336" s="195">
        <f t="shared" ref="J336" si="7913">IF(J329="","",I329+I330-J329)</f>
        <v>0</v>
      </c>
      <c r="K336" s="20">
        <f t="shared" ref="K336" si="7914">IF(K329="","",J329+J330-K329)</f>
        <v>0</v>
      </c>
      <c r="L336" s="20">
        <f t="shared" ref="L336" si="7915">IF(L329="","",K329+K330-L329)</f>
        <v>0</v>
      </c>
      <c r="M336" s="20">
        <f t="shared" ref="M336" si="7916">IF(M329="","",L329+L330-M329)</f>
        <v>0</v>
      </c>
      <c r="N336" s="195" t="str">
        <f t="shared" ref="N336" si="7917">IF(N329="","",M329+M330-N329)</f>
        <v/>
      </c>
      <c r="O336" s="20" t="str">
        <f t="shared" ref="O336" si="7918">IF(O329="","",N329+N330-O329)</f>
        <v/>
      </c>
      <c r="P336" s="20" t="str">
        <f t="shared" ref="P336" si="7919">IF(P329="","",O329+O330-P329)</f>
        <v/>
      </c>
      <c r="Q336" s="20" t="str">
        <f t="shared" ref="Q336" si="7920">IF(Q329="","",P329+P330-Q329)</f>
        <v/>
      </c>
      <c r="R336" s="20" t="str">
        <f t="shared" ref="R336" si="7921">IF(R329="","",Q329+Q330-R329)</f>
        <v/>
      </c>
      <c r="S336" s="20" t="str">
        <f t="shared" ref="S336" si="7922">IF(S329="","",R329+R330-S329)</f>
        <v/>
      </c>
      <c r="T336" s="20" t="str">
        <f t="shared" ref="T336" si="7923">IF(T329="","",S329+S330-T329)</f>
        <v/>
      </c>
      <c r="U336" s="20" t="str">
        <f t="shared" ref="U336" si="7924">IF(U329="","",T329+T330-U329)</f>
        <v/>
      </c>
      <c r="V336" s="20" t="str">
        <f t="shared" ref="V336" si="7925">IF(V329="","",U329+U330-V329)</f>
        <v/>
      </c>
      <c r="W336" s="20" t="str">
        <f t="shared" ref="W336" si="7926">IF(W329="","",V329+V330-W329)</f>
        <v/>
      </c>
      <c r="X336" s="20" t="str">
        <f t="shared" ref="X336" si="7927">IF(X329="","",W329+W330-X329)</f>
        <v/>
      </c>
      <c r="Y336" s="20" t="str">
        <f t="shared" ref="Y336" si="7928">IF(Y329="","",X329+X330-Y329)</f>
        <v/>
      </c>
      <c r="Z336" s="20" t="str">
        <f t="shared" ref="Z336" si="7929">IF(Z329="","",Y329+Y330-Z329)</f>
        <v/>
      </c>
      <c r="AA336" s="20" t="str">
        <f t="shared" ref="AA336" si="7930">IF(AA329="","",Z329+Z330-AA329)</f>
        <v/>
      </c>
      <c r="AB336" s="20" t="str">
        <f t="shared" ref="AB336" si="7931">IF(AB329="","",AA329+AA330-AB329)</f>
        <v/>
      </c>
      <c r="AC336" s="20" t="str">
        <f t="shared" ref="AC336" si="7932">IF(AC329="","",AB329+AB330-AC329)</f>
        <v/>
      </c>
      <c r="AD336" s="20" t="str">
        <f t="shared" ref="AD336" si="7933">IF(AD329="","",AC329+AC330-AD329)</f>
        <v/>
      </c>
      <c r="AE336" s="20" t="str">
        <f t="shared" ref="AE336" si="7934">IF(AE329="","",AD329+AD330-AE329)</f>
        <v/>
      </c>
      <c r="AF336" s="20" t="str">
        <f t="shared" ref="AF336" si="7935">IF(AF329="","",AE329+AE330-AF329)</f>
        <v/>
      </c>
      <c r="AG336" s="20" t="str">
        <f t="shared" ref="AG336" si="7936">IF(AG329="","",AF329+AF330-AG329)</f>
        <v/>
      </c>
      <c r="AH336" s="20" t="str">
        <f t="shared" ref="AH336" si="7937">IF(AH329="","",AG329+AG330-AH329)</f>
        <v/>
      </c>
      <c r="AI336" s="20" t="str">
        <f t="shared" ref="AI336" si="7938">IF(AI329="","",AH329+AH330-AI329)</f>
        <v/>
      </c>
      <c r="AJ336" s="20" t="str">
        <f t="shared" ref="AJ336" si="7939">IF(AJ329="","",AI329+AI330-AJ329)</f>
        <v/>
      </c>
      <c r="AK336" s="20" t="str">
        <f t="shared" ref="AK336" si="7940">IF(AK329="","",AJ329+AJ330-AK329)</f>
        <v/>
      </c>
      <c r="AL336" s="20" t="str">
        <f t="shared" ref="AL336" si="7941">IF(AL329="","",AK329+AK330-AL329)</f>
        <v/>
      </c>
      <c r="AM336" s="20" t="str">
        <f t="shared" ref="AM336" si="7942">IF(AM329="","",AL329+AL330-AM329)</f>
        <v/>
      </c>
      <c r="AN336" s="20" t="str">
        <f t="shared" ref="AN336" si="7943">IF(AN329="","",AM329+AM330-AN329)</f>
        <v/>
      </c>
      <c r="AO336" s="20" t="str">
        <f t="shared" ref="AO336" si="7944">IF(AO329="","",AN329+AN330-AO329)</f>
        <v/>
      </c>
      <c r="AP336" s="20" t="str">
        <f t="shared" ref="AP336" si="7945">IF(AP329="","",AO329+AO330-AP329)</f>
        <v/>
      </c>
      <c r="AQ336" s="20" t="str">
        <f t="shared" ref="AQ336" si="7946">IF(AQ329="","",AP329+AP330-AQ329)</f>
        <v/>
      </c>
      <c r="AR336" s="20" t="str">
        <f t="shared" ref="AR336" si="7947">IF(AR329="","",AQ329+AQ330-AR329)</f>
        <v/>
      </c>
      <c r="AS336" s="20" t="str">
        <f t="shared" ref="AS336" si="7948">IF(AS329="","",AR329+AR330-AS329)</f>
        <v/>
      </c>
      <c r="AT336" s="20" t="str">
        <f t="shared" ref="AT336" si="7949">IF(AT329="","",AS329+AS330-AT329)</f>
        <v/>
      </c>
      <c r="AU336" s="20" t="str">
        <f t="shared" ref="AU336" si="7950">IF(AU329="","",AT329+AT330-AU329)</f>
        <v/>
      </c>
      <c r="AV336" s="20" t="str">
        <f t="shared" ref="AV336" si="7951">IF(AV329="","",AU329+AU330-AV329)</f>
        <v/>
      </c>
      <c r="AW336" s="20" t="str">
        <f t="shared" ref="AW336" si="7952">IF(AW329="","",AV329+AV330-AW329)</f>
        <v/>
      </c>
      <c r="AX336" s="20" t="str">
        <f t="shared" ref="AX336" si="7953">IF(AX329="","",AW329+AW330-AX329)</f>
        <v/>
      </c>
      <c r="AY336" s="20" t="str">
        <f t="shared" ref="AY336" si="7954">IF(AY329="","",AX329+AX330-AY329)</f>
        <v/>
      </c>
      <c r="AZ336" s="20" t="str">
        <f t="shared" ref="AZ336" si="7955">IF(AZ329="","",AY329+AY330-AZ329)</f>
        <v/>
      </c>
      <c r="BA336" s="20" t="str">
        <f t="shared" ref="BA336" si="7956">IF(BA329="","",AZ329+AZ330-BA329)</f>
        <v/>
      </c>
      <c r="BB336" s="20" t="str">
        <f t="shared" ref="BB336" si="7957">IF(BB329="","",BA329+BA330-BB329)</f>
        <v/>
      </c>
      <c r="BC336" s="223" t="str">
        <f t="shared" ref="BC336" si="7958">IF(BC329="","",BB329+BB330-BC329)</f>
        <v/>
      </c>
    </row>
    <row r="337" spans="1:55" ht="11.25" customHeight="1" x14ac:dyDescent="0.2">
      <c r="A337" s="222">
        <f t="shared" si="7860"/>
        <v>0</v>
      </c>
      <c r="B337" s="19" t="s">
        <v>16</v>
      </c>
      <c r="C337" s="123">
        <v>0</v>
      </c>
      <c r="D337" s="20">
        <v>0</v>
      </c>
      <c r="E337" s="20">
        <v>0</v>
      </c>
      <c r="F337" s="20">
        <v>0</v>
      </c>
      <c r="G337" s="195">
        <f t="shared" ref="D337:BC337" si="7959">IF(G327="","",G336*G331)</f>
        <v>0</v>
      </c>
      <c r="H337" s="20">
        <f t="shared" si="7959"/>
        <v>0</v>
      </c>
      <c r="I337" s="20">
        <f t="shared" si="7959"/>
        <v>0</v>
      </c>
      <c r="J337" s="195">
        <f t="shared" si="7959"/>
        <v>0</v>
      </c>
      <c r="K337" s="20">
        <f t="shared" si="7959"/>
        <v>0</v>
      </c>
      <c r="L337" s="20">
        <f t="shared" si="7959"/>
        <v>0</v>
      </c>
      <c r="M337" s="20">
        <f t="shared" si="7959"/>
        <v>0</v>
      </c>
      <c r="N337" s="195" t="str">
        <f t="shared" si="7959"/>
        <v/>
      </c>
      <c r="O337" s="20" t="str">
        <f t="shared" si="7959"/>
        <v/>
      </c>
      <c r="P337" s="20" t="str">
        <f t="shared" si="7959"/>
        <v/>
      </c>
      <c r="Q337" s="20" t="str">
        <f t="shared" si="7959"/>
        <v/>
      </c>
      <c r="R337" s="20" t="str">
        <f t="shared" si="7959"/>
        <v/>
      </c>
      <c r="S337" s="20" t="str">
        <f t="shared" si="7959"/>
        <v/>
      </c>
      <c r="T337" s="20" t="str">
        <f t="shared" si="7959"/>
        <v/>
      </c>
      <c r="U337" s="20" t="str">
        <f t="shared" si="7959"/>
        <v/>
      </c>
      <c r="V337" s="20" t="str">
        <f t="shared" si="7959"/>
        <v/>
      </c>
      <c r="W337" s="20" t="str">
        <f t="shared" si="7959"/>
        <v/>
      </c>
      <c r="X337" s="20" t="str">
        <f t="shared" si="7959"/>
        <v/>
      </c>
      <c r="Y337" s="20" t="str">
        <f t="shared" si="7959"/>
        <v/>
      </c>
      <c r="Z337" s="20" t="str">
        <f t="shared" si="7959"/>
        <v/>
      </c>
      <c r="AA337" s="20" t="str">
        <f t="shared" si="7959"/>
        <v/>
      </c>
      <c r="AB337" s="20" t="str">
        <f t="shared" si="7959"/>
        <v/>
      </c>
      <c r="AC337" s="20" t="str">
        <f t="shared" si="7959"/>
        <v/>
      </c>
      <c r="AD337" s="20" t="str">
        <f t="shared" si="7959"/>
        <v/>
      </c>
      <c r="AE337" s="20" t="str">
        <f t="shared" si="7959"/>
        <v/>
      </c>
      <c r="AF337" s="20" t="str">
        <f t="shared" si="7959"/>
        <v/>
      </c>
      <c r="AG337" s="20" t="str">
        <f t="shared" si="7959"/>
        <v/>
      </c>
      <c r="AH337" s="20" t="str">
        <f t="shared" si="7959"/>
        <v/>
      </c>
      <c r="AI337" s="20" t="str">
        <f t="shared" si="7959"/>
        <v/>
      </c>
      <c r="AJ337" s="20" t="str">
        <f t="shared" si="7959"/>
        <v/>
      </c>
      <c r="AK337" s="20" t="str">
        <f t="shared" si="7959"/>
        <v/>
      </c>
      <c r="AL337" s="20" t="str">
        <f t="shared" si="7959"/>
        <v/>
      </c>
      <c r="AM337" s="20" t="str">
        <f t="shared" si="7959"/>
        <v/>
      </c>
      <c r="AN337" s="20" t="str">
        <f t="shared" si="7959"/>
        <v/>
      </c>
      <c r="AO337" s="20" t="str">
        <f t="shared" si="7959"/>
        <v/>
      </c>
      <c r="AP337" s="20" t="str">
        <f t="shared" si="7959"/>
        <v/>
      </c>
      <c r="AQ337" s="20" t="str">
        <f t="shared" si="7959"/>
        <v/>
      </c>
      <c r="AR337" s="20" t="str">
        <f t="shared" si="7959"/>
        <v/>
      </c>
      <c r="AS337" s="20" t="str">
        <f t="shared" si="7959"/>
        <v/>
      </c>
      <c r="AT337" s="20" t="str">
        <f t="shared" si="7959"/>
        <v/>
      </c>
      <c r="AU337" s="20" t="str">
        <f t="shared" si="7959"/>
        <v/>
      </c>
      <c r="AV337" s="20" t="str">
        <f t="shared" si="7959"/>
        <v/>
      </c>
      <c r="AW337" s="20" t="str">
        <f t="shared" si="7959"/>
        <v/>
      </c>
      <c r="AX337" s="20" t="str">
        <f t="shared" si="7959"/>
        <v/>
      </c>
      <c r="AY337" s="20" t="str">
        <f t="shared" si="7959"/>
        <v/>
      </c>
      <c r="AZ337" s="20" t="str">
        <f t="shared" si="7959"/>
        <v/>
      </c>
      <c r="BA337" s="20" t="str">
        <f t="shared" si="7959"/>
        <v/>
      </c>
      <c r="BB337" s="20" t="str">
        <f t="shared" si="7959"/>
        <v/>
      </c>
      <c r="BC337" s="223" t="str">
        <f t="shared" si="7959"/>
        <v/>
      </c>
    </row>
    <row r="338" spans="1:55" ht="11.25" customHeight="1" thickBot="1" x14ac:dyDescent="0.25">
      <c r="A338" s="233">
        <f>IF(A337="","",A337/(A334*100))</f>
        <v>0</v>
      </c>
      <c r="B338" s="201" t="s">
        <v>17</v>
      </c>
      <c r="C338" s="202" t="s">
        <v>18</v>
      </c>
      <c r="D338" s="203" t="s">
        <v>18</v>
      </c>
      <c r="E338" s="203" t="s">
        <v>18</v>
      </c>
      <c r="F338" s="203" t="s">
        <v>18</v>
      </c>
      <c r="G338" s="204" t="str">
        <f t="shared" ref="D338:BC338" si="7960">IF(G337="","",IF(G337=0,"",G337/(G334*100)))</f>
        <v/>
      </c>
      <c r="H338" s="203" t="str">
        <f t="shared" si="7960"/>
        <v/>
      </c>
      <c r="I338" s="203" t="str">
        <f t="shared" si="7960"/>
        <v/>
      </c>
      <c r="J338" s="204" t="str">
        <f t="shared" si="7960"/>
        <v/>
      </c>
      <c r="K338" s="203" t="str">
        <f t="shared" si="7960"/>
        <v/>
      </c>
      <c r="L338" s="203" t="str">
        <f t="shared" si="7960"/>
        <v/>
      </c>
      <c r="M338" s="203" t="str">
        <f t="shared" si="7960"/>
        <v/>
      </c>
      <c r="N338" s="204" t="str">
        <f t="shared" si="7960"/>
        <v/>
      </c>
      <c r="O338" s="203" t="str">
        <f t="shared" si="7960"/>
        <v/>
      </c>
      <c r="P338" s="203" t="str">
        <f t="shared" si="7960"/>
        <v/>
      </c>
      <c r="Q338" s="203" t="str">
        <f t="shared" si="7960"/>
        <v/>
      </c>
      <c r="R338" s="203" t="str">
        <f t="shared" si="7960"/>
        <v/>
      </c>
      <c r="S338" s="203" t="str">
        <f t="shared" si="7960"/>
        <v/>
      </c>
      <c r="T338" s="203" t="str">
        <f t="shared" si="7960"/>
        <v/>
      </c>
      <c r="U338" s="203" t="str">
        <f t="shared" si="7960"/>
        <v/>
      </c>
      <c r="V338" s="203" t="str">
        <f t="shared" si="7960"/>
        <v/>
      </c>
      <c r="W338" s="203" t="str">
        <f t="shared" si="7960"/>
        <v/>
      </c>
      <c r="X338" s="203" t="str">
        <f t="shared" si="7960"/>
        <v/>
      </c>
      <c r="Y338" s="203" t="str">
        <f t="shared" si="7960"/>
        <v/>
      </c>
      <c r="Z338" s="203" t="str">
        <f t="shared" si="7960"/>
        <v/>
      </c>
      <c r="AA338" s="203" t="str">
        <f t="shared" si="7960"/>
        <v/>
      </c>
      <c r="AB338" s="203" t="str">
        <f t="shared" si="7960"/>
        <v/>
      </c>
      <c r="AC338" s="203" t="str">
        <f t="shared" si="7960"/>
        <v/>
      </c>
      <c r="AD338" s="203" t="str">
        <f t="shared" si="7960"/>
        <v/>
      </c>
      <c r="AE338" s="203" t="str">
        <f t="shared" si="7960"/>
        <v/>
      </c>
      <c r="AF338" s="203" t="str">
        <f t="shared" si="7960"/>
        <v/>
      </c>
      <c r="AG338" s="203" t="str">
        <f t="shared" si="7960"/>
        <v/>
      </c>
      <c r="AH338" s="203" t="str">
        <f t="shared" si="7960"/>
        <v/>
      </c>
      <c r="AI338" s="203" t="str">
        <f t="shared" si="7960"/>
        <v/>
      </c>
      <c r="AJ338" s="203" t="str">
        <f t="shared" si="7960"/>
        <v/>
      </c>
      <c r="AK338" s="203" t="str">
        <f t="shared" si="7960"/>
        <v/>
      </c>
      <c r="AL338" s="203" t="str">
        <f t="shared" si="7960"/>
        <v/>
      </c>
      <c r="AM338" s="203" t="str">
        <f t="shared" si="7960"/>
        <v/>
      </c>
      <c r="AN338" s="203" t="str">
        <f t="shared" si="7960"/>
        <v/>
      </c>
      <c r="AO338" s="203" t="str">
        <f t="shared" si="7960"/>
        <v/>
      </c>
      <c r="AP338" s="203" t="str">
        <f t="shared" si="7960"/>
        <v/>
      </c>
      <c r="AQ338" s="203" t="str">
        <f t="shared" si="7960"/>
        <v/>
      </c>
      <c r="AR338" s="203" t="str">
        <f t="shared" si="7960"/>
        <v/>
      </c>
      <c r="AS338" s="203" t="str">
        <f t="shared" si="7960"/>
        <v/>
      </c>
      <c r="AT338" s="203" t="str">
        <f t="shared" si="7960"/>
        <v/>
      </c>
      <c r="AU338" s="203" t="str">
        <f t="shared" si="7960"/>
        <v/>
      </c>
      <c r="AV338" s="203" t="str">
        <f t="shared" si="7960"/>
        <v/>
      </c>
      <c r="AW338" s="203" t="str">
        <f t="shared" si="7960"/>
        <v/>
      </c>
      <c r="AX338" s="203" t="str">
        <f t="shared" si="7960"/>
        <v/>
      </c>
      <c r="AY338" s="203" t="str">
        <f t="shared" si="7960"/>
        <v/>
      </c>
      <c r="AZ338" s="203" t="str">
        <f t="shared" si="7960"/>
        <v/>
      </c>
      <c r="BA338" s="203" t="str">
        <f t="shared" si="7960"/>
        <v/>
      </c>
      <c r="BB338" s="203" t="str">
        <f t="shared" si="7960"/>
        <v/>
      </c>
      <c r="BC338" s="234" t="str">
        <f t="shared" si="7960"/>
        <v/>
      </c>
    </row>
    <row r="339" spans="1:55" ht="11.25" customHeight="1" x14ac:dyDescent="0.2">
      <c r="A339" s="208" t="s">
        <v>1</v>
      </c>
      <c r="B339" s="209" t="s">
        <v>2</v>
      </c>
      <c r="C339" s="210">
        <v>237</v>
      </c>
      <c r="D339" s="211">
        <v>237</v>
      </c>
      <c r="E339" s="211">
        <v>237</v>
      </c>
      <c r="F339" s="211">
        <v>237</v>
      </c>
      <c r="G339" s="212">
        <f t="shared" ref="G339:G340" si="7961">IF(G$3="","",F339)</f>
        <v>237</v>
      </c>
      <c r="H339" s="211">
        <f t="shared" ref="H339:H340" si="7962">IF(H$3="","",G339)</f>
        <v>237</v>
      </c>
      <c r="I339" s="211">
        <v>327</v>
      </c>
      <c r="J339" s="212">
        <f t="shared" ref="J339:J340" si="7963">IF(J$3="","",I339)</f>
        <v>327</v>
      </c>
      <c r="K339" s="211">
        <f t="shared" ref="K339:K340" si="7964">IF(K$3="","",J339)</f>
        <v>327</v>
      </c>
      <c r="L339" s="211">
        <f t="shared" ref="L339:L340" si="7965">IF(L$3="","",K339)</f>
        <v>327</v>
      </c>
      <c r="M339" s="211">
        <f t="shared" ref="M339:M340" si="7966">IF(M$3="","",L339)</f>
        <v>327</v>
      </c>
      <c r="N339" s="212" t="str">
        <f t="shared" ref="N339:N340" si="7967">IF(N$3="","",M339)</f>
        <v/>
      </c>
      <c r="O339" s="211" t="str">
        <f t="shared" ref="O339:O340" si="7968">IF(O$3="","",N339)</f>
        <v/>
      </c>
      <c r="P339" s="211" t="str">
        <f t="shared" ref="P339:P340" si="7969">IF(P$3="","",O339)</f>
        <v/>
      </c>
      <c r="Q339" s="211" t="str">
        <f t="shared" ref="Q339:Q340" si="7970">IF(Q$3="","",P339)</f>
        <v/>
      </c>
      <c r="R339" s="211" t="str">
        <f t="shared" ref="R339:R340" si="7971">IF(R$3="","",Q339)</f>
        <v/>
      </c>
      <c r="S339" s="211" t="str">
        <f t="shared" ref="S339:S340" si="7972">IF(S$3="","",R339)</f>
        <v/>
      </c>
      <c r="T339" s="211" t="str">
        <f t="shared" ref="T339:T340" si="7973">IF(T$3="","",S339)</f>
        <v/>
      </c>
      <c r="U339" s="211" t="str">
        <f t="shared" ref="U339:U340" si="7974">IF(U$3="","",T339)</f>
        <v/>
      </c>
      <c r="V339" s="211" t="str">
        <f t="shared" ref="V339:V340" si="7975">IF(V$3="","",U339)</f>
        <v/>
      </c>
      <c r="W339" s="211" t="str">
        <f t="shared" ref="W339:W340" si="7976">IF(W$3="","",V339)</f>
        <v/>
      </c>
      <c r="X339" s="211" t="str">
        <f t="shared" ref="X339:X340" si="7977">IF(X$3="","",W339)</f>
        <v/>
      </c>
      <c r="Y339" s="211" t="str">
        <f t="shared" ref="Y339:Y340" si="7978">IF(Y$3="","",X339)</f>
        <v/>
      </c>
      <c r="Z339" s="211" t="str">
        <f t="shared" ref="Z339:Z340" si="7979">IF(Z$3="","",Y339)</f>
        <v/>
      </c>
      <c r="AA339" s="211" t="str">
        <f t="shared" ref="AA339:AA340" si="7980">IF(AA$3="","",Z339)</f>
        <v/>
      </c>
      <c r="AB339" s="211" t="str">
        <f t="shared" ref="AB339:AB340" si="7981">IF(AB$3="","",AA339)</f>
        <v/>
      </c>
      <c r="AC339" s="211" t="str">
        <f t="shared" ref="AC339:AC340" si="7982">IF(AC$3="","",AB339)</f>
        <v/>
      </c>
      <c r="AD339" s="211" t="str">
        <f t="shared" ref="AD339:AD340" si="7983">IF(AD$3="","",AC339)</f>
        <v/>
      </c>
      <c r="AE339" s="211" t="str">
        <f t="shared" ref="AE339:AE340" si="7984">IF(AE$3="","",AD339)</f>
        <v/>
      </c>
      <c r="AF339" s="211" t="str">
        <f t="shared" ref="AF339:AF340" si="7985">IF(AF$3="","",AE339)</f>
        <v/>
      </c>
      <c r="AG339" s="211" t="str">
        <f t="shared" ref="AG339:AG340" si="7986">IF(AG$3="","",AF339)</f>
        <v/>
      </c>
      <c r="AH339" s="211" t="str">
        <f t="shared" ref="AH339:AH340" si="7987">IF(AH$3="","",AG339)</f>
        <v/>
      </c>
      <c r="AI339" s="211" t="str">
        <f t="shared" ref="AI339:AI340" si="7988">IF(AI$3="","",AH339)</f>
        <v/>
      </c>
      <c r="AJ339" s="211" t="str">
        <f t="shared" ref="AJ339:AJ340" si="7989">IF(AJ$3="","",AI339)</f>
        <v/>
      </c>
      <c r="AK339" s="211" t="str">
        <f t="shared" ref="AK339:AK340" si="7990">IF(AK$3="","",AJ339)</f>
        <v/>
      </c>
      <c r="AL339" s="211" t="str">
        <f t="shared" ref="AL339:AL340" si="7991">IF(AL$3="","",AK339)</f>
        <v/>
      </c>
      <c r="AM339" s="211" t="str">
        <f t="shared" ref="AM339:AM340" si="7992">IF(AM$3="","",AL339)</f>
        <v/>
      </c>
      <c r="AN339" s="211" t="str">
        <f t="shared" ref="AN339:AN340" si="7993">IF(AN$3="","",AM339)</f>
        <v/>
      </c>
      <c r="AO339" s="211" t="str">
        <f t="shared" ref="AO339:AO340" si="7994">IF(AO$3="","",AN339)</f>
        <v/>
      </c>
      <c r="AP339" s="211" t="str">
        <f t="shared" ref="AP339:AP340" si="7995">IF(AP$3="","",AO339)</f>
        <v/>
      </c>
      <c r="AQ339" s="211" t="str">
        <f t="shared" ref="AQ339:AQ340" si="7996">IF(AQ$3="","",AP339)</f>
        <v/>
      </c>
      <c r="AR339" s="211" t="str">
        <f t="shared" ref="AR339:AR340" si="7997">IF(AR$3="","",AQ339)</f>
        <v/>
      </c>
      <c r="AS339" s="211" t="str">
        <f t="shared" ref="AS339:AS340" si="7998">IF(AS$3="","",AR339)</f>
        <v/>
      </c>
      <c r="AT339" s="211" t="str">
        <f t="shared" ref="AT339:AT340" si="7999">IF(AT$3="","",AS339)</f>
        <v/>
      </c>
      <c r="AU339" s="211" t="str">
        <f t="shared" ref="AU339:AU340" si="8000">IF(AU$3="","",AT339)</f>
        <v/>
      </c>
      <c r="AV339" s="211" t="str">
        <f t="shared" ref="AV339:AV340" si="8001">IF(AV$3="","",AU339)</f>
        <v/>
      </c>
      <c r="AW339" s="211" t="str">
        <f t="shared" ref="AW339:AW340" si="8002">IF(AW$3="","",AV339)</f>
        <v/>
      </c>
      <c r="AX339" s="211" t="str">
        <f t="shared" ref="AX339:AX340" si="8003">IF(AX$3="","",AW339)</f>
        <v/>
      </c>
      <c r="AY339" s="211" t="str">
        <f t="shared" ref="AY339:AY340" si="8004">IF(AY$3="","",AX339)</f>
        <v/>
      </c>
      <c r="AZ339" s="211" t="str">
        <f t="shared" ref="AZ339:AZ340" si="8005">IF(AZ$3="","",AY339)</f>
        <v/>
      </c>
      <c r="BA339" s="211" t="str">
        <f t="shared" ref="BA339:BA340" si="8006">IF(BA$3="","",AZ339)</f>
        <v/>
      </c>
      <c r="BB339" s="211" t="str">
        <f t="shared" ref="BB339:BB340" si="8007">IF(BB$3="","",BA339)</f>
        <v/>
      </c>
      <c r="BC339" s="213" t="str">
        <f t="shared" ref="BC339:BC340" si="8008">IF(BC$3="","",BB339)</f>
        <v/>
      </c>
    </row>
    <row r="340" spans="1:55" ht="11.25" customHeight="1" x14ac:dyDescent="0.2">
      <c r="A340" s="214" t="s">
        <v>272</v>
      </c>
      <c r="B340" s="11" t="s">
        <v>4</v>
      </c>
      <c r="C340" s="123">
        <v>238</v>
      </c>
      <c r="D340" s="12">
        <v>238</v>
      </c>
      <c r="E340" s="12">
        <v>238</v>
      </c>
      <c r="F340" s="12">
        <v>238</v>
      </c>
      <c r="G340" s="195">
        <f t="shared" si="7961"/>
        <v>238</v>
      </c>
      <c r="H340" s="12">
        <f t="shared" si="7962"/>
        <v>238</v>
      </c>
      <c r="I340" s="12">
        <v>240</v>
      </c>
      <c r="J340" s="195">
        <f t="shared" si="7963"/>
        <v>240</v>
      </c>
      <c r="K340" s="12">
        <f t="shared" si="7964"/>
        <v>240</v>
      </c>
      <c r="L340" s="12">
        <f t="shared" si="7965"/>
        <v>240</v>
      </c>
      <c r="M340" s="12">
        <f t="shared" si="7966"/>
        <v>240</v>
      </c>
      <c r="N340" s="195" t="str">
        <f t="shared" si="7967"/>
        <v/>
      </c>
      <c r="O340" s="12" t="str">
        <f t="shared" si="7968"/>
        <v/>
      </c>
      <c r="P340" s="12" t="str">
        <f t="shared" si="7969"/>
        <v/>
      </c>
      <c r="Q340" s="12" t="str">
        <f t="shared" si="7970"/>
        <v/>
      </c>
      <c r="R340" s="12" t="str">
        <f t="shared" si="7971"/>
        <v/>
      </c>
      <c r="S340" s="12" t="str">
        <f t="shared" si="7972"/>
        <v/>
      </c>
      <c r="T340" s="12" t="str">
        <f t="shared" si="7973"/>
        <v/>
      </c>
      <c r="U340" s="12" t="str">
        <f t="shared" si="7974"/>
        <v/>
      </c>
      <c r="V340" s="12" t="str">
        <f t="shared" si="7975"/>
        <v/>
      </c>
      <c r="W340" s="12" t="str">
        <f t="shared" si="7976"/>
        <v/>
      </c>
      <c r="X340" s="12" t="str">
        <f t="shared" si="7977"/>
        <v/>
      </c>
      <c r="Y340" s="12" t="str">
        <f t="shared" si="7978"/>
        <v/>
      </c>
      <c r="Z340" s="12" t="str">
        <f t="shared" si="7979"/>
        <v/>
      </c>
      <c r="AA340" s="12" t="str">
        <f t="shared" si="7980"/>
        <v/>
      </c>
      <c r="AB340" s="12" t="str">
        <f t="shared" si="7981"/>
        <v/>
      </c>
      <c r="AC340" s="12" t="str">
        <f t="shared" si="7982"/>
        <v/>
      </c>
      <c r="AD340" s="12" t="str">
        <f t="shared" si="7983"/>
        <v/>
      </c>
      <c r="AE340" s="12" t="str">
        <f t="shared" si="7984"/>
        <v/>
      </c>
      <c r="AF340" s="12" t="str">
        <f t="shared" si="7985"/>
        <v/>
      </c>
      <c r="AG340" s="12" t="str">
        <f t="shared" si="7986"/>
        <v/>
      </c>
      <c r="AH340" s="12" t="str">
        <f t="shared" si="7987"/>
        <v/>
      </c>
      <c r="AI340" s="12" t="str">
        <f t="shared" si="7988"/>
        <v/>
      </c>
      <c r="AJ340" s="12" t="str">
        <f t="shared" si="7989"/>
        <v/>
      </c>
      <c r="AK340" s="12" t="str">
        <f t="shared" si="7990"/>
        <v/>
      </c>
      <c r="AL340" s="12" t="str">
        <f t="shared" si="7991"/>
        <v/>
      </c>
      <c r="AM340" s="12" t="str">
        <f t="shared" si="7992"/>
        <v/>
      </c>
      <c r="AN340" s="12" t="str">
        <f t="shared" si="7993"/>
        <v/>
      </c>
      <c r="AO340" s="12" t="str">
        <f t="shared" si="7994"/>
        <v/>
      </c>
      <c r="AP340" s="12" t="str">
        <f t="shared" si="7995"/>
        <v/>
      </c>
      <c r="AQ340" s="12" t="str">
        <f t="shared" si="7996"/>
        <v/>
      </c>
      <c r="AR340" s="12" t="str">
        <f t="shared" si="7997"/>
        <v/>
      </c>
      <c r="AS340" s="12" t="str">
        <f t="shared" si="7998"/>
        <v/>
      </c>
      <c r="AT340" s="12" t="str">
        <f t="shared" si="7999"/>
        <v/>
      </c>
      <c r="AU340" s="12" t="str">
        <f t="shared" si="8000"/>
        <v/>
      </c>
      <c r="AV340" s="12" t="str">
        <f t="shared" si="8001"/>
        <v/>
      </c>
      <c r="AW340" s="12" t="str">
        <f t="shared" si="8002"/>
        <v/>
      </c>
      <c r="AX340" s="12" t="str">
        <f t="shared" si="8003"/>
        <v/>
      </c>
      <c r="AY340" s="12" t="str">
        <f t="shared" si="8004"/>
        <v/>
      </c>
      <c r="AZ340" s="12" t="str">
        <f t="shared" si="8005"/>
        <v/>
      </c>
      <c r="BA340" s="12" t="str">
        <f t="shared" si="8006"/>
        <v/>
      </c>
      <c r="BB340" s="12" t="str">
        <f t="shared" si="8007"/>
        <v/>
      </c>
      <c r="BC340" s="215" t="str">
        <f t="shared" si="8008"/>
        <v/>
      </c>
    </row>
    <row r="341" spans="1:55" ht="11.25" customHeight="1" x14ac:dyDescent="0.25">
      <c r="A341" s="235"/>
      <c r="B341" s="11" t="s">
        <v>5</v>
      </c>
      <c r="C341" s="123">
        <v>60</v>
      </c>
      <c r="D341" s="12">
        <v>60</v>
      </c>
      <c r="E341" s="12">
        <v>60</v>
      </c>
      <c r="F341" s="12">
        <v>60</v>
      </c>
      <c r="G341" s="195">
        <f t="shared" ref="G341" si="8009">IF(G339="","",(F341+F342))</f>
        <v>60</v>
      </c>
      <c r="H341" s="12">
        <f t="shared" ref="H341" si="8010">IF(H339="","",(G341+G342))</f>
        <v>60</v>
      </c>
      <c r="I341" s="12">
        <v>58</v>
      </c>
      <c r="J341" s="195">
        <f t="shared" ref="J341" si="8011">IF(J339="","",(I341+I342))</f>
        <v>58</v>
      </c>
      <c r="K341" s="12">
        <f t="shared" ref="K341" si="8012">IF(K339="","",(J341+J342))</f>
        <v>58</v>
      </c>
      <c r="L341" s="12">
        <f t="shared" ref="L341" si="8013">IF(L339="","",(K341+K342))</f>
        <v>58</v>
      </c>
      <c r="M341" s="12">
        <f t="shared" ref="M341" si="8014">IF(M339="","",(L341+L342))</f>
        <v>58</v>
      </c>
      <c r="N341" s="195" t="str">
        <f t="shared" ref="N341" si="8015">IF(N339="","",(M341+M342))</f>
        <v/>
      </c>
      <c r="O341" s="12" t="str">
        <f t="shared" ref="O341" si="8016">IF(O339="","",(N341+N342))</f>
        <v/>
      </c>
      <c r="P341" s="12" t="str">
        <f t="shared" ref="P341" si="8017">IF(P339="","",(O341+O342))</f>
        <v/>
      </c>
      <c r="Q341" s="12" t="str">
        <f t="shared" ref="Q341" si="8018">IF(Q339="","",(P341+P342))</f>
        <v/>
      </c>
      <c r="R341" s="12" t="str">
        <f t="shared" ref="R341" si="8019">IF(R339="","",(Q341+Q342))</f>
        <v/>
      </c>
      <c r="S341" s="12" t="str">
        <f t="shared" ref="S341" si="8020">IF(S339="","",(R341+R342))</f>
        <v/>
      </c>
      <c r="T341" s="12" t="str">
        <f t="shared" ref="T341" si="8021">IF(T339="","",(S341+S342))</f>
        <v/>
      </c>
      <c r="U341" s="12" t="str">
        <f t="shared" ref="U341" si="8022">IF(U339="","",(T341+T342))</f>
        <v/>
      </c>
      <c r="V341" s="12" t="str">
        <f t="shared" ref="V341" si="8023">IF(V339="","",(U341+U342))</f>
        <v/>
      </c>
      <c r="W341" s="12" t="str">
        <f t="shared" ref="W341" si="8024">IF(W339="","",(V341+V342))</f>
        <v/>
      </c>
      <c r="X341" s="12" t="str">
        <f t="shared" ref="X341" si="8025">IF(X339="","",(W341+W342))</f>
        <v/>
      </c>
      <c r="Y341" s="12" t="str">
        <f t="shared" ref="Y341" si="8026">IF(Y339="","",(X341+X342))</f>
        <v/>
      </c>
      <c r="Z341" s="12" t="str">
        <f t="shared" ref="Z341" si="8027">IF(Z339="","",(Y341+Y342))</f>
        <v/>
      </c>
      <c r="AA341" s="12" t="str">
        <f t="shared" ref="AA341" si="8028">IF(AA339="","",(Z341+Z342))</f>
        <v/>
      </c>
      <c r="AB341" s="12" t="str">
        <f t="shared" ref="AB341" si="8029">IF(AB339="","",(AA341+AA342))</f>
        <v/>
      </c>
      <c r="AC341" s="12" t="str">
        <f t="shared" ref="AC341" si="8030">IF(AC339="","",(AB341+AB342))</f>
        <v/>
      </c>
      <c r="AD341" s="12" t="str">
        <f t="shared" ref="AD341" si="8031">IF(AD339="","",(AC341+AC342))</f>
        <v/>
      </c>
      <c r="AE341" s="12" t="str">
        <f t="shared" ref="AE341" si="8032">IF(AE339="","",(AD341+AD342))</f>
        <v/>
      </c>
      <c r="AF341" s="12" t="str">
        <f t="shared" ref="AF341" si="8033">IF(AF339="","",(AE341+AE342))</f>
        <v/>
      </c>
      <c r="AG341" s="12" t="str">
        <f t="shared" ref="AG341" si="8034">IF(AG339="","",(AF341+AF342))</f>
        <v/>
      </c>
      <c r="AH341" s="12" t="str">
        <f t="shared" ref="AH341" si="8035">IF(AH339="","",(AG341+AG342))</f>
        <v/>
      </c>
      <c r="AI341" s="12" t="str">
        <f t="shared" ref="AI341" si="8036">IF(AI339="","",(AH341+AH342))</f>
        <v/>
      </c>
      <c r="AJ341" s="12" t="str">
        <f t="shared" ref="AJ341" si="8037">IF(AJ339="","",(AI341+AI342))</f>
        <v/>
      </c>
      <c r="AK341" s="12" t="str">
        <f t="shared" ref="AK341" si="8038">IF(AK339="","",(AJ341+AJ342))</f>
        <v/>
      </c>
      <c r="AL341" s="12" t="str">
        <f t="shared" ref="AL341" si="8039">IF(AL339="","",(AK341+AK342))</f>
        <v/>
      </c>
      <c r="AM341" s="12" t="str">
        <f t="shared" ref="AM341" si="8040">IF(AM339="","",(AL341+AL342))</f>
        <v/>
      </c>
      <c r="AN341" s="12" t="str">
        <f t="shared" ref="AN341" si="8041">IF(AN339="","",(AM341+AM342))</f>
        <v/>
      </c>
      <c r="AO341" s="12" t="str">
        <f t="shared" ref="AO341" si="8042">IF(AO339="","",(AN341+AN342))</f>
        <v/>
      </c>
      <c r="AP341" s="12" t="str">
        <f t="shared" ref="AP341" si="8043">IF(AP339="","",(AO341+AO342))</f>
        <v/>
      </c>
      <c r="AQ341" s="12" t="str">
        <f t="shared" ref="AQ341" si="8044">IF(AQ339="","",(AP341+AP342))</f>
        <v/>
      </c>
      <c r="AR341" s="12" t="str">
        <f t="shared" ref="AR341" si="8045">IF(AR339="","",(AQ341+AQ342))</f>
        <v/>
      </c>
      <c r="AS341" s="12" t="str">
        <f t="shared" ref="AS341" si="8046">IF(AS339="","",(AR341+AR342))</f>
        <v/>
      </c>
      <c r="AT341" s="12" t="str">
        <f t="shared" ref="AT341" si="8047">IF(AT339="","",(AS341+AS342))</f>
        <v/>
      </c>
      <c r="AU341" s="12" t="str">
        <f t="shared" ref="AU341" si="8048">IF(AU339="","",(AT341+AT342))</f>
        <v/>
      </c>
      <c r="AV341" s="12" t="str">
        <f t="shared" ref="AV341" si="8049">IF(AV339="","",(AU341+AU342))</f>
        <v/>
      </c>
      <c r="AW341" s="12" t="str">
        <f t="shared" ref="AW341" si="8050">IF(AW339="","",(AV341+AV342))</f>
        <v/>
      </c>
      <c r="AX341" s="12" t="str">
        <f t="shared" ref="AX341" si="8051">IF(AX339="","",(AW341+AW342))</f>
        <v/>
      </c>
      <c r="AY341" s="12" t="str">
        <f t="shared" ref="AY341" si="8052">IF(AY339="","",(AX341+AX342))</f>
        <v/>
      </c>
      <c r="AZ341" s="12" t="str">
        <f t="shared" ref="AZ341" si="8053">IF(AZ339="","",(AY341+AY342))</f>
        <v/>
      </c>
      <c r="BA341" s="12" t="str">
        <f t="shared" ref="BA341" si="8054">IF(BA339="","",(AZ341+AZ342))</f>
        <v/>
      </c>
      <c r="BB341" s="12" t="str">
        <f t="shared" ref="BB341" si="8055">IF(BB339="","",(BA341+BA342))</f>
        <v/>
      </c>
      <c r="BC341" s="215" t="str">
        <f t="shared" ref="BC341" si="8056">IF(BC339="","",(BB341+BB342))</f>
        <v/>
      </c>
    </row>
    <row r="342" spans="1:55" ht="11.25" customHeight="1" x14ac:dyDescent="0.2">
      <c r="A342" s="220"/>
      <c r="B342" s="11" t="s">
        <v>6</v>
      </c>
      <c r="C342" s="123"/>
      <c r="D342" s="12"/>
      <c r="E342" s="12"/>
      <c r="F342" s="12"/>
      <c r="G342" s="195"/>
      <c r="H342" s="12"/>
      <c r="I342" s="12"/>
      <c r="J342" s="195"/>
      <c r="K342" s="12"/>
      <c r="L342" s="12"/>
      <c r="M342" s="12"/>
      <c r="N342" s="195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215"/>
    </row>
    <row r="343" spans="1:55" ht="11.25" customHeight="1" x14ac:dyDescent="0.2">
      <c r="A343" s="222"/>
      <c r="B343" s="11" t="s">
        <v>8</v>
      </c>
      <c r="C343" s="129">
        <v>700</v>
      </c>
      <c r="D343" s="206">
        <v>700</v>
      </c>
      <c r="E343" s="206">
        <v>700</v>
      </c>
      <c r="F343" s="206">
        <v>700</v>
      </c>
      <c r="G343" s="207">
        <f t="shared" ref="G343" si="8057">IF(G339="","",F343)</f>
        <v>700</v>
      </c>
      <c r="H343" s="206">
        <f t="shared" ref="H343" si="8058">IF(H339="","",G343)</f>
        <v>700</v>
      </c>
      <c r="I343" s="206">
        <f t="shared" ref="I343" si="8059">IF(I339="","",H343)</f>
        <v>700</v>
      </c>
      <c r="J343" s="207">
        <f t="shared" ref="J343" si="8060">IF(J339="","",I343)</f>
        <v>700</v>
      </c>
      <c r="K343" s="206">
        <f t="shared" ref="K343" si="8061">IF(K339="","",J343)</f>
        <v>700</v>
      </c>
      <c r="L343" s="206">
        <f t="shared" ref="L343" si="8062">IF(L339="","",K343)</f>
        <v>700</v>
      </c>
      <c r="M343" s="206">
        <f t="shared" ref="M343" si="8063">IF(M339="","",L343)</f>
        <v>700</v>
      </c>
      <c r="N343" s="207" t="str">
        <f t="shared" ref="N343" si="8064">IF(N339="","",M343)</f>
        <v/>
      </c>
      <c r="O343" s="206" t="str">
        <f t="shared" ref="O343" si="8065">IF(O339="","",N343)</f>
        <v/>
      </c>
      <c r="P343" s="206" t="str">
        <f t="shared" ref="P343" si="8066">IF(P339="","",O343)</f>
        <v/>
      </c>
      <c r="Q343" s="206" t="str">
        <f t="shared" ref="Q343" si="8067">IF(Q339="","",P343)</f>
        <v/>
      </c>
      <c r="R343" s="206" t="str">
        <f t="shared" ref="R343" si="8068">IF(R339="","",Q343)</f>
        <v/>
      </c>
      <c r="S343" s="206" t="str">
        <f t="shared" ref="S343" si="8069">IF(S339="","",R343)</f>
        <v/>
      </c>
      <c r="T343" s="206" t="str">
        <f t="shared" ref="T343" si="8070">IF(T339="","",S343)</f>
        <v/>
      </c>
      <c r="U343" s="206" t="str">
        <f t="shared" ref="U343" si="8071">IF(U339="","",T343)</f>
        <v/>
      </c>
      <c r="V343" s="206" t="str">
        <f t="shared" ref="V343" si="8072">IF(V339="","",U343)</f>
        <v/>
      </c>
      <c r="W343" s="206" t="str">
        <f t="shared" ref="W343" si="8073">IF(W339="","",V343)</f>
        <v/>
      </c>
      <c r="X343" s="206" t="str">
        <f t="shared" ref="X343" si="8074">IF(X339="","",W343)</f>
        <v/>
      </c>
      <c r="Y343" s="206" t="str">
        <f t="shared" ref="Y343" si="8075">IF(Y339="","",X343)</f>
        <v/>
      </c>
      <c r="Z343" s="206" t="str">
        <f t="shared" ref="Z343" si="8076">IF(Z339="","",Y343)</f>
        <v/>
      </c>
      <c r="AA343" s="206" t="str">
        <f t="shared" ref="AA343" si="8077">IF(AA339="","",Z343)</f>
        <v/>
      </c>
      <c r="AB343" s="206" t="str">
        <f t="shared" ref="AB343" si="8078">IF(AB339="","",AA343)</f>
        <v/>
      </c>
      <c r="AC343" s="206" t="str">
        <f t="shared" ref="AC343" si="8079">IF(AC339="","",AB343)</f>
        <v/>
      </c>
      <c r="AD343" s="206" t="str">
        <f t="shared" ref="AD343" si="8080">IF(AD339="","",AC343)</f>
        <v/>
      </c>
      <c r="AE343" s="206" t="str">
        <f t="shared" ref="AE343" si="8081">IF(AE339="","",AD343)</f>
        <v/>
      </c>
      <c r="AF343" s="206" t="str">
        <f t="shared" ref="AF343" si="8082">IF(AF339="","",AE343)</f>
        <v/>
      </c>
      <c r="AG343" s="206" t="str">
        <f t="shared" ref="AG343" si="8083">IF(AG339="","",AF343)</f>
        <v/>
      </c>
      <c r="AH343" s="206" t="str">
        <f t="shared" ref="AH343" si="8084">IF(AH339="","",AG343)</f>
        <v/>
      </c>
      <c r="AI343" s="206" t="str">
        <f t="shared" ref="AI343" si="8085">IF(AI339="","",AH343)</f>
        <v/>
      </c>
      <c r="AJ343" s="206" t="str">
        <f t="shared" ref="AJ343" si="8086">IF(AJ339="","",AI343)</f>
        <v/>
      </c>
      <c r="AK343" s="206" t="str">
        <f t="shared" ref="AK343" si="8087">IF(AK339="","",AJ343)</f>
        <v/>
      </c>
      <c r="AL343" s="206" t="str">
        <f t="shared" ref="AL343" si="8088">IF(AL339="","",AK343)</f>
        <v/>
      </c>
      <c r="AM343" s="206" t="str">
        <f t="shared" ref="AM343" si="8089">IF(AM339="","",AL343)</f>
        <v/>
      </c>
      <c r="AN343" s="206" t="str">
        <f t="shared" ref="AN343" si="8090">IF(AN339="","",AM343)</f>
        <v/>
      </c>
      <c r="AO343" s="206" t="str">
        <f t="shared" ref="AO343" si="8091">IF(AO339="","",AN343)</f>
        <v/>
      </c>
      <c r="AP343" s="206" t="str">
        <f t="shared" ref="AP343" si="8092">IF(AP339="","",AO343)</f>
        <v/>
      </c>
      <c r="AQ343" s="206" t="str">
        <f t="shared" ref="AQ343" si="8093">IF(AQ339="","",AP343)</f>
        <v/>
      </c>
      <c r="AR343" s="206" t="str">
        <f t="shared" ref="AR343" si="8094">IF(AR339="","",AQ343)</f>
        <v/>
      </c>
      <c r="AS343" s="206" t="str">
        <f t="shared" ref="AS343" si="8095">IF(AS339="","",AR343)</f>
        <v/>
      </c>
      <c r="AT343" s="206" t="str">
        <f t="shared" ref="AT343" si="8096">IF(AT339="","",AS343)</f>
        <v/>
      </c>
      <c r="AU343" s="206" t="str">
        <f t="shared" ref="AU343" si="8097">IF(AU339="","",AT343)</f>
        <v/>
      </c>
      <c r="AV343" s="206" t="str">
        <f t="shared" ref="AV343" si="8098">IF(AV339="","",AU343)</f>
        <v/>
      </c>
      <c r="AW343" s="206" t="str">
        <f t="shared" ref="AW343" si="8099">IF(AW339="","",AV343)</f>
        <v/>
      </c>
      <c r="AX343" s="206" t="str">
        <f t="shared" ref="AX343" si="8100">IF(AX339="","",AW343)</f>
        <v/>
      </c>
      <c r="AY343" s="206" t="str">
        <f t="shared" ref="AY343" si="8101">IF(AY339="","",AX343)</f>
        <v/>
      </c>
      <c r="AZ343" s="206" t="str">
        <f t="shared" ref="AZ343" si="8102">IF(AZ339="","",AY343)</f>
        <v/>
      </c>
      <c r="BA343" s="206" t="str">
        <f t="shared" ref="BA343" si="8103">IF(BA339="","",AZ343)</f>
        <v/>
      </c>
      <c r="BB343" s="206" t="str">
        <f t="shared" ref="BB343" si="8104">IF(BB339="","",BA343)</f>
        <v/>
      </c>
      <c r="BC343" s="219" t="str">
        <f t="shared" ref="BC343" si="8105">IF(BC339="","",BB343)</f>
        <v/>
      </c>
    </row>
    <row r="344" spans="1:55" ht="11.25" customHeight="1" x14ac:dyDescent="0.2">
      <c r="A344" s="220" t="s">
        <v>9</v>
      </c>
      <c r="B344" s="17" t="s">
        <v>10</v>
      </c>
      <c r="C344" s="133" t="s">
        <v>48</v>
      </c>
      <c r="D344" s="18" t="s">
        <v>48</v>
      </c>
      <c r="E344" s="18" t="s">
        <v>48</v>
      </c>
      <c r="F344" s="18" t="s">
        <v>48</v>
      </c>
      <c r="G344" s="197" t="str">
        <f t="shared" ref="G344" si="8106">IF(G339="","",F344)</f>
        <v>サンリオポーチ</v>
      </c>
      <c r="H344" s="18" t="str">
        <f t="shared" ref="H344" si="8107">IF(H339="","",G344)</f>
        <v>サンリオポーチ</v>
      </c>
      <c r="I344" s="18" t="str">
        <f t="shared" ref="I344" si="8108">IF(I339="","",H344)</f>
        <v>サンリオポーチ</v>
      </c>
      <c r="J344" s="197" t="str">
        <f t="shared" ref="J344" si="8109">IF(J339="","",I344)</f>
        <v>サンリオポーチ</v>
      </c>
      <c r="K344" s="18" t="str">
        <f t="shared" ref="K344" si="8110">IF(K339="","",J344)</f>
        <v>サンリオポーチ</v>
      </c>
      <c r="L344" s="18" t="str">
        <f t="shared" ref="L344" si="8111">IF(L339="","",K344)</f>
        <v>サンリオポーチ</v>
      </c>
      <c r="M344" s="18" t="str">
        <f t="shared" ref="M344" si="8112">IF(M339="","",L344)</f>
        <v>サンリオポーチ</v>
      </c>
      <c r="N344" s="197" t="str">
        <f t="shared" ref="N344" si="8113">IF(N339="","",M344)</f>
        <v/>
      </c>
      <c r="O344" s="18" t="str">
        <f t="shared" ref="O344" si="8114">IF(O339="","",N344)</f>
        <v/>
      </c>
      <c r="P344" s="18" t="str">
        <f t="shared" ref="P344" si="8115">IF(P339="","",O344)</f>
        <v/>
      </c>
      <c r="Q344" s="18" t="str">
        <f t="shared" ref="Q344" si="8116">IF(Q339="","",P344)</f>
        <v/>
      </c>
      <c r="R344" s="18" t="str">
        <f t="shared" ref="R344" si="8117">IF(R339="","",Q344)</f>
        <v/>
      </c>
      <c r="S344" s="18" t="str">
        <f t="shared" ref="S344" si="8118">IF(S339="","",R344)</f>
        <v/>
      </c>
      <c r="T344" s="18" t="str">
        <f t="shared" ref="T344" si="8119">IF(T339="","",S344)</f>
        <v/>
      </c>
      <c r="U344" s="18" t="str">
        <f t="shared" ref="U344" si="8120">IF(U339="","",T344)</f>
        <v/>
      </c>
      <c r="V344" s="18" t="str">
        <f t="shared" ref="V344" si="8121">IF(V339="","",U344)</f>
        <v/>
      </c>
      <c r="W344" s="18" t="str">
        <f t="shared" ref="W344" si="8122">IF(W339="","",V344)</f>
        <v/>
      </c>
      <c r="X344" s="18" t="str">
        <f t="shared" ref="X344" si="8123">IF(X339="","",W344)</f>
        <v/>
      </c>
      <c r="Y344" s="18" t="str">
        <f t="shared" ref="Y344" si="8124">IF(Y339="","",X344)</f>
        <v/>
      </c>
      <c r="Z344" s="18" t="str">
        <f t="shared" ref="Z344" si="8125">IF(Z339="","",Y344)</f>
        <v/>
      </c>
      <c r="AA344" s="18" t="str">
        <f t="shared" ref="AA344" si="8126">IF(AA339="","",Z344)</f>
        <v/>
      </c>
      <c r="AB344" s="18" t="str">
        <f t="shared" ref="AB344" si="8127">IF(AB339="","",AA344)</f>
        <v/>
      </c>
      <c r="AC344" s="18" t="str">
        <f t="shared" ref="AC344" si="8128">IF(AC339="","",AB344)</f>
        <v/>
      </c>
      <c r="AD344" s="18" t="str">
        <f t="shared" ref="AD344" si="8129">IF(AD339="","",AC344)</f>
        <v/>
      </c>
      <c r="AE344" s="18" t="str">
        <f t="shared" ref="AE344" si="8130">IF(AE339="","",AD344)</f>
        <v/>
      </c>
      <c r="AF344" s="18" t="str">
        <f t="shared" ref="AF344" si="8131">IF(AF339="","",AE344)</f>
        <v/>
      </c>
      <c r="AG344" s="18" t="str">
        <f t="shared" ref="AG344" si="8132">IF(AG339="","",AF344)</f>
        <v/>
      </c>
      <c r="AH344" s="18" t="str">
        <f t="shared" ref="AH344" si="8133">IF(AH339="","",AG344)</f>
        <v/>
      </c>
      <c r="AI344" s="18" t="str">
        <f t="shared" ref="AI344" si="8134">IF(AI339="","",AH344)</f>
        <v/>
      </c>
      <c r="AJ344" s="18" t="str">
        <f t="shared" ref="AJ344" si="8135">IF(AJ339="","",AI344)</f>
        <v/>
      </c>
      <c r="AK344" s="18" t="str">
        <f t="shared" ref="AK344" si="8136">IF(AK339="","",AJ344)</f>
        <v/>
      </c>
      <c r="AL344" s="18" t="str">
        <f t="shared" ref="AL344" si="8137">IF(AL339="","",AK344)</f>
        <v/>
      </c>
      <c r="AM344" s="18" t="str">
        <f t="shared" ref="AM344" si="8138">IF(AM339="","",AL344)</f>
        <v/>
      </c>
      <c r="AN344" s="18" t="str">
        <f t="shared" ref="AN344" si="8139">IF(AN339="","",AM344)</f>
        <v/>
      </c>
      <c r="AO344" s="18" t="str">
        <f t="shared" ref="AO344" si="8140">IF(AO339="","",AN344)</f>
        <v/>
      </c>
      <c r="AP344" s="18" t="str">
        <f t="shared" ref="AP344" si="8141">IF(AP339="","",AO344)</f>
        <v/>
      </c>
      <c r="AQ344" s="18" t="str">
        <f t="shared" ref="AQ344" si="8142">IF(AQ339="","",AP344)</f>
        <v/>
      </c>
      <c r="AR344" s="18" t="str">
        <f t="shared" ref="AR344" si="8143">IF(AR339="","",AQ344)</f>
        <v/>
      </c>
      <c r="AS344" s="18" t="str">
        <f t="shared" ref="AS344" si="8144">IF(AS339="","",AR344)</f>
        <v/>
      </c>
      <c r="AT344" s="18" t="str">
        <f t="shared" ref="AT344" si="8145">IF(AT339="","",AS344)</f>
        <v/>
      </c>
      <c r="AU344" s="18" t="str">
        <f t="shared" ref="AU344" si="8146">IF(AU339="","",AT344)</f>
        <v/>
      </c>
      <c r="AV344" s="18" t="str">
        <f t="shared" ref="AV344" si="8147">IF(AV339="","",AU344)</f>
        <v/>
      </c>
      <c r="AW344" s="18" t="str">
        <f t="shared" ref="AW344" si="8148">IF(AW339="","",AV344)</f>
        <v/>
      </c>
      <c r="AX344" s="18" t="str">
        <f t="shared" ref="AX344" si="8149">IF(AX339="","",AW344)</f>
        <v/>
      </c>
      <c r="AY344" s="18" t="str">
        <f t="shared" ref="AY344" si="8150">IF(AY339="","",AX344)</f>
        <v/>
      </c>
      <c r="AZ344" s="18" t="str">
        <f t="shared" ref="AZ344" si="8151">IF(AZ339="","",AY344)</f>
        <v/>
      </c>
      <c r="BA344" s="18" t="str">
        <f t="shared" ref="BA344" si="8152">IF(BA339="","",AZ344)</f>
        <v/>
      </c>
      <c r="BB344" s="18" t="str">
        <f t="shared" ref="BB344" si="8153">IF(BB339="","",BA344)</f>
        <v/>
      </c>
      <c r="BC344" s="221" t="str">
        <f t="shared" ref="BC344" si="8154">IF(BC339="","",BB344)</f>
        <v/>
      </c>
    </row>
    <row r="345" spans="1:55" ht="11.25" customHeight="1" x14ac:dyDescent="0.2">
      <c r="A345" s="222">
        <f>AVERAGE(C346:AS346)*30*100</f>
        <v>24545.454545454544</v>
      </c>
      <c r="B345" s="11" t="s">
        <v>12</v>
      </c>
      <c r="C345" s="123"/>
      <c r="D345" s="12"/>
      <c r="E345" s="12"/>
      <c r="F345" s="12"/>
      <c r="G345" s="195"/>
      <c r="H345" s="12"/>
      <c r="I345" s="12"/>
      <c r="J345" s="195"/>
      <c r="K345" s="12"/>
      <c r="L345" s="12"/>
      <c r="M345" s="12"/>
      <c r="N345" s="195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215"/>
    </row>
    <row r="346" spans="1:55" ht="11.25" customHeight="1" x14ac:dyDescent="0.2">
      <c r="A346" s="222">
        <f t="shared" ref="A346:A349" si="8155">SUM(C346:AS346)</f>
        <v>90</v>
      </c>
      <c r="B346" s="19" t="s">
        <v>13</v>
      </c>
      <c r="C346" s="123">
        <v>0</v>
      </c>
      <c r="D346" s="20">
        <v>0</v>
      </c>
      <c r="E346" s="20">
        <v>0</v>
      </c>
      <c r="F346" s="20">
        <v>0</v>
      </c>
      <c r="G346" s="195">
        <f t="shared" ref="G346:G347" si="8156">IF(G339="","",G339-F339)</f>
        <v>0</v>
      </c>
      <c r="H346" s="20">
        <f t="shared" ref="H346:H347" si="8157">IF(H339="","",H339-G339)</f>
        <v>0</v>
      </c>
      <c r="I346" s="20">
        <f t="shared" ref="I346:I347" si="8158">IF(I339="","",I339-H339)</f>
        <v>90</v>
      </c>
      <c r="J346" s="195">
        <f t="shared" ref="J346:J347" si="8159">IF(J339="","",J339-I339)</f>
        <v>0</v>
      </c>
      <c r="K346" s="20">
        <f t="shared" ref="K346:K347" si="8160">IF(K339="","",K339-J339)</f>
        <v>0</v>
      </c>
      <c r="L346" s="20">
        <f t="shared" ref="L346:L347" si="8161">IF(L339="","",L339-K339)</f>
        <v>0</v>
      </c>
      <c r="M346" s="20">
        <f t="shared" ref="M346:M347" si="8162">IF(M339="","",M339-L339)</f>
        <v>0</v>
      </c>
      <c r="N346" s="195" t="str">
        <f t="shared" ref="N346:N347" si="8163">IF(N339="","",N339-M339)</f>
        <v/>
      </c>
      <c r="O346" s="20" t="str">
        <f t="shared" ref="O346:O347" si="8164">IF(O339="","",O339-N339)</f>
        <v/>
      </c>
      <c r="P346" s="20" t="str">
        <f t="shared" ref="P346:P347" si="8165">IF(P339="","",P339-O339)</f>
        <v/>
      </c>
      <c r="Q346" s="20" t="str">
        <f t="shared" ref="Q346:Q347" si="8166">IF(Q339="","",Q339-P339)</f>
        <v/>
      </c>
      <c r="R346" s="20" t="str">
        <f t="shared" ref="R346:R347" si="8167">IF(R339="","",R339-Q339)</f>
        <v/>
      </c>
      <c r="S346" s="20" t="str">
        <f t="shared" ref="S346:S347" si="8168">IF(S339="","",S339-R339)</f>
        <v/>
      </c>
      <c r="T346" s="20" t="str">
        <f t="shared" ref="T346:T347" si="8169">IF(T339="","",T339-S339)</f>
        <v/>
      </c>
      <c r="U346" s="20" t="str">
        <f t="shared" ref="U346:U347" si="8170">IF(U339="","",U339-T339)</f>
        <v/>
      </c>
      <c r="V346" s="20" t="str">
        <f t="shared" ref="V346:V347" si="8171">IF(V339="","",V339-U339)</f>
        <v/>
      </c>
      <c r="W346" s="20" t="str">
        <f t="shared" ref="W346:W347" si="8172">IF(W339="","",W339-V339)</f>
        <v/>
      </c>
      <c r="X346" s="20" t="str">
        <f t="shared" ref="X346:X347" si="8173">IF(X339="","",X339-W339)</f>
        <v/>
      </c>
      <c r="Y346" s="20" t="str">
        <f t="shared" ref="Y346:Y347" si="8174">IF(Y339="","",Y339-X339)</f>
        <v/>
      </c>
      <c r="Z346" s="20" t="str">
        <f t="shared" ref="Z346:Z347" si="8175">IF(Z339="","",Z339-Y339)</f>
        <v/>
      </c>
      <c r="AA346" s="20" t="str">
        <f t="shared" ref="AA346:AA347" si="8176">IF(AA339="","",AA339-Z339)</f>
        <v/>
      </c>
      <c r="AB346" s="20" t="str">
        <f t="shared" ref="AB346:AB347" si="8177">IF(AB339="","",AB339-AA339)</f>
        <v/>
      </c>
      <c r="AC346" s="20" t="str">
        <f t="shared" ref="AC346:AC347" si="8178">IF(AC339="","",AC339-AB339)</f>
        <v/>
      </c>
      <c r="AD346" s="20" t="str">
        <f t="shared" ref="AD346:AD347" si="8179">IF(AD339="","",AD339-AC339)</f>
        <v/>
      </c>
      <c r="AE346" s="20" t="str">
        <f t="shared" ref="AE346:AE347" si="8180">IF(AE339="","",AE339-AD339)</f>
        <v/>
      </c>
      <c r="AF346" s="20" t="str">
        <f t="shared" ref="AF346:AF347" si="8181">IF(AF339="","",AF339-AE339)</f>
        <v/>
      </c>
      <c r="AG346" s="20" t="str">
        <f t="shared" ref="AG346:AG347" si="8182">IF(AG339="","",AG339-AF339)</f>
        <v/>
      </c>
      <c r="AH346" s="20" t="str">
        <f t="shared" ref="AH346:AH347" si="8183">IF(AH339="","",AH339-AG339)</f>
        <v/>
      </c>
      <c r="AI346" s="20" t="str">
        <f t="shared" ref="AI346:AI347" si="8184">IF(AI339="","",AI339-AH339)</f>
        <v/>
      </c>
      <c r="AJ346" s="20" t="str">
        <f t="shared" ref="AJ346:AJ347" si="8185">IF(AJ339="","",AJ339-AI339)</f>
        <v/>
      </c>
      <c r="AK346" s="20" t="str">
        <f t="shared" ref="AK346:AK347" si="8186">IF(AK339="","",AK339-AJ339)</f>
        <v/>
      </c>
      <c r="AL346" s="20" t="str">
        <f t="shared" ref="AL346:AL347" si="8187">IF(AL339="","",AL339-AK339)</f>
        <v/>
      </c>
      <c r="AM346" s="20" t="str">
        <f t="shared" ref="AM346:AM347" si="8188">IF(AM339="","",AM339-AL339)</f>
        <v/>
      </c>
      <c r="AN346" s="20" t="str">
        <f t="shared" ref="AN346:AN347" si="8189">IF(AN339="","",AN339-AM339)</f>
        <v/>
      </c>
      <c r="AO346" s="20" t="str">
        <f t="shared" ref="AO346:AO347" si="8190">IF(AO339="","",AO339-AN339)</f>
        <v/>
      </c>
      <c r="AP346" s="20" t="str">
        <f t="shared" ref="AP346:AP347" si="8191">IF(AP339="","",AP339-AO339)</f>
        <v/>
      </c>
      <c r="AQ346" s="20" t="str">
        <f t="shared" ref="AQ346:AQ347" si="8192">IF(AQ339="","",AQ339-AP339)</f>
        <v/>
      </c>
      <c r="AR346" s="20" t="str">
        <f t="shared" ref="AR346:AR347" si="8193">IF(AR339="","",AR339-AQ339)</f>
        <v/>
      </c>
      <c r="AS346" s="20" t="str">
        <f t="shared" ref="AS346:AS347" si="8194">IF(AS339="","",AS339-AR339)</f>
        <v/>
      </c>
      <c r="AT346" s="20" t="str">
        <f t="shared" ref="AT346:AT347" si="8195">IF(AT339="","",AT339-AS339)</f>
        <v/>
      </c>
      <c r="AU346" s="20" t="str">
        <f t="shared" ref="AU346:AU347" si="8196">IF(AU339="","",AU339-AT339)</f>
        <v/>
      </c>
      <c r="AV346" s="20" t="str">
        <f t="shared" ref="AV346:AV347" si="8197">IF(AV339="","",AV339-AU339)</f>
        <v/>
      </c>
      <c r="AW346" s="20" t="str">
        <f t="shared" ref="AW346:AW347" si="8198">IF(AW339="","",AW339-AV339)</f>
        <v/>
      </c>
      <c r="AX346" s="20" t="str">
        <f t="shared" ref="AX346:AX347" si="8199">IF(AX339="","",AX339-AW339)</f>
        <v/>
      </c>
      <c r="AY346" s="20" t="str">
        <f t="shared" ref="AY346:AY347" si="8200">IF(AY339="","",AY339-AX339)</f>
        <v/>
      </c>
      <c r="AZ346" s="20" t="str">
        <f t="shared" ref="AZ346:AZ347" si="8201">IF(AZ339="","",AZ339-AY339)</f>
        <v/>
      </c>
      <c r="BA346" s="20" t="str">
        <f t="shared" ref="BA346:BA347" si="8202">IF(BA339="","",BA339-AZ339)</f>
        <v/>
      </c>
      <c r="BB346" s="20" t="str">
        <f t="shared" ref="BB346:BB347" si="8203">IF(BB339="","",BB339-BA339)</f>
        <v/>
      </c>
      <c r="BC346" s="223" t="str">
        <f t="shared" ref="BC346:BC347" si="8204">IF(BC339="","",BC339-BB339)</f>
        <v/>
      </c>
    </row>
    <row r="347" spans="1:55" ht="11.25" customHeight="1" x14ac:dyDescent="0.2">
      <c r="A347" s="222">
        <f t="shared" si="8155"/>
        <v>2</v>
      </c>
      <c r="B347" s="19" t="s">
        <v>14</v>
      </c>
      <c r="C347" s="123">
        <v>0</v>
      </c>
      <c r="D347" s="20">
        <v>0</v>
      </c>
      <c r="E347" s="20">
        <v>0</v>
      </c>
      <c r="F347" s="20">
        <v>0</v>
      </c>
      <c r="G347" s="195">
        <f t="shared" si="8156"/>
        <v>0</v>
      </c>
      <c r="H347" s="20">
        <f t="shared" si="8157"/>
        <v>0</v>
      </c>
      <c r="I347" s="20">
        <f t="shared" si="8158"/>
        <v>2</v>
      </c>
      <c r="J347" s="195">
        <f t="shared" si="8159"/>
        <v>0</v>
      </c>
      <c r="K347" s="20">
        <f t="shared" si="8160"/>
        <v>0</v>
      </c>
      <c r="L347" s="20">
        <f t="shared" si="8161"/>
        <v>0</v>
      </c>
      <c r="M347" s="20">
        <f t="shared" si="8162"/>
        <v>0</v>
      </c>
      <c r="N347" s="195" t="str">
        <f t="shared" si="8163"/>
        <v/>
      </c>
      <c r="O347" s="20" t="str">
        <f t="shared" si="8164"/>
        <v/>
      </c>
      <c r="P347" s="20" t="str">
        <f t="shared" si="8165"/>
        <v/>
      </c>
      <c r="Q347" s="20" t="str">
        <f t="shared" si="8166"/>
        <v/>
      </c>
      <c r="R347" s="20" t="str">
        <f t="shared" si="8167"/>
        <v/>
      </c>
      <c r="S347" s="20" t="str">
        <f t="shared" si="8168"/>
        <v/>
      </c>
      <c r="T347" s="20" t="str">
        <f t="shared" si="8169"/>
        <v/>
      </c>
      <c r="U347" s="20" t="str">
        <f t="shared" si="8170"/>
        <v/>
      </c>
      <c r="V347" s="20" t="str">
        <f t="shared" si="8171"/>
        <v/>
      </c>
      <c r="W347" s="20" t="str">
        <f t="shared" si="8172"/>
        <v/>
      </c>
      <c r="X347" s="20" t="str">
        <f t="shared" si="8173"/>
        <v/>
      </c>
      <c r="Y347" s="20" t="str">
        <f t="shared" si="8174"/>
        <v/>
      </c>
      <c r="Z347" s="20" t="str">
        <f t="shared" si="8175"/>
        <v/>
      </c>
      <c r="AA347" s="20" t="str">
        <f t="shared" si="8176"/>
        <v/>
      </c>
      <c r="AB347" s="20" t="str">
        <f t="shared" si="8177"/>
        <v/>
      </c>
      <c r="AC347" s="20" t="str">
        <f t="shared" si="8178"/>
        <v/>
      </c>
      <c r="AD347" s="20" t="str">
        <f t="shared" si="8179"/>
        <v/>
      </c>
      <c r="AE347" s="20" t="str">
        <f t="shared" si="8180"/>
        <v/>
      </c>
      <c r="AF347" s="20" t="str">
        <f t="shared" si="8181"/>
        <v/>
      </c>
      <c r="AG347" s="20" t="str">
        <f t="shared" si="8182"/>
        <v/>
      </c>
      <c r="AH347" s="20" t="str">
        <f t="shared" si="8183"/>
        <v/>
      </c>
      <c r="AI347" s="20" t="str">
        <f t="shared" si="8184"/>
        <v/>
      </c>
      <c r="AJ347" s="20" t="str">
        <f t="shared" si="8185"/>
        <v/>
      </c>
      <c r="AK347" s="20" t="str">
        <f t="shared" si="8186"/>
        <v/>
      </c>
      <c r="AL347" s="20" t="str">
        <f t="shared" si="8187"/>
        <v/>
      </c>
      <c r="AM347" s="20" t="str">
        <f t="shared" si="8188"/>
        <v/>
      </c>
      <c r="AN347" s="20" t="str">
        <f t="shared" si="8189"/>
        <v/>
      </c>
      <c r="AO347" s="20" t="str">
        <f t="shared" si="8190"/>
        <v/>
      </c>
      <c r="AP347" s="20" t="str">
        <f t="shared" si="8191"/>
        <v/>
      </c>
      <c r="AQ347" s="20" t="str">
        <f t="shared" si="8192"/>
        <v/>
      </c>
      <c r="AR347" s="20" t="str">
        <f t="shared" si="8193"/>
        <v/>
      </c>
      <c r="AS347" s="20" t="str">
        <f t="shared" si="8194"/>
        <v/>
      </c>
      <c r="AT347" s="20" t="str">
        <f t="shared" si="8195"/>
        <v/>
      </c>
      <c r="AU347" s="20" t="str">
        <f t="shared" si="8196"/>
        <v/>
      </c>
      <c r="AV347" s="20" t="str">
        <f t="shared" si="8197"/>
        <v/>
      </c>
      <c r="AW347" s="20" t="str">
        <f t="shared" si="8198"/>
        <v/>
      </c>
      <c r="AX347" s="20" t="str">
        <f t="shared" si="8199"/>
        <v/>
      </c>
      <c r="AY347" s="20" t="str">
        <f t="shared" si="8200"/>
        <v/>
      </c>
      <c r="AZ347" s="20" t="str">
        <f t="shared" si="8201"/>
        <v/>
      </c>
      <c r="BA347" s="20" t="str">
        <f t="shared" si="8202"/>
        <v/>
      </c>
      <c r="BB347" s="20" t="str">
        <f t="shared" si="8203"/>
        <v/>
      </c>
      <c r="BC347" s="223" t="str">
        <f t="shared" si="8204"/>
        <v/>
      </c>
    </row>
    <row r="348" spans="1:55" ht="11.25" customHeight="1" x14ac:dyDescent="0.2">
      <c r="A348" s="222">
        <f t="shared" si="8155"/>
        <v>2</v>
      </c>
      <c r="B348" s="19" t="s">
        <v>15</v>
      </c>
      <c r="C348" s="123">
        <v>0</v>
      </c>
      <c r="D348" s="20">
        <v>0</v>
      </c>
      <c r="E348" s="20">
        <v>0</v>
      </c>
      <c r="F348" s="20">
        <v>0</v>
      </c>
      <c r="G348" s="195">
        <f t="shared" ref="G348" si="8205">IF(G341="","",F341+F342-G341)</f>
        <v>0</v>
      </c>
      <c r="H348" s="20">
        <f t="shared" ref="H348" si="8206">IF(H341="","",G341+G342-H341)</f>
        <v>0</v>
      </c>
      <c r="I348" s="20">
        <f t="shared" ref="I348" si="8207">IF(I341="","",H341+H342-I341)</f>
        <v>2</v>
      </c>
      <c r="J348" s="195">
        <f t="shared" ref="J348" si="8208">IF(J341="","",I341+I342-J341)</f>
        <v>0</v>
      </c>
      <c r="K348" s="20">
        <f t="shared" ref="K348" si="8209">IF(K341="","",J341+J342-K341)</f>
        <v>0</v>
      </c>
      <c r="L348" s="20">
        <f t="shared" ref="L348" si="8210">IF(L341="","",K341+K342-L341)</f>
        <v>0</v>
      </c>
      <c r="M348" s="20">
        <f t="shared" ref="M348" si="8211">IF(M341="","",L341+L342-M341)</f>
        <v>0</v>
      </c>
      <c r="N348" s="195" t="str">
        <f t="shared" ref="N348" si="8212">IF(N341="","",M341+M342-N341)</f>
        <v/>
      </c>
      <c r="O348" s="20" t="str">
        <f t="shared" ref="O348" si="8213">IF(O341="","",N341+N342-O341)</f>
        <v/>
      </c>
      <c r="P348" s="20" t="str">
        <f t="shared" ref="P348" si="8214">IF(P341="","",O341+O342-P341)</f>
        <v/>
      </c>
      <c r="Q348" s="20" t="str">
        <f t="shared" ref="Q348" si="8215">IF(Q341="","",P341+P342-Q341)</f>
        <v/>
      </c>
      <c r="R348" s="20" t="str">
        <f t="shared" ref="R348" si="8216">IF(R341="","",Q341+Q342-R341)</f>
        <v/>
      </c>
      <c r="S348" s="20" t="str">
        <f t="shared" ref="S348" si="8217">IF(S341="","",R341+R342-S341)</f>
        <v/>
      </c>
      <c r="T348" s="20" t="str">
        <f t="shared" ref="T348" si="8218">IF(T341="","",S341+S342-T341)</f>
        <v/>
      </c>
      <c r="U348" s="20" t="str">
        <f t="shared" ref="U348" si="8219">IF(U341="","",T341+T342-U341)</f>
        <v/>
      </c>
      <c r="V348" s="20" t="str">
        <f t="shared" ref="V348" si="8220">IF(V341="","",U341+U342-V341)</f>
        <v/>
      </c>
      <c r="W348" s="20" t="str">
        <f t="shared" ref="W348" si="8221">IF(W341="","",V341+V342-W341)</f>
        <v/>
      </c>
      <c r="X348" s="20" t="str">
        <f t="shared" ref="X348" si="8222">IF(X341="","",W341+W342-X341)</f>
        <v/>
      </c>
      <c r="Y348" s="20" t="str">
        <f t="shared" ref="Y348" si="8223">IF(Y341="","",X341+X342-Y341)</f>
        <v/>
      </c>
      <c r="Z348" s="20" t="str">
        <f t="shared" ref="Z348" si="8224">IF(Z341="","",Y341+Y342-Z341)</f>
        <v/>
      </c>
      <c r="AA348" s="20" t="str">
        <f t="shared" ref="AA348" si="8225">IF(AA341="","",Z341+Z342-AA341)</f>
        <v/>
      </c>
      <c r="AB348" s="20" t="str">
        <f t="shared" ref="AB348" si="8226">IF(AB341="","",AA341+AA342-AB341)</f>
        <v/>
      </c>
      <c r="AC348" s="20" t="str">
        <f t="shared" ref="AC348" si="8227">IF(AC341="","",AB341+AB342-AC341)</f>
        <v/>
      </c>
      <c r="AD348" s="20" t="str">
        <f t="shared" ref="AD348" si="8228">IF(AD341="","",AC341+AC342-AD341)</f>
        <v/>
      </c>
      <c r="AE348" s="20" t="str">
        <f t="shared" ref="AE348" si="8229">IF(AE341="","",AD341+AD342-AE341)</f>
        <v/>
      </c>
      <c r="AF348" s="20" t="str">
        <f t="shared" ref="AF348" si="8230">IF(AF341="","",AE341+AE342-AF341)</f>
        <v/>
      </c>
      <c r="AG348" s="20" t="str">
        <f t="shared" ref="AG348" si="8231">IF(AG341="","",AF341+AF342-AG341)</f>
        <v/>
      </c>
      <c r="AH348" s="20" t="str">
        <f t="shared" ref="AH348" si="8232">IF(AH341="","",AG341+AG342-AH341)</f>
        <v/>
      </c>
      <c r="AI348" s="20" t="str">
        <f t="shared" ref="AI348" si="8233">IF(AI341="","",AH341+AH342-AI341)</f>
        <v/>
      </c>
      <c r="AJ348" s="20" t="str">
        <f t="shared" ref="AJ348" si="8234">IF(AJ341="","",AI341+AI342-AJ341)</f>
        <v/>
      </c>
      <c r="AK348" s="20" t="str">
        <f t="shared" ref="AK348" si="8235">IF(AK341="","",AJ341+AJ342-AK341)</f>
        <v/>
      </c>
      <c r="AL348" s="20" t="str">
        <f t="shared" ref="AL348" si="8236">IF(AL341="","",AK341+AK342-AL341)</f>
        <v/>
      </c>
      <c r="AM348" s="20" t="str">
        <f t="shared" ref="AM348" si="8237">IF(AM341="","",AL341+AL342-AM341)</f>
        <v/>
      </c>
      <c r="AN348" s="20" t="str">
        <f t="shared" ref="AN348" si="8238">IF(AN341="","",AM341+AM342-AN341)</f>
        <v/>
      </c>
      <c r="AO348" s="20" t="str">
        <f t="shared" ref="AO348" si="8239">IF(AO341="","",AN341+AN342-AO341)</f>
        <v/>
      </c>
      <c r="AP348" s="20" t="str">
        <f t="shared" ref="AP348" si="8240">IF(AP341="","",AO341+AO342-AP341)</f>
        <v/>
      </c>
      <c r="AQ348" s="20" t="str">
        <f t="shared" ref="AQ348" si="8241">IF(AQ341="","",AP341+AP342-AQ341)</f>
        <v/>
      </c>
      <c r="AR348" s="20" t="str">
        <f t="shared" ref="AR348" si="8242">IF(AR341="","",AQ341+AQ342-AR341)</f>
        <v/>
      </c>
      <c r="AS348" s="20" t="str">
        <f t="shared" ref="AS348" si="8243">IF(AS341="","",AR341+AR342-AS341)</f>
        <v/>
      </c>
      <c r="AT348" s="20" t="str">
        <f t="shared" ref="AT348" si="8244">IF(AT341="","",AS341+AS342-AT341)</f>
        <v/>
      </c>
      <c r="AU348" s="20" t="str">
        <f t="shared" ref="AU348" si="8245">IF(AU341="","",AT341+AT342-AU341)</f>
        <v/>
      </c>
      <c r="AV348" s="20" t="str">
        <f t="shared" ref="AV348" si="8246">IF(AV341="","",AU341+AU342-AV341)</f>
        <v/>
      </c>
      <c r="AW348" s="20" t="str">
        <f t="shared" ref="AW348" si="8247">IF(AW341="","",AV341+AV342-AW341)</f>
        <v/>
      </c>
      <c r="AX348" s="20" t="str">
        <f t="shared" ref="AX348" si="8248">IF(AX341="","",AW341+AW342-AX341)</f>
        <v/>
      </c>
      <c r="AY348" s="20" t="str">
        <f t="shared" ref="AY348" si="8249">IF(AY341="","",AX341+AX342-AY341)</f>
        <v/>
      </c>
      <c r="AZ348" s="20" t="str">
        <f t="shared" ref="AZ348" si="8250">IF(AZ341="","",AY341+AY342-AZ341)</f>
        <v/>
      </c>
      <c r="BA348" s="20" t="str">
        <f t="shared" ref="BA348" si="8251">IF(BA341="","",AZ341+AZ342-BA341)</f>
        <v/>
      </c>
      <c r="BB348" s="20" t="str">
        <f t="shared" ref="BB348" si="8252">IF(BB341="","",BA341+BA342-BB341)</f>
        <v/>
      </c>
      <c r="BC348" s="223" t="str">
        <f t="shared" ref="BC348" si="8253">IF(BC341="","",BB341+BB342-BC341)</f>
        <v/>
      </c>
    </row>
    <row r="349" spans="1:55" ht="11.25" customHeight="1" x14ac:dyDescent="0.2">
      <c r="A349" s="222">
        <f t="shared" si="8155"/>
        <v>1400</v>
      </c>
      <c r="B349" s="19" t="s">
        <v>16</v>
      </c>
      <c r="C349" s="123">
        <v>0</v>
      </c>
      <c r="D349" s="20">
        <v>0</v>
      </c>
      <c r="E349" s="20">
        <v>0</v>
      </c>
      <c r="F349" s="20">
        <v>0</v>
      </c>
      <c r="G349" s="195">
        <f t="shared" ref="D349:BC349" si="8254">IF(G339="","",G348*G343)</f>
        <v>0</v>
      </c>
      <c r="H349" s="20">
        <f t="shared" si="8254"/>
        <v>0</v>
      </c>
      <c r="I349" s="20">
        <f t="shared" si="8254"/>
        <v>1400</v>
      </c>
      <c r="J349" s="195">
        <f t="shared" si="8254"/>
        <v>0</v>
      </c>
      <c r="K349" s="20">
        <f t="shared" si="8254"/>
        <v>0</v>
      </c>
      <c r="L349" s="20">
        <f t="shared" si="8254"/>
        <v>0</v>
      </c>
      <c r="M349" s="20">
        <f t="shared" si="8254"/>
        <v>0</v>
      </c>
      <c r="N349" s="195" t="str">
        <f t="shared" si="8254"/>
        <v/>
      </c>
      <c r="O349" s="20" t="str">
        <f t="shared" si="8254"/>
        <v/>
      </c>
      <c r="P349" s="20" t="str">
        <f t="shared" si="8254"/>
        <v/>
      </c>
      <c r="Q349" s="20" t="str">
        <f t="shared" si="8254"/>
        <v/>
      </c>
      <c r="R349" s="20" t="str">
        <f t="shared" si="8254"/>
        <v/>
      </c>
      <c r="S349" s="20" t="str">
        <f t="shared" si="8254"/>
        <v/>
      </c>
      <c r="T349" s="20" t="str">
        <f t="shared" si="8254"/>
        <v/>
      </c>
      <c r="U349" s="20" t="str">
        <f t="shared" si="8254"/>
        <v/>
      </c>
      <c r="V349" s="20" t="str">
        <f t="shared" si="8254"/>
        <v/>
      </c>
      <c r="W349" s="20" t="str">
        <f t="shared" si="8254"/>
        <v/>
      </c>
      <c r="X349" s="20" t="str">
        <f t="shared" si="8254"/>
        <v/>
      </c>
      <c r="Y349" s="20" t="str">
        <f t="shared" si="8254"/>
        <v/>
      </c>
      <c r="Z349" s="20" t="str">
        <f t="shared" si="8254"/>
        <v/>
      </c>
      <c r="AA349" s="20" t="str">
        <f t="shared" si="8254"/>
        <v/>
      </c>
      <c r="AB349" s="20" t="str">
        <f t="shared" si="8254"/>
        <v/>
      </c>
      <c r="AC349" s="20" t="str">
        <f t="shared" si="8254"/>
        <v/>
      </c>
      <c r="AD349" s="20" t="str">
        <f t="shared" si="8254"/>
        <v/>
      </c>
      <c r="AE349" s="20" t="str">
        <f t="shared" si="8254"/>
        <v/>
      </c>
      <c r="AF349" s="20" t="str">
        <f t="shared" si="8254"/>
        <v/>
      </c>
      <c r="AG349" s="20" t="str">
        <f t="shared" si="8254"/>
        <v/>
      </c>
      <c r="AH349" s="20" t="str">
        <f t="shared" si="8254"/>
        <v/>
      </c>
      <c r="AI349" s="20" t="str">
        <f t="shared" si="8254"/>
        <v/>
      </c>
      <c r="AJ349" s="20" t="str">
        <f t="shared" si="8254"/>
        <v/>
      </c>
      <c r="AK349" s="20" t="str">
        <f t="shared" si="8254"/>
        <v/>
      </c>
      <c r="AL349" s="20" t="str">
        <f t="shared" si="8254"/>
        <v/>
      </c>
      <c r="AM349" s="20" t="str">
        <f t="shared" si="8254"/>
        <v/>
      </c>
      <c r="AN349" s="20" t="str">
        <f t="shared" si="8254"/>
        <v/>
      </c>
      <c r="AO349" s="20" t="str">
        <f t="shared" si="8254"/>
        <v/>
      </c>
      <c r="AP349" s="20" t="str">
        <f t="shared" si="8254"/>
        <v/>
      </c>
      <c r="AQ349" s="20" t="str">
        <f t="shared" si="8254"/>
        <v/>
      </c>
      <c r="AR349" s="20" t="str">
        <f t="shared" si="8254"/>
        <v/>
      </c>
      <c r="AS349" s="20" t="str">
        <f t="shared" si="8254"/>
        <v/>
      </c>
      <c r="AT349" s="20" t="str">
        <f t="shared" si="8254"/>
        <v/>
      </c>
      <c r="AU349" s="20" t="str">
        <f t="shared" si="8254"/>
        <v/>
      </c>
      <c r="AV349" s="20" t="str">
        <f t="shared" si="8254"/>
        <v/>
      </c>
      <c r="AW349" s="20" t="str">
        <f t="shared" si="8254"/>
        <v/>
      </c>
      <c r="AX349" s="20" t="str">
        <f t="shared" si="8254"/>
        <v/>
      </c>
      <c r="AY349" s="20" t="str">
        <f t="shared" si="8254"/>
        <v/>
      </c>
      <c r="AZ349" s="20" t="str">
        <f t="shared" si="8254"/>
        <v/>
      </c>
      <c r="BA349" s="20" t="str">
        <f t="shared" si="8254"/>
        <v/>
      </c>
      <c r="BB349" s="20" t="str">
        <f t="shared" si="8254"/>
        <v/>
      </c>
      <c r="BC349" s="223" t="str">
        <f t="shared" si="8254"/>
        <v/>
      </c>
    </row>
    <row r="350" spans="1:55" ht="11.25" customHeight="1" thickBot="1" x14ac:dyDescent="0.25">
      <c r="A350" s="227">
        <f>IF(A349="","",A349/(A346*100))</f>
        <v>0.15555555555555556</v>
      </c>
      <c r="B350" s="228" t="s">
        <v>17</v>
      </c>
      <c r="C350" s="229" t="s">
        <v>18</v>
      </c>
      <c r="D350" s="230" t="s">
        <v>18</v>
      </c>
      <c r="E350" s="230" t="s">
        <v>18</v>
      </c>
      <c r="F350" s="230" t="s">
        <v>18</v>
      </c>
      <c r="G350" s="231" t="str">
        <f t="shared" ref="D350:BC350" si="8255">IF(G349="","",IF(G349=0,"",G349/(G346*100)))</f>
        <v/>
      </c>
      <c r="H350" s="230" t="str">
        <f t="shared" si="8255"/>
        <v/>
      </c>
      <c r="I350" s="230">
        <f t="shared" si="8255"/>
        <v>0.15555555555555556</v>
      </c>
      <c r="J350" s="231" t="str">
        <f t="shared" si="8255"/>
        <v/>
      </c>
      <c r="K350" s="230" t="str">
        <f t="shared" si="8255"/>
        <v/>
      </c>
      <c r="L350" s="230" t="str">
        <f t="shared" si="8255"/>
        <v/>
      </c>
      <c r="M350" s="230" t="str">
        <f t="shared" si="8255"/>
        <v/>
      </c>
      <c r="N350" s="231" t="str">
        <f t="shared" si="8255"/>
        <v/>
      </c>
      <c r="O350" s="230" t="str">
        <f t="shared" si="8255"/>
        <v/>
      </c>
      <c r="P350" s="230" t="str">
        <f t="shared" si="8255"/>
        <v/>
      </c>
      <c r="Q350" s="230" t="str">
        <f t="shared" si="8255"/>
        <v/>
      </c>
      <c r="R350" s="230" t="str">
        <f t="shared" si="8255"/>
        <v/>
      </c>
      <c r="S350" s="230" t="str">
        <f t="shared" si="8255"/>
        <v/>
      </c>
      <c r="T350" s="230" t="str">
        <f t="shared" si="8255"/>
        <v/>
      </c>
      <c r="U350" s="230" t="str">
        <f t="shared" si="8255"/>
        <v/>
      </c>
      <c r="V350" s="230" t="str">
        <f t="shared" si="8255"/>
        <v/>
      </c>
      <c r="W350" s="230" t="str">
        <f t="shared" si="8255"/>
        <v/>
      </c>
      <c r="X350" s="230" t="str">
        <f t="shared" si="8255"/>
        <v/>
      </c>
      <c r="Y350" s="230" t="str">
        <f t="shared" si="8255"/>
        <v/>
      </c>
      <c r="Z350" s="230" t="str">
        <f t="shared" si="8255"/>
        <v/>
      </c>
      <c r="AA350" s="230" t="str">
        <f t="shared" si="8255"/>
        <v/>
      </c>
      <c r="AB350" s="230" t="str">
        <f t="shared" si="8255"/>
        <v/>
      </c>
      <c r="AC350" s="230" t="str">
        <f t="shared" si="8255"/>
        <v/>
      </c>
      <c r="AD350" s="230" t="str">
        <f t="shared" si="8255"/>
        <v/>
      </c>
      <c r="AE350" s="230" t="str">
        <f t="shared" si="8255"/>
        <v/>
      </c>
      <c r="AF350" s="230" t="str">
        <f t="shared" si="8255"/>
        <v/>
      </c>
      <c r="AG350" s="230" t="str">
        <f t="shared" si="8255"/>
        <v/>
      </c>
      <c r="AH350" s="230" t="str">
        <f t="shared" si="8255"/>
        <v/>
      </c>
      <c r="AI350" s="230" t="str">
        <f t="shared" si="8255"/>
        <v/>
      </c>
      <c r="AJ350" s="230" t="str">
        <f t="shared" si="8255"/>
        <v/>
      </c>
      <c r="AK350" s="230" t="str">
        <f t="shared" si="8255"/>
        <v/>
      </c>
      <c r="AL350" s="230" t="str">
        <f t="shared" si="8255"/>
        <v/>
      </c>
      <c r="AM350" s="230" t="str">
        <f t="shared" si="8255"/>
        <v/>
      </c>
      <c r="AN350" s="230" t="str">
        <f t="shared" si="8255"/>
        <v/>
      </c>
      <c r="AO350" s="230" t="str">
        <f t="shared" si="8255"/>
        <v/>
      </c>
      <c r="AP350" s="230" t="str">
        <f t="shared" si="8255"/>
        <v/>
      </c>
      <c r="AQ350" s="230" t="str">
        <f t="shared" si="8255"/>
        <v/>
      </c>
      <c r="AR350" s="230" t="str">
        <f t="shared" si="8255"/>
        <v/>
      </c>
      <c r="AS350" s="230" t="str">
        <f t="shared" si="8255"/>
        <v/>
      </c>
      <c r="AT350" s="230" t="str">
        <f t="shared" si="8255"/>
        <v/>
      </c>
      <c r="AU350" s="230" t="str">
        <f t="shared" si="8255"/>
        <v/>
      </c>
      <c r="AV350" s="230" t="str">
        <f t="shared" si="8255"/>
        <v/>
      </c>
      <c r="AW350" s="230" t="str">
        <f t="shared" si="8255"/>
        <v/>
      </c>
      <c r="AX350" s="230" t="str">
        <f t="shared" si="8255"/>
        <v/>
      </c>
      <c r="AY350" s="230" t="str">
        <f t="shared" si="8255"/>
        <v/>
      </c>
      <c r="AZ350" s="230" t="str">
        <f t="shared" si="8255"/>
        <v/>
      </c>
      <c r="BA350" s="230" t="str">
        <f t="shared" si="8255"/>
        <v/>
      </c>
      <c r="BB350" s="230" t="str">
        <f t="shared" si="8255"/>
        <v/>
      </c>
      <c r="BC350" s="232" t="str">
        <f t="shared" si="8255"/>
        <v/>
      </c>
    </row>
    <row r="351" spans="1:55" ht="11.25" customHeight="1" x14ac:dyDescent="0.2">
      <c r="A351" s="208" t="s">
        <v>1</v>
      </c>
      <c r="B351" s="209" t="s">
        <v>2</v>
      </c>
      <c r="C351" s="210">
        <v>230</v>
      </c>
      <c r="D351" s="211">
        <v>230</v>
      </c>
      <c r="E351" s="211">
        <v>230</v>
      </c>
      <c r="F351" s="211">
        <v>230</v>
      </c>
      <c r="G351" s="212">
        <f t="shared" ref="G351:G352" si="8256">IF(G$3="","",F351)</f>
        <v>230</v>
      </c>
      <c r="H351" s="211">
        <f t="shared" ref="H351:H352" si="8257">IF(H$3="","",G351)</f>
        <v>230</v>
      </c>
      <c r="I351" s="211">
        <v>332</v>
      </c>
      <c r="J351" s="212">
        <f t="shared" ref="J351:J352" si="8258">IF(J$3="","",I351)</f>
        <v>332</v>
      </c>
      <c r="K351" s="211">
        <f t="shared" ref="K351:K352" si="8259">IF(K$3="","",J351)</f>
        <v>332</v>
      </c>
      <c r="L351" s="211">
        <f t="shared" ref="L351:L352" si="8260">IF(L$3="","",K351)</f>
        <v>332</v>
      </c>
      <c r="M351" s="211">
        <f t="shared" ref="M351:M352" si="8261">IF(M$3="","",L351)</f>
        <v>332</v>
      </c>
      <c r="N351" s="212" t="str">
        <f t="shared" ref="N351:N352" si="8262">IF(N$3="","",M351)</f>
        <v/>
      </c>
      <c r="O351" s="211" t="str">
        <f t="shared" ref="O351:O352" si="8263">IF(O$3="","",N351)</f>
        <v/>
      </c>
      <c r="P351" s="211" t="str">
        <f t="shared" ref="P351:P352" si="8264">IF(P$3="","",O351)</f>
        <v/>
      </c>
      <c r="Q351" s="211" t="str">
        <f t="shared" ref="Q351:Q352" si="8265">IF(Q$3="","",P351)</f>
        <v/>
      </c>
      <c r="R351" s="211" t="str">
        <f t="shared" ref="R351:R352" si="8266">IF(R$3="","",Q351)</f>
        <v/>
      </c>
      <c r="S351" s="211" t="str">
        <f t="shared" ref="S351:S352" si="8267">IF(S$3="","",R351)</f>
        <v/>
      </c>
      <c r="T351" s="211" t="str">
        <f t="shared" ref="T351:T352" si="8268">IF(T$3="","",S351)</f>
        <v/>
      </c>
      <c r="U351" s="211" t="str">
        <f t="shared" ref="U351:U352" si="8269">IF(U$3="","",T351)</f>
        <v/>
      </c>
      <c r="V351" s="211" t="str">
        <f t="shared" ref="V351:V352" si="8270">IF(V$3="","",U351)</f>
        <v/>
      </c>
      <c r="W351" s="211" t="str">
        <f t="shared" ref="W351:W352" si="8271">IF(W$3="","",V351)</f>
        <v/>
      </c>
      <c r="X351" s="211" t="str">
        <f t="shared" ref="X351:X352" si="8272">IF(X$3="","",W351)</f>
        <v/>
      </c>
      <c r="Y351" s="211" t="str">
        <f t="shared" ref="Y351:Y352" si="8273">IF(Y$3="","",X351)</f>
        <v/>
      </c>
      <c r="Z351" s="211" t="str">
        <f t="shared" ref="Z351:Z352" si="8274">IF(Z$3="","",Y351)</f>
        <v/>
      </c>
      <c r="AA351" s="211" t="str">
        <f t="shared" ref="AA351:AA352" si="8275">IF(AA$3="","",Z351)</f>
        <v/>
      </c>
      <c r="AB351" s="211" t="str">
        <f t="shared" ref="AB351:AB352" si="8276">IF(AB$3="","",AA351)</f>
        <v/>
      </c>
      <c r="AC351" s="211" t="str">
        <f t="shared" ref="AC351:AC352" si="8277">IF(AC$3="","",AB351)</f>
        <v/>
      </c>
      <c r="AD351" s="211" t="str">
        <f t="shared" ref="AD351:AD352" si="8278">IF(AD$3="","",AC351)</f>
        <v/>
      </c>
      <c r="AE351" s="211" t="str">
        <f t="shared" ref="AE351:AE352" si="8279">IF(AE$3="","",AD351)</f>
        <v/>
      </c>
      <c r="AF351" s="211" t="str">
        <f t="shared" ref="AF351:AF352" si="8280">IF(AF$3="","",AE351)</f>
        <v/>
      </c>
      <c r="AG351" s="211" t="str">
        <f t="shared" ref="AG351:AG352" si="8281">IF(AG$3="","",AF351)</f>
        <v/>
      </c>
      <c r="AH351" s="211" t="str">
        <f t="shared" ref="AH351:AH352" si="8282">IF(AH$3="","",AG351)</f>
        <v/>
      </c>
      <c r="AI351" s="211" t="str">
        <f t="shared" ref="AI351:AI352" si="8283">IF(AI$3="","",AH351)</f>
        <v/>
      </c>
      <c r="AJ351" s="211" t="str">
        <f t="shared" ref="AJ351:AJ352" si="8284">IF(AJ$3="","",AI351)</f>
        <v/>
      </c>
      <c r="AK351" s="211" t="str">
        <f t="shared" ref="AK351:AK352" si="8285">IF(AK$3="","",AJ351)</f>
        <v/>
      </c>
      <c r="AL351" s="211" t="str">
        <f t="shared" ref="AL351:AL352" si="8286">IF(AL$3="","",AK351)</f>
        <v/>
      </c>
      <c r="AM351" s="211" t="str">
        <f t="shared" ref="AM351:AM352" si="8287">IF(AM$3="","",AL351)</f>
        <v/>
      </c>
      <c r="AN351" s="211" t="str">
        <f t="shared" ref="AN351:AN352" si="8288">IF(AN$3="","",AM351)</f>
        <v/>
      </c>
      <c r="AO351" s="211" t="str">
        <f t="shared" ref="AO351:AO352" si="8289">IF(AO$3="","",AN351)</f>
        <v/>
      </c>
      <c r="AP351" s="211" t="str">
        <f t="shared" ref="AP351:AP352" si="8290">IF(AP$3="","",AO351)</f>
        <v/>
      </c>
      <c r="AQ351" s="211" t="str">
        <f t="shared" ref="AQ351:AQ352" si="8291">IF(AQ$3="","",AP351)</f>
        <v/>
      </c>
      <c r="AR351" s="211" t="str">
        <f t="shared" ref="AR351:AR352" si="8292">IF(AR$3="","",AQ351)</f>
        <v/>
      </c>
      <c r="AS351" s="211" t="str">
        <f t="shared" ref="AS351:AS352" si="8293">IF(AS$3="","",AR351)</f>
        <v/>
      </c>
      <c r="AT351" s="211" t="str">
        <f t="shared" ref="AT351:AT352" si="8294">IF(AT$3="","",AS351)</f>
        <v/>
      </c>
      <c r="AU351" s="211" t="str">
        <f t="shared" ref="AU351:AU352" si="8295">IF(AU$3="","",AT351)</f>
        <v/>
      </c>
      <c r="AV351" s="211" t="str">
        <f t="shared" ref="AV351:AV352" si="8296">IF(AV$3="","",AU351)</f>
        <v/>
      </c>
      <c r="AW351" s="211" t="str">
        <f t="shared" ref="AW351:AW352" si="8297">IF(AW$3="","",AV351)</f>
        <v/>
      </c>
      <c r="AX351" s="211" t="str">
        <f t="shared" ref="AX351:AX352" si="8298">IF(AX$3="","",AW351)</f>
        <v/>
      </c>
      <c r="AY351" s="211" t="str">
        <f t="shared" ref="AY351:AY352" si="8299">IF(AY$3="","",AX351)</f>
        <v/>
      </c>
      <c r="AZ351" s="211" t="str">
        <f t="shared" ref="AZ351:AZ352" si="8300">IF(AZ$3="","",AY351)</f>
        <v/>
      </c>
      <c r="BA351" s="211" t="str">
        <f t="shared" ref="BA351:BA352" si="8301">IF(BA$3="","",AZ351)</f>
        <v/>
      </c>
      <c r="BB351" s="211" t="str">
        <f t="shared" ref="BB351:BB352" si="8302">IF(BB$3="","",BA351)</f>
        <v/>
      </c>
      <c r="BC351" s="213" t="str">
        <f t="shared" ref="BC351:BC352" si="8303">IF(BC$3="","",BB351)</f>
        <v/>
      </c>
    </row>
    <row r="352" spans="1:55" ht="11.25" customHeight="1" x14ac:dyDescent="0.2">
      <c r="A352" s="214" t="s">
        <v>273</v>
      </c>
      <c r="B352" s="11" t="s">
        <v>4</v>
      </c>
      <c r="C352" s="123">
        <v>230</v>
      </c>
      <c r="D352" s="12">
        <v>230</v>
      </c>
      <c r="E352" s="12">
        <v>230</v>
      </c>
      <c r="F352" s="12">
        <v>230</v>
      </c>
      <c r="G352" s="195">
        <f t="shared" si="8256"/>
        <v>230</v>
      </c>
      <c r="H352" s="12">
        <f t="shared" si="8257"/>
        <v>230</v>
      </c>
      <c r="I352" s="12">
        <v>232</v>
      </c>
      <c r="J352" s="195">
        <f t="shared" si="8258"/>
        <v>232</v>
      </c>
      <c r="K352" s="12">
        <f t="shared" si="8259"/>
        <v>232</v>
      </c>
      <c r="L352" s="12">
        <f t="shared" si="8260"/>
        <v>232</v>
      </c>
      <c r="M352" s="12">
        <f t="shared" si="8261"/>
        <v>232</v>
      </c>
      <c r="N352" s="195" t="str">
        <f t="shared" si="8262"/>
        <v/>
      </c>
      <c r="O352" s="12" t="str">
        <f t="shared" si="8263"/>
        <v/>
      </c>
      <c r="P352" s="12" t="str">
        <f t="shared" si="8264"/>
        <v/>
      </c>
      <c r="Q352" s="12" t="str">
        <f t="shared" si="8265"/>
        <v/>
      </c>
      <c r="R352" s="12" t="str">
        <f t="shared" si="8266"/>
        <v/>
      </c>
      <c r="S352" s="12" t="str">
        <f t="shared" si="8267"/>
        <v/>
      </c>
      <c r="T352" s="12" t="str">
        <f t="shared" si="8268"/>
        <v/>
      </c>
      <c r="U352" s="12" t="str">
        <f t="shared" si="8269"/>
        <v/>
      </c>
      <c r="V352" s="12" t="str">
        <f t="shared" si="8270"/>
        <v/>
      </c>
      <c r="W352" s="12" t="str">
        <f t="shared" si="8271"/>
        <v/>
      </c>
      <c r="X352" s="12" t="str">
        <f t="shared" si="8272"/>
        <v/>
      </c>
      <c r="Y352" s="12" t="str">
        <f t="shared" si="8273"/>
        <v/>
      </c>
      <c r="Z352" s="12" t="str">
        <f t="shared" si="8274"/>
        <v/>
      </c>
      <c r="AA352" s="12" t="str">
        <f t="shared" si="8275"/>
        <v/>
      </c>
      <c r="AB352" s="12" t="str">
        <f t="shared" si="8276"/>
        <v/>
      </c>
      <c r="AC352" s="12" t="str">
        <f t="shared" si="8277"/>
        <v/>
      </c>
      <c r="AD352" s="12" t="str">
        <f t="shared" si="8278"/>
        <v/>
      </c>
      <c r="AE352" s="12" t="str">
        <f t="shared" si="8279"/>
        <v/>
      </c>
      <c r="AF352" s="12" t="str">
        <f t="shared" si="8280"/>
        <v/>
      </c>
      <c r="AG352" s="12" t="str">
        <f t="shared" si="8281"/>
        <v/>
      </c>
      <c r="AH352" s="12" t="str">
        <f t="shared" si="8282"/>
        <v/>
      </c>
      <c r="AI352" s="12" t="str">
        <f t="shared" si="8283"/>
        <v/>
      </c>
      <c r="AJ352" s="12" t="str">
        <f t="shared" si="8284"/>
        <v/>
      </c>
      <c r="AK352" s="12" t="str">
        <f t="shared" si="8285"/>
        <v/>
      </c>
      <c r="AL352" s="12" t="str">
        <f t="shared" si="8286"/>
        <v/>
      </c>
      <c r="AM352" s="12" t="str">
        <f t="shared" si="8287"/>
        <v/>
      </c>
      <c r="AN352" s="12" t="str">
        <f t="shared" si="8288"/>
        <v/>
      </c>
      <c r="AO352" s="12" t="str">
        <f t="shared" si="8289"/>
        <v/>
      </c>
      <c r="AP352" s="12" t="str">
        <f t="shared" si="8290"/>
        <v/>
      </c>
      <c r="AQ352" s="12" t="str">
        <f t="shared" si="8291"/>
        <v/>
      </c>
      <c r="AR352" s="12" t="str">
        <f t="shared" si="8292"/>
        <v/>
      </c>
      <c r="AS352" s="12" t="str">
        <f t="shared" si="8293"/>
        <v/>
      </c>
      <c r="AT352" s="12" t="str">
        <f t="shared" si="8294"/>
        <v/>
      </c>
      <c r="AU352" s="12" t="str">
        <f t="shared" si="8295"/>
        <v/>
      </c>
      <c r="AV352" s="12" t="str">
        <f t="shared" si="8296"/>
        <v/>
      </c>
      <c r="AW352" s="12" t="str">
        <f t="shared" si="8297"/>
        <v/>
      </c>
      <c r="AX352" s="12" t="str">
        <f t="shared" si="8298"/>
        <v/>
      </c>
      <c r="AY352" s="12" t="str">
        <f t="shared" si="8299"/>
        <v/>
      </c>
      <c r="AZ352" s="12" t="str">
        <f t="shared" si="8300"/>
        <v/>
      </c>
      <c r="BA352" s="12" t="str">
        <f t="shared" si="8301"/>
        <v/>
      </c>
      <c r="BB352" s="12" t="str">
        <f t="shared" si="8302"/>
        <v/>
      </c>
      <c r="BC352" s="215" t="str">
        <f t="shared" si="8303"/>
        <v/>
      </c>
    </row>
    <row r="353" spans="1:55" ht="11.25" customHeight="1" x14ac:dyDescent="0.25">
      <c r="A353" s="235"/>
      <c r="B353" s="11" t="s">
        <v>5</v>
      </c>
      <c r="C353" s="123">
        <v>17</v>
      </c>
      <c r="D353" s="12">
        <v>17</v>
      </c>
      <c r="E353" s="12">
        <v>17</v>
      </c>
      <c r="F353" s="12">
        <v>17</v>
      </c>
      <c r="G353" s="195">
        <f t="shared" ref="G353" si="8304">IF(G351="","",(F353+F354))</f>
        <v>17</v>
      </c>
      <c r="H353" s="12">
        <f t="shared" ref="H353" si="8305">IF(H351="","",(G353+G354))</f>
        <v>17</v>
      </c>
      <c r="I353" s="12">
        <v>15</v>
      </c>
      <c r="J353" s="195">
        <f t="shared" ref="J353" si="8306">IF(J351="","",(I353+I354))</f>
        <v>15</v>
      </c>
      <c r="K353" s="12">
        <f t="shared" ref="K353" si="8307">IF(K351="","",(J353+J354))</f>
        <v>15</v>
      </c>
      <c r="L353" s="12">
        <f t="shared" ref="L353" si="8308">IF(L351="","",(K353+K354))</f>
        <v>15</v>
      </c>
      <c r="M353" s="12">
        <f t="shared" ref="M353" si="8309">IF(M351="","",(L353+L354))</f>
        <v>15</v>
      </c>
      <c r="N353" s="195" t="str">
        <f t="shared" ref="N353" si="8310">IF(N351="","",(M353+M354))</f>
        <v/>
      </c>
      <c r="O353" s="12" t="str">
        <f t="shared" ref="O353" si="8311">IF(O351="","",(N353+N354))</f>
        <v/>
      </c>
      <c r="P353" s="12" t="str">
        <f t="shared" ref="P353" si="8312">IF(P351="","",(O353+O354))</f>
        <v/>
      </c>
      <c r="Q353" s="12" t="str">
        <f t="shared" ref="Q353" si="8313">IF(Q351="","",(P353+P354))</f>
        <v/>
      </c>
      <c r="R353" s="12" t="str">
        <f t="shared" ref="R353" si="8314">IF(R351="","",(Q353+Q354))</f>
        <v/>
      </c>
      <c r="S353" s="12" t="str">
        <f t="shared" ref="S353" si="8315">IF(S351="","",(R353+R354))</f>
        <v/>
      </c>
      <c r="T353" s="12" t="str">
        <f t="shared" ref="T353" si="8316">IF(T351="","",(S353+S354))</f>
        <v/>
      </c>
      <c r="U353" s="12" t="str">
        <f t="shared" ref="U353" si="8317">IF(U351="","",(T353+T354))</f>
        <v/>
      </c>
      <c r="V353" s="12" t="str">
        <f t="shared" ref="V353" si="8318">IF(V351="","",(U353+U354))</f>
        <v/>
      </c>
      <c r="W353" s="12" t="str">
        <f t="shared" ref="W353" si="8319">IF(W351="","",(V353+V354))</f>
        <v/>
      </c>
      <c r="X353" s="12" t="str">
        <f t="shared" ref="X353" si="8320">IF(X351="","",(W353+W354))</f>
        <v/>
      </c>
      <c r="Y353" s="12" t="str">
        <f t="shared" ref="Y353" si="8321">IF(Y351="","",(X353+X354))</f>
        <v/>
      </c>
      <c r="Z353" s="12" t="str">
        <f t="shared" ref="Z353" si="8322">IF(Z351="","",(Y353+Y354))</f>
        <v/>
      </c>
      <c r="AA353" s="12" t="str">
        <f t="shared" ref="AA353" si="8323">IF(AA351="","",(Z353+Z354))</f>
        <v/>
      </c>
      <c r="AB353" s="12" t="str">
        <f t="shared" ref="AB353" si="8324">IF(AB351="","",(AA353+AA354))</f>
        <v/>
      </c>
      <c r="AC353" s="12" t="str">
        <f t="shared" ref="AC353" si="8325">IF(AC351="","",(AB353+AB354))</f>
        <v/>
      </c>
      <c r="AD353" s="12" t="str">
        <f t="shared" ref="AD353" si="8326">IF(AD351="","",(AC353+AC354))</f>
        <v/>
      </c>
      <c r="AE353" s="12" t="str">
        <f t="shared" ref="AE353" si="8327">IF(AE351="","",(AD353+AD354))</f>
        <v/>
      </c>
      <c r="AF353" s="12" t="str">
        <f t="shared" ref="AF353" si="8328">IF(AF351="","",(AE353+AE354))</f>
        <v/>
      </c>
      <c r="AG353" s="12" t="str">
        <f t="shared" ref="AG353" si="8329">IF(AG351="","",(AF353+AF354))</f>
        <v/>
      </c>
      <c r="AH353" s="12" t="str">
        <f t="shared" ref="AH353" si="8330">IF(AH351="","",(AG353+AG354))</f>
        <v/>
      </c>
      <c r="AI353" s="12" t="str">
        <f t="shared" ref="AI353" si="8331">IF(AI351="","",(AH353+AH354))</f>
        <v/>
      </c>
      <c r="AJ353" s="12" t="str">
        <f t="shared" ref="AJ353" si="8332">IF(AJ351="","",(AI353+AI354))</f>
        <v/>
      </c>
      <c r="AK353" s="12" t="str">
        <f t="shared" ref="AK353" si="8333">IF(AK351="","",(AJ353+AJ354))</f>
        <v/>
      </c>
      <c r="AL353" s="12" t="str">
        <f t="shared" ref="AL353" si="8334">IF(AL351="","",(AK353+AK354))</f>
        <v/>
      </c>
      <c r="AM353" s="12" t="str">
        <f t="shared" ref="AM353" si="8335">IF(AM351="","",(AL353+AL354))</f>
        <v/>
      </c>
      <c r="AN353" s="12" t="str">
        <f t="shared" ref="AN353" si="8336">IF(AN351="","",(AM353+AM354))</f>
        <v/>
      </c>
      <c r="AO353" s="12" t="str">
        <f t="shared" ref="AO353" si="8337">IF(AO351="","",(AN353+AN354))</f>
        <v/>
      </c>
      <c r="AP353" s="12" t="str">
        <f t="shared" ref="AP353" si="8338">IF(AP351="","",(AO353+AO354))</f>
        <v/>
      </c>
      <c r="AQ353" s="12" t="str">
        <f t="shared" ref="AQ353" si="8339">IF(AQ351="","",(AP353+AP354))</f>
        <v/>
      </c>
      <c r="AR353" s="12" t="str">
        <f t="shared" ref="AR353" si="8340">IF(AR351="","",(AQ353+AQ354))</f>
        <v/>
      </c>
      <c r="AS353" s="12" t="str">
        <f t="shared" ref="AS353" si="8341">IF(AS351="","",(AR353+AR354))</f>
        <v/>
      </c>
      <c r="AT353" s="12" t="str">
        <f t="shared" ref="AT353" si="8342">IF(AT351="","",(AS353+AS354))</f>
        <v/>
      </c>
      <c r="AU353" s="12" t="str">
        <f t="shared" ref="AU353" si="8343">IF(AU351="","",(AT353+AT354))</f>
        <v/>
      </c>
      <c r="AV353" s="12" t="str">
        <f t="shared" ref="AV353" si="8344">IF(AV351="","",(AU353+AU354))</f>
        <v/>
      </c>
      <c r="AW353" s="12" t="str">
        <f t="shared" ref="AW353" si="8345">IF(AW351="","",(AV353+AV354))</f>
        <v/>
      </c>
      <c r="AX353" s="12" t="str">
        <f t="shared" ref="AX353" si="8346">IF(AX351="","",(AW353+AW354))</f>
        <v/>
      </c>
      <c r="AY353" s="12" t="str">
        <f t="shared" ref="AY353" si="8347">IF(AY351="","",(AX353+AX354))</f>
        <v/>
      </c>
      <c r="AZ353" s="12" t="str">
        <f t="shared" ref="AZ353" si="8348">IF(AZ351="","",(AY353+AY354))</f>
        <v/>
      </c>
      <c r="BA353" s="12" t="str">
        <f t="shared" ref="BA353" si="8349">IF(BA351="","",(AZ353+AZ354))</f>
        <v/>
      </c>
      <c r="BB353" s="12" t="str">
        <f t="shared" ref="BB353" si="8350">IF(BB351="","",(BA353+BA354))</f>
        <v/>
      </c>
      <c r="BC353" s="215" t="str">
        <f t="shared" ref="BC353" si="8351">IF(BC351="","",(BB353+BB354))</f>
        <v/>
      </c>
    </row>
    <row r="354" spans="1:55" ht="11.25" customHeight="1" x14ac:dyDescent="0.2">
      <c r="A354" s="220"/>
      <c r="B354" s="11" t="s">
        <v>6</v>
      </c>
      <c r="C354" s="123"/>
      <c r="D354" s="12"/>
      <c r="E354" s="12"/>
      <c r="F354" s="12"/>
      <c r="G354" s="195"/>
      <c r="H354" s="12"/>
      <c r="I354" s="12"/>
      <c r="J354" s="195"/>
      <c r="K354" s="12"/>
      <c r="L354" s="12"/>
      <c r="M354" s="12"/>
      <c r="N354" s="195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215"/>
    </row>
    <row r="355" spans="1:55" ht="11.25" customHeight="1" x14ac:dyDescent="0.2">
      <c r="A355" s="222"/>
      <c r="B355" s="11" t="s">
        <v>8</v>
      </c>
      <c r="C355" s="129">
        <v>1100</v>
      </c>
      <c r="D355" s="206">
        <v>1100</v>
      </c>
      <c r="E355" s="206">
        <v>1100</v>
      </c>
      <c r="F355" s="206">
        <v>1100</v>
      </c>
      <c r="G355" s="207">
        <f t="shared" ref="G355" si="8352">IF(G351="","",F355)</f>
        <v>1100</v>
      </c>
      <c r="H355" s="206">
        <f t="shared" ref="H355" si="8353">IF(H351="","",G355)</f>
        <v>1100</v>
      </c>
      <c r="I355" s="206">
        <f t="shared" ref="I355" si="8354">IF(I351="","",H355)</f>
        <v>1100</v>
      </c>
      <c r="J355" s="207">
        <f t="shared" ref="J355" si="8355">IF(J351="","",I355)</f>
        <v>1100</v>
      </c>
      <c r="K355" s="206">
        <f t="shared" ref="K355" si="8356">IF(K351="","",J355)</f>
        <v>1100</v>
      </c>
      <c r="L355" s="206">
        <f t="shared" ref="L355" si="8357">IF(L351="","",K355)</f>
        <v>1100</v>
      </c>
      <c r="M355" s="206">
        <f t="shared" ref="M355" si="8358">IF(M351="","",L355)</f>
        <v>1100</v>
      </c>
      <c r="N355" s="207" t="str">
        <f t="shared" ref="N355" si="8359">IF(N351="","",M355)</f>
        <v/>
      </c>
      <c r="O355" s="206" t="str">
        <f t="shared" ref="O355" si="8360">IF(O351="","",N355)</f>
        <v/>
      </c>
      <c r="P355" s="206" t="str">
        <f t="shared" ref="P355" si="8361">IF(P351="","",O355)</f>
        <v/>
      </c>
      <c r="Q355" s="206" t="str">
        <f t="shared" ref="Q355" si="8362">IF(Q351="","",P355)</f>
        <v/>
      </c>
      <c r="R355" s="206" t="str">
        <f t="shared" ref="R355" si="8363">IF(R351="","",Q355)</f>
        <v/>
      </c>
      <c r="S355" s="206" t="str">
        <f t="shared" ref="S355" si="8364">IF(S351="","",R355)</f>
        <v/>
      </c>
      <c r="T355" s="206" t="str">
        <f t="shared" ref="T355" si="8365">IF(T351="","",S355)</f>
        <v/>
      </c>
      <c r="U355" s="206" t="str">
        <f t="shared" ref="U355" si="8366">IF(U351="","",T355)</f>
        <v/>
      </c>
      <c r="V355" s="206" t="str">
        <f t="shared" ref="V355" si="8367">IF(V351="","",U355)</f>
        <v/>
      </c>
      <c r="W355" s="206" t="str">
        <f t="shared" ref="W355" si="8368">IF(W351="","",V355)</f>
        <v/>
      </c>
      <c r="X355" s="206" t="str">
        <f t="shared" ref="X355" si="8369">IF(X351="","",W355)</f>
        <v/>
      </c>
      <c r="Y355" s="206" t="str">
        <f t="shared" ref="Y355" si="8370">IF(Y351="","",X355)</f>
        <v/>
      </c>
      <c r="Z355" s="206" t="str">
        <f t="shared" ref="Z355" si="8371">IF(Z351="","",Y355)</f>
        <v/>
      </c>
      <c r="AA355" s="206" t="str">
        <f t="shared" ref="AA355" si="8372">IF(AA351="","",Z355)</f>
        <v/>
      </c>
      <c r="AB355" s="206" t="str">
        <f t="shared" ref="AB355" si="8373">IF(AB351="","",AA355)</f>
        <v/>
      </c>
      <c r="AC355" s="206" t="str">
        <f t="shared" ref="AC355" si="8374">IF(AC351="","",AB355)</f>
        <v/>
      </c>
      <c r="AD355" s="206" t="str">
        <f t="shared" ref="AD355" si="8375">IF(AD351="","",AC355)</f>
        <v/>
      </c>
      <c r="AE355" s="206" t="str">
        <f t="shared" ref="AE355" si="8376">IF(AE351="","",AD355)</f>
        <v/>
      </c>
      <c r="AF355" s="206" t="str">
        <f t="shared" ref="AF355" si="8377">IF(AF351="","",AE355)</f>
        <v/>
      </c>
      <c r="AG355" s="206" t="str">
        <f t="shared" ref="AG355" si="8378">IF(AG351="","",AF355)</f>
        <v/>
      </c>
      <c r="AH355" s="206" t="str">
        <f t="shared" ref="AH355" si="8379">IF(AH351="","",AG355)</f>
        <v/>
      </c>
      <c r="AI355" s="206" t="str">
        <f t="shared" ref="AI355" si="8380">IF(AI351="","",AH355)</f>
        <v/>
      </c>
      <c r="AJ355" s="206" t="str">
        <f t="shared" ref="AJ355" si="8381">IF(AJ351="","",AI355)</f>
        <v/>
      </c>
      <c r="AK355" s="206" t="str">
        <f t="shared" ref="AK355" si="8382">IF(AK351="","",AJ355)</f>
        <v/>
      </c>
      <c r="AL355" s="206" t="str">
        <f t="shared" ref="AL355" si="8383">IF(AL351="","",AK355)</f>
        <v/>
      </c>
      <c r="AM355" s="206" t="str">
        <f t="shared" ref="AM355" si="8384">IF(AM351="","",AL355)</f>
        <v/>
      </c>
      <c r="AN355" s="206" t="str">
        <f t="shared" ref="AN355" si="8385">IF(AN351="","",AM355)</f>
        <v/>
      </c>
      <c r="AO355" s="206" t="str">
        <f t="shared" ref="AO355" si="8386">IF(AO351="","",AN355)</f>
        <v/>
      </c>
      <c r="AP355" s="206" t="str">
        <f t="shared" ref="AP355" si="8387">IF(AP351="","",AO355)</f>
        <v/>
      </c>
      <c r="AQ355" s="206" t="str">
        <f t="shared" ref="AQ355" si="8388">IF(AQ351="","",AP355)</f>
        <v/>
      </c>
      <c r="AR355" s="206" t="str">
        <f t="shared" ref="AR355" si="8389">IF(AR351="","",AQ355)</f>
        <v/>
      </c>
      <c r="AS355" s="206" t="str">
        <f t="shared" ref="AS355" si="8390">IF(AS351="","",AR355)</f>
        <v/>
      </c>
      <c r="AT355" s="206" t="str">
        <f t="shared" ref="AT355" si="8391">IF(AT351="","",AS355)</f>
        <v/>
      </c>
      <c r="AU355" s="206" t="str">
        <f t="shared" ref="AU355" si="8392">IF(AU351="","",AT355)</f>
        <v/>
      </c>
      <c r="AV355" s="206" t="str">
        <f t="shared" ref="AV355" si="8393">IF(AV351="","",AU355)</f>
        <v/>
      </c>
      <c r="AW355" s="206" t="str">
        <f t="shared" ref="AW355" si="8394">IF(AW351="","",AV355)</f>
        <v/>
      </c>
      <c r="AX355" s="206" t="str">
        <f t="shared" ref="AX355" si="8395">IF(AX351="","",AW355)</f>
        <v/>
      </c>
      <c r="AY355" s="206" t="str">
        <f t="shared" ref="AY355" si="8396">IF(AY351="","",AX355)</f>
        <v/>
      </c>
      <c r="AZ355" s="206" t="str">
        <f t="shared" ref="AZ355" si="8397">IF(AZ351="","",AY355)</f>
        <v/>
      </c>
      <c r="BA355" s="206" t="str">
        <f t="shared" ref="BA355" si="8398">IF(BA351="","",AZ355)</f>
        <v/>
      </c>
      <c r="BB355" s="206" t="str">
        <f t="shared" ref="BB355" si="8399">IF(BB351="","",BA355)</f>
        <v/>
      </c>
      <c r="BC355" s="219" t="str">
        <f t="shared" ref="BC355" si="8400">IF(BC351="","",BB355)</f>
        <v/>
      </c>
    </row>
    <row r="356" spans="1:55" ht="11.25" customHeight="1" x14ac:dyDescent="0.2">
      <c r="A356" s="220" t="s">
        <v>9</v>
      </c>
      <c r="B356" s="17" t="s">
        <v>10</v>
      </c>
      <c r="C356" s="133" t="s">
        <v>287</v>
      </c>
      <c r="D356" s="18" t="s">
        <v>287</v>
      </c>
      <c r="E356" s="18" t="s">
        <v>287</v>
      </c>
      <c r="F356" s="18" t="s">
        <v>287</v>
      </c>
      <c r="G356" s="197" t="str">
        <f t="shared" ref="G356" si="8401">IF(G351="","",F356)</f>
        <v>たまごっちボアポーチ</v>
      </c>
      <c r="H356" s="18" t="str">
        <f t="shared" ref="H356" si="8402">IF(H351="","",G356)</f>
        <v>たまごっちボアポーチ</v>
      </c>
      <c r="I356" s="18" t="str">
        <f t="shared" ref="I356" si="8403">IF(I351="","",H356)</f>
        <v>たまごっちボアポーチ</v>
      </c>
      <c r="J356" s="197" t="str">
        <f t="shared" ref="J356" si="8404">IF(J351="","",I356)</f>
        <v>たまごっちボアポーチ</v>
      </c>
      <c r="K356" s="18" t="str">
        <f t="shared" ref="K356" si="8405">IF(K351="","",J356)</f>
        <v>たまごっちボアポーチ</v>
      </c>
      <c r="L356" s="18" t="str">
        <f t="shared" ref="L356" si="8406">IF(L351="","",K356)</f>
        <v>たまごっちボアポーチ</v>
      </c>
      <c r="M356" s="18" t="str">
        <f t="shared" ref="M356" si="8407">IF(M351="","",L356)</f>
        <v>たまごっちボアポーチ</v>
      </c>
      <c r="N356" s="197" t="str">
        <f t="shared" ref="N356" si="8408">IF(N351="","",M356)</f>
        <v/>
      </c>
      <c r="O356" s="18" t="str">
        <f t="shared" ref="O356" si="8409">IF(O351="","",N356)</f>
        <v/>
      </c>
      <c r="P356" s="18" t="str">
        <f t="shared" ref="P356" si="8410">IF(P351="","",O356)</f>
        <v/>
      </c>
      <c r="Q356" s="18" t="str">
        <f t="shared" ref="Q356" si="8411">IF(Q351="","",P356)</f>
        <v/>
      </c>
      <c r="R356" s="18" t="str">
        <f t="shared" ref="R356" si="8412">IF(R351="","",Q356)</f>
        <v/>
      </c>
      <c r="S356" s="18" t="str">
        <f t="shared" ref="S356" si="8413">IF(S351="","",R356)</f>
        <v/>
      </c>
      <c r="T356" s="18" t="str">
        <f t="shared" ref="T356" si="8414">IF(T351="","",S356)</f>
        <v/>
      </c>
      <c r="U356" s="18" t="str">
        <f t="shared" ref="U356" si="8415">IF(U351="","",T356)</f>
        <v/>
      </c>
      <c r="V356" s="18" t="str">
        <f t="shared" ref="V356" si="8416">IF(V351="","",U356)</f>
        <v/>
      </c>
      <c r="W356" s="18" t="str">
        <f t="shared" ref="W356" si="8417">IF(W351="","",V356)</f>
        <v/>
      </c>
      <c r="X356" s="18" t="str">
        <f t="shared" ref="X356" si="8418">IF(X351="","",W356)</f>
        <v/>
      </c>
      <c r="Y356" s="18" t="str">
        <f t="shared" ref="Y356" si="8419">IF(Y351="","",X356)</f>
        <v/>
      </c>
      <c r="Z356" s="18" t="str">
        <f t="shared" ref="Z356" si="8420">IF(Z351="","",Y356)</f>
        <v/>
      </c>
      <c r="AA356" s="18" t="str">
        <f t="shared" ref="AA356" si="8421">IF(AA351="","",Z356)</f>
        <v/>
      </c>
      <c r="AB356" s="18" t="str">
        <f t="shared" ref="AB356" si="8422">IF(AB351="","",AA356)</f>
        <v/>
      </c>
      <c r="AC356" s="18" t="str">
        <f t="shared" ref="AC356" si="8423">IF(AC351="","",AB356)</f>
        <v/>
      </c>
      <c r="AD356" s="18" t="str">
        <f t="shared" ref="AD356" si="8424">IF(AD351="","",AC356)</f>
        <v/>
      </c>
      <c r="AE356" s="18" t="str">
        <f t="shared" ref="AE356" si="8425">IF(AE351="","",AD356)</f>
        <v/>
      </c>
      <c r="AF356" s="18" t="str">
        <f t="shared" ref="AF356" si="8426">IF(AF351="","",AE356)</f>
        <v/>
      </c>
      <c r="AG356" s="18" t="str">
        <f t="shared" ref="AG356" si="8427">IF(AG351="","",AF356)</f>
        <v/>
      </c>
      <c r="AH356" s="18" t="str">
        <f t="shared" ref="AH356" si="8428">IF(AH351="","",AG356)</f>
        <v/>
      </c>
      <c r="AI356" s="18" t="str">
        <f t="shared" ref="AI356" si="8429">IF(AI351="","",AH356)</f>
        <v/>
      </c>
      <c r="AJ356" s="18" t="str">
        <f t="shared" ref="AJ356" si="8430">IF(AJ351="","",AI356)</f>
        <v/>
      </c>
      <c r="AK356" s="18" t="str">
        <f t="shared" ref="AK356" si="8431">IF(AK351="","",AJ356)</f>
        <v/>
      </c>
      <c r="AL356" s="18" t="str">
        <f t="shared" ref="AL356" si="8432">IF(AL351="","",AK356)</f>
        <v/>
      </c>
      <c r="AM356" s="18" t="str">
        <f t="shared" ref="AM356" si="8433">IF(AM351="","",AL356)</f>
        <v/>
      </c>
      <c r="AN356" s="18" t="str">
        <f t="shared" ref="AN356" si="8434">IF(AN351="","",AM356)</f>
        <v/>
      </c>
      <c r="AO356" s="18" t="str">
        <f t="shared" ref="AO356" si="8435">IF(AO351="","",AN356)</f>
        <v/>
      </c>
      <c r="AP356" s="18" t="str">
        <f t="shared" ref="AP356" si="8436">IF(AP351="","",AO356)</f>
        <v/>
      </c>
      <c r="AQ356" s="18" t="str">
        <f t="shared" ref="AQ356" si="8437">IF(AQ351="","",AP356)</f>
        <v/>
      </c>
      <c r="AR356" s="18" t="str">
        <f t="shared" ref="AR356" si="8438">IF(AR351="","",AQ356)</f>
        <v/>
      </c>
      <c r="AS356" s="18" t="str">
        <f t="shared" ref="AS356" si="8439">IF(AS351="","",AR356)</f>
        <v/>
      </c>
      <c r="AT356" s="18" t="str">
        <f t="shared" ref="AT356" si="8440">IF(AT351="","",AS356)</f>
        <v/>
      </c>
      <c r="AU356" s="18" t="str">
        <f t="shared" ref="AU356" si="8441">IF(AU351="","",AT356)</f>
        <v/>
      </c>
      <c r="AV356" s="18" t="str">
        <f t="shared" ref="AV356" si="8442">IF(AV351="","",AU356)</f>
        <v/>
      </c>
      <c r="AW356" s="18" t="str">
        <f t="shared" ref="AW356" si="8443">IF(AW351="","",AV356)</f>
        <v/>
      </c>
      <c r="AX356" s="18" t="str">
        <f t="shared" ref="AX356" si="8444">IF(AX351="","",AW356)</f>
        <v/>
      </c>
      <c r="AY356" s="18" t="str">
        <f t="shared" ref="AY356" si="8445">IF(AY351="","",AX356)</f>
        <v/>
      </c>
      <c r="AZ356" s="18" t="str">
        <f t="shared" ref="AZ356" si="8446">IF(AZ351="","",AY356)</f>
        <v/>
      </c>
      <c r="BA356" s="18" t="str">
        <f t="shared" ref="BA356" si="8447">IF(BA351="","",AZ356)</f>
        <v/>
      </c>
      <c r="BB356" s="18" t="str">
        <f t="shared" ref="BB356" si="8448">IF(BB351="","",BA356)</f>
        <v/>
      </c>
      <c r="BC356" s="221" t="str">
        <f t="shared" ref="BC356" si="8449">IF(BC351="","",BB356)</f>
        <v/>
      </c>
    </row>
    <row r="357" spans="1:55" ht="11.25" customHeight="1" x14ac:dyDescent="0.2">
      <c r="A357" s="222">
        <f>AVERAGE(C358:AS358)*30*100</f>
        <v>27818.18181818182</v>
      </c>
      <c r="B357" s="11" t="s">
        <v>12</v>
      </c>
      <c r="C357" s="123"/>
      <c r="D357" s="12"/>
      <c r="E357" s="12"/>
      <c r="F357" s="12"/>
      <c r="G357" s="195"/>
      <c r="H357" s="12"/>
      <c r="I357" s="12"/>
      <c r="J357" s="195"/>
      <c r="K357" s="12"/>
      <c r="L357" s="12"/>
      <c r="M357" s="12"/>
      <c r="N357" s="195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215"/>
    </row>
    <row r="358" spans="1:55" ht="11.25" customHeight="1" x14ac:dyDescent="0.2">
      <c r="A358" s="222">
        <f t="shared" ref="A358:A361" si="8450">SUM(C358:AS358)</f>
        <v>102</v>
      </c>
      <c r="B358" s="19" t="s">
        <v>13</v>
      </c>
      <c r="C358" s="123">
        <v>0</v>
      </c>
      <c r="D358" s="20">
        <v>0</v>
      </c>
      <c r="E358" s="20">
        <v>0</v>
      </c>
      <c r="F358" s="20">
        <v>0</v>
      </c>
      <c r="G358" s="195">
        <f t="shared" ref="G358:G359" si="8451">IF(G351="","",G351-F351)</f>
        <v>0</v>
      </c>
      <c r="H358" s="20">
        <f t="shared" ref="H358:H359" si="8452">IF(H351="","",H351-G351)</f>
        <v>0</v>
      </c>
      <c r="I358" s="20">
        <f t="shared" ref="I358:I359" si="8453">IF(I351="","",I351-H351)</f>
        <v>102</v>
      </c>
      <c r="J358" s="195">
        <f t="shared" ref="J358:J359" si="8454">IF(J351="","",J351-I351)</f>
        <v>0</v>
      </c>
      <c r="K358" s="20">
        <f t="shared" ref="K358:K359" si="8455">IF(K351="","",K351-J351)</f>
        <v>0</v>
      </c>
      <c r="L358" s="20">
        <f t="shared" ref="L358:L359" si="8456">IF(L351="","",L351-K351)</f>
        <v>0</v>
      </c>
      <c r="M358" s="20">
        <f t="shared" ref="M358:M359" si="8457">IF(M351="","",M351-L351)</f>
        <v>0</v>
      </c>
      <c r="N358" s="195" t="str">
        <f t="shared" ref="N358:N359" si="8458">IF(N351="","",N351-M351)</f>
        <v/>
      </c>
      <c r="O358" s="20" t="str">
        <f t="shared" ref="O358:O359" si="8459">IF(O351="","",O351-N351)</f>
        <v/>
      </c>
      <c r="P358" s="20" t="str">
        <f t="shared" ref="P358:P359" si="8460">IF(P351="","",P351-O351)</f>
        <v/>
      </c>
      <c r="Q358" s="20" t="str">
        <f t="shared" ref="Q358:Q359" si="8461">IF(Q351="","",Q351-P351)</f>
        <v/>
      </c>
      <c r="R358" s="20" t="str">
        <f t="shared" ref="R358:R359" si="8462">IF(R351="","",R351-Q351)</f>
        <v/>
      </c>
      <c r="S358" s="20" t="str">
        <f t="shared" ref="S358:S359" si="8463">IF(S351="","",S351-R351)</f>
        <v/>
      </c>
      <c r="T358" s="20" t="str">
        <f t="shared" ref="T358:T359" si="8464">IF(T351="","",T351-S351)</f>
        <v/>
      </c>
      <c r="U358" s="20" t="str">
        <f t="shared" ref="U358:U359" si="8465">IF(U351="","",U351-T351)</f>
        <v/>
      </c>
      <c r="V358" s="20" t="str">
        <f t="shared" ref="V358:V359" si="8466">IF(V351="","",V351-U351)</f>
        <v/>
      </c>
      <c r="W358" s="20" t="str">
        <f t="shared" ref="W358:W359" si="8467">IF(W351="","",W351-V351)</f>
        <v/>
      </c>
      <c r="X358" s="20" t="str">
        <f t="shared" ref="X358:X359" si="8468">IF(X351="","",X351-W351)</f>
        <v/>
      </c>
      <c r="Y358" s="20" t="str">
        <f t="shared" ref="Y358:Y359" si="8469">IF(Y351="","",Y351-X351)</f>
        <v/>
      </c>
      <c r="Z358" s="20" t="str">
        <f t="shared" ref="Z358:Z359" si="8470">IF(Z351="","",Z351-Y351)</f>
        <v/>
      </c>
      <c r="AA358" s="20" t="str">
        <f t="shared" ref="AA358:AA359" si="8471">IF(AA351="","",AA351-Z351)</f>
        <v/>
      </c>
      <c r="AB358" s="20" t="str">
        <f t="shared" ref="AB358:AB359" si="8472">IF(AB351="","",AB351-AA351)</f>
        <v/>
      </c>
      <c r="AC358" s="20" t="str">
        <f t="shared" ref="AC358:AC359" si="8473">IF(AC351="","",AC351-AB351)</f>
        <v/>
      </c>
      <c r="AD358" s="20" t="str">
        <f t="shared" ref="AD358:AD359" si="8474">IF(AD351="","",AD351-AC351)</f>
        <v/>
      </c>
      <c r="AE358" s="20" t="str">
        <f t="shared" ref="AE358:AE359" si="8475">IF(AE351="","",AE351-AD351)</f>
        <v/>
      </c>
      <c r="AF358" s="20" t="str">
        <f t="shared" ref="AF358:AF359" si="8476">IF(AF351="","",AF351-AE351)</f>
        <v/>
      </c>
      <c r="AG358" s="20" t="str">
        <f t="shared" ref="AG358:AG359" si="8477">IF(AG351="","",AG351-AF351)</f>
        <v/>
      </c>
      <c r="AH358" s="20" t="str">
        <f t="shared" ref="AH358:AH359" si="8478">IF(AH351="","",AH351-AG351)</f>
        <v/>
      </c>
      <c r="AI358" s="20" t="str">
        <f t="shared" ref="AI358:AI359" si="8479">IF(AI351="","",AI351-AH351)</f>
        <v/>
      </c>
      <c r="AJ358" s="20" t="str">
        <f t="shared" ref="AJ358:AJ359" si="8480">IF(AJ351="","",AJ351-AI351)</f>
        <v/>
      </c>
      <c r="AK358" s="20" t="str">
        <f t="shared" ref="AK358:AK359" si="8481">IF(AK351="","",AK351-AJ351)</f>
        <v/>
      </c>
      <c r="AL358" s="20" t="str">
        <f t="shared" ref="AL358:AL359" si="8482">IF(AL351="","",AL351-AK351)</f>
        <v/>
      </c>
      <c r="AM358" s="20" t="str">
        <f t="shared" ref="AM358:AM359" si="8483">IF(AM351="","",AM351-AL351)</f>
        <v/>
      </c>
      <c r="AN358" s="20" t="str">
        <f t="shared" ref="AN358:AN359" si="8484">IF(AN351="","",AN351-AM351)</f>
        <v/>
      </c>
      <c r="AO358" s="20" t="str">
        <f t="shared" ref="AO358:AO359" si="8485">IF(AO351="","",AO351-AN351)</f>
        <v/>
      </c>
      <c r="AP358" s="20" t="str">
        <f t="shared" ref="AP358:AP359" si="8486">IF(AP351="","",AP351-AO351)</f>
        <v/>
      </c>
      <c r="AQ358" s="20" t="str">
        <f t="shared" ref="AQ358:AQ359" si="8487">IF(AQ351="","",AQ351-AP351)</f>
        <v/>
      </c>
      <c r="AR358" s="20" t="str">
        <f t="shared" ref="AR358:AR359" si="8488">IF(AR351="","",AR351-AQ351)</f>
        <v/>
      </c>
      <c r="AS358" s="20" t="str">
        <f t="shared" ref="AS358:AS359" si="8489">IF(AS351="","",AS351-AR351)</f>
        <v/>
      </c>
      <c r="AT358" s="20" t="str">
        <f t="shared" ref="AT358:AT359" si="8490">IF(AT351="","",AT351-AS351)</f>
        <v/>
      </c>
      <c r="AU358" s="20" t="str">
        <f t="shared" ref="AU358:AU359" si="8491">IF(AU351="","",AU351-AT351)</f>
        <v/>
      </c>
      <c r="AV358" s="20" t="str">
        <f t="shared" ref="AV358:AV359" si="8492">IF(AV351="","",AV351-AU351)</f>
        <v/>
      </c>
      <c r="AW358" s="20" t="str">
        <f t="shared" ref="AW358:AW359" si="8493">IF(AW351="","",AW351-AV351)</f>
        <v/>
      </c>
      <c r="AX358" s="20" t="str">
        <f t="shared" ref="AX358:AX359" si="8494">IF(AX351="","",AX351-AW351)</f>
        <v/>
      </c>
      <c r="AY358" s="20" t="str">
        <f t="shared" ref="AY358:AY359" si="8495">IF(AY351="","",AY351-AX351)</f>
        <v/>
      </c>
      <c r="AZ358" s="20" t="str">
        <f t="shared" ref="AZ358:AZ359" si="8496">IF(AZ351="","",AZ351-AY351)</f>
        <v/>
      </c>
      <c r="BA358" s="20" t="str">
        <f t="shared" ref="BA358:BA359" si="8497">IF(BA351="","",BA351-AZ351)</f>
        <v/>
      </c>
      <c r="BB358" s="20" t="str">
        <f t="shared" ref="BB358:BB359" si="8498">IF(BB351="","",BB351-BA351)</f>
        <v/>
      </c>
      <c r="BC358" s="223" t="str">
        <f t="shared" ref="BC358:BC359" si="8499">IF(BC351="","",BC351-BB351)</f>
        <v/>
      </c>
    </row>
    <row r="359" spans="1:55" ht="11.25" customHeight="1" x14ac:dyDescent="0.2">
      <c r="A359" s="222">
        <f t="shared" si="8450"/>
        <v>2</v>
      </c>
      <c r="B359" s="19" t="s">
        <v>14</v>
      </c>
      <c r="C359" s="123">
        <v>0</v>
      </c>
      <c r="D359" s="20">
        <v>0</v>
      </c>
      <c r="E359" s="20">
        <v>0</v>
      </c>
      <c r="F359" s="20">
        <v>0</v>
      </c>
      <c r="G359" s="195">
        <f t="shared" si="8451"/>
        <v>0</v>
      </c>
      <c r="H359" s="20">
        <f t="shared" si="8452"/>
        <v>0</v>
      </c>
      <c r="I359" s="20">
        <f t="shared" si="8453"/>
        <v>2</v>
      </c>
      <c r="J359" s="195">
        <f t="shared" si="8454"/>
        <v>0</v>
      </c>
      <c r="K359" s="20">
        <f t="shared" si="8455"/>
        <v>0</v>
      </c>
      <c r="L359" s="20">
        <f t="shared" si="8456"/>
        <v>0</v>
      </c>
      <c r="M359" s="20">
        <f t="shared" si="8457"/>
        <v>0</v>
      </c>
      <c r="N359" s="195" t="str">
        <f t="shared" si="8458"/>
        <v/>
      </c>
      <c r="O359" s="20" t="str">
        <f t="shared" si="8459"/>
        <v/>
      </c>
      <c r="P359" s="20" t="str">
        <f t="shared" si="8460"/>
        <v/>
      </c>
      <c r="Q359" s="20" t="str">
        <f t="shared" si="8461"/>
        <v/>
      </c>
      <c r="R359" s="20" t="str">
        <f t="shared" si="8462"/>
        <v/>
      </c>
      <c r="S359" s="20" t="str">
        <f t="shared" si="8463"/>
        <v/>
      </c>
      <c r="T359" s="20" t="str">
        <f t="shared" si="8464"/>
        <v/>
      </c>
      <c r="U359" s="20" t="str">
        <f t="shared" si="8465"/>
        <v/>
      </c>
      <c r="V359" s="20" t="str">
        <f t="shared" si="8466"/>
        <v/>
      </c>
      <c r="W359" s="20" t="str">
        <f t="shared" si="8467"/>
        <v/>
      </c>
      <c r="X359" s="20" t="str">
        <f t="shared" si="8468"/>
        <v/>
      </c>
      <c r="Y359" s="20" t="str">
        <f t="shared" si="8469"/>
        <v/>
      </c>
      <c r="Z359" s="20" t="str">
        <f t="shared" si="8470"/>
        <v/>
      </c>
      <c r="AA359" s="20" t="str">
        <f t="shared" si="8471"/>
        <v/>
      </c>
      <c r="AB359" s="20" t="str">
        <f t="shared" si="8472"/>
        <v/>
      </c>
      <c r="AC359" s="20" t="str">
        <f t="shared" si="8473"/>
        <v/>
      </c>
      <c r="AD359" s="20" t="str">
        <f t="shared" si="8474"/>
        <v/>
      </c>
      <c r="AE359" s="20" t="str">
        <f t="shared" si="8475"/>
        <v/>
      </c>
      <c r="AF359" s="20" t="str">
        <f t="shared" si="8476"/>
        <v/>
      </c>
      <c r="AG359" s="20" t="str">
        <f t="shared" si="8477"/>
        <v/>
      </c>
      <c r="AH359" s="20" t="str">
        <f t="shared" si="8478"/>
        <v/>
      </c>
      <c r="AI359" s="20" t="str">
        <f t="shared" si="8479"/>
        <v/>
      </c>
      <c r="AJ359" s="20" t="str">
        <f t="shared" si="8480"/>
        <v/>
      </c>
      <c r="AK359" s="20" t="str">
        <f t="shared" si="8481"/>
        <v/>
      </c>
      <c r="AL359" s="20" t="str">
        <f t="shared" si="8482"/>
        <v/>
      </c>
      <c r="AM359" s="20" t="str">
        <f t="shared" si="8483"/>
        <v/>
      </c>
      <c r="AN359" s="20" t="str">
        <f t="shared" si="8484"/>
        <v/>
      </c>
      <c r="AO359" s="20" t="str">
        <f t="shared" si="8485"/>
        <v/>
      </c>
      <c r="AP359" s="20" t="str">
        <f t="shared" si="8486"/>
        <v/>
      </c>
      <c r="AQ359" s="20" t="str">
        <f t="shared" si="8487"/>
        <v/>
      </c>
      <c r="AR359" s="20" t="str">
        <f t="shared" si="8488"/>
        <v/>
      </c>
      <c r="AS359" s="20" t="str">
        <f t="shared" si="8489"/>
        <v/>
      </c>
      <c r="AT359" s="20" t="str">
        <f t="shared" si="8490"/>
        <v/>
      </c>
      <c r="AU359" s="20" t="str">
        <f t="shared" si="8491"/>
        <v/>
      </c>
      <c r="AV359" s="20" t="str">
        <f t="shared" si="8492"/>
        <v/>
      </c>
      <c r="AW359" s="20" t="str">
        <f t="shared" si="8493"/>
        <v/>
      </c>
      <c r="AX359" s="20" t="str">
        <f t="shared" si="8494"/>
        <v/>
      </c>
      <c r="AY359" s="20" t="str">
        <f t="shared" si="8495"/>
        <v/>
      </c>
      <c r="AZ359" s="20" t="str">
        <f t="shared" si="8496"/>
        <v/>
      </c>
      <c r="BA359" s="20" t="str">
        <f t="shared" si="8497"/>
        <v/>
      </c>
      <c r="BB359" s="20" t="str">
        <f t="shared" si="8498"/>
        <v/>
      </c>
      <c r="BC359" s="223" t="str">
        <f t="shared" si="8499"/>
        <v/>
      </c>
    </row>
    <row r="360" spans="1:55" ht="11.25" customHeight="1" x14ac:dyDescent="0.2">
      <c r="A360" s="222">
        <f t="shared" si="8450"/>
        <v>2</v>
      </c>
      <c r="B360" s="19" t="s">
        <v>15</v>
      </c>
      <c r="C360" s="123">
        <v>0</v>
      </c>
      <c r="D360" s="20">
        <v>0</v>
      </c>
      <c r="E360" s="20">
        <v>0</v>
      </c>
      <c r="F360" s="20">
        <v>0</v>
      </c>
      <c r="G360" s="195">
        <f t="shared" ref="G360" si="8500">IF(G353="","",F353+F354-G353)</f>
        <v>0</v>
      </c>
      <c r="H360" s="20">
        <f t="shared" ref="H360" si="8501">IF(H353="","",G353+G354-H353)</f>
        <v>0</v>
      </c>
      <c r="I360" s="20">
        <f t="shared" ref="I360" si="8502">IF(I353="","",H353+H354-I353)</f>
        <v>2</v>
      </c>
      <c r="J360" s="195">
        <f t="shared" ref="J360" si="8503">IF(J353="","",I353+I354-J353)</f>
        <v>0</v>
      </c>
      <c r="K360" s="20">
        <f t="shared" ref="K360" si="8504">IF(K353="","",J353+J354-K353)</f>
        <v>0</v>
      </c>
      <c r="L360" s="20">
        <f t="shared" ref="L360" si="8505">IF(L353="","",K353+K354-L353)</f>
        <v>0</v>
      </c>
      <c r="M360" s="20">
        <f t="shared" ref="M360" si="8506">IF(M353="","",L353+L354-M353)</f>
        <v>0</v>
      </c>
      <c r="N360" s="195" t="str">
        <f t="shared" ref="N360" si="8507">IF(N353="","",M353+M354-N353)</f>
        <v/>
      </c>
      <c r="O360" s="20" t="str">
        <f t="shared" ref="O360" si="8508">IF(O353="","",N353+N354-O353)</f>
        <v/>
      </c>
      <c r="P360" s="20" t="str">
        <f t="shared" ref="P360" si="8509">IF(P353="","",O353+O354-P353)</f>
        <v/>
      </c>
      <c r="Q360" s="20" t="str">
        <f t="shared" ref="Q360" si="8510">IF(Q353="","",P353+P354-Q353)</f>
        <v/>
      </c>
      <c r="R360" s="20" t="str">
        <f t="shared" ref="R360" si="8511">IF(R353="","",Q353+Q354-R353)</f>
        <v/>
      </c>
      <c r="S360" s="20" t="str">
        <f t="shared" ref="S360" si="8512">IF(S353="","",R353+R354-S353)</f>
        <v/>
      </c>
      <c r="T360" s="20" t="str">
        <f t="shared" ref="T360" si="8513">IF(T353="","",S353+S354-T353)</f>
        <v/>
      </c>
      <c r="U360" s="20" t="str">
        <f t="shared" ref="U360" si="8514">IF(U353="","",T353+T354-U353)</f>
        <v/>
      </c>
      <c r="V360" s="20" t="str">
        <f t="shared" ref="V360" si="8515">IF(V353="","",U353+U354-V353)</f>
        <v/>
      </c>
      <c r="W360" s="20" t="str">
        <f t="shared" ref="W360" si="8516">IF(W353="","",V353+V354-W353)</f>
        <v/>
      </c>
      <c r="X360" s="20" t="str">
        <f t="shared" ref="X360" si="8517">IF(X353="","",W353+W354-X353)</f>
        <v/>
      </c>
      <c r="Y360" s="20" t="str">
        <f t="shared" ref="Y360" si="8518">IF(Y353="","",X353+X354-Y353)</f>
        <v/>
      </c>
      <c r="Z360" s="20" t="str">
        <f t="shared" ref="Z360" si="8519">IF(Z353="","",Y353+Y354-Z353)</f>
        <v/>
      </c>
      <c r="AA360" s="20" t="str">
        <f t="shared" ref="AA360" si="8520">IF(AA353="","",Z353+Z354-AA353)</f>
        <v/>
      </c>
      <c r="AB360" s="20" t="str">
        <f t="shared" ref="AB360" si="8521">IF(AB353="","",AA353+AA354-AB353)</f>
        <v/>
      </c>
      <c r="AC360" s="20" t="str">
        <f t="shared" ref="AC360" si="8522">IF(AC353="","",AB353+AB354-AC353)</f>
        <v/>
      </c>
      <c r="AD360" s="20" t="str">
        <f t="shared" ref="AD360" si="8523">IF(AD353="","",AC353+AC354-AD353)</f>
        <v/>
      </c>
      <c r="AE360" s="20" t="str">
        <f t="shared" ref="AE360" si="8524">IF(AE353="","",AD353+AD354-AE353)</f>
        <v/>
      </c>
      <c r="AF360" s="20" t="str">
        <f t="shared" ref="AF360" si="8525">IF(AF353="","",AE353+AE354-AF353)</f>
        <v/>
      </c>
      <c r="AG360" s="20" t="str">
        <f t="shared" ref="AG360" si="8526">IF(AG353="","",AF353+AF354-AG353)</f>
        <v/>
      </c>
      <c r="AH360" s="20" t="str">
        <f t="shared" ref="AH360" si="8527">IF(AH353="","",AG353+AG354-AH353)</f>
        <v/>
      </c>
      <c r="AI360" s="20" t="str">
        <f t="shared" ref="AI360" si="8528">IF(AI353="","",AH353+AH354-AI353)</f>
        <v/>
      </c>
      <c r="AJ360" s="20" t="str">
        <f t="shared" ref="AJ360" si="8529">IF(AJ353="","",AI353+AI354-AJ353)</f>
        <v/>
      </c>
      <c r="AK360" s="20" t="str">
        <f t="shared" ref="AK360" si="8530">IF(AK353="","",AJ353+AJ354-AK353)</f>
        <v/>
      </c>
      <c r="AL360" s="20" t="str">
        <f t="shared" ref="AL360" si="8531">IF(AL353="","",AK353+AK354-AL353)</f>
        <v/>
      </c>
      <c r="AM360" s="20" t="str">
        <f t="shared" ref="AM360" si="8532">IF(AM353="","",AL353+AL354-AM353)</f>
        <v/>
      </c>
      <c r="AN360" s="20" t="str">
        <f t="shared" ref="AN360" si="8533">IF(AN353="","",AM353+AM354-AN353)</f>
        <v/>
      </c>
      <c r="AO360" s="20" t="str">
        <f t="shared" ref="AO360" si="8534">IF(AO353="","",AN353+AN354-AO353)</f>
        <v/>
      </c>
      <c r="AP360" s="20" t="str">
        <f t="shared" ref="AP360" si="8535">IF(AP353="","",AO353+AO354-AP353)</f>
        <v/>
      </c>
      <c r="AQ360" s="20" t="str">
        <f t="shared" ref="AQ360" si="8536">IF(AQ353="","",AP353+AP354-AQ353)</f>
        <v/>
      </c>
      <c r="AR360" s="20" t="str">
        <f t="shared" ref="AR360" si="8537">IF(AR353="","",AQ353+AQ354-AR353)</f>
        <v/>
      </c>
      <c r="AS360" s="20" t="str">
        <f t="shared" ref="AS360" si="8538">IF(AS353="","",AR353+AR354-AS353)</f>
        <v/>
      </c>
      <c r="AT360" s="20" t="str">
        <f t="shared" ref="AT360" si="8539">IF(AT353="","",AS353+AS354-AT353)</f>
        <v/>
      </c>
      <c r="AU360" s="20" t="str">
        <f t="shared" ref="AU360" si="8540">IF(AU353="","",AT353+AT354-AU353)</f>
        <v/>
      </c>
      <c r="AV360" s="20" t="str">
        <f t="shared" ref="AV360" si="8541">IF(AV353="","",AU353+AU354-AV353)</f>
        <v/>
      </c>
      <c r="AW360" s="20" t="str">
        <f t="shared" ref="AW360" si="8542">IF(AW353="","",AV353+AV354-AW353)</f>
        <v/>
      </c>
      <c r="AX360" s="20" t="str">
        <f t="shared" ref="AX360" si="8543">IF(AX353="","",AW353+AW354-AX353)</f>
        <v/>
      </c>
      <c r="AY360" s="20" t="str">
        <f t="shared" ref="AY360" si="8544">IF(AY353="","",AX353+AX354-AY353)</f>
        <v/>
      </c>
      <c r="AZ360" s="20" t="str">
        <f t="shared" ref="AZ360" si="8545">IF(AZ353="","",AY353+AY354-AZ353)</f>
        <v/>
      </c>
      <c r="BA360" s="20" t="str">
        <f t="shared" ref="BA360" si="8546">IF(BA353="","",AZ353+AZ354-BA353)</f>
        <v/>
      </c>
      <c r="BB360" s="20" t="str">
        <f t="shared" ref="BB360" si="8547">IF(BB353="","",BA353+BA354-BB353)</f>
        <v/>
      </c>
      <c r="BC360" s="223" t="str">
        <f t="shared" ref="BC360" si="8548">IF(BC353="","",BB353+BB354-BC353)</f>
        <v/>
      </c>
    </row>
    <row r="361" spans="1:55" ht="11.25" customHeight="1" x14ac:dyDescent="0.2">
      <c r="A361" s="222">
        <f t="shared" si="8450"/>
        <v>2200</v>
      </c>
      <c r="B361" s="19" t="s">
        <v>16</v>
      </c>
      <c r="C361" s="123">
        <v>0</v>
      </c>
      <c r="D361" s="20">
        <v>0</v>
      </c>
      <c r="E361" s="20">
        <v>0</v>
      </c>
      <c r="F361" s="20">
        <v>0</v>
      </c>
      <c r="G361" s="195">
        <f t="shared" ref="D361:BC361" si="8549">IF(G351="","",G360*G355)</f>
        <v>0</v>
      </c>
      <c r="H361" s="20">
        <f t="shared" si="8549"/>
        <v>0</v>
      </c>
      <c r="I361" s="20">
        <f t="shared" si="8549"/>
        <v>2200</v>
      </c>
      <c r="J361" s="195">
        <f t="shared" si="8549"/>
        <v>0</v>
      </c>
      <c r="K361" s="20">
        <f t="shared" si="8549"/>
        <v>0</v>
      </c>
      <c r="L361" s="20">
        <f t="shared" si="8549"/>
        <v>0</v>
      </c>
      <c r="M361" s="20">
        <f t="shared" si="8549"/>
        <v>0</v>
      </c>
      <c r="N361" s="195" t="str">
        <f t="shared" si="8549"/>
        <v/>
      </c>
      <c r="O361" s="20" t="str">
        <f t="shared" si="8549"/>
        <v/>
      </c>
      <c r="P361" s="20" t="str">
        <f t="shared" si="8549"/>
        <v/>
      </c>
      <c r="Q361" s="20" t="str">
        <f t="shared" si="8549"/>
        <v/>
      </c>
      <c r="R361" s="20" t="str">
        <f t="shared" si="8549"/>
        <v/>
      </c>
      <c r="S361" s="20" t="str">
        <f t="shared" si="8549"/>
        <v/>
      </c>
      <c r="T361" s="20" t="str">
        <f t="shared" si="8549"/>
        <v/>
      </c>
      <c r="U361" s="20" t="str">
        <f t="shared" si="8549"/>
        <v/>
      </c>
      <c r="V361" s="20" t="str">
        <f t="shared" si="8549"/>
        <v/>
      </c>
      <c r="W361" s="20" t="str">
        <f t="shared" si="8549"/>
        <v/>
      </c>
      <c r="X361" s="20" t="str">
        <f t="shared" si="8549"/>
        <v/>
      </c>
      <c r="Y361" s="20" t="str">
        <f t="shared" si="8549"/>
        <v/>
      </c>
      <c r="Z361" s="20" t="str">
        <f t="shared" si="8549"/>
        <v/>
      </c>
      <c r="AA361" s="20" t="str">
        <f t="shared" si="8549"/>
        <v/>
      </c>
      <c r="AB361" s="20" t="str">
        <f t="shared" si="8549"/>
        <v/>
      </c>
      <c r="AC361" s="20" t="str">
        <f t="shared" si="8549"/>
        <v/>
      </c>
      <c r="AD361" s="20" t="str">
        <f t="shared" si="8549"/>
        <v/>
      </c>
      <c r="AE361" s="20" t="str">
        <f t="shared" si="8549"/>
        <v/>
      </c>
      <c r="AF361" s="20" t="str">
        <f t="shared" si="8549"/>
        <v/>
      </c>
      <c r="AG361" s="20" t="str">
        <f t="shared" si="8549"/>
        <v/>
      </c>
      <c r="AH361" s="20" t="str">
        <f t="shared" si="8549"/>
        <v/>
      </c>
      <c r="AI361" s="20" t="str">
        <f t="shared" si="8549"/>
        <v/>
      </c>
      <c r="AJ361" s="20" t="str">
        <f t="shared" si="8549"/>
        <v/>
      </c>
      <c r="AK361" s="20" t="str">
        <f t="shared" si="8549"/>
        <v/>
      </c>
      <c r="AL361" s="20" t="str">
        <f t="shared" si="8549"/>
        <v/>
      </c>
      <c r="AM361" s="20" t="str">
        <f t="shared" si="8549"/>
        <v/>
      </c>
      <c r="AN361" s="20" t="str">
        <f t="shared" si="8549"/>
        <v/>
      </c>
      <c r="AO361" s="20" t="str">
        <f t="shared" si="8549"/>
        <v/>
      </c>
      <c r="AP361" s="20" t="str">
        <f t="shared" si="8549"/>
        <v/>
      </c>
      <c r="AQ361" s="20" t="str">
        <f t="shared" si="8549"/>
        <v/>
      </c>
      <c r="AR361" s="20" t="str">
        <f t="shared" si="8549"/>
        <v/>
      </c>
      <c r="AS361" s="20" t="str">
        <f t="shared" si="8549"/>
        <v/>
      </c>
      <c r="AT361" s="20" t="str">
        <f t="shared" si="8549"/>
        <v/>
      </c>
      <c r="AU361" s="20" t="str">
        <f t="shared" si="8549"/>
        <v/>
      </c>
      <c r="AV361" s="20" t="str">
        <f t="shared" si="8549"/>
        <v/>
      </c>
      <c r="AW361" s="20" t="str">
        <f t="shared" si="8549"/>
        <v/>
      </c>
      <c r="AX361" s="20" t="str">
        <f t="shared" si="8549"/>
        <v/>
      </c>
      <c r="AY361" s="20" t="str">
        <f t="shared" si="8549"/>
        <v/>
      </c>
      <c r="AZ361" s="20" t="str">
        <f t="shared" si="8549"/>
        <v/>
      </c>
      <c r="BA361" s="20" t="str">
        <f t="shared" si="8549"/>
        <v/>
      </c>
      <c r="BB361" s="20" t="str">
        <f t="shared" si="8549"/>
        <v/>
      </c>
      <c r="BC361" s="223" t="str">
        <f t="shared" si="8549"/>
        <v/>
      </c>
    </row>
    <row r="362" spans="1:55" ht="11.25" customHeight="1" thickBot="1" x14ac:dyDescent="0.25">
      <c r="A362" s="227">
        <f>IF(A361="","",A361/(A358*100))</f>
        <v>0.21568627450980393</v>
      </c>
      <c r="B362" s="228" t="s">
        <v>17</v>
      </c>
      <c r="C362" s="229" t="s">
        <v>18</v>
      </c>
      <c r="D362" s="230" t="s">
        <v>18</v>
      </c>
      <c r="E362" s="230" t="s">
        <v>18</v>
      </c>
      <c r="F362" s="230" t="s">
        <v>18</v>
      </c>
      <c r="G362" s="231" t="str">
        <f t="shared" ref="D362:BC362" si="8550">IF(G361="","",IF(G361=0,"",G361/(G358*100)))</f>
        <v/>
      </c>
      <c r="H362" s="230" t="str">
        <f t="shared" si="8550"/>
        <v/>
      </c>
      <c r="I362" s="230">
        <f t="shared" si="8550"/>
        <v>0.21568627450980393</v>
      </c>
      <c r="J362" s="231" t="str">
        <f t="shared" si="8550"/>
        <v/>
      </c>
      <c r="K362" s="230" t="str">
        <f t="shared" si="8550"/>
        <v/>
      </c>
      <c r="L362" s="230" t="str">
        <f t="shared" si="8550"/>
        <v/>
      </c>
      <c r="M362" s="230" t="str">
        <f t="shared" si="8550"/>
        <v/>
      </c>
      <c r="N362" s="231" t="str">
        <f t="shared" si="8550"/>
        <v/>
      </c>
      <c r="O362" s="230" t="str">
        <f t="shared" si="8550"/>
        <v/>
      </c>
      <c r="P362" s="230" t="str">
        <f t="shared" si="8550"/>
        <v/>
      </c>
      <c r="Q362" s="230" t="str">
        <f t="shared" si="8550"/>
        <v/>
      </c>
      <c r="R362" s="230" t="str">
        <f t="shared" si="8550"/>
        <v/>
      </c>
      <c r="S362" s="230" t="str">
        <f t="shared" si="8550"/>
        <v/>
      </c>
      <c r="T362" s="230" t="str">
        <f t="shared" si="8550"/>
        <v/>
      </c>
      <c r="U362" s="230" t="str">
        <f t="shared" si="8550"/>
        <v/>
      </c>
      <c r="V362" s="230" t="str">
        <f t="shared" si="8550"/>
        <v/>
      </c>
      <c r="W362" s="230" t="str">
        <f t="shared" si="8550"/>
        <v/>
      </c>
      <c r="X362" s="230" t="str">
        <f t="shared" si="8550"/>
        <v/>
      </c>
      <c r="Y362" s="230" t="str">
        <f t="shared" si="8550"/>
        <v/>
      </c>
      <c r="Z362" s="230" t="str">
        <f t="shared" si="8550"/>
        <v/>
      </c>
      <c r="AA362" s="230" t="str">
        <f t="shared" si="8550"/>
        <v/>
      </c>
      <c r="AB362" s="230" t="str">
        <f t="shared" si="8550"/>
        <v/>
      </c>
      <c r="AC362" s="230" t="str">
        <f t="shared" si="8550"/>
        <v/>
      </c>
      <c r="AD362" s="230" t="str">
        <f t="shared" si="8550"/>
        <v/>
      </c>
      <c r="AE362" s="230" t="str">
        <f t="shared" si="8550"/>
        <v/>
      </c>
      <c r="AF362" s="230" t="str">
        <f t="shared" si="8550"/>
        <v/>
      </c>
      <c r="AG362" s="230" t="str">
        <f t="shared" si="8550"/>
        <v/>
      </c>
      <c r="AH362" s="230" t="str">
        <f t="shared" si="8550"/>
        <v/>
      </c>
      <c r="AI362" s="230" t="str">
        <f t="shared" si="8550"/>
        <v/>
      </c>
      <c r="AJ362" s="230" t="str">
        <f t="shared" si="8550"/>
        <v/>
      </c>
      <c r="AK362" s="230" t="str">
        <f t="shared" si="8550"/>
        <v/>
      </c>
      <c r="AL362" s="230" t="str">
        <f t="shared" si="8550"/>
        <v/>
      </c>
      <c r="AM362" s="230" t="str">
        <f t="shared" si="8550"/>
        <v/>
      </c>
      <c r="AN362" s="230" t="str">
        <f t="shared" si="8550"/>
        <v/>
      </c>
      <c r="AO362" s="230" t="str">
        <f t="shared" si="8550"/>
        <v/>
      </c>
      <c r="AP362" s="230" t="str">
        <f t="shared" si="8550"/>
        <v/>
      </c>
      <c r="AQ362" s="230" t="str">
        <f t="shared" si="8550"/>
        <v/>
      </c>
      <c r="AR362" s="230" t="str">
        <f t="shared" si="8550"/>
        <v/>
      </c>
      <c r="AS362" s="230" t="str">
        <f t="shared" si="8550"/>
        <v/>
      </c>
      <c r="AT362" s="230" t="str">
        <f t="shared" si="8550"/>
        <v/>
      </c>
      <c r="AU362" s="230" t="str">
        <f t="shared" si="8550"/>
        <v/>
      </c>
      <c r="AV362" s="230" t="str">
        <f t="shared" si="8550"/>
        <v/>
      </c>
      <c r="AW362" s="230" t="str">
        <f t="shared" si="8550"/>
        <v/>
      </c>
      <c r="AX362" s="230" t="str">
        <f t="shared" si="8550"/>
        <v/>
      </c>
      <c r="AY362" s="230" t="str">
        <f t="shared" si="8550"/>
        <v/>
      </c>
      <c r="AZ362" s="230" t="str">
        <f t="shared" si="8550"/>
        <v/>
      </c>
      <c r="BA362" s="230" t="str">
        <f t="shared" si="8550"/>
        <v/>
      </c>
      <c r="BB362" s="230" t="str">
        <f t="shared" si="8550"/>
        <v/>
      </c>
      <c r="BC362" s="232" t="str">
        <f t="shared" si="8550"/>
        <v/>
      </c>
    </row>
    <row r="363" spans="1:55" ht="11.25" customHeight="1" x14ac:dyDescent="0.2">
      <c r="A363" s="208" t="s">
        <v>1</v>
      </c>
      <c r="B363" s="209" t="s">
        <v>2</v>
      </c>
      <c r="C363" s="210">
        <v>230</v>
      </c>
      <c r="D363" s="211">
        <v>230</v>
      </c>
      <c r="E363" s="211">
        <v>230</v>
      </c>
      <c r="F363" s="211">
        <v>230</v>
      </c>
      <c r="G363" s="212">
        <f t="shared" ref="G363:G364" si="8551">IF(G$3="","",F363)</f>
        <v>230</v>
      </c>
      <c r="H363" s="211">
        <f t="shared" ref="H363:H364" si="8552">IF(H$3="","",G363)</f>
        <v>230</v>
      </c>
      <c r="I363" s="211">
        <v>287</v>
      </c>
      <c r="J363" s="212">
        <f t="shared" ref="J363:J364" si="8553">IF(J$3="","",I363)</f>
        <v>287</v>
      </c>
      <c r="K363" s="211">
        <f t="shared" ref="K363:K364" si="8554">IF(K$3="","",J363)</f>
        <v>287</v>
      </c>
      <c r="L363" s="211">
        <f t="shared" ref="L363:L364" si="8555">IF(L$3="","",K363)</f>
        <v>287</v>
      </c>
      <c r="M363" s="211">
        <f t="shared" ref="M363:M364" si="8556">IF(M$3="","",L363)</f>
        <v>287</v>
      </c>
      <c r="N363" s="212" t="str">
        <f t="shared" ref="N363:N364" si="8557">IF(N$3="","",M363)</f>
        <v/>
      </c>
      <c r="O363" s="211" t="str">
        <f t="shared" ref="O363:O364" si="8558">IF(O$3="","",N363)</f>
        <v/>
      </c>
      <c r="P363" s="211" t="str">
        <f t="shared" ref="P363:P364" si="8559">IF(P$3="","",O363)</f>
        <v/>
      </c>
      <c r="Q363" s="211" t="str">
        <f t="shared" ref="Q363:Q364" si="8560">IF(Q$3="","",P363)</f>
        <v/>
      </c>
      <c r="R363" s="211" t="str">
        <f t="shared" ref="R363:R364" si="8561">IF(R$3="","",Q363)</f>
        <v/>
      </c>
      <c r="S363" s="211" t="str">
        <f t="shared" ref="S363:S364" si="8562">IF(S$3="","",R363)</f>
        <v/>
      </c>
      <c r="T363" s="211" t="str">
        <f t="shared" ref="T363:T364" si="8563">IF(T$3="","",S363)</f>
        <v/>
      </c>
      <c r="U363" s="211" t="str">
        <f t="shared" ref="U363:U364" si="8564">IF(U$3="","",T363)</f>
        <v/>
      </c>
      <c r="V363" s="211" t="str">
        <f t="shared" ref="V363:V364" si="8565">IF(V$3="","",U363)</f>
        <v/>
      </c>
      <c r="W363" s="211" t="str">
        <f t="shared" ref="W363:W364" si="8566">IF(W$3="","",V363)</f>
        <v/>
      </c>
      <c r="X363" s="211" t="str">
        <f t="shared" ref="X363:X364" si="8567">IF(X$3="","",W363)</f>
        <v/>
      </c>
      <c r="Y363" s="211" t="str">
        <f t="shared" ref="Y363:Y364" si="8568">IF(Y$3="","",X363)</f>
        <v/>
      </c>
      <c r="Z363" s="211" t="str">
        <f t="shared" ref="Z363:Z364" si="8569">IF(Z$3="","",Y363)</f>
        <v/>
      </c>
      <c r="AA363" s="211" t="str">
        <f t="shared" ref="AA363:AA364" si="8570">IF(AA$3="","",Z363)</f>
        <v/>
      </c>
      <c r="AB363" s="211" t="str">
        <f t="shared" ref="AB363:AB364" si="8571">IF(AB$3="","",AA363)</f>
        <v/>
      </c>
      <c r="AC363" s="211" t="str">
        <f t="shared" ref="AC363:AC364" si="8572">IF(AC$3="","",AB363)</f>
        <v/>
      </c>
      <c r="AD363" s="211" t="str">
        <f t="shared" ref="AD363:AD364" si="8573">IF(AD$3="","",AC363)</f>
        <v/>
      </c>
      <c r="AE363" s="211" t="str">
        <f t="shared" ref="AE363:AE364" si="8574">IF(AE$3="","",AD363)</f>
        <v/>
      </c>
      <c r="AF363" s="211" t="str">
        <f t="shared" ref="AF363:AF364" si="8575">IF(AF$3="","",AE363)</f>
        <v/>
      </c>
      <c r="AG363" s="211" t="str">
        <f t="shared" ref="AG363:AG364" si="8576">IF(AG$3="","",AF363)</f>
        <v/>
      </c>
      <c r="AH363" s="211" t="str">
        <f t="shared" ref="AH363:AH364" si="8577">IF(AH$3="","",AG363)</f>
        <v/>
      </c>
      <c r="AI363" s="211" t="str">
        <f t="shared" ref="AI363:AI364" si="8578">IF(AI$3="","",AH363)</f>
        <v/>
      </c>
      <c r="AJ363" s="211" t="str">
        <f t="shared" ref="AJ363:AJ364" si="8579">IF(AJ$3="","",AI363)</f>
        <v/>
      </c>
      <c r="AK363" s="211" t="str">
        <f t="shared" ref="AK363:AK364" si="8580">IF(AK$3="","",AJ363)</f>
        <v/>
      </c>
      <c r="AL363" s="211" t="str">
        <f t="shared" ref="AL363:AL364" si="8581">IF(AL$3="","",AK363)</f>
        <v/>
      </c>
      <c r="AM363" s="211" t="str">
        <f t="shared" ref="AM363:AM364" si="8582">IF(AM$3="","",AL363)</f>
        <v/>
      </c>
      <c r="AN363" s="211" t="str">
        <f t="shared" ref="AN363:AN364" si="8583">IF(AN$3="","",AM363)</f>
        <v/>
      </c>
      <c r="AO363" s="211" t="str">
        <f t="shared" ref="AO363:AO364" si="8584">IF(AO$3="","",AN363)</f>
        <v/>
      </c>
      <c r="AP363" s="211" t="str">
        <f t="shared" ref="AP363:AP364" si="8585">IF(AP$3="","",AO363)</f>
        <v/>
      </c>
      <c r="AQ363" s="211" t="str">
        <f t="shared" ref="AQ363:AQ364" si="8586">IF(AQ$3="","",AP363)</f>
        <v/>
      </c>
      <c r="AR363" s="211" t="str">
        <f t="shared" ref="AR363:AR364" si="8587">IF(AR$3="","",AQ363)</f>
        <v/>
      </c>
      <c r="AS363" s="211" t="str">
        <f t="shared" ref="AS363:AS364" si="8588">IF(AS$3="","",AR363)</f>
        <v/>
      </c>
      <c r="AT363" s="211" t="str">
        <f t="shared" ref="AT363:AT364" si="8589">IF(AT$3="","",AS363)</f>
        <v/>
      </c>
      <c r="AU363" s="211" t="str">
        <f t="shared" ref="AU363:AU364" si="8590">IF(AU$3="","",AT363)</f>
        <v/>
      </c>
      <c r="AV363" s="211" t="str">
        <f t="shared" ref="AV363:AV364" si="8591">IF(AV$3="","",AU363)</f>
        <v/>
      </c>
      <c r="AW363" s="211" t="str">
        <f t="shared" ref="AW363:AW364" si="8592">IF(AW$3="","",AV363)</f>
        <v/>
      </c>
      <c r="AX363" s="211" t="str">
        <f t="shared" ref="AX363:AX364" si="8593">IF(AX$3="","",AW363)</f>
        <v/>
      </c>
      <c r="AY363" s="211" t="str">
        <f t="shared" ref="AY363:AY364" si="8594">IF(AY$3="","",AX363)</f>
        <v/>
      </c>
      <c r="AZ363" s="211" t="str">
        <f t="shared" ref="AZ363:AZ364" si="8595">IF(AZ$3="","",AY363)</f>
        <v/>
      </c>
      <c r="BA363" s="211" t="str">
        <f t="shared" ref="BA363:BA364" si="8596">IF(BA$3="","",AZ363)</f>
        <v/>
      </c>
      <c r="BB363" s="211" t="str">
        <f t="shared" ref="BB363:BB364" si="8597">IF(BB$3="","",BA363)</f>
        <v/>
      </c>
      <c r="BC363" s="213" t="str">
        <f t="shared" ref="BC363:BC364" si="8598">IF(BC$3="","",BB363)</f>
        <v/>
      </c>
    </row>
    <row r="364" spans="1:55" ht="11.25" customHeight="1" x14ac:dyDescent="0.2">
      <c r="A364" s="214" t="s">
        <v>274</v>
      </c>
      <c r="B364" s="11" t="s">
        <v>4</v>
      </c>
      <c r="C364" s="123">
        <v>230</v>
      </c>
      <c r="D364" s="12">
        <v>230</v>
      </c>
      <c r="E364" s="12">
        <v>230</v>
      </c>
      <c r="F364" s="12">
        <v>230</v>
      </c>
      <c r="G364" s="195">
        <f t="shared" si="8551"/>
        <v>230</v>
      </c>
      <c r="H364" s="12">
        <f t="shared" si="8552"/>
        <v>230</v>
      </c>
      <c r="I364" s="12">
        <v>230</v>
      </c>
      <c r="J364" s="195">
        <f t="shared" si="8553"/>
        <v>230</v>
      </c>
      <c r="K364" s="12">
        <f t="shared" si="8554"/>
        <v>230</v>
      </c>
      <c r="L364" s="12">
        <f t="shared" si="8555"/>
        <v>230</v>
      </c>
      <c r="M364" s="12">
        <f t="shared" si="8556"/>
        <v>230</v>
      </c>
      <c r="N364" s="195" t="str">
        <f t="shared" si="8557"/>
        <v/>
      </c>
      <c r="O364" s="12" t="str">
        <f t="shared" si="8558"/>
        <v/>
      </c>
      <c r="P364" s="12" t="str">
        <f t="shared" si="8559"/>
        <v/>
      </c>
      <c r="Q364" s="12" t="str">
        <f t="shared" si="8560"/>
        <v/>
      </c>
      <c r="R364" s="12" t="str">
        <f t="shared" si="8561"/>
        <v/>
      </c>
      <c r="S364" s="12" t="str">
        <f t="shared" si="8562"/>
        <v/>
      </c>
      <c r="T364" s="12" t="str">
        <f t="shared" si="8563"/>
        <v/>
      </c>
      <c r="U364" s="12" t="str">
        <f t="shared" si="8564"/>
        <v/>
      </c>
      <c r="V364" s="12" t="str">
        <f t="shared" si="8565"/>
        <v/>
      </c>
      <c r="W364" s="12" t="str">
        <f t="shared" si="8566"/>
        <v/>
      </c>
      <c r="X364" s="12" t="str">
        <f t="shared" si="8567"/>
        <v/>
      </c>
      <c r="Y364" s="12" t="str">
        <f t="shared" si="8568"/>
        <v/>
      </c>
      <c r="Z364" s="12" t="str">
        <f t="shared" si="8569"/>
        <v/>
      </c>
      <c r="AA364" s="12" t="str">
        <f t="shared" si="8570"/>
        <v/>
      </c>
      <c r="AB364" s="12" t="str">
        <f t="shared" si="8571"/>
        <v/>
      </c>
      <c r="AC364" s="12" t="str">
        <f t="shared" si="8572"/>
        <v/>
      </c>
      <c r="AD364" s="12" t="str">
        <f t="shared" si="8573"/>
        <v/>
      </c>
      <c r="AE364" s="12" t="str">
        <f t="shared" si="8574"/>
        <v/>
      </c>
      <c r="AF364" s="12" t="str">
        <f t="shared" si="8575"/>
        <v/>
      </c>
      <c r="AG364" s="12" t="str">
        <f t="shared" si="8576"/>
        <v/>
      </c>
      <c r="AH364" s="12" t="str">
        <f t="shared" si="8577"/>
        <v/>
      </c>
      <c r="AI364" s="12" t="str">
        <f t="shared" si="8578"/>
        <v/>
      </c>
      <c r="AJ364" s="12" t="str">
        <f t="shared" si="8579"/>
        <v/>
      </c>
      <c r="AK364" s="12" t="str">
        <f t="shared" si="8580"/>
        <v/>
      </c>
      <c r="AL364" s="12" t="str">
        <f t="shared" si="8581"/>
        <v/>
      </c>
      <c r="AM364" s="12" t="str">
        <f t="shared" si="8582"/>
        <v/>
      </c>
      <c r="AN364" s="12" t="str">
        <f t="shared" si="8583"/>
        <v/>
      </c>
      <c r="AO364" s="12" t="str">
        <f t="shared" si="8584"/>
        <v/>
      </c>
      <c r="AP364" s="12" t="str">
        <f t="shared" si="8585"/>
        <v/>
      </c>
      <c r="AQ364" s="12" t="str">
        <f t="shared" si="8586"/>
        <v/>
      </c>
      <c r="AR364" s="12" t="str">
        <f t="shared" si="8587"/>
        <v/>
      </c>
      <c r="AS364" s="12" t="str">
        <f t="shared" si="8588"/>
        <v/>
      </c>
      <c r="AT364" s="12" t="str">
        <f t="shared" si="8589"/>
        <v/>
      </c>
      <c r="AU364" s="12" t="str">
        <f t="shared" si="8590"/>
        <v/>
      </c>
      <c r="AV364" s="12" t="str">
        <f t="shared" si="8591"/>
        <v/>
      </c>
      <c r="AW364" s="12" t="str">
        <f t="shared" si="8592"/>
        <v/>
      </c>
      <c r="AX364" s="12" t="str">
        <f t="shared" si="8593"/>
        <v/>
      </c>
      <c r="AY364" s="12" t="str">
        <f t="shared" si="8594"/>
        <v/>
      </c>
      <c r="AZ364" s="12" t="str">
        <f t="shared" si="8595"/>
        <v/>
      </c>
      <c r="BA364" s="12" t="str">
        <f t="shared" si="8596"/>
        <v/>
      </c>
      <c r="BB364" s="12" t="str">
        <f t="shared" si="8597"/>
        <v/>
      </c>
      <c r="BC364" s="215" t="str">
        <f t="shared" si="8598"/>
        <v/>
      </c>
    </row>
    <row r="365" spans="1:55" ht="11.25" customHeight="1" x14ac:dyDescent="0.25">
      <c r="A365" s="235"/>
      <c r="B365" s="11" t="s">
        <v>5</v>
      </c>
      <c r="C365" s="123">
        <v>10</v>
      </c>
      <c r="D365" s="12">
        <v>10</v>
      </c>
      <c r="E365" s="12">
        <v>10</v>
      </c>
      <c r="F365" s="12">
        <v>10</v>
      </c>
      <c r="G365" s="195">
        <f t="shared" ref="G365" si="8599">IF(G363="","",(F365+F366))</f>
        <v>10</v>
      </c>
      <c r="H365" s="12">
        <f t="shared" ref="H365" si="8600">IF(H363="","",(G365+G366))</f>
        <v>10</v>
      </c>
      <c r="I365" s="12">
        <v>9</v>
      </c>
      <c r="J365" s="195">
        <f t="shared" ref="J365" si="8601">IF(J363="","",(I365+I366))</f>
        <v>9</v>
      </c>
      <c r="K365" s="12">
        <f t="shared" ref="K365" si="8602">IF(K363="","",(J365+J366))</f>
        <v>9</v>
      </c>
      <c r="L365" s="12">
        <f t="shared" ref="L365" si="8603">IF(L363="","",(K365+K366))</f>
        <v>9</v>
      </c>
      <c r="M365" s="12">
        <f t="shared" ref="M365" si="8604">IF(M363="","",(L365+L366))</f>
        <v>9</v>
      </c>
      <c r="N365" s="195" t="str">
        <f t="shared" ref="N365" si="8605">IF(N363="","",(M365+M366))</f>
        <v/>
      </c>
      <c r="O365" s="12" t="str">
        <f t="shared" ref="O365" si="8606">IF(O363="","",(N365+N366))</f>
        <v/>
      </c>
      <c r="P365" s="12" t="str">
        <f t="shared" ref="P365" si="8607">IF(P363="","",(O365+O366))</f>
        <v/>
      </c>
      <c r="Q365" s="12" t="str">
        <f t="shared" ref="Q365" si="8608">IF(Q363="","",(P365+P366))</f>
        <v/>
      </c>
      <c r="R365" s="12" t="str">
        <f t="shared" ref="R365" si="8609">IF(R363="","",(Q365+Q366))</f>
        <v/>
      </c>
      <c r="S365" s="12" t="str">
        <f t="shared" ref="S365" si="8610">IF(S363="","",(R365+R366))</f>
        <v/>
      </c>
      <c r="T365" s="12" t="str">
        <f t="shared" ref="T365" si="8611">IF(T363="","",(S365+S366))</f>
        <v/>
      </c>
      <c r="U365" s="12" t="str">
        <f t="shared" ref="U365" si="8612">IF(U363="","",(T365+T366))</f>
        <v/>
      </c>
      <c r="V365" s="12" t="str">
        <f t="shared" ref="V365" si="8613">IF(V363="","",(U365+U366))</f>
        <v/>
      </c>
      <c r="W365" s="12" t="str">
        <f t="shared" ref="W365" si="8614">IF(W363="","",(V365+V366))</f>
        <v/>
      </c>
      <c r="X365" s="12" t="str">
        <f t="shared" ref="X365" si="8615">IF(X363="","",(W365+W366))</f>
        <v/>
      </c>
      <c r="Y365" s="12" t="str">
        <f t="shared" ref="Y365" si="8616">IF(Y363="","",(X365+X366))</f>
        <v/>
      </c>
      <c r="Z365" s="12" t="str">
        <f t="shared" ref="Z365" si="8617">IF(Z363="","",(Y365+Y366))</f>
        <v/>
      </c>
      <c r="AA365" s="12" t="str">
        <f t="shared" ref="AA365" si="8618">IF(AA363="","",(Z365+Z366))</f>
        <v/>
      </c>
      <c r="AB365" s="12" t="str">
        <f t="shared" ref="AB365" si="8619">IF(AB363="","",(AA365+AA366))</f>
        <v/>
      </c>
      <c r="AC365" s="12" t="str">
        <f t="shared" ref="AC365" si="8620">IF(AC363="","",(AB365+AB366))</f>
        <v/>
      </c>
      <c r="AD365" s="12" t="str">
        <f t="shared" ref="AD365" si="8621">IF(AD363="","",(AC365+AC366))</f>
        <v/>
      </c>
      <c r="AE365" s="12" t="str">
        <f t="shared" ref="AE365" si="8622">IF(AE363="","",(AD365+AD366))</f>
        <v/>
      </c>
      <c r="AF365" s="12" t="str">
        <f t="shared" ref="AF365" si="8623">IF(AF363="","",(AE365+AE366))</f>
        <v/>
      </c>
      <c r="AG365" s="12" t="str">
        <f t="shared" ref="AG365" si="8624">IF(AG363="","",(AF365+AF366))</f>
        <v/>
      </c>
      <c r="AH365" s="12" t="str">
        <f t="shared" ref="AH365" si="8625">IF(AH363="","",(AG365+AG366))</f>
        <v/>
      </c>
      <c r="AI365" s="12" t="str">
        <f t="shared" ref="AI365" si="8626">IF(AI363="","",(AH365+AH366))</f>
        <v/>
      </c>
      <c r="AJ365" s="12" t="str">
        <f t="shared" ref="AJ365" si="8627">IF(AJ363="","",(AI365+AI366))</f>
        <v/>
      </c>
      <c r="AK365" s="12" t="str">
        <f t="shared" ref="AK365" si="8628">IF(AK363="","",(AJ365+AJ366))</f>
        <v/>
      </c>
      <c r="AL365" s="12" t="str">
        <f t="shared" ref="AL365" si="8629">IF(AL363="","",(AK365+AK366))</f>
        <v/>
      </c>
      <c r="AM365" s="12" t="str">
        <f t="shared" ref="AM365" si="8630">IF(AM363="","",(AL365+AL366))</f>
        <v/>
      </c>
      <c r="AN365" s="12" t="str">
        <f t="shared" ref="AN365" si="8631">IF(AN363="","",(AM365+AM366))</f>
        <v/>
      </c>
      <c r="AO365" s="12" t="str">
        <f t="shared" ref="AO365" si="8632">IF(AO363="","",(AN365+AN366))</f>
        <v/>
      </c>
      <c r="AP365" s="12" t="str">
        <f t="shared" ref="AP365" si="8633">IF(AP363="","",(AO365+AO366))</f>
        <v/>
      </c>
      <c r="AQ365" s="12" t="str">
        <f t="shared" ref="AQ365" si="8634">IF(AQ363="","",(AP365+AP366))</f>
        <v/>
      </c>
      <c r="AR365" s="12" t="str">
        <f t="shared" ref="AR365" si="8635">IF(AR363="","",(AQ365+AQ366))</f>
        <v/>
      </c>
      <c r="AS365" s="12" t="str">
        <f t="shared" ref="AS365" si="8636">IF(AS363="","",(AR365+AR366))</f>
        <v/>
      </c>
      <c r="AT365" s="12" t="str">
        <f t="shared" ref="AT365" si="8637">IF(AT363="","",(AS365+AS366))</f>
        <v/>
      </c>
      <c r="AU365" s="12" t="str">
        <f t="shared" ref="AU365" si="8638">IF(AU363="","",(AT365+AT366))</f>
        <v/>
      </c>
      <c r="AV365" s="12" t="str">
        <f t="shared" ref="AV365" si="8639">IF(AV363="","",(AU365+AU366))</f>
        <v/>
      </c>
      <c r="AW365" s="12" t="str">
        <f t="shared" ref="AW365" si="8640">IF(AW363="","",(AV365+AV366))</f>
        <v/>
      </c>
      <c r="AX365" s="12" t="str">
        <f t="shared" ref="AX365" si="8641">IF(AX363="","",(AW365+AW366))</f>
        <v/>
      </c>
      <c r="AY365" s="12" t="str">
        <f t="shared" ref="AY365" si="8642">IF(AY363="","",(AX365+AX366))</f>
        <v/>
      </c>
      <c r="AZ365" s="12" t="str">
        <f t="shared" ref="AZ365" si="8643">IF(AZ363="","",(AY365+AY366))</f>
        <v/>
      </c>
      <c r="BA365" s="12" t="str">
        <f t="shared" ref="BA365" si="8644">IF(BA363="","",(AZ365+AZ366))</f>
        <v/>
      </c>
      <c r="BB365" s="12" t="str">
        <f t="shared" ref="BB365" si="8645">IF(BB363="","",(BA365+BA366))</f>
        <v/>
      </c>
      <c r="BC365" s="215" t="str">
        <f t="shared" ref="BC365" si="8646">IF(BC363="","",(BB365+BB366))</f>
        <v/>
      </c>
    </row>
    <row r="366" spans="1:55" ht="11.25" customHeight="1" x14ac:dyDescent="0.2">
      <c r="A366" s="220"/>
      <c r="B366" s="11" t="s">
        <v>6</v>
      </c>
      <c r="C366" s="123"/>
      <c r="D366" s="12"/>
      <c r="E366" s="12"/>
      <c r="F366" s="12"/>
      <c r="G366" s="195"/>
      <c r="H366" s="12"/>
      <c r="I366" s="12"/>
      <c r="J366" s="195"/>
      <c r="K366" s="12"/>
      <c r="L366" s="12"/>
      <c r="M366" s="12"/>
      <c r="N366" s="195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215"/>
    </row>
    <row r="367" spans="1:55" ht="11.25" customHeight="1" x14ac:dyDescent="0.2">
      <c r="A367" s="222"/>
      <c r="B367" s="11" t="s">
        <v>8</v>
      </c>
      <c r="C367" s="129">
        <v>1100</v>
      </c>
      <c r="D367" s="206">
        <v>1100</v>
      </c>
      <c r="E367" s="206">
        <v>1100</v>
      </c>
      <c r="F367" s="206">
        <v>1100</v>
      </c>
      <c r="G367" s="207">
        <f t="shared" ref="G367" si="8647">IF(G363="","",F367)</f>
        <v>1100</v>
      </c>
      <c r="H367" s="206">
        <f t="shared" ref="H367" si="8648">IF(H363="","",G367)</f>
        <v>1100</v>
      </c>
      <c r="I367" s="206">
        <f t="shared" ref="I367" si="8649">IF(I363="","",H367)</f>
        <v>1100</v>
      </c>
      <c r="J367" s="207">
        <f t="shared" ref="J367" si="8650">IF(J363="","",I367)</f>
        <v>1100</v>
      </c>
      <c r="K367" s="206">
        <f t="shared" ref="K367" si="8651">IF(K363="","",J367)</f>
        <v>1100</v>
      </c>
      <c r="L367" s="206">
        <f t="shared" ref="L367" si="8652">IF(L363="","",K367)</f>
        <v>1100</v>
      </c>
      <c r="M367" s="206">
        <f t="shared" ref="M367" si="8653">IF(M363="","",L367)</f>
        <v>1100</v>
      </c>
      <c r="N367" s="207" t="str">
        <f t="shared" ref="N367" si="8654">IF(N363="","",M367)</f>
        <v/>
      </c>
      <c r="O367" s="206" t="str">
        <f t="shared" ref="O367" si="8655">IF(O363="","",N367)</f>
        <v/>
      </c>
      <c r="P367" s="206" t="str">
        <f t="shared" ref="P367" si="8656">IF(P363="","",O367)</f>
        <v/>
      </c>
      <c r="Q367" s="206" t="str">
        <f t="shared" ref="Q367" si="8657">IF(Q363="","",P367)</f>
        <v/>
      </c>
      <c r="R367" s="206" t="str">
        <f t="shared" ref="R367" si="8658">IF(R363="","",Q367)</f>
        <v/>
      </c>
      <c r="S367" s="206" t="str">
        <f t="shared" ref="S367" si="8659">IF(S363="","",R367)</f>
        <v/>
      </c>
      <c r="T367" s="206" t="str">
        <f t="shared" ref="T367" si="8660">IF(T363="","",S367)</f>
        <v/>
      </c>
      <c r="U367" s="206" t="str">
        <f t="shared" ref="U367" si="8661">IF(U363="","",T367)</f>
        <v/>
      </c>
      <c r="V367" s="206" t="str">
        <f t="shared" ref="V367" si="8662">IF(V363="","",U367)</f>
        <v/>
      </c>
      <c r="W367" s="206" t="str">
        <f t="shared" ref="W367" si="8663">IF(W363="","",V367)</f>
        <v/>
      </c>
      <c r="X367" s="206" t="str">
        <f t="shared" ref="X367" si="8664">IF(X363="","",W367)</f>
        <v/>
      </c>
      <c r="Y367" s="206" t="str">
        <f t="shared" ref="Y367" si="8665">IF(Y363="","",X367)</f>
        <v/>
      </c>
      <c r="Z367" s="206" t="str">
        <f t="shared" ref="Z367" si="8666">IF(Z363="","",Y367)</f>
        <v/>
      </c>
      <c r="AA367" s="206" t="str">
        <f t="shared" ref="AA367" si="8667">IF(AA363="","",Z367)</f>
        <v/>
      </c>
      <c r="AB367" s="206" t="str">
        <f t="shared" ref="AB367" si="8668">IF(AB363="","",AA367)</f>
        <v/>
      </c>
      <c r="AC367" s="206" t="str">
        <f t="shared" ref="AC367" si="8669">IF(AC363="","",AB367)</f>
        <v/>
      </c>
      <c r="AD367" s="206" t="str">
        <f t="shared" ref="AD367" si="8670">IF(AD363="","",AC367)</f>
        <v/>
      </c>
      <c r="AE367" s="206" t="str">
        <f t="shared" ref="AE367" si="8671">IF(AE363="","",AD367)</f>
        <v/>
      </c>
      <c r="AF367" s="206" t="str">
        <f t="shared" ref="AF367" si="8672">IF(AF363="","",AE367)</f>
        <v/>
      </c>
      <c r="AG367" s="206" t="str">
        <f t="shared" ref="AG367" si="8673">IF(AG363="","",AF367)</f>
        <v/>
      </c>
      <c r="AH367" s="206" t="str">
        <f t="shared" ref="AH367" si="8674">IF(AH363="","",AG367)</f>
        <v/>
      </c>
      <c r="AI367" s="206" t="str">
        <f t="shared" ref="AI367" si="8675">IF(AI363="","",AH367)</f>
        <v/>
      </c>
      <c r="AJ367" s="206" t="str">
        <f t="shared" ref="AJ367" si="8676">IF(AJ363="","",AI367)</f>
        <v/>
      </c>
      <c r="AK367" s="206" t="str">
        <f t="shared" ref="AK367" si="8677">IF(AK363="","",AJ367)</f>
        <v/>
      </c>
      <c r="AL367" s="206" t="str">
        <f t="shared" ref="AL367" si="8678">IF(AL363="","",AK367)</f>
        <v/>
      </c>
      <c r="AM367" s="206" t="str">
        <f t="shared" ref="AM367" si="8679">IF(AM363="","",AL367)</f>
        <v/>
      </c>
      <c r="AN367" s="206" t="str">
        <f t="shared" ref="AN367" si="8680">IF(AN363="","",AM367)</f>
        <v/>
      </c>
      <c r="AO367" s="206" t="str">
        <f t="shared" ref="AO367" si="8681">IF(AO363="","",AN367)</f>
        <v/>
      </c>
      <c r="AP367" s="206" t="str">
        <f t="shared" ref="AP367" si="8682">IF(AP363="","",AO367)</f>
        <v/>
      </c>
      <c r="AQ367" s="206" t="str">
        <f t="shared" ref="AQ367" si="8683">IF(AQ363="","",AP367)</f>
        <v/>
      </c>
      <c r="AR367" s="206" t="str">
        <f t="shared" ref="AR367" si="8684">IF(AR363="","",AQ367)</f>
        <v/>
      </c>
      <c r="AS367" s="206" t="str">
        <f t="shared" ref="AS367" si="8685">IF(AS363="","",AR367)</f>
        <v/>
      </c>
      <c r="AT367" s="206" t="str">
        <f t="shared" ref="AT367" si="8686">IF(AT363="","",AS367)</f>
        <v/>
      </c>
      <c r="AU367" s="206" t="str">
        <f t="shared" ref="AU367" si="8687">IF(AU363="","",AT367)</f>
        <v/>
      </c>
      <c r="AV367" s="206" t="str">
        <f t="shared" ref="AV367" si="8688">IF(AV363="","",AU367)</f>
        <v/>
      </c>
      <c r="AW367" s="206" t="str">
        <f t="shared" ref="AW367" si="8689">IF(AW363="","",AV367)</f>
        <v/>
      </c>
      <c r="AX367" s="206" t="str">
        <f t="shared" ref="AX367" si="8690">IF(AX363="","",AW367)</f>
        <v/>
      </c>
      <c r="AY367" s="206" t="str">
        <f t="shared" ref="AY367" si="8691">IF(AY363="","",AX367)</f>
        <v/>
      </c>
      <c r="AZ367" s="206" t="str">
        <f t="shared" ref="AZ367" si="8692">IF(AZ363="","",AY367)</f>
        <v/>
      </c>
      <c r="BA367" s="206" t="str">
        <f t="shared" ref="BA367" si="8693">IF(BA363="","",AZ367)</f>
        <v/>
      </c>
      <c r="BB367" s="206" t="str">
        <f t="shared" ref="BB367" si="8694">IF(BB363="","",BA367)</f>
        <v/>
      </c>
      <c r="BC367" s="219" t="str">
        <f t="shared" ref="BC367" si="8695">IF(BC363="","",BB367)</f>
        <v/>
      </c>
    </row>
    <row r="368" spans="1:55" ht="11.25" customHeight="1" x14ac:dyDescent="0.2">
      <c r="A368" s="220" t="s">
        <v>9</v>
      </c>
      <c r="B368" s="17" t="s">
        <v>10</v>
      </c>
      <c r="C368" s="133" t="s">
        <v>288</v>
      </c>
      <c r="D368" s="18" t="s">
        <v>288</v>
      </c>
      <c r="E368" s="18" t="s">
        <v>288</v>
      </c>
      <c r="F368" s="18" t="s">
        <v>288</v>
      </c>
      <c r="G368" s="197" t="str">
        <f t="shared" ref="G368" si="8696">IF(G363="","",F368)</f>
        <v>ミニプリンター</v>
      </c>
      <c r="H368" s="18" t="str">
        <f t="shared" ref="H368" si="8697">IF(H363="","",G368)</f>
        <v>ミニプリンター</v>
      </c>
      <c r="I368" s="18" t="str">
        <f t="shared" ref="I368" si="8698">IF(I363="","",H368)</f>
        <v>ミニプリンター</v>
      </c>
      <c r="J368" s="197" t="s">
        <v>292</v>
      </c>
      <c r="K368" s="18" t="str">
        <f t="shared" ref="K368" si="8699">IF(K363="","",J368)</f>
        <v>アイススクイーズ</v>
      </c>
      <c r="L368" s="18" t="str">
        <f t="shared" ref="L368" si="8700">IF(L363="","",K368)</f>
        <v>アイススクイーズ</v>
      </c>
      <c r="M368" s="18" t="str">
        <f t="shared" ref="M368" si="8701">IF(M363="","",L368)</f>
        <v>アイススクイーズ</v>
      </c>
      <c r="N368" s="197" t="str">
        <f t="shared" ref="N368" si="8702">IF(N363="","",M368)</f>
        <v/>
      </c>
      <c r="O368" s="18" t="str">
        <f t="shared" ref="O368" si="8703">IF(O363="","",N368)</f>
        <v/>
      </c>
      <c r="P368" s="18" t="str">
        <f t="shared" ref="P368" si="8704">IF(P363="","",O368)</f>
        <v/>
      </c>
      <c r="Q368" s="18" t="str">
        <f t="shared" ref="Q368" si="8705">IF(Q363="","",P368)</f>
        <v/>
      </c>
      <c r="R368" s="18" t="str">
        <f t="shared" ref="R368" si="8706">IF(R363="","",Q368)</f>
        <v/>
      </c>
      <c r="S368" s="18" t="str">
        <f t="shared" ref="S368" si="8707">IF(S363="","",R368)</f>
        <v/>
      </c>
      <c r="T368" s="18" t="str">
        <f t="shared" ref="T368" si="8708">IF(T363="","",S368)</f>
        <v/>
      </c>
      <c r="U368" s="18" t="str">
        <f t="shared" ref="U368" si="8709">IF(U363="","",T368)</f>
        <v/>
      </c>
      <c r="V368" s="18" t="str">
        <f t="shared" ref="V368" si="8710">IF(V363="","",U368)</f>
        <v/>
      </c>
      <c r="W368" s="18" t="str">
        <f t="shared" ref="W368" si="8711">IF(W363="","",V368)</f>
        <v/>
      </c>
      <c r="X368" s="18" t="str">
        <f t="shared" ref="X368" si="8712">IF(X363="","",W368)</f>
        <v/>
      </c>
      <c r="Y368" s="18" t="str">
        <f t="shared" ref="Y368" si="8713">IF(Y363="","",X368)</f>
        <v/>
      </c>
      <c r="Z368" s="18" t="str">
        <f t="shared" ref="Z368" si="8714">IF(Z363="","",Y368)</f>
        <v/>
      </c>
      <c r="AA368" s="18" t="str">
        <f t="shared" ref="AA368" si="8715">IF(AA363="","",Z368)</f>
        <v/>
      </c>
      <c r="AB368" s="18" t="str">
        <f t="shared" ref="AB368" si="8716">IF(AB363="","",AA368)</f>
        <v/>
      </c>
      <c r="AC368" s="18" t="str">
        <f t="shared" ref="AC368" si="8717">IF(AC363="","",AB368)</f>
        <v/>
      </c>
      <c r="AD368" s="18" t="str">
        <f t="shared" ref="AD368" si="8718">IF(AD363="","",AC368)</f>
        <v/>
      </c>
      <c r="AE368" s="18" t="str">
        <f t="shared" ref="AE368" si="8719">IF(AE363="","",AD368)</f>
        <v/>
      </c>
      <c r="AF368" s="18" t="str">
        <f t="shared" ref="AF368" si="8720">IF(AF363="","",AE368)</f>
        <v/>
      </c>
      <c r="AG368" s="18" t="str">
        <f t="shared" ref="AG368" si="8721">IF(AG363="","",AF368)</f>
        <v/>
      </c>
      <c r="AH368" s="18" t="str">
        <f t="shared" ref="AH368" si="8722">IF(AH363="","",AG368)</f>
        <v/>
      </c>
      <c r="AI368" s="18" t="str">
        <f t="shared" ref="AI368" si="8723">IF(AI363="","",AH368)</f>
        <v/>
      </c>
      <c r="AJ368" s="18" t="str">
        <f t="shared" ref="AJ368" si="8724">IF(AJ363="","",AI368)</f>
        <v/>
      </c>
      <c r="AK368" s="18" t="str">
        <f t="shared" ref="AK368" si="8725">IF(AK363="","",AJ368)</f>
        <v/>
      </c>
      <c r="AL368" s="18" t="str">
        <f t="shared" ref="AL368" si="8726">IF(AL363="","",AK368)</f>
        <v/>
      </c>
      <c r="AM368" s="18" t="str">
        <f t="shared" ref="AM368" si="8727">IF(AM363="","",AL368)</f>
        <v/>
      </c>
      <c r="AN368" s="18" t="str">
        <f t="shared" ref="AN368" si="8728">IF(AN363="","",AM368)</f>
        <v/>
      </c>
      <c r="AO368" s="18" t="str">
        <f t="shared" ref="AO368" si="8729">IF(AO363="","",AN368)</f>
        <v/>
      </c>
      <c r="AP368" s="18" t="str">
        <f t="shared" ref="AP368" si="8730">IF(AP363="","",AO368)</f>
        <v/>
      </c>
      <c r="AQ368" s="18" t="str">
        <f t="shared" ref="AQ368" si="8731">IF(AQ363="","",AP368)</f>
        <v/>
      </c>
      <c r="AR368" s="18" t="str">
        <f t="shared" ref="AR368" si="8732">IF(AR363="","",AQ368)</f>
        <v/>
      </c>
      <c r="AS368" s="18" t="str">
        <f t="shared" ref="AS368" si="8733">IF(AS363="","",AR368)</f>
        <v/>
      </c>
      <c r="AT368" s="18" t="str">
        <f t="shared" ref="AT368" si="8734">IF(AT363="","",AS368)</f>
        <v/>
      </c>
      <c r="AU368" s="18" t="str">
        <f t="shared" ref="AU368" si="8735">IF(AU363="","",AT368)</f>
        <v/>
      </c>
      <c r="AV368" s="18" t="str">
        <f t="shared" ref="AV368" si="8736">IF(AV363="","",AU368)</f>
        <v/>
      </c>
      <c r="AW368" s="18" t="str">
        <f t="shared" ref="AW368" si="8737">IF(AW363="","",AV368)</f>
        <v/>
      </c>
      <c r="AX368" s="18" t="str">
        <f t="shared" ref="AX368" si="8738">IF(AX363="","",AW368)</f>
        <v/>
      </c>
      <c r="AY368" s="18" t="str">
        <f t="shared" ref="AY368" si="8739">IF(AY363="","",AX368)</f>
        <v/>
      </c>
      <c r="AZ368" s="18" t="str">
        <f t="shared" ref="AZ368" si="8740">IF(AZ363="","",AY368)</f>
        <v/>
      </c>
      <c r="BA368" s="18" t="str">
        <f t="shared" ref="BA368" si="8741">IF(BA363="","",AZ368)</f>
        <v/>
      </c>
      <c r="BB368" s="18" t="str">
        <f t="shared" ref="BB368" si="8742">IF(BB363="","",BA368)</f>
        <v/>
      </c>
      <c r="BC368" s="221" t="str">
        <f t="shared" ref="BC368" si="8743">IF(BC363="","",BB368)</f>
        <v/>
      </c>
    </row>
    <row r="369" spans="1:55" ht="11.25" customHeight="1" x14ac:dyDescent="0.2">
      <c r="A369" s="222">
        <f>AVERAGE(C370:AS370)*30*100</f>
        <v>15545.454545454544</v>
      </c>
      <c r="B369" s="11" t="s">
        <v>12</v>
      </c>
      <c r="C369" s="123"/>
      <c r="D369" s="12"/>
      <c r="E369" s="12"/>
      <c r="F369" s="12"/>
      <c r="G369" s="195"/>
      <c r="H369" s="12"/>
      <c r="I369" s="12"/>
      <c r="J369" s="195" t="s">
        <v>293</v>
      </c>
      <c r="K369" s="12"/>
      <c r="L369" s="12"/>
      <c r="M369" s="12"/>
      <c r="N369" s="195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215"/>
    </row>
    <row r="370" spans="1:55" ht="11.25" customHeight="1" x14ac:dyDescent="0.2">
      <c r="A370" s="222">
        <f t="shared" ref="A370:A373" si="8744">SUM(C370:AS370)</f>
        <v>57</v>
      </c>
      <c r="B370" s="19" t="s">
        <v>13</v>
      </c>
      <c r="C370" s="123">
        <v>0</v>
      </c>
      <c r="D370" s="20">
        <v>0</v>
      </c>
      <c r="E370" s="20">
        <v>0</v>
      </c>
      <c r="F370" s="20">
        <v>0</v>
      </c>
      <c r="G370" s="195">
        <f t="shared" ref="G370:G371" si="8745">IF(G363="","",G363-F363)</f>
        <v>0</v>
      </c>
      <c r="H370" s="20">
        <f t="shared" ref="H370:H371" si="8746">IF(H363="","",H363-G363)</f>
        <v>0</v>
      </c>
      <c r="I370" s="20">
        <f t="shared" ref="I370:I371" si="8747">IF(I363="","",I363-H363)</f>
        <v>57</v>
      </c>
      <c r="J370" s="195">
        <f t="shared" ref="J370:J371" si="8748">IF(J363="","",J363-I363)</f>
        <v>0</v>
      </c>
      <c r="K370" s="20">
        <f t="shared" ref="K370:K371" si="8749">IF(K363="","",K363-J363)</f>
        <v>0</v>
      </c>
      <c r="L370" s="20">
        <f t="shared" ref="L370:L371" si="8750">IF(L363="","",L363-K363)</f>
        <v>0</v>
      </c>
      <c r="M370" s="20">
        <f t="shared" ref="M370:M371" si="8751">IF(M363="","",M363-L363)</f>
        <v>0</v>
      </c>
      <c r="N370" s="195" t="str">
        <f t="shared" ref="N370:N371" si="8752">IF(N363="","",N363-M363)</f>
        <v/>
      </c>
      <c r="O370" s="20" t="str">
        <f t="shared" ref="O370:O371" si="8753">IF(O363="","",O363-N363)</f>
        <v/>
      </c>
      <c r="P370" s="20" t="str">
        <f t="shared" ref="P370:P371" si="8754">IF(P363="","",P363-O363)</f>
        <v/>
      </c>
      <c r="Q370" s="20" t="str">
        <f t="shared" ref="Q370:Q371" si="8755">IF(Q363="","",Q363-P363)</f>
        <v/>
      </c>
      <c r="R370" s="20" t="str">
        <f t="shared" ref="R370:R371" si="8756">IF(R363="","",R363-Q363)</f>
        <v/>
      </c>
      <c r="S370" s="20" t="str">
        <f t="shared" ref="S370:S371" si="8757">IF(S363="","",S363-R363)</f>
        <v/>
      </c>
      <c r="T370" s="20" t="str">
        <f t="shared" ref="T370:T371" si="8758">IF(T363="","",T363-S363)</f>
        <v/>
      </c>
      <c r="U370" s="20" t="str">
        <f t="shared" ref="U370:U371" si="8759">IF(U363="","",U363-T363)</f>
        <v/>
      </c>
      <c r="V370" s="20" t="str">
        <f t="shared" ref="V370:V371" si="8760">IF(V363="","",V363-U363)</f>
        <v/>
      </c>
      <c r="W370" s="20" t="str">
        <f t="shared" ref="W370:W371" si="8761">IF(W363="","",W363-V363)</f>
        <v/>
      </c>
      <c r="X370" s="20" t="str">
        <f t="shared" ref="X370:X371" si="8762">IF(X363="","",X363-W363)</f>
        <v/>
      </c>
      <c r="Y370" s="20" t="str">
        <f t="shared" ref="Y370:Y371" si="8763">IF(Y363="","",Y363-X363)</f>
        <v/>
      </c>
      <c r="Z370" s="20" t="str">
        <f t="shared" ref="Z370:Z371" si="8764">IF(Z363="","",Z363-Y363)</f>
        <v/>
      </c>
      <c r="AA370" s="20" t="str">
        <f t="shared" ref="AA370:AA371" si="8765">IF(AA363="","",AA363-Z363)</f>
        <v/>
      </c>
      <c r="AB370" s="20" t="str">
        <f t="shared" ref="AB370:AB371" si="8766">IF(AB363="","",AB363-AA363)</f>
        <v/>
      </c>
      <c r="AC370" s="20" t="str">
        <f t="shared" ref="AC370:AC371" si="8767">IF(AC363="","",AC363-AB363)</f>
        <v/>
      </c>
      <c r="AD370" s="20" t="str">
        <f t="shared" ref="AD370:AD371" si="8768">IF(AD363="","",AD363-AC363)</f>
        <v/>
      </c>
      <c r="AE370" s="20" t="str">
        <f t="shared" ref="AE370:AE371" si="8769">IF(AE363="","",AE363-AD363)</f>
        <v/>
      </c>
      <c r="AF370" s="20" t="str">
        <f t="shared" ref="AF370:AF371" si="8770">IF(AF363="","",AF363-AE363)</f>
        <v/>
      </c>
      <c r="AG370" s="20" t="str">
        <f t="shared" ref="AG370:AG371" si="8771">IF(AG363="","",AG363-AF363)</f>
        <v/>
      </c>
      <c r="AH370" s="20" t="str">
        <f t="shared" ref="AH370:AH371" si="8772">IF(AH363="","",AH363-AG363)</f>
        <v/>
      </c>
      <c r="AI370" s="20" t="str">
        <f t="shared" ref="AI370:AI371" si="8773">IF(AI363="","",AI363-AH363)</f>
        <v/>
      </c>
      <c r="AJ370" s="20" t="str">
        <f t="shared" ref="AJ370:AJ371" si="8774">IF(AJ363="","",AJ363-AI363)</f>
        <v/>
      </c>
      <c r="AK370" s="20" t="str">
        <f t="shared" ref="AK370:AK371" si="8775">IF(AK363="","",AK363-AJ363)</f>
        <v/>
      </c>
      <c r="AL370" s="20" t="str">
        <f t="shared" ref="AL370:AL371" si="8776">IF(AL363="","",AL363-AK363)</f>
        <v/>
      </c>
      <c r="AM370" s="20" t="str">
        <f t="shared" ref="AM370:AM371" si="8777">IF(AM363="","",AM363-AL363)</f>
        <v/>
      </c>
      <c r="AN370" s="20" t="str">
        <f t="shared" ref="AN370:AN371" si="8778">IF(AN363="","",AN363-AM363)</f>
        <v/>
      </c>
      <c r="AO370" s="20" t="str">
        <f t="shared" ref="AO370:AO371" si="8779">IF(AO363="","",AO363-AN363)</f>
        <v/>
      </c>
      <c r="AP370" s="20" t="str">
        <f t="shared" ref="AP370:AP371" si="8780">IF(AP363="","",AP363-AO363)</f>
        <v/>
      </c>
      <c r="AQ370" s="20" t="str">
        <f t="shared" ref="AQ370:AQ371" si="8781">IF(AQ363="","",AQ363-AP363)</f>
        <v/>
      </c>
      <c r="AR370" s="20" t="str">
        <f t="shared" ref="AR370:AR371" si="8782">IF(AR363="","",AR363-AQ363)</f>
        <v/>
      </c>
      <c r="AS370" s="20" t="str">
        <f t="shared" ref="AS370:AS371" si="8783">IF(AS363="","",AS363-AR363)</f>
        <v/>
      </c>
      <c r="AT370" s="20" t="str">
        <f t="shared" ref="AT370:AT371" si="8784">IF(AT363="","",AT363-AS363)</f>
        <v/>
      </c>
      <c r="AU370" s="20" t="str">
        <f t="shared" ref="AU370:AU371" si="8785">IF(AU363="","",AU363-AT363)</f>
        <v/>
      </c>
      <c r="AV370" s="20" t="str">
        <f t="shared" ref="AV370:AV371" si="8786">IF(AV363="","",AV363-AU363)</f>
        <v/>
      </c>
      <c r="AW370" s="20" t="str">
        <f t="shared" ref="AW370:AW371" si="8787">IF(AW363="","",AW363-AV363)</f>
        <v/>
      </c>
      <c r="AX370" s="20" t="str">
        <f t="shared" ref="AX370:AX371" si="8788">IF(AX363="","",AX363-AW363)</f>
        <v/>
      </c>
      <c r="AY370" s="20" t="str">
        <f t="shared" ref="AY370:AY371" si="8789">IF(AY363="","",AY363-AX363)</f>
        <v/>
      </c>
      <c r="AZ370" s="20" t="str">
        <f t="shared" ref="AZ370:AZ371" si="8790">IF(AZ363="","",AZ363-AY363)</f>
        <v/>
      </c>
      <c r="BA370" s="20" t="str">
        <f t="shared" ref="BA370:BA371" si="8791">IF(BA363="","",BA363-AZ363)</f>
        <v/>
      </c>
      <c r="BB370" s="20" t="str">
        <f t="shared" ref="BB370:BB371" si="8792">IF(BB363="","",BB363-BA363)</f>
        <v/>
      </c>
      <c r="BC370" s="223" t="str">
        <f t="shared" ref="BC370:BC371" si="8793">IF(BC363="","",BC363-BB363)</f>
        <v/>
      </c>
    </row>
    <row r="371" spans="1:55" ht="11.25" customHeight="1" x14ac:dyDescent="0.2">
      <c r="A371" s="222">
        <f t="shared" si="8744"/>
        <v>0</v>
      </c>
      <c r="B371" s="19" t="s">
        <v>14</v>
      </c>
      <c r="C371" s="123">
        <v>0</v>
      </c>
      <c r="D371" s="20">
        <v>0</v>
      </c>
      <c r="E371" s="20">
        <v>0</v>
      </c>
      <c r="F371" s="20">
        <v>0</v>
      </c>
      <c r="G371" s="195">
        <f t="shared" si="8745"/>
        <v>0</v>
      </c>
      <c r="H371" s="20">
        <f t="shared" si="8746"/>
        <v>0</v>
      </c>
      <c r="I371" s="20">
        <f t="shared" si="8747"/>
        <v>0</v>
      </c>
      <c r="J371" s="195">
        <f t="shared" si="8748"/>
        <v>0</v>
      </c>
      <c r="K371" s="20">
        <f t="shared" si="8749"/>
        <v>0</v>
      </c>
      <c r="L371" s="20">
        <f t="shared" si="8750"/>
        <v>0</v>
      </c>
      <c r="M371" s="20">
        <f t="shared" si="8751"/>
        <v>0</v>
      </c>
      <c r="N371" s="195" t="str">
        <f t="shared" si="8752"/>
        <v/>
      </c>
      <c r="O371" s="20" t="str">
        <f t="shared" si="8753"/>
        <v/>
      </c>
      <c r="P371" s="20" t="str">
        <f t="shared" si="8754"/>
        <v/>
      </c>
      <c r="Q371" s="20" t="str">
        <f t="shared" si="8755"/>
        <v/>
      </c>
      <c r="R371" s="20" t="str">
        <f t="shared" si="8756"/>
        <v/>
      </c>
      <c r="S371" s="20" t="str">
        <f t="shared" si="8757"/>
        <v/>
      </c>
      <c r="T371" s="20" t="str">
        <f t="shared" si="8758"/>
        <v/>
      </c>
      <c r="U371" s="20" t="str">
        <f t="shared" si="8759"/>
        <v/>
      </c>
      <c r="V371" s="20" t="str">
        <f t="shared" si="8760"/>
        <v/>
      </c>
      <c r="W371" s="20" t="str">
        <f t="shared" si="8761"/>
        <v/>
      </c>
      <c r="X371" s="20" t="str">
        <f t="shared" si="8762"/>
        <v/>
      </c>
      <c r="Y371" s="20" t="str">
        <f t="shared" si="8763"/>
        <v/>
      </c>
      <c r="Z371" s="20" t="str">
        <f t="shared" si="8764"/>
        <v/>
      </c>
      <c r="AA371" s="20" t="str">
        <f t="shared" si="8765"/>
        <v/>
      </c>
      <c r="AB371" s="20" t="str">
        <f t="shared" si="8766"/>
        <v/>
      </c>
      <c r="AC371" s="20" t="str">
        <f t="shared" si="8767"/>
        <v/>
      </c>
      <c r="AD371" s="20" t="str">
        <f t="shared" si="8768"/>
        <v/>
      </c>
      <c r="AE371" s="20" t="str">
        <f t="shared" si="8769"/>
        <v/>
      </c>
      <c r="AF371" s="20" t="str">
        <f t="shared" si="8770"/>
        <v/>
      </c>
      <c r="AG371" s="20" t="str">
        <f t="shared" si="8771"/>
        <v/>
      </c>
      <c r="AH371" s="20" t="str">
        <f t="shared" si="8772"/>
        <v/>
      </c>
      <c r="AI371" s="20" t="str">
        <f t="shared" si="8773"/>
        <v/>
      </c>
      <c r="AJ371" s="20" t="str">
        <f t="shared" si="8774"/>
        <v/>
      </c>
      <c r="AK371" s="20" t="str">
        <f t="shared" si="8775"/>
        <v/>
      </c>
      <c r="AL371" s="20" t="str">
        <f t="shared" si="8776"/>
        <v/>
      </c>
      <c r="AM371" s="20" t="str">
        <f t="shared" si="8777"/>
        <v/>
      </c>
      <c r="AN371" s="20" t="str">
        <f t="shared" si="8778"/>
        <v/>
      </c>
      <c r="AO371" s="20" t="str">
        <f t="shared" si="8779"/>
        <v/>
      </c>
      <c r="AP371" s="20" t="str">
        <f t="shared" si="8780"/>
        <v/>
      </c>
      <c r="AQ371" s="20" t="str">
        <f t="shared" si="8781"/>
        <v/>
      </c>
      <c r="AR371" s="20" t="str">
        <f t="shared" si="8782"/>
        <v/>
      </c>
      <c r="AS371" s="20" t="str">
        <f t="shared" si="8783"/>
        <v/>
      </c>
      <c r="AT371" s="20" t="str">
        <f t="shared" si="8784"/>
        <v/>
      </c>
      <c r="AU371" s="20" t="str">
        <f t="shared" si="8785"/>
        <v/>
      </c>
      <c r="AV371" s="20" t="str">
        <f t="shared" si="8786"/>
        <v/>
      </c>
      <c r="AW371" s="20" t="str">
        <f t="shared" si="8787"/>
        <v/>
      </c>
      <c r="AX371" s="20" t="str">
        <f t="shared" si="8788"/>
        <v/>
      </c>
      <c r="AY371" s="20" t="str">
        <f t="shared" si="8789"/>
        <v/>
      </c>
      <c r="AZ371" s="20" t="str">
        <f t="shared" si="8790"/>
        <v/>
      </c>
      <c r="BA371" s="20" t="str">
        <f t="shared" si="8791"/>
        <v/>
      </c>
      <c r="BB371" s="20" t="str">
        <f t="shared" si="8792"/>
        <v/>
      </c>
      <c r="BC371" s="223" t="str">
        <f t="shared" si="8793"/>
        <v/>
      </c>
    </row>
    <row r="372" spans="1:55" ht="11.25" customHeight="1" x14ac:dyDescent="0.2">
      <c r="A372" s="222">
        <f t="shared" si="8744"/>
        <v>1</v>
      </c>
      <c r="B372" s="19" t="s">
        <v>15</v>
      </c>
      <c r="C372" s="123">
        <v>0</v>
      </c>
      <c r="D372" s="20">
        <v>0</v>
      </c>
      <c r="E372" s="20">
        <v>0</v>
      </c>
      <c r="F372" s="20">
        <v>0</v>
      </c>
      <c r="G372" s="195">
        <f t="shared" ref="G372" si="8794">IF(G365="","",F365+F366-G365)</f>
        <v>0</v>
      </c>
      <c r="H372" s="20">
        <f t="shared" ref="H372" si="8795">IF(H365="","",G365+G366-H365)</f>
        <v>0</v>
      </c>
      <c r="I372" s="20">
        <f t="shared" ref="I372" si="8796">IF(I365="","",H365+H366-I365)</f>
        <v>1</v>
      </c>
      <c r="J372" s="195">
        <f t="shared" ref="J372" si="8797">IF(J365="","",I365+I366-J365)</f>
        <v>0</v>
      </c>
      <c r="K372" s="20">
        <f t="shared" ref="K372" si="8798">IF(K365="","",J365+J366-K365)</f>
        <v>0</v>
      </c>
      <c r="L372" s="20">
        <f t="shared" ref="L372" si="8799">IF(L365="","",K365+K366-L365)</f>
        <v>0</v>
      </c>
      <c r="M372" s="20">
        <f t="shared" ref="M372" si="8800">IF(M365="","",L365+L366-M365)</f>
        <v>0</v>
      </c>
      <c r="N372" s="195" t="str">
        <f t="shared" ref="N372" si="8801">IF(N365="","",M365+M366-N365)</f>
        <v/>
      </c>
      <c r="O372" s="20" t="str">
        <f t="shared" ref="O372" si="8802">IF(O365="","",N365+N366-O365)</f>
        <v/>
      </c>
      <c r="P372" s="20" t="str">
        <f t="shared" ref="P372" si="8803">IF(P365="","",O365+O366-P365)</f>
        <v/>
      </c>
      <c r="Q372" s="20" t="str">
        <f t="shared" ref="Q372" si="8804">IF(Q365="","",P365+P366-Q365)</f>
        <v/>
      </c>
      <c r="R372" s="20" t="str">
        <f t="shared" ref="R372" si="8805">IF(R365="","",Q365+Q366-R365)</f>
        <v/>
      </c>
      <c r="S372" s="20" t="str">
        <f t="shared" ref="S372" si="8806">IF(S365="","",R365+R366-S365)</f>
        <v/>
      </c>
      <c r="T372" s="20" t="str">
        <f t="shared" ref="T372" si="8807">IF(T365="","",S365+S366-T365)</f>
        <v/>
      </c>
      <c r="U372" s="20" t="str">
        <f t="shared" ref="U372" si="8808">IF(U365="","",T365+T366-U365)</f>
        <v/>
      </c>
      <c r="V372" s="20" t="str">
        <f t="shared" ref="V372" si="8809">IF(V365="","",U365+U366-V365)</f>
        <v/>
      </c>
      <c r="W372" s="20" t="str">
        <f t="shared" ref="W372" si="8810">IF(W365="","",V365+V366-W365)</f>
        <v/>
      </c>
      <c r="X372" s="20" t="str">
        <f t="shared" ref="X372" si="8811">IF(X365="","",W365+W366-X365)</f>
        <v/>
      </c>
      <c r="Y372" s="20" t="str">
        <f t="shared" ref="Y372" si="8812">IF(Y365="","",X365+X366-Y365)</f>
        <v/>
      </c>
      <c r="Z372" s="20" t="str">
        <f t="shared" ref="Z372" si="8813">IF(Z365="","",Y365+Y366-Z365)</f>
        <v/>
      </c>
      <c r="AA372" s="20" t="str">
        <f t="shared" ref="AA372" si="8814">IF(AA365="","",Z365+Z366-AA365)</f>
        <v/>
      </c>
      <c r="AB372" s="20" t="str">
        <f t="shared" ref="AB372" si="8815">IF(AB365="","",AA365+AA366-AB365)</f>
        <v/>
      </c>
      <c r="AC372" s="20" t="str">
        <f t="shared" ref="AC372" si="8816">IF(AC365="","",AB365+AB366-AC365)</f>
        <v/>
      </c>
      <c r="AD372" s="20" t="str">
        <f t="shared" ref="AD372" si="8817">IF(AD365="","",AC365+AC366-AD365)</f>
        <v/>
      </c>
      <c r="AE372" s="20" t="str">
        <f t="shared" ref="AE372" si="8818">IF(AE365="","",AD365+AD366-AE365)</f>
        <v/>
      </c>
      <c r="AF372" s="20" t="str">
        <f t="shared" ref="AF372" si="8819">IF(AF365="","",AE365+AE366-AF365)</f>
        <v/>
      </c>
      <c r="AG372" s="20" t="str">
        <f t="shared" ref="AG372" si="8820">IF(AG365="","",AF365+AF366-AG365)</f>
        <v/>
      </c>
      <c r="AH372" s="20" t="str">
        <f t="shared" ref="AH372" si="8821">IF(AH365="","",AG365+AG366-AH365)</f>
        <v/>
      </c>
      <c r="AI372" s="20" t="str">
        <f t="shared" ref="AI372" si="8822">IF(AI365="","",AH365+AH366-AI365)</f>
        <v/>
      </c>
      <c r="AJ372" s="20" t="str">
        <f t="shared" ref="AJ372" si="8823">IF(AJ365="","",AI365+AI366-AJ365)</f>
        <v/>
      </c>
      <c r="AK372" s="20" t="str">
        <f t="shared" ref="AK372" si="8824">IF(AK365="","",AJ365+AJ366-AK365)</f>
        <v/>
      </c>
      <c r="AL372" s="20" t="str">
        <f t="shared" ref="AL372" si="8825">IF(AL365="","",AK365+AK366-AL365)</f>
        <v/>
      </c>
      <c r="AM372" s="20" t="str">
        <f t="shared" ref="AM372" si="8826">IF(AM365="","",AL365+AL366-AM365)</f>
        <v/>
      </c>
      <c r="AN372" s="20" t="str">
        <f t="shared" ref="AN372" si="8827">IF(AN365="","",AM365+AM366-AN365)</f>
        <v/>
      </c>
      <c r="AO372" s="20" t="str">
        <f t="shared" ref="AO372" si="8828">IF(AO365="","",AN365+AN366-AO365)</f>
        <v/>
      </c>
      <c r="AP372" s="20" t="str">
        <f t="shared" ref="AP372" si="8829">IF(AP365="","",AO365+AO366-AP365)</f>
        <v/>
      </c>
      <c r="AQ372" s="20" t="str">
        <f t="shared" ref="AQ372" si="8830">IF(AQ365="","",AP365+AP366-AQ365)</f>
        <v/>
      </c>
      <c r="AR372" s="20" t="str">
        <f t="shared" ref="AR372" si="8831">IF(AR365="","",AQ365+AQ366-AR365)</f>
        <v/>
      </c>
      <c r="AS372" s="20" t="str">
        <f t="shared" ref="AS372" si="8832">IF(AS365="","",AR365+AR366-AS365)</f>
        <v/>
      </c>
      <c r="AT372" s="20" t="str">
        <f t="shared" ref="AT372" si="8833">IF(AT365="","",AS365+AS366-AT365)</f>
        <v/>
      </c>
      <c r="AU372" s="20" t="str">
        <f t="shared" ref="AU372" si="8834">IF(AU365="","",AT365+AT366-AU365)</f>
        <v/>
      </c>
      <c r="AV372" s="20" t="str">
        <f t="shared" ref="AV372" si="8835">IF(AV365="","",AU365+AU366-AV365)</f>
        <v/>
      </c>
      <c r="AW372" s="20" t="str">
        <f t="shared" ref="AW372" si="8836">IF(AW365="","",AV365+AV366-AW365)</f>
        <v/>
      </c>
      <c r="AX372" s="20" t="str">
        <f t="shared" ref="AX372" si="8837">IF(AX365="","",AW365+AW366-AX365)</f>
        <v/>
      </c>
      <c r="AY372" s="20" t="str">
        <f t="shared" ref="AY372" si="8838">IF(AY365="","",AX365+AX366-AY365)</f>
        <v/>
      </c>
      <c r="AZ372" s="20" t="str">
        <f t="shared" ref="AZ372" si="8839">IF(AZ365="","",AY365+AY366-AZ365)</f>
        <v/>
      </c>
      <c r="BA372" s="20" t="str">
        <f t="shared" ref="BA372" si="8840">IF(BA365="","",AZ365+AZ366-BA365)</f>
        <v/>
      </c>
      <c r="BB372" s="20" t="str">
        <f t="shared" ref="BB372" si="8841">IF(BB365="","",BA365+BA366-BB365)</f>
        <v/>
      </c>
      <c r="BC372" s="223" t="str">
        <f t="shared" ref="BC372" si="8842">IF(BC365="","",BB365+BB366-BC365)</f>
        <v/>
      </c>
    </row>
    <row r="373" spans="1:55" ht="11.25" customHeight="1" x14ac:dyDescent="0.2">
      <c r="A373" s="222">
        <f t="shared" si="8744"/>
        <v>1100</v>
      </c>
      <c r="B373" s="19" t="s">
        <v>16</v>
      </c>
      <c r="C373" s="123">
        <v>0</v>
      </c>
      <c r="D373" s="20">
        <v>0</v>
      </c>
      <c r="E373" s="20">
        <v>0</v>
      </c>
      <c r="F373" s="20">
        <v>0</v>
      </c>
      <c r="G373" s="195">
        <f t="shared" ref="D373:BC373" si="8843">IF(G363="","",G372*G367)</f>
        <v>0</v>
      </c>
      <c r="H373" s="20">
        <f t="shared" si="8843"/>
        <v>0</v>
      </c>
      <c r="I373" s="20">
        <f t="shared" si="8843"/>
        <v>1100</v>
      </c>
      <c r="J373" s="195">
        <f t="shared" si="8843"/>
        <v>0</v>
      </c>
      <c r="K373" s="20">
        <f t="shared" si="8843"/>
        <v>0</v>
      </c>
      <c r="L373" s="20">
        <f t="shared" si="8843"/>
        <v>0</v>
      </c>
      <c r="M373" s="20">
        <f t="shared" si="8843"/>
        <v>0</v>
      </c>
      <c r="N373" s="195" t="str">
        <f t="shared" si="8843"/>
        <v/>
      </c>
      <c r="O373" s="20" t="str">
        <f t="shared" si="8843"/>
        <v/>
      </c>
      <c r="P373" s="20" t="str">
        <f t="shared" si="8843"/>
        <v/>
      </c>
      <c r="Q373" s="20" t="str">
        <f t="shared" si="8843"/>
        <v/>
      </c>
      <c r="R373" s="20" t="str">
        <f t="shared" si="8843"/>
        <v/>
      </c>
      <c r="S373" s="20" t="str">
        <f t="shared" si="8843"/>
        <v/>
      </c>
      <c r="T373" s="20" t="str">
        <f t="shared" si="8843"/>
        <v/>
      </c>
      <c r="U373" s="20" t="str">
        <f t="shared" si="8843"/>
        <v/>
      </c>
      <c r="V373" s="20" t="str">
        <f t="shared" si="8843"/>
        <v/>
      </c>
      <c r="W373" s="20" t="str">
        <f t="shared" si="8843"/>
        <v/>
      </c>
      <c r="X373" s="20" t="str">
        <f t="shared" si="8843"/>
        <v/>
      </c>
      <c r="Y373" s="20" t="str">
        <f t="shared" si="8843"/>
        <v/>
      </c>
      <c r="Z373" s="20" t="str">
        <f t="shared" si="8843"/>
        <v/>
      </c>
      <c r="AA373" s="20" t="str">
        <f t="shared" si="8843"/>
        <v/>
      </c>
      <c r="AB373" s="20" t="str">
        <f t="shared" si="8843"/>
        <v/>
      </c>
      <c r="AC373" s="20" t="str">
        <f t="shared" si="8843"/>
        <v/>
      </c>
      <c r="AD373" s="20" t="str">
        <f t="shared" si="8843"/>
        <v/>
      </c>
      <c r="AE373" s="20" t="str">
        <f t="shared" si="8843"/>
        <v/>
      </c>
      <c r="AF373" s="20" t="str">
        <f t="shared" si="8843"/>
        <v/>
      </c>
      <c r="AG373" s="20" t="str">
        <f t="shared" si="8843"/>
        <v/>
      </c>
      <c r="AH373" s="20" t="str">
        <f t="shared" si="8843"/>
        <v/>
      </c>
      <c r="AI373" s="20" t="str">
        <f t="shared" si="8843"/>
        <v/>
      </c>
      <c r="AJ373" s="20" t="str">
        <f t="shared" si="8843"/>
        <v/>
      </c>
      <c r="AK373" s="20" t="str">
        <f t="shared" si="8843"/>
        <v/>
      </c>
      <c r="AL373" s="20" t="str">
        <f t="shared" si="8843"/>
        <v/>
      </c>
      <c r="AM373" s="20" t="str">
        <f t="shared" si="8843"/>
        <v/>
      </c>
      <c r="AN373" s="20" t="str">
        <f t="shared" si="8843"/>
        <v/>
      </c>
      <c r="AO373" s="20" t="str">
        <f t="shared" si="8843"/>
        <v/>
      </c>
      <c r="AP373" s="20" t="str">
        <f t="shared" si="8843"/>
        <v/>
      </c>
      <c r="AQ373" s="20" t="str">
        <f t="shared" si="8843"/>
        <v/>
      </c>
      <c r="AR373" s="20" t="str">
        <f t="shared" si="8843"/>
        <v/>
      </c>
      <c r="AS373" s="20" t="str">
        <f t="shared" si="8843"/>
        <v/>
      </c>
      <c r="AT373" s="20" t="str">
        <f t="shared" si="8843"/>
        <v/>
      </c>
      <c r="AU373" s="20" t="str">
        <f t="shared" si="8843"/>
        <v/>
      </c>
      <c r="AV373" s="20" t="str">
        <f t="shared" si="8843"/>
        <v/>
      </c>
      <c r="AW373" s="20" t="str">
        <f t="shared" si="8843"/>
        <v/>
      </c>
      <c r="AX373" s="20" t="str">
        <f t="shared" si="8843"/>
        <v/>
      </c>
      <c r="AY373" s="20" t="str">
        <f t="shared" si="8843"/>
        <v/>
      </c>
      <c r="AZ373" s="20" t="str">
        <f t="shared" si="8843"/>
        <v/>
      </c>
      <c r="BA373" s="20" t="str">
        <f t="shared" si="8843"/>
        <v/>
      </c>
      <c r="BB373" s="20" t="str">
        <f t="shared" si="8843"/>
        <v/>
      </c>
      <c r="BC373" s="223" t="str">
        <f t="shared" si="8843"/>
        <v/>
      </c>
    </row>
    <row r="374" spans="1:55" ht="11.25" customHeight="1" thickBot="1" x14ac:dyDescent="0.25">
      <c r="A374" s="227">
        <f>IF(A373="","",A373/(A370*100))</f>
        <v>0.19298245614035087</v>
      </c>
      <c r="B374" s="228" t="s">
        <v>17</v>
      </c>
      <c r="C374" s="229" t="s">
        <v>18</v>
      </c>
      <c r="D374" s="230" t="s">
        <v>18</v>
      </c>
      <c r="E374" s="230" t="s">
        <v>18</v>
      </c>
      <c r="F374" s="230" t="s">
        <v>18</v>
      </c>
      <c r="G374" s="231" t="str">
        <f t="shared" ref="D374:BC374" si="8844">IF(G373="","",IF(G373=0,"",G373/(G370*100)))</f>
        <v/>
      </c>
      <c r="H374" s="230" t="str">
        <f t="shared" si="8844"/>
        <v/>
      </c>
      <c r="I374" s="230">
        <f t="shared" si="8844"/>
        <v>0.19298245614035087</v>
      </c>
      <c r="J374" s="231" t="str">
        <f t="shared" si="8844"/>
        <v/>
      </c>
      <c r="K374" s="230" t="str">
        <f t="shared" si="8844"/>
        <v/>
      </c>
      <c r="L374" s="230" t="str">
        <f t="shared" si="8844"/>
        <v/>
      </c>
      <c r="M374" s="230" t="str">
        <f t="shared" si="8844"/>
        <v/>
      </c>
      <c r="N374" s="231" t="str">
        <f t="shared" si="8844"/>
        <v/>
      </c>
      <c r="O374" s="230" t="str">
        <f t="shared" si="8844"/>
        <v/>
      </c>
      <c r="P374" s="230" t="str">
        <f t="shared" si="8844"/>
        <v/>
      </c>
      <c r="Q374" s="230" t="str">
        <f t="shared" si="8844"/>
        <v/>
      </c>
      <c r="R374" s="230" t="str">
        <f t="shared" si="8844"/>
        <v/>
      </c>
      <c r="S374" s="230" t="str">
        <f t="shared" si="8844"/>
        <v/>
      </c>
      <c r="T374" s="230" t="str">
        <f t="shared" si="8844"/>
        <v/>
      </c>
      <c r="U374" s="230" t="str">
        <f t="shared" si="8844"/>
        <v/>
      </c>
      <c r="V374" s="230" t="str">
        <f t="shared" si="8844"/>
        <v/>
      </c>
      <c r="W374" s="230" t="str">
        <f t="shared" si="8844"/>
        <v/>
      </c>
      <c r="X374" s="230" t="str">
        <f t="shared" si="8844"/>
        <v/>
      </c>
      <c r="Y374" s="230" t="str">
        <f t="shared" si="8844"/>
        <v/>
      </c>
      <c r="Z374" s="230" t="str">
        <f t="shared" si="8844"/>
        <v/>
      </c>
      <c r="AA374" s="230" t="str">
        <f t="shared" si="8844"/>
        <v/>
      </c>
      <c r="AB374" s="230" t="str">
        <f t="shared" si="8844"/>
        <v/>
      </c>
      <c r="AC374" s="230" t="str">
        <f t="shared" si="8844"/>
        <v/>
      </c>
      <c r="AD374" s="230" t="str">
        <f t="shared" si="8844"/>
        <v/>
      </c>
      <c r="AE374" s="230" t="str">
        <f t="shared" si="8844"/>
        <v/>
      </c>
      <c r="AF374" s="230" t="str">
        <f t="shared" si="8844"/>
        <v/>
      </c>
      <c r="AG374" s="230" t="str">
        <f t="shared" si="8844"/>
        <v/>
      </c>
      <c r="AH374" s="230" t="str">
        <f t="shared" si="8844"/>
        <v/>
      </c>
      <c r="AI374" s="230" t="str">
        <f t="shared" si="8844"/>
        <v/>
      </c>
      <c r="AJ374" s="230" t="str">
        <f t="shared" si="8844"/>
        <v/>
      </c>
      <c r="AK374" s="230" t="str">
        <f t="shared" si="8844"/>
        <v/>
      </c>
      <c r="AL374" s="230" t="str">
        <f t="shared" si="8844"/>
        <v/>
      </c>
      <c r="AM374" s="230" t="str">
        <f t="shared" si="8844"/>
        <v/>
      </c>
      <c r="AN374" s="230" t="str">
        <f t="shared" si="8844"/>
        <v/>
      </c>
      <c r="AO374" s="230" t="str">
        <f t="shared" si="8844"/>
        <v/>
      </c>
      <c r="AP374" s="230" t="str">
        <f t="shared" si="8844"/>
        <v/>
      </c>
      <c r="AQ374" s="230" t="str">
        <f t="shared" si="8844"/>
        <v/>
      </c>
      <c r="AR374" s="230" t="str">
        <f t="shared" si="8844"/>
        <v/>
      </c>
      <c r="AS374" s="230" t="str">
        <f t="shared" si="8844"/>
        <v/>
      </c>
      <c r="AT374" s="230" t="str">
        <f t="shared" si="8844"/>
        <v/>
      </c>
      <c r="AU374" s="230" t="str">
        <f t="shared" si="8844"/>
        <v/>
      </c>
      <c r="AV374" s="230" t="str">
        <f t="shared" si="8844"/>
        <v/>
      </c>
      <c r="AW374" s="230" t="str">
        <f t="shared" si="8844"/>
        <v/>
      </c>
      <c r="AX374" s="230" t="str">
        <f t="shared" si="8844"/>
        <v/>
      </c>
      <c r="AY374" s="230" t="str">
        <f t="shared" si="8844"/>
        <v/>
      </c>
      <c r="AZ374" s="230" t="str">
        <f t="shared" si="8844"/>
        <v/>
      </c>
      <c r="BA374" s="230" t="str">
        <f t="shared" si="8844"/>
        <v/>
      </c>
      <c r="BB374" s="230" t="str">
        <f t="shared" si="8844"/>
        <v/>
      </c>
      <c r="BC374" s="232" t="str">
        <f t="shared" si="8844"/>
        <v/>
      </c>
    </row>
    <row r="375" spans="1:55" ht="11.25" customHeight="1" x14ac:dyDescent="0.25">
      <c r="A375" s="30"/>
      <c r="B375" s="30"/>
      <c r="C375" s="161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</row>
    <row r="376" spans="1:55" ht="11.25" customHeight="1" x14ac:dyDescent="0.25">
      <c r="A376" s="30"/>
      <c r="B376" s="30"/>
      <c r="C376" s="161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</row>
    <row r="377" spans="1:55" ht="11.25" customHeight="1" x14ac:dyDescent="0.25">
      <c r="A377" s="30"/>
      <c r="B377" s="30"/>
      <c r="C377" s="161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</row>
    <row r="378" spans="1:55" ht="11.25" customHeight="1" x14ac:dyDescent="0.25">
      <c r="A378" s="30"/>
      <c r="B378" s="30"/>
      <c r="C378" s="161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</row>
    <row r="379" spans="1:55" ht="11.25" customHeight="1" x14ac:dyDescent="0.25">
      <c r="A379" s="30"/>
      <c r="B379" s="30"/>
      <c r="C379" s="161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</row>
    <row r="380" spans="1:55" ht="11.25" customHeight="1" x14ac:dyDescent="0.25">
      <c r="A380" s="30"/>
      <c r="B380" s="30"/>
      <c r="C380" s="161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</row>
    <row r="381" spans="1:55" ht="11.25" customHeight="1" x14ac:dyDescent="0.25">
      <c r="A381" s="30"/>
      <c r="B381" s="30"/>
      <c r="C381" s="161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</row>
    <row r="382" spans="1:55" ht="11.25" customHeight="1" x14ac:dyDescent="0.25">
      <c r="A382" s="30"/>
      <c r="B382" s="30"/>
      <c r="C382" s="161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</row>
    <row r="383" spans="1:55" ht="11.25" customHeight="1" x14ac:dyDescent="0.25">
      <c r="A383" s="30"/>
      <c r="B383" s="30"/>
      <c r="C383" s="161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</row>
    <row r="384" spans="1:55" ht="11.25" customHeight="1" x14ac:dyDescent="0.25">
      <c r="A384" s="30"/>
      <c r="B384" s="30"/>
      <c r="C384" s="161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</row>
    <row r="385" spans="1:55" ht="11.25" customHeight="1" x14ac:dyDescent="0.25">
      <c r="A385" s="30"/>
      <c r="B385" s="30"/>
      <c r="C385" s="161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</row>
    <row r="386" spans="1:55" ht="11.25" customHeight="1" x14ac:dyDescent="0.25">
      <c r="A386" s="30"/>
      <c r="B386" s="30"/>
      <c r="C386" s="161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</row>
    <row r="387" spans="1:55" ht="11.25" customHeight="1" x14ac:dyDescent="0.25">
      <c r="A387" s="30"/>
      <c r="B387" s="30"/>
      <c r="C387" s="161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</row>
    <row r="388" spans="1:55" ht="11.25" customHeight="1" x14ac:dyDescent="0.25">
      <c r="A388" s="30"/>
      <c r="B388" s="30"/>
      <c r="C388" s="161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</row>
    <row r="389" spans="1:55" ht="11.25" customHeight="1" x14ac:dyDescent="0.25">
      <c r="A389" s="30"/>
      <c r="B389" s="30"/>
      <c r="C389" s="161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</row>
    <row r="390" spans="1:55" ht="11.25" customHeight="1" x14ac:dyDescent="0.25">
      <c r="A390" s="30"/>
      <c r="B390" s="30"/>
      <c r="C390" s="161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</row>
    <row r="391" spans="1:55" ht="11.25" customHeight="1" x14ac:dyDescent="0.25">
      <c r="A391" s="30"/>
      <c r="B391" s="30"/>
      <c r="C391" s="161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</row>
    <row r="392" spans="1:55" ht="11.25" customHeight="1" x14ac:dyDescent="0.25">
      <c r="A392" s="30"/>
      <c r="B392" s="30"/>
      <c r="C392" s="161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</row>
    <row r="393" spans="1:55" ht="11.25" customHeight="1" x14ac:dyDescent="0.25">
      <c r="A393" s="30"/>
      <c r="B393" s="30"/>
      <c r="C393" s="161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</row>
    <row r="394" spans="1:55" ht="11.25" customHeight="1" x14ac:dyDescent="0.25">
      <c r="A394" s="30"/>
      <c r="B394" s="30"/>
      <c r="C394" s="161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</row>
    <row r="395" spans="1:55" ht="11.25" customHeight="1" x14ac:dyDescent="0.25">
      <c r="A395" s="30"/>
      <c r="B395" s="30"/>
      <c r="C395" s="161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</row>
    <row r="396" spans="1:55" ht="11.25" customHeight="1" x14ac:dyDescent="0.25">
      <c r="A396" s="30"/>
      <c r="B396" s="30"/>
      <c r="C396" s="161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</row>
    <row r="397" spans="1:55" ht="11.25" customHeight="1" x14ac:dyDescent="0.25">
      <c r="A397" s="30"/>
      <c r="B397" s="30"/>
      <c r="C397" s="161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</row>
    <row r="398" spans="1:55" ht="11.25" customHeight="1" x14ac:dyDescent="0.25">
      <c r="A398" s="30"/>
      <c r="B398" s="30"/>
      <c r="C398" s="161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</row>
    <row r="399" spans="1:55" ht="11.25" customHeight="1" x14ac:dyDescent="0.25">
      <c r="A399" s="30"/>
      <c r="B399" s="30"/>
      <c r="C399" s="161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</row>
    <row r="400" spans="1:55" ht="11.25" customHeight="1" x14ac:dyDescent="0.25">
      <c r="A400" s="30"/>
      <c r="B400" s="30"/>
      <c r="C400" s="161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</row>
    <row r="401" spans="1:55" ht="11.25" customHeight="1" x14ac:dyDescent="0.25">
      <c r="A401" s="30"/>
      <c r="B401" s="30"/>
      <c r="C401" s="161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</row>
    <row r="402" spans="1:55" ht="11.25" customHeight="1" x14ac:dyDescent="0.25">
      <c r="A402" s="30"/>
      <c r="B402" s="30"/>
      <c r="C402" s="161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</row>
    <row r="403" spans="1:55" ht="11.25" customHeight="1" x14ac:dyDescent="0.25">
      <c r="A403" s="30"/>
      <c r="B403" s="30"/>
      <c r="C403" s="161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</row>
    <row r="404" spans="1:55" ht="11.25" customHeight="1" x14ac:dyDescent="0.25">
      <c r="A404" s="30"/>
      <c r="B404" s="30"/>
      <c r="C404" s="161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</row>
    <row r="405" spans="1:55" ht="11.25" customHeight="1" x14ac:dyDescent="0.25">
      <c r="A405" s="30"/>
      <c r="B405" s="30"/>
      <c r="C405" s="161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</row>
    <row r="406" spans="1:55" ht="11.25" customHeight="1" x14ac:dyDescent="0.25">
      <c r="A406" s="30"/>
      <c r="B406" s="30"/>
      <c r="C406" s="161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</row>
    <row r="407" spans="1:55" ht="11.25" customHeight="1" x14ac:dyDescent="0.25">
      <c r="A407" s="30"/>
      <c r="B407" s="30"/>
      <c r="C407" s="161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</row>
    <row r="408" spans="1:55" ht="11.25" customHeight="1" x14ac:dyDescent="0.25">
      <c r="A408" s="30"/>
      <c r="B408" s="30"/>
      <c r="C408" s="161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</row>
    <row r="409" spans="1:55" ht="11.25" customHeight="1" x14ac:dyDescent="0.25">
      <c r="A409" s="30"/>
      <c r="B409" s="30"/>
      <c r="C409" s="161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</row>
    <row r="410" spans="1:55" ht="11.25" customHeight="1" x14ac:dyDescent="0.25">
      <c r="A410" s="30"/>
      <c r="B410" s="30"/>
      <c r="C410" s="161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</row>
    <row r="411" spans="1:55" ht="11.25" customHeight="1" x14ac:dyDescent="0.25">
      <c r="A411" s="30"/>
      <c r="B411" s="30"/>
      <c r="C411" s="161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</row>
    <row r="412" spans="1:55" ht="11.25" customHeight="1" x14ac:dyDescent="0.25">
      <c r="A412" s="30"/>
      <c r="B412" s="30"/>
      <c r="C412" s="161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</row>
    <row r="413" spans="1:55" ht="11.25" customHeight="1" x14ac:dyDescent="0.25">
      <c r="A413" s="30"/>
      <c r="B413" s="30"/>
      <c r="C413" s="161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</row>
    <row r="414" spans="1:55" ht="11.25" customHeight="1" x14ac:dyDescent="0.25">
      <c r="A414" s="30"/>
      <c r="B414" s="30"/>
      <c r="C414" s="161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</row>
    <row r="415" spans="1:55" ht="11.25" customHeight="1" x14ac:dyDescent="0.25">
      <c r="A415" s="30"/>
      <c r="B415" s="30"/>
      <c r="C415" s="161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</row>
    <row r="416" spans="1:55" ht="11.25" customHeight="1" x14ac:dyDescent="0.25">
      <c r="A416" s="30"/>
      <c r="B416" s="30"/>
      <c r="C416" s="161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</row>
    <row r="417" spans="1:55" ht="11.25" customHeight="1" x14ac:dyDescent="0.25">
      <c r="A417" s="30"/>
      <c r="B417" s="30"/>
      <c r="C417" s="161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</row>
    <row r="418" spans="1:55" ht="11.25" customHeight="1" x14ac:dyDescent="0.25">
      <c r="A418" s="30"/>
      <c r="B418" s="30"/>
      <c r="C418" s="161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</row>
    <row r="419" spans="1:55" ht="11.25" customHeight="1" x14ac:dyDescent="0.25">
      <c r="A419" s="30"/>
      <c r="B419" s="30"/>
      <c r="C419" s="161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</row>
    <row r="420" spans="1:55" ht="11.25" customHeight="1" x14ac:dyDescent="0.25">
      <c r="A420" s="30"/>
      <c r="B420" s="30"/>
      <c r="C420" s="161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</row>
    <row r="421" spans="1:55" ht="11.25" customHeight="1" x14ac:dyDescent="0.25">
      <c r="A421" s="30"/>
      <c r="B421" s="30"/>
      <c r="C421" s="161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</row>
    <row r="422" spans="1:55" ht="11.25" customHeight="1" x14ac:dyDescent="0.25">
      <c r="A422" s="30"/>
      <c r="B422" s="30"/>
      <c r="C422" s="161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</row>
    <row r="423" spans="1:55" ht="11.25" customHeight="1" x14ac:dyDescent="0.25">
      <c r="A423" s="30"/>
      <c r="B423" s="30"/>
      <c r="C423" s="161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</row>
    <row r="424" spans="1:55" ht="11.25" customHeight="1" x14ac:dyDescent="0.25">
      <c r="A424" s="30"/>
      <c r="B424" s="30"/>
      <c r="C424" s="161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</row>
    <row r="425" spans="1:55" ht="11.25" customHeight="1" x14ac:dyDescent="0.25">
      <c r="A425" s="30"/>
      <c r="B425" s="30"/>
      <c r="C425" s="161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</row>
    <row r="426" spans="1:55" ht="11.25" customHeight="1" x14ac:dyDescent="0.25">
      <c r="A426" s="30"/>
      <c r="B426" s="30"/>
      <c r="C426" s="161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</row>
    <row r="427" spans="1:55" ht="11.25" customHeight="1" x14ac:dyDescent="0.25">
      <c r="A427" s="30"/>
      <c r="B427" s="30"/>
      <c r="C427" s="161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</row>
    <row r="428" spans="1:55" ht="11.25" customHeight="1" x14ac:dyDescent="0.25">
      <c r="A428" s="30"/>
      <c r="B428" s="30"/>
      <c r="C428" s="161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</row>
    <row r="429" spans="1:55" ht="11.25" customHeight="1" x14ac:dyDescent="0.25">
      <c r="A429" s="30"/>
      <c r="B429" s="30"/>
      <c r="C429" s="161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</row>
    <row r="430" spans="1:55" ht="11.25" customHeight="1" x14ac:dyDescent="0.25">
      <c r="A430" s="30"/>
      <c r="B430" s="30"/>
      <c r="C430" s="161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</row>
    <row r="431" spans="1:55" ht="11.25" customHeight="1" x14ac:dyDescent="0.25">
      <c r="A431" s="30"/>
      <c r="B431" s="30"/>
      <c r="C431" s="161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</row>
    <row r="432" spans="1:55" ht="11.25" customHeight="1" x14ac:dyDescent="0.25">
      <c r="A432" s="30"/>
      <c r="B432" s="30"/>
      <c r="C432" s="161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</row>
    <row r="433" spans="1:55" ht="11.25" customHeight="1" x14ac:dyDescent="0.25">
      <c r="A433" s="30"/>
      <c r="B433" s="30"/>
      <c r="C433" s="161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</row>
    <row r="434" spans="1:55" ht="11.25" customHeight="1" x14ac:dyDescent="0.25">
      <c r="A434" s="30"/>
      <c r="B434" s="30"/>
      <c r="C434" s="161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</row>
    <row r="435" spans="1:55" ht="11.25" customHeight="1" x14ac:dyDescent="0.25">
      <c r="A435" s="30"/>
      <c r="B435" s="30"/>
      <c r="C435" s="161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</row>
    <row r="436" spans="1:55" ht="11.25" customHeight="1" x14ac:dyDescent="0.25">
      <c r="A436" s="30"/>
      <c r="B436" s="30"/>
      <c r="C436" s="161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</row>
    <row r="437" spans="1:55" ht="11.25" customHeight="1" x14ac:dyDescent="0.25">
      <c r="A437" s="30"/>
      <c r="B437" s="30"/>
      <c r="C437" s="161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</row>
    <row r="438" spans="1:55" ht="11.25" customHeight="1" x14ac:dyDescent="0.25">
      <c r="A438" s="30"/>
      <c r="B438" s="30"/>
      <c r="C438" s="161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</row>
    <row r="439" spans="1:55" ht="11.25" customHeight="1" x14ac:dyDescent="0.25">
      <c r="A439" s="30"/>
      <c r="B439" s="30"/>
      <c r="C439" s="161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</row>
    <row r="440" spans="1:55" ht="11.25" customHeight="1" x14ac:dyDescent="0.25">
      <c r="A440" s="30"/>
      <c r="B440" s="30"/>
      <c r="C440" s="161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</row>
    <row r="441" spans="1:55" ht="11.25" customHeight="1" x14ac:dyDescent="0.25">
      <c r="A441" s="30"/>
      <c r="B441" s="30"/>
      <c r="C441" s="161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</row>
    <row r="442" spans="1:55" ht="11.25" customHeight="1" x14ac:dyDescent="0.25">
      <c r="A442" s="30"/>
      <c r="B442" s="30"/>
      <c r="C442" s="161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</row>
    <row r="443" spans="1:55" ht="11.25" customHeight="1" x14ac:dyDescent="0.25">
      <c r="A443" s="30"/>
      <c r="B443" s="30"/>
      <c r="C443" s="161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</row>
    <row r="444" spans="1:55" ht="11.25" customHeight="1" x14ac:dyDescent="0.25">
      <c r="A444" s="30"/>
      <c r="B444" s="30"/>
      <c r="C444" s="161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</row>
    <row r="445" spans="1:55" ht="11.25" customHeight="1" x14ac:dyDescent="0.25">
      <c r="A445" s="30"/>
      <c r="B445" s="30"/>
      <c r="C445" s="161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</row>
    <row r="446" spans="1:55" ht="11.25" customHeight="1" x14ac:dyDescent="0.25">
      <c r="A446" s="30"/>
      <c r="B446" s="30"/>
      <c r="C446" s="161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</row>
    <row r="447" spans="1:55" ht="11.25" customHeight="1" x14ac:dyDescent="0.25">
      <c r="A447" s="30"/>
      <c r="B447" s="30"/>
      <c r="C447" s="161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</row>
    <row r="448" spans="1:55" ht="11.25" customHeight="1" x14ac:dyDescent="0.25">
      <c r="A448" s="30"/>
      <c r="B448" s="30"/>
      <c r="C448" s="161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</row>
    <row r="449" spans="1:55" ht="11.25" customHeight="1" x14ac:dyDescent="0.25">
      <c r="A449" s="30"/>
      <c r="B449" s="30"/>
      <c r="C449" s="161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</row>
    <row r="450" spans="1:55" ht="11.25" customHeight="1" x14ac:dyDescent="0.25">
      <c r="A450" s="30"/>
      <c r="B450" s="30"/>
      <c r="C450" s="161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</row>
    <row r="451" spans="1:55" ht="11.25" customHeight="1" x14ac:dyDescent="0.25">
      <c r="A451" s="30"/>
      <c r="B451" s="30"/>
      <c r="C451" s="161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</row>
    <row r="452" spans="1:55" ht="11.25" customHeight="1" x14ac:dyDescent="0.25">
      <c r="A452" s="30"/>
      <c r="B452" s="30"/>
      <c r="C452" s="161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</row>
    <row r="453" spans="1:55" ht="11.25" customHeight="1" x14ac:dyDescent="0.25">
      <c r="A453" s="30"/>
      <c r="B453" s="30"/>
      <c r="C453" s="161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</row>
    <row r="454" spans="1:55" ht="11.25" customHeight="1" x14ac:dyDescent="0.25">
      <c r="A454" s="30"/>
      <c r="B454" s="30"/>
      <c r="C454" s="161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</row>
    <row r="455" spans="1:55" ht="11.25" customHeight="1" x14ac:dyDescent="0.25">
      <c r="A455" s="30"/>
      <c r="B455" s="30"/>
      <c r="C455" s="161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</row>
    <row r="456" spans="1:55" ht="11.25" customHeight="1" x14ac:dyDescent="0.25">
      <c r="A456" s="30"/>
      <c r="B456" s="30"/>
      <c r="C456" s="161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</row>
    <row r="457" spans="1:55" ht="11.25" customHeight="1" x14ac:dyDescent="0.25">
      <c r="A457" s="30"/>
      <c r="B457" s="30"/>
      <c r="C457" s="161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</row>
    <row r="458" spans="1:55" ht="11.25" customHeight="1" x14ac:dyDescent="0.25">
      <c r="A458" s="30"/>
      <c r="B458" s="30"/>
      <c r="C458" s="161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</row>
    <row r="459" spans="1:55" ht="11.25" customHeight="1" x14ac:dyDescent="0.25">
      <c r="A459" s="30"/>
      <c r="B459" s="30"/>
      <c r="C459" s="161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</row>
    <row r="460" spans="1:55" ht="11.25" customHeight="1" x14ac:dyDescent="0.25">
      <c r="A460" s="30"/>
      <c r="B460" s="30"/>
      <c r="C460" s="161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</row>
    <row r="461" spans="1:55" ht="11.25" customHeight="1" x14ac:dyDescent="0.25">
      <c r="A461" s="30"/>
      <c r="B461" s="30"/>
      <c r="C461" s="161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</row>
    <row r="462" spans="1:55" ht="11.25" customHeight="1" x14ac:dyDescent="0.25">
      <c r="A462" s="30"/>
      <c r="B462" s="30"/>
      <c r="C462" s="161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</row>
    <row r="463" spans="1:55" ht="11.25" customHeight="1" x14ac:dyDescent="0.25">
      <c r="A463" s="30"/>
      <c r="B463" s="30"/>
      <c r="C463" s="161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</row>
    <row r="464" spans="1:55" ht="11.25" customHeight="1" x14ac:dyDescent="0.25">
      <c r="A464" s="30"/>
      <c r="B464" s="30"/>
      <c r="C464" s="161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</row>
    <row r="465" spans="1:55" ht="11.25" customHeight="1" x14ac:dyDescent="0.25">
      <c r="A465" s="30"/>
      <c r="B465" s="30"/>
      <c r="C465" s="161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</row>
    <row r="466" spans="1:55" ht="11.25" customHeight="1" x14ac:dyDescent="0.25">
      <c r="A466" s="30"/>
      <c r="B466" s="30"/>
      <c r="C466" s="161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</row>
    <row r="467" spans="1:55" ht="11.25" customHeight="1" x14ac:dyDescent="0.25">
      <c r="A467" s="30"/>
      <c r="B467" s="30"/>
      <c r="C467" s="161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</row>
    <row r="468" spans="1:55" ht="11.25" customHeight="1" x14ac:dyDescent="0.25">
      <c r="A468" s="30"/>
      <c r="B468" s="30"/>
      <c r="C468" s="161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</row>
    <row r="469" spans="1:55" ht="11.25" customHeight="1" x14ac:dyDescent="0.25">
      <c r="A469" s="30"/>
      <c r="B469" s="30"/>
      <c r="C469" s="161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</row>
    <row r="470" spans="1:55" ht="11.25" customHeight="1" x14ac:dyDescent="0.25">
      <c r="A470" s="30"/>
      <c r="B470" s="30"/>
      <c r="C470" s="161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</row>
    <row r="471" spans="1:55" ht="11.25" customHeight="1" x14ac:dyDescent="0.25">
      <c r="A471" s="30"/>
      <c r="B471" s="30"/>
      <c r="C471" s="161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</row>
    <row r="472" spans="1:55" ht="11.25" customHeight="1" x14ac:dyDescent="0.25">
      <c r="A472" s="30"/>
      <c r="B472" s="30"/>
      <c r="C472" s="161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</row>
    <row r="473" spans="1:55" ht="11.25" customHeight="1" x14ac:dyDescent="0.25">
      <c r="A473" s="30"/>
      <c r="B473" s="30"/>
      <c r="C473" s="161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</row>
    <row r="474" spans="1:55" ht="11.25" customHeight="1" x14ac:dyDescent="0.25">
      <c r="A474" s="30"/>
      <c r="B474" s="30"/>
      <c r="C474" s="161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</row>
    <row r="475" spans="1:55" ht="11.25" customHeight="1" x14ac:dyDescent="0.25">
      <c r="A475" s="30"/>
      <c r="B475" s="30"/>
      <c r="C475" s="161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</row>
    <row r="476" spans="1:55" ht="11.25" customHeight="1" x14ac:dyDescent="0.25">
      <c r="A476" s="30"/>
      <c r="B476" s="30"/>
      <c r="C476" s="161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</row>
    <row r="477" spans="1:55" ht="11.25" customHeight="1" x14ac:dyDescent="0.25">
      <c r="A477" s="30"/>
      <c r="B477" s="30"/>
      <c r="C477" s="161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</row>
    <row r="478" spans="1:55" ht="11.25" customHeight="1" x14ac:dyDescent="0.25">
      <c r="A478" s="30"/>
      <c r="B478" s="30"/>
      <c r="C478" s="161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</row>
    <row r="479" spans="1:55" ht="11.25" customHeight="1" x14ac:dyDescent="0.25">
      <c r="A479" s="30"/>
      <c r="B479" s="30"/>
      <c r="C479" s="161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</row>
    <row r="480" spans="1:55" ht="11.25" customHeight="1" x14ac:dyDescent="0.25">
      <c r="A480" s="30"/>
      <c r="B480" s="30"/>
      <c r="C480" s="161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</row>
    <row r="481" spans="1:55" ht="11.25" customHeight="1" x14ac:dyDescent="0.25">
      <c r="A481" s="30"/>
      <c r="B481" s="30"/>
      <c r="C481" s="161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</row>
    <row r="482" spans="1:55" ht="11.25" customHeight="1" x14ac:dyDescent="0.25">
      <c r="A482" s="30"/>
      <c r="B482" s="30"/>
      <c r="C482" s="161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</row>
    <row r="483" spans="1:55" ht="11.25" customHeight="1" x14ac:dyDescent="0.25">
      <c r="A483" s="30"/>
      <c r="B483" s="30"/>
      <c r="C483" s="161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</row>
    <row r="484" spans="1:55" ht="11.25" customHeight="1" x14ac:dyDescent="0.25">
      <c r="A484" s="30"/>
      <c r="B484" s="30"/>
      <c r="C484" s="161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</row>
    <row r="485" spans="1:55" ht="11.25" customHeight="1" x14ac:dyDescent="0.25">
      <c r="A485" s="30"/>
      <c r="B485" s="30"/>
      <c r="C485" s="161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</row>
    <row r="486" spans="1:55" ht="11.25" customHeight="1" x14ac:dyDescent="0.25">
      <c r="A486" s="30"/>
      <c r="B486" s="30"/>
      <c r="C486" s="161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</row>
    <row r="487" spans="1:55" ht="11.25" customHeight="1" x14ac:dyDescent="0.25">
      <c r="A487" s="30"/>
      <c r="B487" s="30"/>
      <c r="C487" s="161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</row>
    <row r="488" spans="1:55" ht="11.25" customHeight="1" x14ac:dyDescent="0.25">
      <c r="A488" s="30"/>
      <c r="B488" s="30"/>
      <c r="C488" s="161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</row>
    <row r="489" spans="1:55" ht="11.25" customHeight="1" x14ac:dyDescent="0.25">
      <c r="A489" s="30"/>
      <c r="B489" s="30"/>
      <c r="C489" s="161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</row>
    <row r="490" spans="1:55" ht="11.25" customHeight="1" x14ac:dyDescent="0.25">
      <c r="A490" s="30"/>
      <c r="B490" s="30"/>
      <c r="C490" s="161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</row>
    <row r="491" spans="1:55" ht="11.25" customHeight="1" x14ac:dyDescent="0.25">
      <c r="A491" s="30"/>
      <c r="B491" s="30"/>
      <c r="C491" s="161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</row>
    <row r="492" spans="1:55" ht="11.25" customHeight="1" x14ac:dyDescent="0.25">
      <c r="A492" s="30"/>
      <c r="B492" s="30"/>
      <c r="C492" s="161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</row>
    <row r="493" spans="1:55" ht="11.25" customHeight="1" x14ac:dyDescent="0.25">
      <c r="A493" s="30"/>
      <c r="B493" s="30"/>
      <c r="C493" s="161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</row>
    <row r="494" spans="1:55" ht="11.25" customHeight="1" x14ac:dyDescent="0.25">
      <c r="A494" s="30"/>
      <c r="B494" s="30"/>
      <c r="C494" s="161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</row>
    <row r="495" spans="1:55" ht="11.25" customHeight="1" x14ac:dyDescent="0.25">
      <c r="A495" s="30"/>
      <c r="B495" s="30"/>
      <c r="C495" s="161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</row>
    <row r="496" spans="1:55" ht="11.25" customHeight="1" x14ac:dyDescent="0.25">
      <c r="A496" s="30"/>
      <c r="B496" s="30"/>
      <c r="C496" s="161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</row>
    <row r="497" spans="1:55" ht="11.25" customHeight="1" x14ac:dyDescent="0.25">
      <c r="A497" s="30"/>
      <c r="B497" s="30"/>
      <c r="C497" s="161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</row>
    <row r="498" spans="1:55" ht="11.25" customHeight="1" x14ac:dyDescent="0.25">
      <c r="A498" s="30"/>
      <c r="B498" s="30"/>
      <c r="C498" s="161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</row>
    <row r="499" spans="1:55" ht="11.25" customHeight="1" x14ac:dyDescent="0.25">
      <c r="A499" s="30"/>
      <c r="B499" s="30"/>
      <c r="C499" s="161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</row>
    <row r="500" spans="1:55" ht="11.25" customHeight="1" x14ac:dyDescent="0.25">
      <c r="A500" s="30"/>
      <c r="B500" s="30"/>
      <c r="C500" s="161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</row>
    <row r="501" spans="1:55" ht="11.25" customHeight="1" x14ac:dyDescent="0.25">
      <c r="A501" s="30"/>
      <c r="B501" s="30"/>
      <c r="C501" s="161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</row>
    <row r="502" spans="1:55" ht="11.25" customHeight="1" x14ac:dyDescent="0.25">
      <c r="A502" s="30"/>
      <c r="B502" s="30"/>
      <c r="C502" s="161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</row>
    <row r="503" spans="1:55" ht="11.25" customHeight="1" x14ac:dyDescent="0.25">
      <c r="A503" s="30"/>
      <c r="B503" s="30"/>
      <c r="C503" s="161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</row>
    <row r="504" spans="1:55" ht="11.25" customHeight="1" x14ac:dyDescent="0.25">
      <c r="A504" s="30"/>
      <c r="B504" s="30"/>
      <c r="C504" s="161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</row>
    <row r="505" spans="1:55" ht="11.25" customHeight="1" x14ac:dyDescent="0.25">
      <c r="A505" s="30"/>
      <c r="B505" s="30"/>
      <c r="C505" s="161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</row>
    <row r="506" spans="1:55" ht="11.25" customHeight="1" x14ac:dyDescent="0.25">
      <c r="A506" s="30"/>
      <c r="B506" s="30"/>
      <c r="C506" s="161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</row>
    <row r="507" spans="1:55" ht="11.25" customHeight="1" x14ac:dyDescent="0.25">
      <c r="A507" s="30"/>
      <c r="B507" s="30"/>
      <c r="C507" s="161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</row>
    <row r="508" spans="1:55" ht="11.25" customHeight="1" x14ac:dyDescent="0.25">
      <c r="A508" s="30"/>
      <c r="B508" s="30"/>
      <c r="C508" s="161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</row>
    <row r="509" spans="1:55" ht="11.25" customHeight="1" x14ac:dyDescent="0.25">
      <c r="A509" s="30"/>
      <c r="B509" s="30"/>
      <c r="C509" s="161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</row>
    <row r="510" spans="1:55" ht="11.25" customHeight="1" x14ac:dyDescent="0.25">
      <c r="A510" s="30"/>
      <c r="B510" s="30"/>
      <c r="C510" s="161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</row>
    <row r="511" spans="1:55" ht="11.25" customHeight="1" x14ac:dyDescent="0.25">
      <c r="A511" s="30"/>
      <c r="B511" s="30"/>
      <c r="C511" s="161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</row>
    <row r="512" spans="1:55" ht="11.25" customHeight="1" x14ac:dyDescent="0.25">
      <c r="A512" s="30"/>
      <c r="B512" s="30"/>
      <c r="C512" s="161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</row>
    <row r="513" spans="1:55" ht="11.25" customHeight="1" x14ac:dyDescent="0.25">
      <c r="A513" s="30"/>
      <c r="B513" s="30"/>
      <c r="C513" s="161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</row>
    <row r="514" spans="1:55" ht="11.25" customHeight="1" x14ac:dyDescent="0.25">
      <c r="A514" s="30"/>
      <c r="B514" s="30"/>
      <c r="C514" s="161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</row>
    <row r="515" spans="1:55" ht="11.25" customHeight="1" x14ac:dyDescent="0.25">
      <c r="A515" s="30"/>
      <c r="B515" s="30"/>
      <c r="C515" s="161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</row>
    <row r="516" spans="1:55" ht="11.25" customHeight="1" x14ac:dyDescent="0.25">
      <c r="A516" s="30"/>
      <c r="B516" s="30"/>
      <c r="C516" s="161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</row>
    <row r="517" spans="1:55" ht="11.25" customHeight="1" x14ac:dyDescent="0.25">
      <c r="A517" s="30"/>
      <c r="B517" s="30"/>
      <c r="C517" s="161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</row>
    <row r="518" spans="1:55" ht="11.25" customHeight="1" x14ac:dyDescent="0.25">
      <c r="A518" s="30"/>
      <c r="B518" s="30"/>
      <c r="C518" s="161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</row>
    <row r="519" spans="1:55" ht="11.25" customHeight="1" x14ac:dyDescent="0.25">
      <c r="A519" s="30"/>
      <c r="B519" s="30"/>
      <c r="C519" s="161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</row>
    <row r="520" spans="1:55" ht="11.25" customHeight="1" x14ac:dyDescent="0.25">
      <c r="A520" s="30"/>
      <c r="B520" s="30"/>
      <c r="C520" s="161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</row>
    <row r="521" spans="1:55" ht="11.25" customHeight="1" x14ac:dyDescent="0.25">
      <c r="A521" s="30"/>
      <c r="B521" s="30"/>
      <c r="C521" s="161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</row>
    <row r="522" spans="1:55" ht="11.25" customHeight="1" x14ac:dyDescent="0.25">
      <c r="A522" s="30"/>
      <c r="B522" s="30"/>
      <c r="C522" s="161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</row>
    <row r="523" spans="1:55" ht="11.25" customHeight="1" x14ac:dyDescent="0.25">
      <c r="A523" s="30"/>
      <c r="B523" s="30"/>
      <c r="C523" s="161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</row>
    <row r="524" spans="1:55" ht="11.25" customHeight="1" x14ac:dyDescent="0.25">
      <c r="A524" s="30"/>
      <c r="B524" s="30"/>
      <c r="C524" s="161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</row>
    <row r="525" spans="1:55" ht="11.25" customHeight="1" x14ac:dyDescent="0.25">
      <c r="A525" s="30"/>
      <c r="B525" s="30"/>
      <c r="C525" s="161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</row>
    <row r="526" spans="1:55" ht="11.25" customHeight="1" x14ac:dyDescent="0.25">
      <c r="A526" s="30"/>
      <c r="B526" s="30"/>
      <c r="C526" s="161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</row>
    <row r="527" spans="1:55" ht="11.25" customHeight="1" x14ac:dyDescent="0.25">
      <c r="A527" s="30"/>
      <c r="B527" s="30"/>
      <c r="C527" s="161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</row>
    <row r="528" spans="1:55" ht="11.25" customHeight="1" x14ac:dyDescent="0.25">
      <c r="A528" s="30"/>
      <c r="B528" s="30"/>
      <c r="C528" s="161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</row>
    <row r="529" spans="1:55" ht="11.25" customHeight="1" x14ac:dyDescent="0.25">
      <c r="A529" s="30"/>
      <c r="B529" s="30"/>
      <c r="C529" s="161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</row>
    <row r="530" spans="1:55" ht="11.25" customHeight="1" x14ac:dyDescent="0.25">
      <c r="A530" s="30"/>
      <c r="B530" s="30"/>
      <c r="C530" s="161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</row>
    <row r="531" spans="1:55" ht="11.25" customHeight="1" x14ac:dyDescent="0.25">
      <c r="A531" s="30"/>
      <c r="B531" s="30"/>
      <c r="C531" s="161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</row>
    <row r="532" spans="1:55" ht="11.25" customHeight="1" x14ac:dyDescent="0.25">
      <c r="A532" s="30"/>
      <c r="B532" s="30"/>
      <c r="C532" s="161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</row>
    <row r="533" spans="1:55" ht="11.25" customHeight="1" x14ac:dyDescent="0.25">
      <c r="A533" s="30"/>
      <c r="B533" s="30"/>
      <c r="C533" s="161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</row>
    <row r="534" spans="1:55" ht="11.25" customHeight="1" x14ac:dyDescent="0.25">
      <c r="A534" s="30"/>
      <c r="B534" s="30"/>
      <c r="C534" s="161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</row>
    <row r="535" spans="1:55" ht="11.25" customHeight="1" x14ac:dyDescent="0.25">
      <c r="A535" s="30"/>
      <c r="B535" s="30"/>
      <c r="C535" s="161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</row>
    <row r="536" spans="1:55" ht="11.25" customHeight="1" x14ac:dyDescent="0.25">
      <c r="A536" s="30"/>
      <c r="B536" s="30"/>
      <c r="C536" s="161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</row>
    <row r="537" spans="1:55" ht="11.25" customHeight="1" x14ac:dyDescent="0.25">
      <c r="A537" s="30"/>
      <c r="B537" s="30"/>
      <c r="C537" s="161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</row>
    <row r="538" spans="1:55" ht="11.25" customHeight="1" x14ac:dyDescent="0.25">
      <c r="A538" s="30"/>
      <c r="B538" s="30"/>
      <c r="C538" s="161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</row>
    <row r="539" spans="1:55" ht="11.25" customHeight="1" x14ac:dyDescent="0.25">
      <c r="A539" s="30"/>
      <c r="B539" s="30"/>
      <c r="C539" s="161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</row>
    <row r="540" spans="1:55" ht="11.25" customHeight="1" x14ac:dyDescent="0.25">
      <c r="A540" s="30"/>
      <c r="B540" s="30"/>
      <c r="C540" s="161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</row>
    <row r="541" spans="1:55" ht="11.25" customHeight="1" x14ac:dyDescent="0.25">
      <c r="A541" s="30"/>
      <c r="B541" s="30"/>
      <c r="C541" s="161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</row>
    <row r="542" spans="1:55" ht="11.25" customHeight="1" x14ac:dyDescent="0.25">
      <c r="A542" s="30"/>
      <c r="B542" s="30"/>
      <c r="C542" s="161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</row>
    <row r="543" spans="1:55" ht="11.25" customHeight="1" x14ac:dyDescent="0.25">
      <c r="A543" s="30"/>
      <c r="B543" s="30"/>
      <c r="C543" s="161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</row>
    <row r="544" spans="1:55" ht="11.25" customHeight="1" x14ac:dyDescent="0.25">
      <c r="A544" s="30"/>
      <c r="B544" s="30"/>
      <c r="C544" s="161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</row>
    <row r="545" spans="1:55" ht="11.25" customHeight="1" x14ac:dyDescent="0.25">
      <c r="A545" s="30"/>
      <c r="B545" s="30"/>
      <c r="C545" s="161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</row>
    <row r="546" spans="1:55" ht="11.25" customHeight="1" x14ac:dyDescent="0.25">
      <c r="A546" s="30"/>
      <c r="B546" s="30"/>
      <c r="C546" s="161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</row>
    <row r="547" spans="1:55" ht="11.25" customHeight="1" x14ac:dyDescent="0.25">
      <c r="A547" s="30"/>
      <c r="B547" s="30"/>
      <c r="C547" s="161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</row>
    <row r="548" spans="1:55" ht="11.25" customHeight="1" x14ac:dyDescent="0.25">
      <c r="A548" s="30"/>
      <c r="B548" s="30"/>
      <c r="C548" s="161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</row>
    <row r="549" spans="1:55" ht="11.25" customHeight="1" x14ac:dyDescent="0.25">
      <c r="A549" s="30"/>
      <c r="B549" s="30"/>
      <c r="C549" s="161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</row>
    <row r="550" spans="1:55" ht="11.25" customHeight="1" x14ac:dyDescent="0.25">
      <c r="A550" s="30"/>
      <c r="B550" s="30"/>
      <c r="C550" s="161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</row>
    <row r="551" spans="1:55" ht="11.25" customHeight="1" x14ac:dyDescent="0.25">
      <c r="A551" s="30"/>
      <c r="B551" s="30"/>
      <c r="C551" s="161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</row>
    <row r="552" spans="1:55" ht="11.25" customHeight="1" x14ac:dyDescent="0.25">
      <c r="A552" s="30"/>
      <c r="B552" s="30"/>
      <c r="C552" s="161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</row>
    <row r="553" spans="1:55" ht="11.25" customHeight="1" x14ac:dyDescent="0.25">
      <c r="A553" s="30"/>
      <c r="B553" s="30"/>
      <c r="C553" s="161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</row>
    <row r="554" spans="1:55" ht="11.25" customHeight="1" x14ac:dyDescent="0.25">
      <c r="A554" s="30"/>
      <c r="B554" s="30"/>
      <c r="C554" s="161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</row>
    <row r="555" spans="1:55" ht="11.25" customHeight="1" x14ac:dyDescent="0.25">
      <c r="A555" s="30"/>
      <c r="B555" s="30"/>
      <c r="C555" s="161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</row>
    <row r="556" spans="1:55" ht="11.25" customHeight="1" x14ac:dyDescent="0.25">
      <c r="A556" s="30"/>
      <c r="B556" s="30"/>
      <c r="C556" s="161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</row>
    <row r="557" spans="1:55" ht="11.25" customHeight="1" x14ac:dyDescent="0.25">
      <c r="A557" s="30"/>
      <c r="B557" s="30"/>
      <c r="C557" s="161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</row>
    <row r="558" spans="1:55" ht="11.25" customHeight="1" x14ac:dyDescent="0.25">
      <c r="A558" s="30"/>
      <c r="B558" s="30"/>
      <c r="C558" s="161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</row>
    <row r="559" spans="1:55" ht="11.25" customHeight="1" x14ac:dyDescent="0.25">
      <c r="A559" s="30"/>
      <c r="B559" s="30"/>
      <c r="C559" s="161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</row>
    <row r="560" spans="1:55" ht="11.25" customHeight="1" x14ac:dyDescent="0.25">
      <c r="A560" s="30"/>
      <c r="B560" s="30"/>
      <c r="C560" s="161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</row>
    <row r="561" spans="1:55" ht="11.25" customHeight="1" x14ac:dyDescent="0.25">
      <c r="A561" s="30"/>
      <c r="B561" s="30"/>
      <c r="C561" s="161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</row>
    <row r="562" spans="1:55" ht="11.25" customHeight="1" x14ac:dyDescent="0.25">
      <c r="A562" s="30"/>
      <c r="B562" s="30"/>
      <c r="C562" s="161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</row>
    <row r="563" spans="1:55" ht="11.25" customHeight="1" x14ac:dyDescent="0.25">
      <c r="A563" s="30"/>
      <c r="B563" s="30"/>
      <c r="C563" s="161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</row>
    <row r="564" spans="1:55" ht="11.25" customHeight="1" x14ac:dyDescent="0.25">
      <c r="A564" s="30"/>
      <c r="B564" s="30"/>
      <c r="C564" s="161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</row>
    <row r="565" spans="1:55" ht="11.25" customHeight="1" x14ac:dyDescent="0.25">
      <c r="A565" s="30"/>
      <c r="B565" s="30"/>
      <c r="C565" s="161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</row>
    <row r="566" spans="1:55" ht="11.25" customHeight="1" x14ac:dyDescent="0.25">
      <c r="A566" s="30"/>
      <c r="B566" s="30"/>
      <c r="C566" s="161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</row>
    <row r="567" spans="1:55" ht="11.25" customHeight="1" x14ac:dyDescent="0.25">
      <c r="A567" s="30"/>
      <c r="B567" s="30"/>
      <c r="C567" s="161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</row>
    <row r="568" spans="1:55" ht="11.25" customHeight="1" x14ac:dyDescent="0.25">
      <c r="A568" s="30"/>
      <c r="B568" s="30"/>
      <c r="C568" s="161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</row>
    <row r="569" spans="1:55" ht="11.25" customHeight="1" x14ac:dyDescent="0.25">
      <c r="A569" s="30"/>
      <c r="B569" s="30"/>
      <c r="C569" s="161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</row>
    <row r="570" spans="1:55" ht="11.25" customHeight="1" x14ac:dyDescent="0.25">
      <c r="A570" s="30"/>
      <c r="B570" s="30"/>
      <c r="C570" s="161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</row>
    <row r="571" spans="1:55" ht="11.25" customHeight="1" x14ac:dyDescent="0.25">
      <c r="A571" s="30"/>
      <c r="B571" s="30"/>
      <c r="C571" s="161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</row>
    <row r="572" spans="1:55" ht="11.25" customHeight="1" x14ac:dyDescent="0.25">
      <c r="A572" s="30"/>
      <c r="B572" s="30"/>
      <c r="C572" s="161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</row>
    <row r="573" spans="1:55" ht="11.25" customHeight="1" x14ac:dyDescent="0.25">
      <c r="A573" s="30"/>
      <c r="B573" s="30"/>
      <c r="C573" s="161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</row>
    <row r="574" spans="1:55" ht="11.25" customHeight="1" x14ac:dyDescent="0.25">
      <c r="A574" s="30"/>
      <c r="B574" s="30"/>
      <c r="C574" s="161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</row>
    <row r="575" spans="1:55" ht="11.25" customHeight="1" x14ac:dyDescent="0.25">
      <c r="A575" s="30"/>
      <c r="B575" s="30"/>
      <c r="C575" s="161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</row>
    <row r="576" spans="1:55" ht="11.25" customHeight="1" x14ac:dyDescent="0.25">
      <c r="A576" s="30"/>
      <c r="B576" s="30"/>
      <c r="C576" s="161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</row>
    <row r="577" spans="1:55" ht="11.25" customHeight="1" x14ac:dyDescent="0.25">
      <c r="A577" s="30"/>
      <c r="B577" s="30"/>
      <c r="C577" s="161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</row>
    <row r="578" spans="1:55" ht="11.25" customHeight="1" x14ac:dyDescent="0.25">
      <c r="A578" s="30"/>
      <c r="B578" s="30"/>
      <c r="C578" s="161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</row>
    <row r="579" spans="1:55" ht="11.25" customHeight="1" x14ac:dyDescent="0.25">
      <c r="A579" s="30"/>
      <c r="B579" s="30"/>
      <c r="C579" s="161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</row>
    <row r="580" spans="1:55" ht="11.25" customHeight="1" x14ac:dyDescent="0.25">
      <c r="A580" s="30"/>
      <c r="B580" s="30"/>
      <c r="C580" s="161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</row>
    <row r="581" spans="1:55" ht="11.25" customHeight="1" x14ac:dyDescent="0.25">
      <c r="A581" s="30"/>
      <c r="B581" s="30"/>
      <c r="C581" s="161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</row>
    <row r="582" spans="1:55" ht="11.25" customHeight="1" x14ac:dyDescent="0.25">
      <c r="A582" s="30"/>
      <c r="B582" s="30"/>
      <c r="C582" s="161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</row>
    <row r="583" spans="1:55" ht="11.25" customHeight="1" x14ac:dyDescent="0.25">
      <c r="A583" s="30"/>
      <c r="B583" s="30"/>
      <c r="C583" s="161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</row>
    <row r="584" spans="1:55" ht="11.25" customHeight="1" x14ac:dyDescent="0.25">
      <c r="A584" s="30"/>
      <c r="B584" s="30"/>
      <c r="C584" s="161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</row>
    <row r="585" spans="1:55" ht="11.25" customHeight="1" x14ac:dyDescent="0.25">
      <c r="A585" s="30"/>
      <c r="B585" s="30"/>
      <c r="C585" s="161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</row>
    <row r="586" spans="1:55" ht="11.25" customHeight="1" x14ac:dyDescent="0.25">
      <c r="A586" s="30"/>
      <c r="B586" s="30"/>
      <c r="C586" s="161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</row>
    <row r="587" spans="1:55" ht="11.25" customHeight="1" x14ac:dyDescent="0.25">
      <c r="A587" s="30"/>
      <c r="B587" s="30"/>
      <c r="C587" s="161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</row>
    <row r="588" spans="1:55" ht="11.25" customHeight="1" x14ac:dyDescent="0.25">
      <c r="A588" s="30"/>
      <c r="B588" s="30"/>
      <c r="C588" s="161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</row>
    <row r="589" spans="1:55" ht="11.25" customHeight="1" x14ac:dyDescent="0.25">
      <c r="A589" s="30"/>
      <c r="B589" s="30"/>
      <c r="C589" s="161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</row>
    <row r="590" spans="1:55" ht="11.25" customHeight="1" x14ac:dyDescent="0.25">
      <c r="A590" s="30"/>
      <c r="B590" s="30"/>
      <c r="C590" s="161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</row>
    <row r="591" spans="1:55" ht="11.25" customHeight="1" x14ac:dyDescent="0.25">
      <c r="A591" s="30"/>
      <c r="B591" s="30"/>
      <c r="C591" s="161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</row>
    <row r="592" spans="1:55" ht="11.25" customHeight="1" x14ac:dyDescent="0.25">
      <c r="A592" s="30"/>
      <c r="B592" s="30"/>
      <c r="C592" s="161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</row>
    <row r="593" spans="1:55" ht="11.25" customHeight="1" x14ac:dyDescent="0.25">
      <c r="A593" s="30"/>
      <c r="B593" s="30"/>
      <c r="C593" s="161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</row>
    <row r="594" spans="1:55" ht="11.25" customHeight="1" x14ac:dyDescent="0.25">
      <c r="A594" s="30"/>
      <c r="B594" s="30"/>
      <c r="C594" s="161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</row>
    <row r="595" spans="1:55" ht="11.25" customHeight="1" x14ac:dyDescent="0.25">
      <c r="A595" s="30"/>
      <c r="B595" s="30"/>
      <c r="C595" s="161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</row>
    <row r="596" spans="1:55" ht="11.25" customHeight="1" x14ac:dyDescent="0.25">
      <c r="A596" s="30"/>
      <c r="B596" s="30"/>
      <c r="C596" s="161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</row>
    <row r="597" spans="1:55" ht="11.25" customHeight="1" x14ac:dyDescent="0.25">
      <c r="A597" s="30"/>
      <c r="B597" s="30"/>
      <c r="C597" s="161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</row>
    <row r="598" spans="1:55" ht="11.25" customHeight="1" x14ac:dyDescent="0.25">
      <c r="A598" s="30"/>
      <c r="B598" s="30"/>
      <c r="C598" s="161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</row>
    <row r="599" spans="1:55" ht="11.25" customHeight="1" x14ac:dyDescent="0.25">
      <c r="A599" s="30"/>
      <c r="B599" s="30"/>
      <c r="C599" s="161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</row>
    <row r="600" spans="1:55" ht="11.25" customHeight="1" x14ac:dyDescent="0.25">
      <c r="A600" s="30"/>
      <c r="B600" s="30"/>
      <c r="C600" s="161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</row>
    <row r="601" spans="1:55" ht="11.25" customHeight="1" x14ac:dyDescent="0.25">
      <c r="A601" s="30"/>
      <c r="B601" s="30"/>
      <c r="C601" s="161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</row>
    <row r="602" spans="1:55" ht="11.25" customHeight="1" x14ac:dyDescent="0.25">
      <c r="A602" s="30"/>
      <c r="B602" s="30"/>
      <c r="C602" s="161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</row>
    <row r="603" spans="1:55" ht="11.25" customHeight="1" x14ac:dyDescent="0.25">
      <c r="A603" s="30"/>
      <c r="B603" s="30"/>
      <c r="C603" s="161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</row>
    <row r="604" spans="1:55" ht="11.25" customHeight="1" x14ac:dyDescent="0.25">
      <c r="A604" s="30"/>
      <c r="B604" s="30"/>
      <c r="C604" s="161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</row>
    <row r="605" spans="1:55" ht="11.25" customHeight="1" x14ac:dyDescent="0.25">
      <c r="A605" s="30"/>
      <c r="B605" s="30"/>
      <c r="C605" s="161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</row>
    <row r="606" spans="1:55" ht="11.25" customHeight="1" x14ac:dyDescent="0.25">
      <c r="A606" s="30"/>
      <c r="B606" s="30"/>
      <c r="C606" s="161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</row>
    <row r="607" spans="1:55" ht="11.25" customHeight="1" x14ac:dyDescent="0.25">
      <c r="A607" s="30"/>
      <c r="B607" s="30"/>
      <c r="C607" s="161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</row>
    <row r="608" spans="1:55" ht="11.25" customHeight="1" x14ac:dyDescent="0.25">
      <c r="A608" s="30"/>
      <c r="B608" s="30"/>
      <c r="C608" s="161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</row>
    <row r="609" spans="1:55" ht="11.25" customHeight="1" x14ac:dyDescent="0.25">
      <c r="A609" s="30"/>
      <c r="B609" s="30"/>
      <c r="C609" s="161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</row>
    <row r="610" spans="1:55" ht="11.25" customHeight="1" x14ac:dyDescent="0.25">
      <c r="A610" s="30"/>
      <c r="B610" s="30"/>
      <c r="C610" s="161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</row>
    <row r="611" spans="1:55" ht="11.25" customHeight="1" x14ac:dyDescent="0.25">
      <c r="A611" s="30"/>
      <c r="B611" s="30"/>
      <c r="C611" s="161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</row>
    <row r="612" spans="1:55" ht="11.25" customHeight="1" x14ac:dyDescent="0.25">
      <c r="A612" s="30"/>
      <c r="B612" s="30"/>
      <c r="C612" s="161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</row>
    <row r="613" spans="1:55" ht="11.25" customHeight="1" x14ac:dyDescent="0.25">
      <c r="A613" s="30"/>
      <c r="B613" s="30"/>
      <c r="C613" s="161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</row>
    <row r="614" spans="1:55" ht="11.25" customHeight="1" x14ac:dyDescent="0.25">
      <c r="A614" s="30"/>
      <c r="B614" s="30"/>
      <c r="C614" s="161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</row>
    <row r="615" spans="1:55" ht="11.25" customHeight="1" x14ac:dyDescent="0.25">
      <c r="A615" s="30"/>
      <c r="B615" s="30"/>
      <c r="C615" s="161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</row>
    <row r="616" spans="1:55" ht="11.25" customHeight="1" x14ac:dyDescent="0.25">
      <c r="A616" s="30"/>
      <c r="B616" s="30"/>
      <c r="C616" s="161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</row>
    <row r="617" spans="1:55" ht="11.25" customHeight="1" x14ac:dyDescent="0.25">
      <c r="A617" s="30"/>
      <c r="B617" s="30"/>
      <c r="C617" s="161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</row>
    <row r="618" spans="1:55" ht="11.25" customHeight="1" x14ac:dyDescent="0.25">
      <c r="A618" s="30"/>
      <c r="B618" s="30"/>
      <c r="C618" s="161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</row>
    <row r="619" spans="1:55" ht="11.25" customHeight="1" x14ac:dyDescent="0.25">
      <c r="A619" s="30"/>
      <c r="B619" s="30"/>
      <c r="C619" s="161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</row>
    <row r="620" spans="1:55" ht="11.25" customHeight="1" x14ac:dyDescent="0.25">
      <c r="A620" s="30"/>
      <c r="B620" s="30"/>
      <c r="C620" s="161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</row>
    <row r="621" spans="1:55" ht="11.25" customHeight="1" x14ac:dyDescent="0.25">
      <c r="A621" s="30"/>
      <c r="B621" s="30"/>
      <c r="C621" s="161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</row>
    <row r="622" spans="1:55" ht="11.25" customHeight="1" x14ac:dyDescent="0.25">
      <c r="A622" s="30"/>
      <c r="B622" s="30"/>
      <c r="C622" s="161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</row>
    <row r="623" spans="1:55" ht="11.25" customHeight="1" x14ac:dyDescent="0.25">
      <c r="A623" s="30"/>
      <c r="B623" s="30"/>
      <c r="C623" s="161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</row>
    <row r="624" spans="1:55" ht="11.25" customHeight="1" x14ac:dyDescent="0.25">
      <c r="A624" s="30"/>
      <c r="B624" s="30"/>
      <c r="C624" s="161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</row>
    <row r="625" spans="1:55" ht="11.25" customHeight="1" x14ac:dyDescent="0.25">
      <c r="A625" s="30"/>
      <c r="B625" s="30"/>
      <c r="C625" s="161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</row>
    <row r="626" spans="1:55" ht="11.25" customHeight="1" x14ac:dyDescent="0.25">
      <c r="A626" s="30"/>
      <c r="B626" s="30"/>
      <c r="C626" s="161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</row>
    <row r="627" spans="1:55" ht="11.25" customHeight="1" x14ac:dyDescent="0.25">
      <c r="A627" s="30"/>
      <c r="B627" s="30"/>
      <c r="C627" s="161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</row>
    <row r="628" spans="1:55" ht="11.25" customHeight="1" x14ac:dyDescent="0.25">
      <c r="A628" s="30"/>
      <c r="B628" s="30"/>
      <c r="C628" s="161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</row>
    <row r="629" spans="1:55" ht="11.25" customHeight="1" x14ac:dyDescent="0.25">
      <c r="A629" s="30"/>
      <c r="B629" s="30"/>
      <c r="C629" s="161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</row>
    <row r="630" spans="1:55" ht="11.25" customHeight="1" x14ac:dyDescent="0.25">
      <c r="A630" s="30"/>
      <c r="B630" s="30"/>
      <c r="C630" s="161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</row>
    <row r="631" spans="1:55" ht="11.25" customHeight="1" x14ac:dyDescent="0.25">
      <c r="A631" s="30"/>
      <c r="B631" s="30"/>
      <c r="C631" s="161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</row>
    <row r="632" spans="1:55" ht="11.25" customHeight="1" x14ac:dyDescent="0.25">
      <c r="A632" s="30"/>
      <c r="B632" s="30"/>
      <c r="C632" s="161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</row>
    <row r="633" spans="1:55" ht="11.25" customHeight="1" x14ac:dyDescent="0.25">
      <c r="A633" s="30"/>
      <c r="B633" s="30"/>
      <c r="C633" s="161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</row>
    <row r="634" spans="1:55" ht="11.25" customHeight="1" x14ac:dyDescent="0.25">
      <c r="A634" s="30"/>
      <c r="B634" s="30"/>
      <c r="C634" s="161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</row>
    <row r="635" spans="1:55" ht="11.25" customHeight="1" x14ac:dyDescent="0.25">
      <c r="A635" s="30"/>
      <c r="B635" s="30"/>
      <c r="C635" s="161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</row>
    <row r="636" spans="1:55" ht="11.25" customHeight="1" x14ac:dyDescent="0.25">
      <c r="A636" s="30"/>
      <c r="B636" s="30"/>
      <c r="C636" s="161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</row>
    <row r="637" spans="1:55" ht="11.25" customHeight="1" x14ac:dyDescent="0.25">
      <c r="A637" s="30"/>
      <c r="B637" s="30"/>
      <c r="C637" s="161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</row>
    <row r="638" spans="1:55" ht="11.25" customHeight="1" x14ac:dyDescent="0.25">
      <c r="A638" s="30"/>
      <c r="B638" s="30"/>
      <c r="C638" s="161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</row>
    <row r="639" spans="1:55" ht="11.25" customHeight="1" x14ac:dyDescent="0.25">
      <c r="A639" s="30"/>
      <c r="B639" s="30"/>
      <c r="C639" s="161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</row>
    <row r="640" spans="1:55" ht="11.25" customHeight="1" x14ac:dyDescent="0.25">
      <c r="A640" s="30"/>
      <c r="B640" s="30"/>
      <c r="C640" s="161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</row>
    <row r="641" spans="1:55" ht="11.25" customHeight="1" x14ac:dyDescent="0.25">
      <c r="A641" s="30"/>
      <c r="B641" s="30"/>
      <c r="C641" s="161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</row>
    <row r="642" spans="1:55" ht="11.25" customHeight="1" x14ac:dyDescent="0.25">
      <c r="A642" s="30"/>
      <c r="B642" s="30"/>
      <c r="C642" s="161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</row>
    <row r="643" spans="1:55" ht="11.25" customHeight="1" x14ac:dyDescent="0.25">
      <c r="A643" s="30"/>
      <c r="B643" s="30"/>
      <c r="C643" s="161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</row>
    <row r="644" spans="1:55" ht="11.25" customHeight="1" x14ac:dyDescent="0.25">
      <c r="A644" s="30"/>
      <c r="B644" s="30"/>
      <c r="C644" s="161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</row>
    <row r="645" spans="1:55" ht="11.25" customHeight="1" x14ac:dyDescent="0.25">
      <c r="A645" s="30"/>
      <c r="B645" s="30"/>
      <c r="C645" s="161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</row>
    <row r="646" spans="1:55" ht="11.25" customHeight="1" x14ac:dyDescent="0.25">
      <c r="A646" s="30"/>
      <c r="B646" s="30"/>
      <c r="C646" s="161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</row>
    <row r="647" spans="1:55" ht="11.25" customHeight="1" x14ac:dyDescent="0.25">
      <c r="A647" s="30"/>
      <c r="B647" s="30"/>
      <c r="C647" s="161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</row>
    <row r="648" spans="1:55" ht="11.25" customHeight="1" x14ac:dyDescent="0.25">
      <c r="A648" s="30"/>
      <c r="B648" s="30"/>
      <c r="C648" s="161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</row>
    <row r="649" spans="1:55" ht="11.25" customHeight="1" x14ac:dyDescent="0.25">
      <c r="A649" s="30"/>
      <c r="B649" s="30"/>
      <c r="C649" s="161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</row>
    <row r="650" spans="1:55" ht="11.25" customHeight="1" x14ac:dyDescent="0.25">
      <c r="A650" s="30"/>
      <c r="B650" s="30"/>
      <c r="C650" s="161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</row>
    <row r="651" spans="1:55" ht="11.25" customHeight="1" x14ac:dyDescent="0.25">
      <c r="A651" s="30"/>
      <c r="B651" s="30"/>
      <c r="C651" s="161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</row>
    <row r="652" spans="1:55" ht="11.25" customHeight="1" x14ac:dyDescent="0.25">
      <c r="A652" s="30"/>
      <c r="B652" s="30"/>
      <c r="C652" s="161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</row>
    <row r="653" spans="1:55" ht="11.25" customHeight="1" x14ac:dyDescent="0.25">
      <c r="A653" s="30"/>
      <c r="B653" s="30"/>
      <c r="C653" s="161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</row>
    <row r="654" spans="1:55" ht="11.25" customHeight="1" x14ac:dyDescent="0.25">
      <c r="A654" s="30"/>
      <c r="B654" s="30"/>
      <c r="C654" s="161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</row>
    <row r="655" spans="1:55" ht="11.25" customHeight="1" x14ac:dyDescent="0.25">
      <c r="A655" s="30"/>
      <c r="B655" s="30"/>
      <c r="C655" s="161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</row>
    <row r="656" spans="1:55" ht="11.25" customHeight="1" x14ac:dyDescent="0.25">
      <c r="A656" s="30"/>
      <c r="B656" s="30"/>
      <c r="C656" s="161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</row>
    <row r="657" spans="1:55" ht="11.25" customHeight="1" x14ac:dyDescent="0.25">
      <c r="A657" s="30"/>
      <c r="B657" s="30"/>
      <c r="C657" s="161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</row>
    <row r="658" spans="1:55" ht="11.25" customHeight="1" x14ac:dyDescent="0.25">
      <c r="A658" s="30"/>
      <c r="B658" s="30"/>
      <c r="C658" s="161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</row>
    <row r="659" spans="1:55" ht="11.25" customHeight="1" x14ac:dyDescent="0.25">
      <c r="A659" s="30"/>
      <c r="B659" s="30"/>
      <c r="C659" s="161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</row>
    <row r="660" spans="1:55" ht="11.25" customHeight="1" x14ac:dyDescent="0.25">
      <c r="A660" s="30"/>
      <c r="B660" s="30"/>
      <c r="C660" s="161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</row>
    <row r="661" spans="1:55" ht="11.25" customHeight="1" x14ac:dyDescent="0.25">
      <c r="A661" s="30"/>
      <c r="B661" s="30"/>
      <c r="C661" s="161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</row>
    <row r="662" spans="1:55" ht="11.25" customHeight="1" x14ac:dyDescent="0.25">
      <c r="A662" s="30"/>
      <c r="B662" s="30"/>
      <c r="C662" s="161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</row>
    <row r="663" spans="1:55" ht="11.25" customHeight="1" x14ac:dyDescent="0.25">
      <c r="A663" s="30"/>
      <c r="B663" s="30"/>
      <c r="C663" s="161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</row>
    <row r="664" spans="1:55" ht="11.25" customHeight="1" x14ac:dyDescent="0.25">
      <c r="A664" s="30"/>
      <c r="B664" s="30"/>
      <c r="C664" s="161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</row>
    <row r="665" spans="1:55" ht="11.25" customHeight="1" x14ac:dyDescent="0.25">
      <c r="A665" s="30"/>
      <c r="B665" s="30"/>
      <c r="C665" s="161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</row>
    <row r="666" spans="1:55" ht="11.25" customHeight="1" x14ac:dyDescent="0.25">
      <c r="A666" s="30"/>
      <c r="B666" s="30"/>
      <c r="C666" s="161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</row>
    <row r="667" spans="1:55" ht="11.25" customHeight="1" x14ac:dyDescent="0.25">
      <c r="A667" s="30"/>
      <c r="B667" s="30"/>
      <c r="C667" s="161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</row>
    <row r="668" spans="1:55" ht="11.25" customHeight="1" x14ac:dyDescent="0.25">
      <c r="A668" s="30"/>
      <c r="B668" s="30"/>
      <c r="C668" s="161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</row>
    <row r="669" spans="1:55" ht="11.25" customHeight="1" x14ac:dyDescent="0.25">
      <c r="A669" s="30"/>
      <c r="B669" s="30"/>
      <c r="C669" s="161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</row>
    <row r="670" spans="1:55" ht="11.25" customHeight="1" x14ac:dyDescent="0.25">
      <c r="A670" s="30"/>
      <c r="B670" s="30"/>
      <c r="C670" s="161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</row>
    <row r="671" spans="1:55" ht="11.25" customHeight="1" x14ac:dyDescent="0.25">
      <c r="A671" s="30"/>
      <c r="B671" s="30"/>
      <c r="C671" s="161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</row>
    <row r="672" spans="1:55" ht="11.25" customHeight="1" x14ac:dyDescent="0.25">
      <c r="A672" s="30"/>
      <c r="B672" s="30"/>
      <c r="C672" s="161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</row>
    <row r="673" spans="1:55" ht="11.25" customHeight="1" x14ac:dyDescent="0.25">
      <c r="A673" s="30"/>
      <c r="B673" s="30"/>
      <c r="C673" s="161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</row>
    <row r="674" spans="1:55" ht="11.25" customHeight="1" x14ac:dyDescent="0.25">
      <c r="A674" s="30"/>
      <c r="B674" s="30"/>
      <c r="C674" s="161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</row>
    <row r="675" spans="1:55" ht="11.25" customHeight="1" x14ac:dyDescent="0.25">
      <c r="A675" s="30"/>
      <c r="B675" s="30"/>
      <c r="C675" s="161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</row>
    <row r="676" spans="1:55" ht="11.25" customHeight="1" x14ac:dyDescent="0.25">
      <c r="A676" s="30"/>
      <c r="B676" s="30"/>
      <c r="C676" s="161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</row>
    <row r="677" spans="1:55" ht="11.25" customHeight="1" x14ac:dyDescent="0.25">
      <c r="A677" s="30"/>
      <c r="B677" s="30"/>
      <c r="C677" s="161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</row>
    <row r="678" spans="1:55" ht="11.25" customHeight="1" x14ac:dyDescent="0.25">
      <c r="A678" s="30"/>
      <c r="B678" s="30"/>
      <c r="C678" s="161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</row>
    <row r="679" spans="1:55" ht="11.25" customHeight="1" x14ac:dyDescent="0.25">
      <c r="A679" s="30"/>
      <c r="B679" s="30"/>
      <c r="C679" s="161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</row>
    <row r="680" spans="1:55" ht="11.25" customHeight="1" x14ac:dyDescent="0.25">
      <c r="A680" s="30"/>
      <c r="B680" s="30"/>
      <c r="C680" s="161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</row>
    <row r="681" spans="1:55" ht="11.25" customHeight="1" x14ac:dyDescent="0.25">
      <c r="A681" s="30"/>
      <c r="B681" s="30"/>
      <c r="C681" s="161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</row>
    <row r="682" spans="1:55" ht="11.25" customHeight="1" x14ac:dyDescent="0.25">
      <c r="A682" s="30"/>
      <c r="B682" s="30"/>
      <c r="C682" s="161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</row>
    <row r="683" spans="1:55" ht="11.25" customHeight="1" x14ac:dyDescent="0.25">
      <c r="A683" s="30"/>
      <c r="B683" s="30"/>
      <c r="C683" s="161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</row>
    <row r="684" spans="1:55" ht="11.25" customHeight="1" x14ac:dyDescent="0.25">
      <c r="A684" s="30"/>
      <c r="B684" s="30"/>
      <c r="C684" s="161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</row>
    <row r="685" spans="1:55" ht="11.25" customHeight="1" x14ac:dyDescent="0.25">
      <c r="A685" s="30"/>
      <c r="B685" s="30"/>
      <c r="C685" s="161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</row>
    <row r="686" spans="1:55" ht="11.25" customHeight="1" x14ac:dyDescent="0.25">
      <c r="A686" s="30"/>
      <c r="B686" s="30"/>
      <c r="C686" s="161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</row>
    <row r="687" spans="1:55" ht="11.25" customHeight="1" x14ac:dyDescent="0.25">
      <c r="A687" s="30"/>
      <c r="B687" s="30"/>
      <c r="C687" s="161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</row>
    <row r="688" spans="1:55" ht="11.25" customHeight="1" x14ac:dyDescent="0.25">
      <c r="A688" s="30"/>
      <c r="B688" s="30"/>
      <c r="C688" s="161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</row>
    <row r="689" spans="1:55" ht="11.25" customHeight="1" x14ac:dyDescent="0.25">
      <c r="A689" s="30"/>
      <c r="B689" s="30"/>
      <c r="C689" s="161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</row>
    <row r="690" spans="1:55" ht="11.25" customHeight="1" x14ac:dyDescent="0.25">
      <c r="A690" s="30"/>
      <c r="B690" s="30"/>
      <c r="C690" s="161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</row>
    <row r="691" spans="1:55" ht="11.25" customHeight="1" x14ac:dyDescent="0.25">
      <c r="A691" s="30"/>
      <c r="B691" s="30"/>
      <c r="C691" s="161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</row>
    <row r="692" spans="1:55" ht="11.25" customHeight="1" x14ac:dyDescent="0.25">
      <c r="A692" s="30"/>
      <c r="B692" s="30"/>
      <c r="C692" s="161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</row>
    <row r="693" spans="1:55" ht="11.25" customHeight="1" x14ac:dyDescent="0.25">
      <c r="A693" s="30"/>
      <c r="B693" s="30"/>
      <c r="C693" s="161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</row>
    <row r="694" spans="1:55" ht="11.25" customHeight="1" x14ac:dyDescent="0.25">
      <c r="A694" s="30"/>
      <c r="B694" s="30"/>
      <c r="C694" s="161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</row>
    <row r="695" spans="1:55" ht="11.25" customHeight="1" x14ac:dyDescent="0.25">
      <c r="A695" s="30"/>
      <c r="B695" s="30"/>
      <c r="C695" s="161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</row>
    <row r="696" spans="1:55" ht="11.25" customHeight="1" x14ac:dyDescent="0.25">
      <c r="A696" s="30"/>
      <c r="B696" s="30"/>
      <c r="C696" s="161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</row>
    <row r="697" spans="1:55" ht="11.25" customHeight="1" x14ac:dyDescent="0.25">
      <c r="A697" s="30"/>
      <c r="B697" s="30"/>
      <c r="C697" s="161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</row>
    <row r="698" spans="1:55" ht="11.25" customHeight="1" x14ac:dyDescent="0.25">
      <c r="A698" s="30"/>
      <c r="B698" s="30"/>
      <c r="C698" s="161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</row>
    <row r="699" spans="1:55" ht="11.25" customHeight="1" x14ac:dyDescent="0.25">
      <c r="A699" s="30"/>
      <c r="B699" s="30"/>
      <c r="C699" s="161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</row>
    <row r="700" spans="1:55" ht="11.25" customHeight="1" x14ac:dyDescent="0.25">
      <c r="A700" s="30"/>
      <c r="B700" s="30"/>
      <c r="C700" s="161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</row>
    <row r="701" spans="1:55" ht="11.25" customHeight="1" x14ac:dyDescent="0.25">
      <c r="A701" s="30"/>
      <c r="B701" s="30"/>
      <c r="C701" s="161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</row>
    <row r="702" spans="1:55" ht="11.25" customHeight="1" x14ac:dyDescent="0.25">
      <c r="A702" s="30"/>
      <c r="B702" s="30"/>
      <c r="C702" s="161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</row>
    <row r="703" spans="1:55" ht="11.25" customHeight="1" x14ac:dyDescent="0.25">
      <c r="A703" s="30"/>
      <c r="B703" s="30"/>
      <c r="C703" s="161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</row>
    <row r="704" spans="1:55" ht="11.25" customHeight="1" x14ac:dyDescent="0.25">
      <c r="A704" s="30"/>
      <c r="B704" s="30"/>
      <c r="C704" s="161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</row>
    <row r="705" spans="1:55" ht="11.25" customHeight="1" x14ac:dyDescent="0.25">
      <c r="A705" s="30"/>
      <c r="B705" s="30"/>
      <c r="C705" s="161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</row>
    <row r="706" spans="1:55" ht="11.25" customHeight="1" x14ac:dyDescent="0.25">
      <c r="A706" s="30"/>
      <c r="B706" s="30"/>
      <c r="C706" s="161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</row>
    <row r="707" spans="1:55" ht="11.25" customHeight="1" x14ac:dyDescent="0.25">
      <c r="A707" s="30"/>
      <c r="B707" s="30"/>
      <c r="C707" s="161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</row>
    <row r="708" spans="1:55" ht="11.25" customHeight="1" x14ac:dyDescent="0.25">
      <c r="A708" s="30"/>
      <c r="B708" s="30"/>
      <c r="C708" s="161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</row>
    <row r="709" spans="1:55" ht="11.25" customHeight="1" x14ac:dyDescent="0.25">
      <c r="A709" s="30"/>
      <c r="B709" s="30"/>
      <c r="C709" s="161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</row>
    <row r="710" spans="1:55" ht="11.25" customHeight="1" x14ac:dyDescent="0.25">
      <c r="A710" s="30"/>
      <c r="B710" s="30"/>
      <c r="C710" s="161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</row>
    <row r="711" spans="1:55" ht="11.25" customHeight="1" x14ac:dyDescent="0.25">
      <c r="A711" s="30"/>
      <c r="B711" s="30"/>
      <c r="C711" s="161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</row>
    <row r="712" spans="1:55" ht="11.25" customHeight="1" x14ac:dyDescent="0.25">
      <c r="A712" s="30"/>
      <c r="B712" s="30"/>
      <c r="C712" s="161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</row>
    <row r="713" spans="1:55" ht="11.25" customHeight="1" x14ac:dyDescent="0.25">
      <c r="A713" s="30"/>
      <c r="B713" s="30"/>
      <c r="C713" s="161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</row>
    <row r="714" spans="1:55" ht="11.25" customHeight="1" x14ac:dyDescent="0.25">
      <c r="A714" s="30"/>
      <c r="B714" s="30"/>
      <c r="C714" s="161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</row>
    <row r="715" spans="1:55" ht="11.25" customHeight="1" x14ac:dyDescent="0.25">
      <c r="A715" s="30"/>
      <c r="B715" s="30"/>
      <c r="C715" s="161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</row>
    <row r="716" spans="1:55" ht="11.25" customHeight="1" x14ac:dyDescent="0.25">
      <c r="A716" s="30"/>
      <c r="B716" s="30"/>
      <c r="C716" s="161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</row>
    <row r="717" spans="1:55" ht="11.25" customHeight="1" x14ac:dyDescent="0.25">
      <c r="A717" s="30"/>
      <c r="B717" s="30"/>
      <c r="C717" s="161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</row>
    <row r="718" spans="1:55" ht="11.25" customHeight="1" x14ac:dyDescent="0.25">
      <c r="A718" s="30"/>
      <c r="B718" s="30"/>
      <c r="C718" s="161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</row>
    <row r="719" spans="1:55" ht="11.25" customHeight="1" x14ac:dyDescent="0.25">
      <c r="A719" s="30"/>
      <c r="B719" s="30"/>
      <c r="C719" s="161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</row>
    <row r="720" spans="1:55" ht="11.25" customHeight="1" x14ac:dyDescent="0.25">
      <c r="A720" s="30"/>
      <c r="B720" s="30"/>
      <c r="C720" s="161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</row>
    <row r="721" spans="1:55" ht="11.25" customHeight="1" x14ac:dyDescent="0.25">
      <c r="A721" s="30"/>
      <c r="B721" s="30"/>
      <c r="C721" s="161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</row>
    <row r="722" spans="1:55" ht="11.25" customHeight="1" x14ac:dyDescent="0.25">
      <c r="A722" s="30"/>
      <c r="B722" s="30"/>
      <c r="C722" s="161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</row>
    <row r="723" spans="1:55" ht="11.25" customHeight="1" x14ac:dyDescent="0.25">
      <c r="A723" s="30"/>
      <c r="B723" s="30"/>
      <c r="C723" s="161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</row>
    <row r="724" spans="1:55" ht="11.25" customHeight="1" x14ac:dyDescent="0.25">
      <c r="A724" s="30"/>
      <c r="B724" s="30"/>
      <c r="C724" s="161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</row>
    <row r="725" spans="1:55" ht="11.25" customHeight="1" x14ac:dyDescent="0.25">
      <c r="A725" s="30"/>
      <c r="B725" s="30"/>
      <c r="C725" s="161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</row>
    <row r="726" spans="1:55" ht="11.25" customHeight="1" x14ac:dyDescent="0.25">
      <c r="A726" s="30"/>
      <c r="B726" s="30"/>
      <c r="C726" s="161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</row>
    <row r="727" spans="1:55" ht="11.25" customHeight="1" x14ac:dyDescent="0.25">
      <c r="A727" s="30"/>
      <c r="B727" s="30"/>
      <c r="C727" s="161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</row>
    <row r="728" spans="1:55" ht="11.25" customHeight="1" x14ac:dyDescent="0.25">
      <c r="A728" s="30"/>
      <c r="B728" s="30"/>
      <c r="C728" s="161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</row>
    <row r="729" spans="1:55" ht="11.25" customHeight="1" x14ac:dyDescent="0.25">
      <c r="A729" s="30"/>
      <c r="B729" s="30"/>
      <c r="C729" s="161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</row>
    <row r="730" spans="1:55" ht="11.25" customHeight="1" x14ac:dyDescent="0.25">
      <c r="A730" s="30"/>
      <c r="B730" s="30"/>
      <c r="C730" s="161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</row>
    <row r="731" spans="1:55" ht="11.25" customHeight="1" x14ac:dyDescent="0.25">
      <c r="A731" s="30"/>
      <c r="B731" s="30"/>
      <c r="C731" s="161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</row>
    <row r="732" spans="1:55" ht="11.25" customHeight="1" x14ac:dyDescent="0.25">
      <c r="A732" s="30"/>
      <c r="B732" s="30"/>
      <c r="C732" s="161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</row>
    <row r="733" spans="1:55" ht="11.25" customHeight="1" x14ac:dyDescent="0.25">
      <c r="A733" s="30"/>
      <c r="B733" s="30"/>
      <c r="C733" s="161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</row>
    <row r="734" spans="1:55" ht="11.25" customHeight="1" x14ac:dyDescent="0.25">
      <c r="A734" s="30"/>
      <c r="B734" s="30"/>
      <c r="C734" s="161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</row>
    <row r="735" spans="1:55" ht="11.25" customHeight="1" x14ac:dyDescent="0.25">
      <c r="A735" s="30"/>
      <c r="B735" s="30"/>
      <c r="C735" s="161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</row>
    <row r="736" spans="1:55" ht="11.25" customHeight="1" x14ac:dyDescent="0.25">
      <c r="A736" s="30"/>
      <c r="B736" s="30"/>
      <c r="C736" s="161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</row>
    <row r="737" spans="1:55" ht="11.25" customHeight="1" x14ac:dyDescent="0.25">
      <c r="A737" s="30"/>
      <c r="B737" s="30"/>
      <c r="C737" s="161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</row>
    <row r="738" spans="1:55" ht="11.25" customHeight="1" x14ac:dyDescent="0.25">
      <c r="A738" s="30"/>
      <c r="B738" s="30"/>
      <c r="C738" s="161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</row>
    <row r="739" spans="1:55" ht="11.25" customHeight="1" x14ac:dyDescent="0.25">
      <c r="A739" s="30"/>
      <c r="B739" s="30"/>
      <c r="C739" s="161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</row>
    <row r="740" spans="1:55" ht="11.25" customHeight="1" x14ac:dyDescent="0.25">
      <c r="A740" s="30"/>
      <c r="B740" s="30"/>
      <c r="C740" s="161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</row>
    <row r="741" spans="1:55" ht="11.25" customHeight="1" x14ac:dyDescent="0.25">
      <c r="A741" s="30"/>
      <c r="B741" s="30"/>
      <c r="C741" s="161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</row>
    <row r="742" spans="1:55" ht="11.25" customHeight="1" x14ac:dyDescent="0.25">
      <c r="A742" s="30"/>
      <c r="B742" s="30"/>
      <c r="C742" s="161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</row>
    <row r="743" spans="1:55" ht="11.25" customHeight="1" x14ac:dyDescent="0.25">
      <c r="A743" s="30"/>
      <c r="B743" s="30"/>
      <c r="C743" s="161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</row>
    <row r="744" spans="1:55" ht="11.25" customHeight="1" x14ac:dyDescent="0.25">
      <c r="A744" s="30"/>
      <c r="B744" s="30"/>
      <c r="C744" s="161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</row>
    <row r="745" spans="1:55" ht="11.25" customHeight="1" x14ac:dyDescent="0.25">
      <c r="A745" s="30"/>
      <c r="B745" s="30"/>
      <c r="C745" s="161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</row>
    <row r="746" spans="1:55" ht="11.25" customHeight="1" x14ac:dyDescent="0.25">
      <c r="A746" s="30"/>
      <c r="B746" s="30"/>
      <c r="C746" s="161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</row>
    <row r="747" spans="1:55" ht="11.25" customHeight="1" x14ac:dyDescent="0.25">
      <c r="A747" s="30"/>
      <c r="B747" s="30"/>
      <c r="C747" s="161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</row>
    <row r="748" spans="1:55" ht="11.25" customHeight="1" x14ac:dyDescent="0.25">
      <c r="A748" s="30"/>
      <c r="B748" s="30"/>
      <c r="C748" s="161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</row>
    <row r="749" spans="1:55" ht="11.25" customHeight="1" x14ac:dyDescent="0.25">
      <c r="A749" s="30"/>
      <c r="B749" s="30"/>
      <c r="C749" s="161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</row>
    <row r="750" spans="1:55" ht="11.25" customHeight="1" x14ac:dyDescent="0.25">
      <c r="A750" s="30"/>
      <c r="B750" s="30"/>
      <c r="C750" s="161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</row>
    <row r="751" spans="1:55" ht="11.25" customHeight="1" x14ac:dyDescent="0.25">
      <c r="A751" s="30"/>
      <c r="B751" s="30"/>
      <c r="C751" s="161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</row>
    <row r="752" spans="1:55" ht="11.25" customHeight="1" x14ac:dyDescent="0.25">
      <c r="A752" s="30"/>
      <c r="B752" s="30"/>
      <c r="C752" s="161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</row>
    <row r="753" spans="1:55" ht="11.25" customHeight="1" x14ac:dyDescent="0.25">
      <c r="A753" s="30"/>
      <c r="B753" s="30"/>
      <c r="C753" s="161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</row>
    <row r="754" spans="1:55" ht="11.25" customHeight="1" x14ac:dyDescent="0.25">
      <c r="A754" s="30"/>
      <c r="B754" s="30"/>
      <c r="C754" s="161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</row>
    <row r="755" spans="1:55" ht="11.25" customHeight="1" x14ac:dyDescent="0.25">
      <c r="A755" s="30"/>
      <c r="B755" s="30"/>
      <c r="C755" s="161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</row>
    <row r="756" spans="1:55" ht="11.25" customHeight="1" x14ac:dyDescent="0.25">
      <c r="A756" s="30"/>
      <c r="B756" s="30"/>
      <c r="C756" s="161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</row>
    <row r="757" spans="1:55" ht="11.25" customHeight="1" x14ac:dyDescent="0.25">
      <c r="A757" s="30"/>
      <c r="B757" s="30"/>
      <c r="C757" s="161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</row>
    <row r="758" spans="1:55" ht="11.25" customHeight="1" x14ac:dyDescent="0.25">
      <c r="A758" s="30"/>
      <c r="B758" s="30"/>
      <c r="C758" s="161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</row>
    <row r="759" spans="1:55" ht="11.25" customHeight="1" x14ac:dyDescent="0.25">
      <c r="A759" s="30"/>
      <c r="B759" s="30"/>
      <c r="C759" s="161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</row>
    <row r="760" spans="1:55" ht="11.25" customHeight="1" x14ac:dyDescent="0.25">
      <c r="A760" s="30"/>
      <c r="B760" s="30"/>
      <c r="C760" s="161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</row>
    <row r="761" spans="1:55" ht="11.25" customHeight="1" x14ac:dyDescent="0.25">
      <c r="A761" s="30"/>
      <c r="B761" s="30"/>
      <c r="C761" s="161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</row>
    <row r="762" spans="1:55" ht="11.25" customHeight="1" x14ac:dyDescent="0.25">
      <c r="A762" s="30"/>
      <c r="B762" s="30"/>
      <c r="C762" s="161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</row>
    <row r="763" spans="1:55" ht="11.25" customHeight="1" x14ac:dyDescent="0.25">
      <c r="A763" s="30"/>
      <c r="B763" s="30"/>
      <c r="C763" s="161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</row>
    <row r="764" spans="1:55" ht="11.25" customHeight="1" x14ac:dyDescent="0.25">
      <c r="A764" s="30"/>
      <c r="B764" s="30"/>
      <c r="C764" s="161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</row>
    <row r="765" spans="1:55" ht="11.25" customHeight="1" x14ac:dyDescent="0.25">
      <c r="A765" s="30"/>
      <c r="B765" s="30"/>
      <c r="C765" s="161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</row>
    <row r="766" spans="1:55" ht="11.25" customHeight="1" x14ac:dyDescent="0.25">
      <c r="A766" s="30"/>
      <c r="B766" s="30"/>
      <c r="C766" s="161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</row>
    <row r="767" spans="1:55" ht="11.25" customHeight="1" x14ac:dyDescent="0.25">
      <c r="A767" s="30"/>
      <c r="B767" s="30"/>
      <c r="C767" s="161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</row>
    <row r="768" spans="1:55" ht="11.25" customHeight="1" x14ac:dyDescent="0.25">
      <c r="A768" s="30"/>
      <c r="B768" s="30"/>
      <c r="C768" s="161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</row>
    <row r="769" spans="1:55" ht="11.25" customHeight="1" x14ac:dyDescent="0.25">
      <c r="A769" s="30"/>
      <c r="B769" s="30"/>
      <c r="C769" s="161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</row>
    <row r="770" spans="1:55" ht="11.25" customHeight="1" x14ac:dyDescent="0.25">
      <c r="A770" s="30"/>
      <c r="B770" s="30"/>
      <c r="C770" s="161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</row>
    <row r="771" spans="1:55" ht="11.25" customHeight="1" x14ac:dyDescent="0.25">
      <c r="A771" s="30"/>
      <c r="B771" s="30"/>
      <c r="C771" s="161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</row>
    <row r="772" spans="1:55" ht="11.25" customHeight="1" x14ac:dyDescent="0.25">
      <c r="A772" s="30"/>
      <c r="B772" s="30"/>
      <c r="C772" s="161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</row>
    <row r="773" spans="1:55" ht="11.25" customHeight="1" x14ac:dyDescent="0.25">
      <c r="A773" s="30"/>
      <c r="B773" s="30"/>
      <c r="C773" s="161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</row>
    <row r="774" spans="1:55" ht="11.25" customHeight="1" x14ac:dyDescent="0.25">
      <c r="A774" s="30"/>
      <c r="B774" s="30"/>
      <c r="C774" s="161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</row>
    <row r="775" spans="1:55" ht="11.25" customHeight="1" x14ac:dyDescent="0.25">
      <c r="A775" s="30"/>
      <c r="B775" s="30"/>
      <c r="C775" s="161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</row>
    <row r="776" spans="1:55" ht="11.25" customHeight="1" x14ac:dyDescent="0.25">
      <c r="A776" s="30"/>
      <c r="B776" s="30"/>
      <c r="C776" s="161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</row>
    <row r="777" spans="1:55" ht="11.25" customHeight="1" x14ac:dyDescent="0.25">
      <c r="A777" s="30"/>
      <c r="B777" s="30"/>
      <c r="C777" s="161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</row>
    <row r="778" spans="1:55" ht="11.25" customHeight="1" x14ac:dyDescent="0.25">
      <c r="A778" s="30"/>
      <c r="B778" s="30"/>
      <c r="C778" s="161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</row>
    <row r="779" spans="1:55" ht="11.25" customHeight="1" x14ac:dyDescent="0.25">
      <c r="A779" s="30"/>
      <c r="B779" s="30"/>
      <c r="C779" s="161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</row>
    <row r="780" spans="1:55" ht="11.25" customHeight="1" x14ac:dyDescent="0.25">
      <c r="A780" s="30"/>
      <c r="B780" s="30"/>
      <c r="C780" s="161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</row>
    <row r="781" spans="1:55" ht="11.25" customHeight="1" x14ac:dyDescent="0.25">
      <c r="A781" s="30"/>
      <c r="B781" s="30"/>
      <c r="C781" s="161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</row>
    <row r="782" spans="1:55" ht="11.25" customHeight="1" x14ac:dyDescent="0.25">
      <c r="A782" s="30"/>
      <c r="B782" s="30"/>
      <c r="C782" s="161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</row>
    <row r="783" spans="1:55" ht="11.25" customHeight="1" x14ac:dyDescent="0.25">
      <c r="A783" s="30"/>
      <c r="B783" s="30"/>
      <c r="C783" s="161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</row>
    <row r="784" spans="1:55" ht="11.25" customHeight="1" x14ac:dyDescent="0.25">
      <c r="A784" s="30"/>
      <c r="B784" s="30"/>
      <c r="C784" s="161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</row>
    <row r="785" spans="1:55" ht="11.25" customHeight="1" x14ac:dyDescent="0.25">
      <c r="A785" s="30"/>
      <c r="B785" s="30"/>
      <c r="C785" s="161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</row>
    <row r="786" spans="1:55" ht="11.25" customHeight="1" x14ac:dyDescent="0.25">
      <c r="A786" s="30"/>
      <c r="B786" s="30"/>
      <c r="C786" s="161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</row>
    <row r="787" spans="1:55" ht="11.25" customHeight="1" x14ac:dyDescent="0.25">
      <c r="A787" s="30"/>
      <c r="B787" s="30"/>
      <c r="C787" s="161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</row>
    <row r="788" spans="1:55" ht="11.25" customHeight="1" x14ac:dyDescent="0.25">
      <c r="A788" s="30"/>
      <c r="B788" s="30"/>
      <c r="C788" s="161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</row>
    <row r="789" spans="1:55" ht="11.25" customHeight="1" x14ac:dyDescent="0.25">
      <c r="A789" s="30"/>
      <c r="B789" s="30"/>
      <c r="C789" s="161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</row>
    <row r="790" spans="1:55" ht="11.25" customHeight="1" x14ac:dyDescent="0.25">
      <c r="A790" s="30"/>
      <c r="B790" s="30"/>
      <c r="C790" s="161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</row>
    <row r="791" spans="1:55" ht="11.25" customHeight="1" x14ac:dyDescent="0.25">
      <c r="A791" s="30"/>
      <c r="B791" s="30"/>
      <c r="C791" s="161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</row>
    <row r="792" spans="1:55" ht="11.25" customHeight="1" x14ac:dyDescent="0.25">
      <c r="A792" s="30"/>
      <c r="B792" s="30"/>
      <c r="C792" s="161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</row>
    <row r="793" spans="1:55" ht="11.25" customHeight="1" x14ac:dyDescent="0.25">
      <c r="A793" s="30"/>
      <c r="B793" s="30"/>
      <c r="C793" s="161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</row>
    <row r="794" spans="1:55" ht="11.25" customHeight="1" x14ac:dyDescent="0.25">
      <c r="A794" s="30"/>
      <c r="B794" s="30"/>
      <c r="C794" s="161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</row>
    <row r="795" spans="1:55" ht="11.25" customHeight="1" x14ac:dyDescent="0.25">
      <c r="A795" s="30"/>
      <c r="B795" s="30"/>
      <c r="C795" s="161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</row>
    <row r="796" spans="1:55" ht="11.25" customHeight="1" x14ac:dyDescent="0.25">
      <c r="A796" s="30"/>
      <c r="B796" s="30"/>
      <c r="C796" s="161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</row>
    <row r="797" spans="1:55" ht="11.25" customHeight="1" x14ac:dyDescent="0.25">
      <c r="A797" s="30"/>
      <c r="B797" s="30"/>
      <c r="C797" s="161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</row>
    <row r="798" spans="1:55" ht="11.25" customHeight="1" x14ac:dyDescent="0.25">
      <c r="A798" s="30"/>
      <c r="B798" s="30"/>
      <c r="C798" s="161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</row>
    <row r="799" spans="1:55" ht="11.25" customHeight="1" x14ac:dyDescent="0.25">
      <c r="A799" s="30"/>
      <c r="B799" s="30"/>
      <c r="C799" s="161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</row>
    <row r="800" spans="1:55" ht="11.25" customHeight="1" x14ac:dyDescent="0.25">
      <c r="A800" s="30"/>
      <c r="B800" s="30"/>
      <c r="C800" s="161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</row>
    <row r="801" spans="1:55" ht="11.25" customHeight="1" x14ac:dyDescent="0.25">
      <c r="A801" s="30"/>
      <c r="B801" s="30"/>
      <c r="C801" s="161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</row>
    <row r="802" spans="1:55" ht="11.25" customHeight="1" x14ac:dyDescent="0.25">
      <c r="A802" s="30"/>
      <c r="B802" s="30"/>
      <c r="C802" s="161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</row>
    <row r="803" spans="1:55" ht="11.25" customHeight="1" x14ac:dyDescent="0.25">
      <c r="A803" s="30"/>
      <c r="B803" s="30"/>
      <c r="C803" s="161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</row>
    <row r="804" spans="1:55" ht="11.25" customHeight="1" x14ac:dyDescent="0.25">
      <c r="A804" s="30"/>
      <c r="B804" s="30"/>
      <c r="C804" s="161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</row>
    <row r="805" spans="1:55" ht="11.25" customHeight="1" x14ac:dyDescent="0.25">
      <c r="A805" s="30"/>
      <c r="B805" s="30"/>
      <c r="C805" s="161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</row>
    <row r="806" spans="1:55" ht="11.25" customHeight="1" x14ac:dyDescent="0.25">
      <c r="A806" s="30"/>
      <c r="B806" s="30"/>
      <c r="C806" s="161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</row>
    <row r="807" spans="1:55" ht="11.25" customHeight="1" x14ac:dyDescent="0.25">
      <c r="A807" s="30"/>
      <c r="B807" s="30"/>
      <c r="C807" s="161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</row>
    <row r="808" spans="1:55" ht="11.25" customHeight="1" x14ac:dyDescent="0.25">
      <c r="A808" s="30"/>
      <c r="B808" s="30"/>
      <c r="C808" s="161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</row>
    <row r="809" spans="1:55" ht="11.25" customHeight="1" x14ac:dyDescent="0.25">
      <c r="A809" s="30"/>
      <c r="B809" s="30"/>
      <c r="C809" s="161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</row>
    <row r="810" spans="1:55" ht="11.25" customHeight="1" x14ac:dyDescent="0.25">
      <c r="A810" s="30"/>
      <c r="B810" s="30"/>
      <c r="C810" s="161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</row>
    <row r="811" spans="1:55" ht="11.25" customHeight="1" x14ac:dyDescent="0.25">
      <c r="A811" s="30"/>
      <c r="B811" s="30"/>
      <c r="C811" s="161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</row>
    <row r="812" spans="1:55" ht="11.25" customHeight="1" x14ac:dyDescent="0.25">
      <c r="A812" s="30"/>
      <c r="B812" s="30"/>
      <c r="C812" s="161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</row>
    <row r="813" spans="1:55" ht="11.25" customHeight="1" x14ac:dyDescent="0.25">
      <c r="A813" s="30"/>
      <c r="B813" s="30"/>
      <c r="C813" s="161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</row>
    <row r="814" spans="1:55" ht="11.25" customHeight="1" x14ac:dyDescent="0.25">
      <c r="A814" s="30"/>
      <c r="B814" s="30"/>
      <c r="C814" s="161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</row>
    <row r="815" spans="1:55" ht="11.25" customHeight="1" x14ac:dyDescent="0.25">
      <c r="A815" s="30"/>
      <c r="B815" s="30"/>
      <c r="C815" s="161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</row>
    <row r="816" spans="1:55" ht="11.25" customHeight="1" x14ac:dyDescent="0.25">
      <c r="A816" s="30"/>
      <c r="B816" s="30"/>
      <c r="C816" s="161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</row>
    <row r="817" spans="1:55" ht="11.25" customHeight="1" x14ac:dyDescent="0.25">
      <c r="A817" s="30"/>
      <c r="B817" s="30"/>
      <c r="C817" s="161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</row>
    <row r="818" spans="1:55" ht="11.25" customHeight="1" x14ac:dyDescent="0.25">
      <c r="A818" s="30"/>
      <c r="B818" s="30"/>
      <c r="C818" s="161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</row>
    <row r="819" spans="1:55" ht="11.25" customHeight="1" x14ac:dyDescent="0.25">
      <c r="A819" s="30"/>
      <c r="B819" s="30"/>
      <c r="C819" s="161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</row>
    <row r="820" spans="1:55" ht="11.25" customHeight="1" x14ac:dyDescent="0.25">
      <c r="A820" s="30"/>
      <c r="B820" s="30"/>
      <c r="C820" s="161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</row>
    <row r="821" spans="1:55" ht="11.25" customHeight="1" x14ac:dyDescent="0.25">
      <c r="A821" s="30"/>
      <c r="B821" s="30"/>
      <c r="C821" s="161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</row>
    <row r="822" spans="1:55" ht="11.25" customHeight="1" x14ac:dyDescent="0.25">
      <c r="A822" s="30"/>
      <c r="B822" s="30"/>
      <c r="C822" s="161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</row>
    <row r="823" spans="1:55" ht="11.25" customHeight="1" x14ac:dyDescent="0.25">
      <c r="A823" s="30"/>
      <c r="B823" s="30"/>
      <c r="C823" s="161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</row>
    <row r="824" spans="1:55" ht="11.25" customHeight="1" x14ac:dyDescent="0.25">
      <c r="A824" s="30"/>
      <c r="B824" s="30"/>
      <c r="C824" s="161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</row>
    <row r="825" spans="1:55" ht="11.25" customHeight="1" x14ac:dyDescent="0.25">
      <c r="A825" s="30"/>
      <c r="B825" s="30"/>
      <c r="C825" s="161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</row>
    <row r="826" spans="1:55" ht="11.25" customHeight="1" x14ac:dyDescent="0.25">
      <c r="A826" s="30"/>
      <c r="B826" s="30"/>
      <c r="C826" s="161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</row>
    <row r="827" spans="1:55" ht="11.25" customHeight="1" x14ac:dyDescent="0.25">
      <c r="A827" s="30"/>
      <c r="B827" s="30"/>
      <c r="C827" s="161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</row>
    <row r="828" spans="1:55" ht="11.25" customHeight="1" x14ac:dyDescent="0.25">
      <c r="A828" s="30"/>
      <c r="B828" s="30"/>
      <c r="C828" s="161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</row>
    <row r="829" spans="1:55" ht="11.25" customHeight="1" x14ac:dyDescent="0.25">
      <c r="A829" s="30"/>
      <c r="B829" s="30"/>
      <c r="C829" s="161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</row>
    <row r="830" spans="1:55" ht="11.25" customHeight="1" x14ac:dyDescent="0.25">
      <c r="A830" s="30"/>
      <c r="B830" s="30"/>
      <c r="C830" s="161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</row>
    <row r="831" spans="1:55" ht="11.25" customHeight="1" x14ac:dyDescent="0.25">
      <c r="A831" s="30"/>
      <c r="B831" s="30"/>
      <c r="C831" s="161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</row>
    <row r="832" spans="1:55" ht="11.25" customHeight="1" x14ac:dyDescent="0.25">
      <c r="A832" s="30"/>
      <c r="B832" s="30"/>
      <c r="C832" s="161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</row>
    <row r="833" spans="1:55" ht="11.25" customHeight="1" x14ac:dyDescent="0.25">
      <c r="A833" s="30"/>
      <c r="B833" s="30"/>
      <c r="C833" s="161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</row>
    <row r="834" spans="1:55" ht="11.25" customHeight="1" x14ac:dyDescent="0.25">
      <c r="A834" s="30"/>
      <c r="B834" s="30"/>
      <c r="C834" s="161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</row>
    <row r="835" spans="1:55" ht="11.25" customHeight="1" x14ac:dyDescent="0.25">
      <c r="A835" s="30"/>
      <c r="B835" s="30"/>
      <c r="C835" s="161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</row>
    <row r="836" spans="1:55" ht="11.25" customHeight="1" x14ac:dyDescent="0.25">
      <c r="A836" s="30"/>
      <c r="B836" s="30"/>
      <c r="C836" s="161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</row>
    <row r="837" spans="1:55" ht="11.25" customHeight="1" x14ac:dyDescent="0.25">
      <c r="A837" s="30"/>
      <c r="B837" s="30"/>
      <c r="C837" s="161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</row>
    <row r="838" spans="1:55" ht="11.25" customHeight="1" x14ac:dyDescent="0.25">
      <c r="A838" s="30"/>
      <c r="B838" s="30"/>
      <c r="C838" s="161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</row>
    <row r="839" spans="1:55" ht="11.25" customHeight="1" x14ac:dyDescent="0.25">
      <c r="A839" s="30"/>
      <c r="B839" s="30"/>
      <c r="C839" s="161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</row>
    <row r="840" spans="1:55" ht="11.25" customHeight="1" x14ac:dyDescent="0.25">
      <c r="A840" s="30"/>
      <c r="B840" s="30"/>
      <c r="C840" s="161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</row>
    <row r="841" spans="1:55" ht="11.25" customHeight="1" x14ac:dyDescent="0.25">
      <c r="A841" s="30"/>
      <c r="B841" s="30"/>
      <c r="C841" s="161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</row>
    <row r="842" spans="1:55" ht="11.25" customHeight="1" x14ac:dyDescent="0.25">
      <c r="A842" s="30"/>
      <c r="B842" s="30"/>
      <c r="C842" s="161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</row>
    <row r="843" spans="1:55" ht="11.25" customHeight="1" x14ac:dyDescent="0.25">
      <c r="A843" s="30"/>
      <c r="B843" s="30"/>
      <c r="C843" s="161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</row>
    <row r="844" spans="1:55" ht="11.25" customHeight="1" x14ac:dyDescent="0.25">
      <c r="A844" s="30"/>
      <c r="B844" s="30"/>
      <c r="C844" s="161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</row>
    <row r="845" spans="1:55" ht="11.25" customHeight="1" x14ac:dyDescent="0.25">
      <c r="A845" s="30"/>
      <c r="B845" s="30"/>
      <c r="C845" s="161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</row>
    <row r="846" spans="1:55" ht="11.25" customHeight="1" x14ac:dyDescent="0.25">
      <c r="A846" s="30"/>
      <c r="B846" s="30"/>
      <c r="C846" s="161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</row>
    <row r="847" spans="1:55" ht="11.25" customHeight="1" x14ac:dyDescent="0.25">
      <c r="A847" s="30"/>
      <c r="B847" s="30"/>
      <c r="C847" s="161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</row>
    <row r="848" spans="1:55" ht="11.25" customHeight="1" x14ac:dyDescent="0.25">
      <c r="A848" s="30"/>
      <c r="B848" s="30"/>
      <c r="C848" s="161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</row>
    <row r="849" spans="1:55" ht="11.25" customHeight="1" x14ac:dyDescent="0.25">
      <c r="A849" s="30"/>
      <c r="B849" s="30"/>
      <c r="C849" s="161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</row>
    <row r="850" spans="1:55" ht="11.25" customHeight="1" x14ac:dyDescent="0.25">
      <c r="A850" s="30"/>
      <c r="B850" s="30"/>
      <c r="C850" s="161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</row>
    <row r="851" spans="1:55" ht="11.25" customHeight="1" x14ac:dyDescent="0.25">
      <c r="A851" s="30"/>
      <c r="B851" s="30"/>
      <c r="C851" s="161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</row>
    <row r="852" spans="1:55" ht="11.25" customHeight="1" x14ac:dyDescent="0.25">
      <c r="A852" s="30"/>
      <c r="B852" s="30"/>
      <c r="C852" s="161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</row>
    <row r="853" spans="1:55" ht="11.25" customHeight="1" x14ac:dyDescent="0.25">
      <c r="A853" s="30"/>
      <c r="B853" s="30"/>
      <c r="C853" s="161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</row>
    <row r="854" spans="1:55" ht="11.25" customHeight="1" x14ac:dyDescent="0.25">
      <c r="A854" s="30"/>
      <c r="B854" s="30"/>
      <c r="C854" s="161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</row>
    <row r="855" spans="1:55" ht="11.25" customHeight="1" x14ac:dyDescent="0.25">
      <c r="A855" s="30"/>
      <c r="B855" s="30"/>
      <c r="C855" s="161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</row>
    <row r="856" spans="1:55" ht="11.25" customHeight="1" x14ac:dyDescent="0.25">
      <c r="A856" s="30"/>
      <c r="B856" s="30"/>
      <c r="C856" s="161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</row>
    <row r="857" spans="1:55" ht="11.25" customHeight="1" x14ac:dyDescent="0.25">
      <c r="A857" s="30"/>
      <c r="B857" s="30"/>
      <c r="C857" s="161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</row>
    <row r="858" spans="1:55" ht="11.25" customHeight="1" x14ac:dyDescent="0.25">
      <c r="A858" s="30"/>
      <c r="B858" s="30"/>
      <c r="C858" s="161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</row>
    <row r="859" spans="1:55" ht="11.25" customHeight="1" x14ac:dyDescent="0.25">
      <c r="A859" s="30"/>
      <c r="B859" s="30"/>
      <c r="C859" s="161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</row>
    <row r="860" spans="1:55" ht="11.25" customHeight="1" x14ac:dyDescent="0.25">
      <c r="A860" s="30"/>
      <c r="B860" s="30"/>
      <c r="C860" s="161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</row>
    <row r="861" spans="1:55" ht="11.25" customHeight="1" x14ac:dyDescent="0.25">
      <c r="A861" s="30"/>
      <c r="B861" s="30"/>
      <c r="C861" s="161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</row>
    <row r="862" spans="1:55" ht="11.25" customHeight="1" x14ac:dyDescent="0.25">
      <c r="A862" s="30"/>
      <c r="B862" s="30"/>
      <c r="C862" s="161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</row>
    <row r="863" spans="1:55" ht="11.25" customHeight="1" x14ac:dyDescent="0.25">
      <c r="A863" s="30"/>
      <c r="B863" s="30"/>
      <c r="C863" s="161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</row>
    <row r="864" spans="1:55" ht="11.25" customHeight="1" x14ac:dyDescent="0.25">
      <c r="A864" s="30"/>
      <c r="B864" s="30"/>
      <c r="C864" s="161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</row>
    <row r="865" spans="1:55" ht="11.25" customHeight="1" x14ac:dyDescent="0.25">
      <c r="A865" s="30"/>
      <c r="B865" s="30"/>
      <c r="C865" s="161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</row>
    <row r="866" spans="1:55" ht="11.25" customHeight="1" x14ac:dyDescent="0.25">
      <c r="A866" s="30"/>
      <c r="B866" s="30"/>
      <c r="C866" s="161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</row>
    <row r="867" spans="1:55" ht="11.25" customHeight="1" x14ac:dyDescent="0.25">
      <c r="A867" s="30"/>
      <c r="B867" s="30"/>
      <c r="C867" s="161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</row>
    <row r="868" spans="1:55" ht="11.25" customHeight="1" x14ac:dyDescent="0.25">
      <c r="A868" s="30"/>
      <c r="B868" s="30"/>
      <c r="C868" s="161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</row>
    <row r="869" spans="1:55" ht="11.25" customHeight="1" x14ac:dyDescent="0.25">
      <c r="A869" s="30"/>
      <c r="B869" s="30"/>
      <c r="C869" s="161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</row>
    <row r="870" spans="1:55" ht="11.25" customHeight="1" x14ac:dyDescent="0.25">
      <c r="A870" s="30"/>
      <c r="B870" s="30"/>
      <c r="C870" s="161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</row>
    <row r="871" spans="1:55" ht="11.25" customHeight="1" x14ac:dyDescent="0.25">
      <c r="A871" s="30"/>
      <c r="B871" s="30"/>
      <c r="C871" s="161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</row>
    <row r="872" spans="1:55" ht="11.25" customHeight="1" x14ac:dyDescent="0.25">
      <c r="A872" s="30"/>
      <c r="B872" s="30"/>
      <c r="C872" s="161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</row>
    <row r="873" spans="1:55" ht="11.25" customHeight="1" x14ac:dyDescent="0.25">
      <c r="A873" s="30"/>
      <c r="B873" s="30"/>
      <c r="C873" s="161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</row>
    <row r="874" spans="1:55" ht="11.25" customHeight="1" x14ac:dyDescent="0.25">
      <c r="A874" s="30"/>
      <c r="B874" s="30"/>
      <c r="C874" s="161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</row>
    <row r="875" spans="1:55" ht="11.25" customHeight="1" x14ac:dyDescent="0.25">
      <c r="A875" s="30"/>
      <c r="B875" s="30"/>
      <c r="C875" s="161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</row>
    <row r="876" spans="1:55" ht="11.25" customHeight="1" x14ac:dyDescent="0.25">
      <c r="A876" s="30"/>
      <c r="B876" s="30"/>
      <c r="C876" s="161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</row>
    <row r="877" spans="1:55" ht="11.25" customHeight="1" x14ac:dyDescent="0.25">
      <c r="A877" s="30"/>
      <c r="B877" s="30"/>
      <c r="C877" s="161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</row>
    <row r="878" spans="1:55" ht="11.25" customHeight="1" x14ac:dyDescent="0.25">
      <c r="A878" s="30"/>
      <c r="B878" s="30"/>
      <c r="C878" s="161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</row>
    <row r="879" spans="1:55" ht="11.25" customHeight="1" x14ac:dyDescent="0.25">
      <c r="A879" s="30"/>
      <c r="B879" s="30"/>
      <c r="C879" s="161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</row>
    <row r="880" spans="1:55" ht="11.25" customHeight="1" x14ac:dyDescent="0.25">
      <c r="A880" s="30"/>
      <c r="B880" s="30"/>
      <c r="C880" s="161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</row>
    <row r="881" spans="1:55" ht="11.25" customHeight="1" x14ac:dyDescent="0.25">
      <c r="A881" s="30"/>
      <c r="B881" s="30"/>
      <c r="C881" s="161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</row>
    <row r="882" spans="1:55" ht="11.25" customHeight="1" x14ac:dyDescent="0.25">
      <c r="A882" s="30"/>
      <c r="B882" s="30"/>
      <c r="C882" s="161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</row>
    <row r="883" spans="1:55" ht="11.25" customHeight="1" x14ac:dyDescent="0.25">
      <c r="A883" s="30"/>
      <c r="B883" s="30"/>
      <c r="C883" s="161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</row>
    <row r="884" spans="1:55" ht="11.25" customHeight="1" x14ac:dyDescent="0.25">
      <c r="A884" s="30"/>
      <c r="B884" s="30"/>
      <c r="C884" s="161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</row>
    <row r="885" spans="1:55" ht="11.25" customHeight="1" x14ac:dyDescent="0.25">
      <c r="A885" s="30"/>
      <c r="B885" s="30"/>
      <c r="C885" s="161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</row>
    <row r="886" spans="1:55" ht="11.25" customHeight="1" x14ac:dyDescent="0.25">
      <c r="A886" s="30"/>
      <c r="B886" s="30"/>
      <c r="C886" s="161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</row>
    <row r="887" spans="1:55" ht="11.25" customHeight="1" x14ac:dyDescent="0.25">
      <c r="A887" s="30"/>
      <c r="B887" s="30"/>
      <c r="C887" s="161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</row>
    <row r="888" spans="1:55" ht="11.25" customHeight="1" x14ac:dyDescent="0.25">
      <c r="A888" s="30"/>
      <c r="B888" s="30"/>
      <c r="C888" s="161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</row>
    <row r="889" spans="1:55" ht="11.25" customHeight="1" x14ac:dyDescent="0.25">
      <c r="A889" s="30"/>
      <c r="B889" s="30"/>
      <c r="C889" s="161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</row>
    <row r="890" spans="1:55" ht="11.25" customHeight="1" x14ac:dyDescent="0.25">
      <c r="A890" s="30"/>
      <c r="B890" s="30"/>
      <c r="C890" s="161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</row>
    <row r="891" spans="1:55" ht="11.25" customHeight="1" x14ac:dyDescent="0.25">
      <c r="A891" s="30"/>
      <c r="B891" s="30"/>
      <c r="C891" s="161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</row>
    <row r="892" spans="1:55" ht="11.25" customHeight="1" x14ac:dyDescent="0.25">
      <c r="A892" s="30"/>
      <c r="B892" s="30"/>
      <c r="C892" s="161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</row>
    <row r="893" spans="1:55" ht="11.25" customHeight="1" x14ac:dyDescent="0.25">
      <c r="A893" s="30"/>
      <c r="B893" s="30"/>
      <c r="C893" s="161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</row>
    <row r="894" spans="1:55" ht="11.25" customHeight="1" x14ac:dyDescent="0.25">
      <c r="A894" s="30"/>
      <c r="B894" s="30"/>
      <c r="C894" s="161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</row>
    <row r="895" spans="1:55" ht="11.25" customHeight="1" x14ac:dyDescent="0.25">
      <c r="A895" s="30"/>
      <c r="B895" s="30"/>
      <c r="C895" s="161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</row>
    <row r="896" spans="1:55" ht="11.25" customHeight="1" x14ac:dyDescent="0.25">
      <c r="A896" s="30"/>
      <c r="B896" s="30"/>
      <c r="C896" s="161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</row>
    <row r="897" spans="1:55" ht="11.25" customHeight="1" x14ac:dyDescent="0.25">
      <c r="A897" s="30"/>
      <c r="B897" s="30"/>
      <c r="C897" s="161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</row>
    <row r="898" spans="1:55" ht="11.25" customHeight="1" x14ac:dyDescent="0.25">
      <c r="A898" s="30"/>
      <c r="B898" s="30"/>
      <c r="C898" s="161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</row>
    <row r="899" spans="1:55" ht="11.25" customHeight="1" x14ac:dyDescent="0.25">
      <c r="A899" s="30"/>
      <c r="B899" s="30"/>
      <c r="C899" s="161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</row>
    <row r="900" spans="1:55" ht="11.25" customHeight="1" x14ac:dyDescent="0.25">
      <c r="A900" s="30"/>
      <c r="B900" s="30"/>
      <c r="C900" s="161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</row>
    <row r="901" spans="1:55" ht="11.25" customHeight="1" x14ac:dyDescent="0.25">
      <c r="A901" s="30"/>
      <c r="B901" s="30"/>
      <c r="C901" s="161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</row>
    <row r="902" spans="1:55" ht="11.25" customHeight="1" x14ac:dyDescent="0.25">
      <c r="A902" s="30"/>
      <c r="B902" s="30"/>
      <c r="C902" s="161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</row>
    <row r="903" spans="1:55" ht="11.25" customHeight="1" x14ac:dyDescent="0.25">
      <c r="A903" s="30"/>
      <c r="B903" s="30"/>
      <c r="C903" s="161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</row>
    <row r="904" spans="1:55" ht="11.25" customHeight="1" x14ac:dyDescent="0.25">
      <c r="A904" s="30"/>
      <c r="B904" s="30"/>
      <c r="C904" s="161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</row>
    <row r="905" spans="1:55" ht="11.25" customHeight="1" x14ac:dyDescent="0.25">
      <c r="A905" s="30"/>
      <c r="B905" s="30"/>
      <c r="C905" s="161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</row>
    <row r="906" spans="1:55" ht="11.25" customHeight="1" x14ac:dyDescent="0.25">
      <c r="A906" s="30"/>
      <c r="B906" s="30"/>
      <c r="C906" s="161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</row>
    <row r="907" spans="1:55" ht="11.25" customHeight="1" x14ac:dyDescent="0.25">
      <c r="A907" s="30"/>
      <c r="B907" s="30"/>
      <c r="C907" s="161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</row>
    <row r="908" spans="1:55" ht="11.25" customHeight="1" x14ac:dyDescent="0.25">
      <c r="A908" s="30"/>
      <c r="B908" s="30"/>
      <c r="C908" s="161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</row>
    <row r="909" spans="1:55" ht="11.25" customHeight="1" x14ac:dyDescent="0.25">
      <c r="A909" s="30"/>
      <c r="B909" s="30"/>
      <c r="C909" s="161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</row>
    <row r="910" spans="1:55" ht="11.25" customHeight="1" x14ac:dyDescent="0.25">
      <c r="A910" s="30"/>
      <c r="B910" s="30"/>
      <c r="C910" s="161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</row>
    <row r="911" spans="1:55" ht="11.25" customHeight="1" x14ac:dyDescent="0.25">
      <c r="A911" s="30"/>
      <c r="B911" s="30"/>
      <c r="C911" s="161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</row>
    <row r="912" spans="1:55" ht="11.25" customHeight="1" x14ac:dyDescent="0.25">
      <c r="A912" s="30"/>
      <c r="B912" s="30"/>
      <c r="C912" s="161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</row>
    <row r="913" spans="1:55" ht="11.25" customHeight="1" x14ac:dyDescent="0.25">
      <c r="A913" s="30"/>
      <c r="B913" s="30"/>
      <c r="C913" s="161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</row>
    <row r="914" spans="1:55" ht="11.25" customHeight="1" x14ac:dyDescent="0.25">
      <c r="A914" s="30"/>
      <c r="B914" s="30"/>
      <c r="C914" s="161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</row>
    <row r="915" spans="1:55" ht="11.25" customHeight="1" x14ac:dyDescent="0.25">
      <c r="A915" s="30"/>
      <c r="B915" s="30"/>
      <c r="C915" s="161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</row>
    <row r="916" spans="1:55" ht="11.25" customHeight="1" x14ac:dyDescent="0.25">
      <c r="A916" s="30"/>
      <c r="B916" s="30"/>
      <c r="C916" s="161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</row>
    <row r="917" spans="1:55" ht="11.25" customHeight="1" x14ac:dyDescent="0.25">
      <c r="A917" s="30"/>
      <c r="B917" s="30"/>
      <c r="C917" s="161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</row>
    <row r="918" spans="1:55" ht="11.25" customHeight="1" x14ac:dyDescent="0.25">
      <c r="A918" s="30"/>
      <c r="B918" s="30"/>
      <c r="C918" s="161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</row>
    <row r="919" spans="1:55" ht="11.25" customHeight="1" x14ac:dyDescent="0.25">
      <c r="A919" s="30"/>
      <c r="B919" s="30"/>
      <c r="C919" s="161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</row>
    <row r="920" spans="1:55" ht="11.25" customHeight="1" x14ac:dyDescent="0.25">
      <c r="A920" s="30"/>
      <c r="B920" s="30"/>
      <c r="C920" s="161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</row>
    <row r="921" spans="1:55" ht="11.25" customHeight="1" x14ac:dyDescent="0.25">
      <c r="A921" s="30"/>
      <c r="B921" s="30"/>
      <c r="C921" s="161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</row>
    <row r="922" spans="1:55" ht="11.25" customHeight="1" x14ac:dyDescent="0.25">
      <c r="A922" s="30"/>
      <c r="B922" s="30"/>
      <c r="C922" s="161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</row>
    <row r="923" spans="1:55" ht="11.25" customHeight="1" x14ac:dyDescent="0.25">
      <c r="A923" s="30"/>
      <c r="B923" s="30"/>
      <c r="C923" s="161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</row>
    <row r="924" spans="1:55" ht="11.25" customHeight="1" x14ac:dyDescent="0.25">
      <c r="A924" s="30"/>
      <c r="B924" s="30"/>
      <c r="C924" s="161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</row>
    <row r="925" spans="1:55" ht="11.25" customHeight="1" x14ac:dyDescent="0.25">
      <c r="A925" s="30"/>
      <c r="B925" s="30"/>
      <c r="C925" s="161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</row>
    <row r="926" spans="1:55" ht="11.25" customHeight="1" x14ac:dyDescent="0.25">
      <c r="A926" s="30"/>
      <c r="B926" s="30"/>
      <c r="C926" s="161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</row>
    <row r="927" spans="1:55" ht="11.25" customHeight="1" x14ac:dyDescent="0.25">
      <c r="A927" s="30"/>
      <c r="B927" s="30"/>
      <c r="C927" s="161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</row>
    <row r="928" spans="1:55" ht="11.25" customHeight="1" x14ac:dyDescent="0.25">
      <c r="A928" s="30"/>
      <c r="B928" s="30"/>
      <c r="C928" s="161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</row>
    <row r="929" spans="1:55" ht="11.25" customHeight="1" x14ac:dyDescent="0.25">
      <c r="A929" s="30"/>
      <c r="B929" s="30"/>
      <c r="C929" s="161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</row>
    <row r="930" spans="1:55" ht="11.25" customHeight="1" x14ac:dyDescent="0.25">
      <c r="A930" s="30"/>
      <c r="B930" s="30"/>
      <c r="C930" s="161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</row>
    <row r="931" spans="1:55" ht="11.25" customHeight="1" x14ac:dyDescent="0.25">
      <c r="A931" s="30"/>
      <c r="B931" s="30"/>
      <c r="C931" s="161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</row>
    <row r="932" spans="1:55" ht="11.25" customHeight="1" x14ac:dyDescent="0.25">
      <c r="A932" s="30"/>
      <c r="B932" s="30"/>
      <c r="C932" s="161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</row>
    <row r="933" spans="1:55" ht="11.25" customHeight="1" x14ac:dyDescent="0.25">
      <c r="A933" s="30"/>
      <c r="B933" s="30"/>
      <c r="C933" s="161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</row>
    <row r="934" spans="1:55" ht="11.25" customHeight="1" x14ac:dyDescent="0.25">
      <c r="A934" s="30"/>
      <c r="B934" s="30"/>
      <c r="C934" s="161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</row>
    <row r="935" spans="1:55" ht="11.25" customHeight="1" x14ac:dyDescent="0.25">
      <c r="A935" s="30"/>
      <c r="B935" s="30"/>
      <c r="C935" s="161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</row>
    <row r="936" spans="1:55" ht="11.25" customHeight="1" x14ac:dyDescent="0.25">
      <c r="A936" s="30"/>
      <c r="B936" s="30"/>
      <c r="C936" s="161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</row>
    <row r="937" spans="1:55" ht="11.25" customHeight="1" x14ac:dyDescent="0.25">
      <c r="A937" s="30"/>
      <c r="B937" s="30"/>
      <c r="C937" s="161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</row>
    <row r="938" spans="1:55" ht="11.25" customHeight="1" x14ac:dyDescent="0.25">
      <c r="A938" s="30"/>
      <c r="B938" s="30"/>
      <c r="C938" s="161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</row>
    <row r="939" spans="1:55" ht="11.25" customHeight="1" x14ac:dyDescent="0.25">
      <c r="A939" s="30"/>
      <c r="B939" s="30"/>
      <c r="C939" s="161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</row>
    <row r="940" spans="1:55" ht="11.25" customHeight="1" x14ac:dyDescent="0.25">
      <c r="A940" s="30"/>
      <c r="B940" s="30"/>
      <c r="C940" s="161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</row>
    <row r="941" spans="1:55" ht="11.25" customHeight="1" x14ac:dyDescent="0.25">
      <c r="A941" s="30"/>
      <c r="B941" s="30"/>
      <c r="C941" s="161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</row>
    <row r="942" spans="1:55" ht="11.25" customHeight="1" x14ac:dyDescent="0.25">
      <c r="A942" s="30"/>
      <c r="B942" s="30"/>
      <c r="C942" s="161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</row>
    <row r="943" spans="1:55" ht="11.25" customHeight="1" x14ac:dyDescent="0.25">
      <c r="A943" s="30"/>
      <c r="B943" s="30"/>
      <c r="C943" s="161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</row>
    <row r="944" spans="1:55" ht="11.25" customHeight="1" x14ac:dyDescent="0.25">
      <c r="A944" s="30"/>
      <c r="B944" s="30"/>
      <c r="C944" s="161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</row>
    <row r="945" spans="1:55" ht="11.25" customHeight="1" x14ac:dyDescent="0.25">
      <c r="A945" s="30"/>
      <c r="B945" s="30"/>
      <c r="C945" s="161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</row>
    <row r="946" spans="1:55" ht="11.25" customHeight="1" x14ac:dyDescent="0.25">
      <c r="A946" s="30"/>
      <c r="B946" s="30"/>
      <c r="C946" s="161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</row>
    <row r="947" spans="1:55" ht="11.25" customHeight="1" x14ac:dyDescent="0.25">
      <c r="A947" s="30"/>
      <c r="B947" s="30"/>
      <c r="C947" s="161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</row>
    <row r="948" spans="1:55" ht="11.25" customHeight="1" x14ac:dyDescent="0.25">
      <c r="A948" s="30"/>
      <c r="B948" s="30"/>
      <c r="C948" s="161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</row>
    <row r="949" spans="1:55" ht="11.25" customHeight="1" x14ac:dyDescent="0.25">
      <c r="A949" s="30"/>
      <c r="B949" s="30"/>
      <c r="C949" s="161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</row>
    <row r="950" spans="1:55" ht="11.25" customHeight="1" x14ac:dyDescent="0.25">
      <c r="A950" s="30"/>
      <c r="B950" s="30"/>
      <c r="C950" s="161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</row>
    <row r="951" spans="1:55" ht="11.25" customHeight="1" x14ac:dyDescent="0.25">
      <c r="A951" s="30"/>
      <c r="B951" s="30"/>
      <c r="C951" s="161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</row>
    <row r="952" spans="1:55" ht="11.25" customHeight="1" x14ac:dyDescent="0.25">
      <c r="A952" s="30"/>
      <c r="B952" s="30"/>
      <c r="C952" s="161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</row>
    <row r="953" spans="1:55" ht="11.25" customHeight="1" x14ac:dyDescent="0.25">
      <c r="A953" s="30"/>
      <c r="B953" s="30"/>
      <c r="C953" s="161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</row>
    <row r="954" spans="1:55" ht="11.25" customHeight="1" x14ac:dyDescent="0.25">
      <c r="A954" s="30"/>
      <c r="B954" s="30"/>
      <c r="C954" s="161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</row>
    <row r="955" spans="1:55" ht="11.25" customHeight="1" x14ac:dyDescent="0.25">
      <c r="A955" s="30"/>
      <c r="B955" s="30"/>
      <c r="C955" s="161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</row>
    <row r="956" spans="1:55" ht="11.25" customHeight="1" x14ac:dyDescent="0.25">
      <c r="A956" s="30"/>
      <c r="B956" s="30"/>
      <c r="C956" s="161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</row>
    <row r="957" spans="1:55" ht="11.25" customHeight="1" x14ac:dyDescent="0.25">
      <c r="A957" s="30"/>
      <c r="B957" s="30"/>
      <c r="C957" s="161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</row>
    <row r="958" spans="1:55" ht="11.25" customHeight="1" x14ac:dyDescent="0.25">
      <c r="A958" s="30"/>
      <c r="B958" s="30"/>
      <c r="C958" s="161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</row>
    <row r="959" spans="1:55" ht="11.25" customHeight="1" x14ac:dyDescent="0.25">
      <c r="A959" s="30"/>
      <c r="B959" s="30"/>
      <c r="C959" s="161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</row>
    <row r="960" spans="1:55" ht="11.25" customHeight="1" x14ac:dyDescent="0.25">
      <c r="A960" s="30"/>
      <c r="B960" s="30"/>
      <c r="C960" s="161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</row>
    <row r="961" spans="1:55" ht="11.25" customHeight="1" x14ac:dyDescent="0.25">
      <c r="A961" s="30"/>
      <c r="B961" s="30"/>
      <c r="C961" s="161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</row>
    <row r="962" spans="1:55" ht="11.25" customHeight="1" x14ac:dyDescent="0.25">
      <c r="A962" s="30"/>
      <c r="B962" s="30"/>
      <c r="C962" s="161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</row>
    <row r="963" spans="1:55" ht="11.25" customHeight="1" x14ac:dyDescent="0.25">
      <c r="A963" s="30"/>
      <c r="B963" s="30"/>
      <c r="C963" s="161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</row>
    <row r="964" spans="1:55" ht="11.25" customHeight="1" x14ac:dyDescent="0.25">
      <c r="A964" s="30"/>
      <c r="B964" s="30"/>
      <c r="C964" s="161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</row>
    <row r="965" spans="1:55" ht="11.25" customHeight="1" x14ac:dyDescent="0.25">
      <c r="A965" s="30"/>
      <c r="B965" s="30"/>
      <c r="C965" s="161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</row>
    <row r="966" spans="1:55" ht="11.25" customHeight="1" x14ac:dyDescent="0.25">
      <c r="A966" s="30"/>
      <c r="B966" s="30"/>
      <c r="C966" s="161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</row>
    <row r="967" spans="1:55" ht="11.25" customHeight="1" x14ac:dyDescent="0.25">
      <c r="A967" s="30"/>
      <c r="B967" s="30"/>
      <c r="C967" s="161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</row>
    <row r="968" spans="1:55" ht="11.25" customHeight="1" x14ac:dyDescent="0.25">
      <c r="A968" s="30"/>
      <c r="B968" s="30"/>
      <c r="C968" s="161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</row>
    <row r="969" spans="1:55" ht="11.25" customHeight="1" x14ac:dyDescent="0.25">
      <c r="A969" s="30"/>
      <c r="B969" s="30"/>
      <c r="C969" s="161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</row>
    <row r="970" spans="1:55" ht="11.25" customHeight="1" x14ac:dyDescent="0.25">
      <c r="A970" s="30"/>
      <c r="B970" s="30"/>
      <c r="C970" s="161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</row>
    <row r="971" spans="1:55" ht="11.25" customHeight="1" x14ac:dyDescent="0.25">
      <c r="A971" s="30"/>
      <c r="B971" s="30"/>
      <c r="C971" s="161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</row>
    <row r="972" spans="1:55" ht="11.25" customHeight="1" x14ac:dyDescent="0.25">
      <c r="A972" s="30"/>
      <c r="B972" s="30"/>
      <c r="C972" s="161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</row>
    <row r="973" spans="1:55" ht="11.25" customHeight="1" x14ac:dyDescent="0.25">
      <c r="A973" s="30"/>
      <c r="B973" s="30"/>
      <c r="C973" s="161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</row>
    <row r="974" spans="1:55" ht="11.25" customHeight="1" x14ac:dyDescent="0.25">
      <c r="A974" s="30"/>
      <c r="B974" s="30"/>
      <c r="C974" s="161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</row>
    <row r="975" spans="1:55" ht="11.25" customHeight="1" x14ac:dyDescent="0.25">
      <c r="A975" s="30"/>
      <c r="B975" s="30"/>
      <c r="C975" s="161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</row>
    <row r="976" spans="1:55" ht="11.25" customHeight="1" x14ac:dyDescent="0.25">
      <c r="A976" s="30"/>
      <c r="B976" s="30"/>
      <c r="C976" s="161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</row>
    <row r="977" spans="1:55" ht="11.25" customHeight="1" x14ac:dyDescent="0.25">
      <c r="A977" s="30"/>
      <c r="B977" s="30"/>
      <c r="C977" s="161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</row>
    <row r="978" spans="1:55" ht="11.25" customHeight="1" x14ac:dyDescent="0.25">
      <c r="A978" s="30"/>
      <c r="B978" s="30"/>
      <c r="C978" s="161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</row>
    <row r="979" spans="1:55" ht="11.25" customHeight="1" x14ac:dyDescent="0.25">
      <c r="A979" s="30"/>
      <c r="B979" s="30"/>
      <c r="C979" s="161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</row>
    <row r="980" spans="1:55" ht="11.25" customHeight="1" x14ac:dyDescent="0.25">
      <c r="A980" s="30"/>
      <c r="B980" s="30"/>
      <c r="C980" s="161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</row>
    <row r="981" spans="1:55" ht="11.25" customHeight="1" x14ac:dyDescent="0.25">
      <c r="A981" s="30"/>
      <c r="B981" s="30"/>
      <c r="C981" s="161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</row>
    <row r="982" spans="1:55" ht="11.25" customHeight="1" x14ac:dyDescent="0.25">
      <c r="A982" s="30"/>
      <c r="B982" s="30"/>
      <c r="C982" s="161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</row>
    <row r="983" spans="1:55" ht="11.25" customHeight="1" x14ac:dyDescent="0.25">
      <c r="A983" s="30"/>
      <c r="B983" s="30"/>
      <c r="C983" s="161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</row>
    <row r="984" spans="1:55" ht="11.25" customHeight="1" x14ac:dyDescent="0.25">
      <c r="A984" s="30"/>
      <c r="B984" s="30"/>
      <c r="C984" s="161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</row>
    <row r="985" spans="1:55" ht="11.25" customHeight="1" x14ac:dyDescent="0.25">
      <c r="A985" s="30"/>
      <c r="B985" s="30"/>
      <c r="C985" s="161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</row>
    <row r="986" spans="1:55" ht="11.25" customHeight="1" x14ac:dyDescent="0.25">
      <c r="A986" s="30"/>
      <c r="B986" s="30"/>
      <c r="C986" s="161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</row>
    <row r="987" spans="1:55" ht="11.25" customHeight="1" x14ac:dyDescent="0.25">
      <c r="A987" s="30"/>
      <c r="B987" s="30"/>
      <c r="C987" s="161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</row>
    <row r="988" spans="1:55" ht="11.25" customHeight="1" x14ac:dyDescent="0.25">
      <c r="A988" s="30"/>
      <c r="B988" s="30"/>
      <c r="C988" s="161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</row>
    <row r="989" spans="1:55" ht="11.25" customHeight="1" x14ac:dyDescent="0.25">
      <c r="A989" s="30"/>
      <c r="B989" s="30"/>
      <c r="C989" s="161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</row>
    <row r="990" spans="1:55" ht="11.25" customHeight="1" x14ac:dyDescent="0.25">
      <c r="A990" s="30"/>
      <c r="B990" s="30"/>
      <c r="C990" s="161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</row>
    <row r="991" spans="1:55" ht="11.25" customHeight="1" x14ac:dyDescent="0.25">
      <c r="A991" s="30"/>
      <c r="B991" s="30"/>
      <c r="C991" s="161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</row>
    <row r="992" spans="1:55" ht="11.25" customHeight="1" x14ac:dyDescent="0.25">
      <c r="A992" s="30"/>
      <c r="B992" s="30"/>
      <c r="C992" s="161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</row>
    <row r="993" spans="1:55" ht="11.25" customHeight="1" x14ac:dyDescent="0.25">
      <c r="A993" s="30"/>
      <c r="B993" s="30"/>
      <c r="C993" s="161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</row>
    <row r="994" spans="1:55" ht="11.25" customHeight="1" x14ac:dyDescent="0.25">
      <c r="A994" s="30"/>
      <c r="B994" s="30"/>
      <c r="C994" s="161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</row>
    <row r="995" spans="1:55" ht="11.25" customHeight="1" x14ac:dyDescent="0.25">
      <c r="A995" s="30"/>
      <c r="B995" s="30"/>
      <c r="C995" s="161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</row>
    <row r="996" spans="1:55" ht="11.25" customHeight="1" x14ac:dyDescent="0.25">
      <c r="A996" s="30"/>
      <c r="B996" s="30"/>
      <c r="C996" s="161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</row>
    <row r="997" spans="1:55" ht="11.25" customHeight="1" x14ac:dyDescent="0.25">
      <c r="A997" s="30"/>
      <c r="B997" s="30"/>
      <c r="C997" s="161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</row>
    <row r="998" spans="1:55" ht="11.25" customHeight="1" x14ac:dyDescent="0.25">
      <c r="A998" s="30"/>
      <c r="B998" s="30"/>
      <c r="C998" s="161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</row>
    <row r="999" spans="1:55" ht="11.25" customHeight="1" x14ac:dyDescent="0.25">
      <c r="A999" s="30"/>
      <c r="B999" s="30"/>
      <c r="C999" s="161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</row>
    <row r="1000" spans="1:55" ht="11.25" customHeight="1" x14ac:dyDescent="0.25">
      <c r="A1000" s="30"/>
      <c r="B1000" s="30"/>
      <c r="C1000" s="161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</row>
  </sheetData>
  <phoneticPr fontId="9"/>
  <conditionalFormatting sqref="A14">
    <cfRule type="cellIs" dxfId="123" priority="32" operator="greaterThan">
      <formula>0.25</formula>
    </cfRule>
  </conditionalFormatting>
  <conditionalFormatting sqref="A26">
    <cfRule type="cellIs" dxfId="122" priority="33" operator="greaterThan">
      <formula>0.25</formula>
    </cfRule>
  </conditionalFormatting>
  <conditionalFormatting sqref="A38">
    <cfRule type="cellIs" dxfId="121" priority="34" operator="greaterThan">
      <formula>0.25</formula>
    </cfRule>
  </conditionalFormatting>
  <conditionalFormatting sqref="A50">
    <cfRule type="cellIs" dxfId="120" priority="35" operator="greaterThan">
      <formula>0.25</formula>
    </cfRule>
  </conditionalFormatting>
  <conditionalFormatting sqref="A62">
    <cfRule type="cellIs" dxfId="119" priority="36" operator="greaterThan">
      <formula>0.25</formula>
    </cfRule>
  </conditionalFormatting>
  <conditionalFormatting sqref="A74">
    <cfRule type="cellIs" dxfId="118" priority="37" operator="greaterThan">
      <formula>0.25</formula>
    </cfRule>
  </conditionalFormatting>
  <conditionalFormatting sqref="A86">
    <cfRule type="cellIs" dxfId="117" priority="38" operator="greaterThan">
      <formula>0.25</formula>
    </cfRule>
  </conditionalFormatting>
  <conditionalFormatting sqref="A98">
    <cfRule type="cellIs" dxfId="116" priority="39" operator="greaterThan">
      <formula>0.25</formula>
    </cfRule>
  </conditionalFormatting>
  <conditionalFormatting sqref="A110">
    <cfRule type="cellIs" dxfId="115" priority="40" operator="greaterThan">
      <formula>0.25</formula>
    </cfRule>
  </conditionalFormatting>
  <conditionalFormatting sqref="A122">
    <cfRule type="cellIs" dxfId="114" priority="41" operator="greaterThan">
      <formula>0.25</formula>
    </cfRule>
  </conditionalFormatting>
  <conditionalFormatting sqref="A134">
    <cfRule type="cellIs" dxfId="113" priority="42" operator="greaterThan">
      <formula>0.25</formula>
    </cfRule>
  </conditionalFormatting>
  <conditionalFormatting sqref="A146">
    <cfRule type="cellIs" dxfId="112" priority="43" operator="greaterThan">
      <formula>0.25</formula>
    </cfRule>
  </conditionalFormatting>
  <conditionalFormatting sqref="A158">
    <cfRule type="cellIs" dxfId="111" priority="44" operator="greaterThan">
      <formula>0.25</formula>
    </cfRule>
  </conditionalFormatting>
  <conditionalFormatting sqref="A170">
    <cfRule type="cellIs" dxfId="110" priority="45" operator="greaterThan">
      <formula>0.25</formula>
    </cfRule>
  </conditionalFormatting>
  <conditionalFormatting sqref="A182 A194">
    <cfRule type="cellIs" dxfId="109" priority="46" operator="greaterThan">
      <formula>0.25</formula>
    </cfRule>
  </conditionalFormatting>
  <conditionalFormatting sqref="A206">
    <cfRule type="cellIs" dxfId="108" priority="28" operator="greaterThan">
      <formula>0.25</formula>
    </cfRule>
  </conditionalFormatting>
  <conditionalFormatting sqref="A218">
    <cfRule type="cellIs" dxfId="107" priority="29" operator="greaterThan">
      <formula>0.25</formula>
    </cfRule>
  </conditionalFormatting>
  <conditionalFormatting sqref="A230">
    <cfRule type="cellIs" dxfId="106" priority="30" operator="greaterThan">
      <formula>0.25</formula>
    </cfRule>
  </conditionalFormatting>
  <conditionalFormatting sqref="A242">
    <cfRule type="cellIs" dxfId="105" priority="31" operator="greaterThan">
      <formula>0.25</formula>
    </cfRule>
  </conditionalFormatting>
  <conditionalFormatting sqref="A254">
    <cfRule type="cellIs" dxfId="104" priority="8" operator="greaterThan">
      <formula>0.25</formula>
    </cfRule>
  </conditionalFormatting>
  <conditionalFormatting sqref="A266">
    <cfRule type="cellIs" dxfId="103" priority="9" operator="greaterThan">
      <formula>0.25</formula>
    </cfRule>
  </conditionalFormatting>
  <conditionalFormatting sqref="A278">
    <cfRule type="cellIs" dxfId="102" priority="10" operator="greaterThan">
      <formula>0.25</formula>
    </cfRule>
  </conditionalFormatting>
  <conditionalFormatting sqref="A290">
    <cfRule type="cellIs" dxfId="101" priority="11" operator="greaterThan">
      <formula>0.25</formula>
    </cfRule>
  </conditionalFormatting>
  <conditionalFormatting sqref="A302">
    <cfRule type="cellIs" dxfId="100" priority="4" operator="greaterThan">
      <formula>0.25</formula>
    </cfRule>
  </conditionalFormatting>
  <conditionalFormatting sqref="A314">
    <cfRule type="cellIs" dxfId="99" priority="5" operator="greaterThan">
      <formula>0.25</formula>
    </cfRule>
  </conditionalFormatting>
  <conditionalFormatting sqref="A326">
    <cfRule type="cellIs" dxfId="98" priority="6" operator="greaterThan">
      <formula>0.25</formula>
    </cfRule>
  </conditionalFormatting>
  <conditionalFormatting sqref="A338">
    <cfRule type="cellIs" dxfId="97" priority="7" operator="greaterThan">
      <formula>0.25</formula>
    </cfRule>
  </conditionalFormatting>
  <conditionalFormatting sqref="A350">
    <cfRule type="cellIs" dxfId="96" priority="3" operator="greaterThan">
      <formula>0.25</formula>
    </cfRule>
  </conditionalFormatting>
  <conditionalFormatting sqref="A362">
    <cfRule type="cellIs" dxfId="95" priority="2" operator="greaterThan">
      <formula>0.25</formula>
    </cfRule>
  </conditionalFormatting>
  <conditionalFormatting sqref="A374">
    <cfRule type="cellIs" dxfId="94" priority="1" operator="greaterThan">
      <formula>0.25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00"/>
  <sheetViews>
    <sheetView workbookViewId="0">
      <pane xSplit="2" ySplit="1" topLeftCell="C2" activePane="bottomRight" state="frozen"/>
      <selection pane="bottomLeft" activeCell="A2" sqref="A2"/>
      <selection pane="topRight" activeCell="C1" sqref="C1"/>
      <selection pane="bottomRight" activeCell="O16" sqref="O16"/>
    </sheetView>
  </sheetViews>
  <sheetFormatPr defaultColWidth="14.390625" defaultRowHeight="15" customHeight="1" x14ac:dyDescent="0.2"/>
  <cols>
    <col min="1" max="1" width="12.10546875" customWidth="1"/>
    <col min="2" max="2" width="7.93359375" customWidth="1"/>
    <col min="3" max="6" width="7.26171875" customWidth="1"/>
    <col min="7" max="7" width="7.80078125" customWidth="1"/>
    <col min="8" max="13" width="7.26171875" customWidth="1"/>
    <col min="14" max="14" width="7.80078125" customWidth="1"/>
    <col min="15" max="16" width="7.26171875" customWidth="1"/>
    <col min="17" max="17" width="9.28125" customWidth="1"/>
    <col min="18" max="19" width="7.26171875" customWidth="1"/>
    <col min="20" max="47" width="6.859375" customWidth="1"/>
  </cols>
  <sheetData>
    <row r="1" spans="1:47" ht="12" customHeight="1" thickBot="1" x14ac:dyDescent="0.25">
      <c r="A1" s="31"/>
      <c r="B1" s="32" t="s">
        <v>0</v>
      </c>
      <c r="C1" s="33">
        <v>46157</v>
      </c>
      <c r="D1" s="33">
        <f t="shared" ref="D1" si="0">C1+1</f>
        <v>46158</v>
      </c>
      <c r="E1" s="33">
        <f t="shared" ref="E1" si="1">D1+1</f>
        <v>46159</v>
      </c>
      <c r="F1" s="33">
        <f t="shared" ref="F1" si="2">E1+1</f>
        <v>46160</v>
      </c>
      <c r="G1" s="33">
        <f t="shared" ref="G1" si="3">F1+1</f>
        <v>46161</v>
      </c>
      <c r="H1" s="33">
        <f t="shared" ref="H1" si="4">G1+1</f>
        <v>46162</v>
      </c>
      <c r="I1" s="33">
        <f t="shared" ref="I1" si="5">H1+1</f>
        <v>46163</v>
      </c>
      <c r="J1" s="33">
        <f t="shared" ref="J1" si="6">I1+1</f>
        <v>46164</v>
      </c>
      <c r="K1" s="33">
        <f t="shared" ref="K1" si="7">J1+1</f>
        <v>46165</v>
      </c>
      <c r="L1" s="33">
        <f t="shared" ref="L1" si="8">K1+1</f>
        <v>46166</v>
      </c>
      <c r="M1" s="33">
        <f t="shared" ref="M1" si="9">L1+1</f>
        <v>46167</v>
      </c>
      <c r="N1" s="33">
        <f t="shared" ref="N1" si="10">M1+1</f>
        <v>46168</v>
      </c>
      <c r="O1" s="33">
        <f t="shared" ref="O1" si="11">N1+1</f>
        <v>46169</v>
      </c>
      <c r="P1" s="33">
        <f t="shared" ref="P1" si="12">O1+1</f>
        <v>46170</v>
      </c>
      <c r="Q1" s="33">
        <f t="shared" ref="Q1" si="13">P1+1</f>
        <v>46171</v>
      </c>
      <c r="R1" s="33">
        <f t="shared" ref="R1" si="14">Q1+1</f>
        <v>46172</v>
      </c>
      <c r="S1" s="33">
        <f t="shared" ref="S1" si="15">R1+1</f>
        <v>46173</v>
      </c>
      <c r="T1" s="33">
        <f t="shared" ref="T1" si="16">S1+1</f>
        <v>46174</v>
      </c>
      <c r="U1" s="33">
        <f t="shared" ref="U1" si="17">T1+1</f>
        <v>46175</v>
      </c>
      <c r="V1" s="33">
        <f t="shared" ref="V1" si="18">U1+1</f>
        <v>46176</v>
      </c>
      <c r="W1" s="33">
        <f t="shared" ref="W1" si="19">V1+1</f>
        <v>46177</v>
      </c>
      <c r="X1" s="33">
        <f t="shared" ref="X1" si="20">W1+1</f>
        <v>46178</v>
      </c>
      <c r="Y1" s="33">
        <f t="shared" ref="Y1" si="21">X1+1</f>
        <v>46179</v>
      </c>
      <c r="Z1" s="33">
        <f t="shared" ref="Z1" si="22">Y1+1</f>
        <v>46180</v>
      </c>
      <c r="AA1" s="33">
        <f t="shared" ref="AA1" si="23">Z1+1</f>
        <v>46181</v>
      </c>
      <c r="AB1" s="33">
        <f t="shared" ref="AB1" si="24">AA1+1</f>
        <v>46182</v>
      </c>
      <c r="AC1" s="33">
        <f t="shared" ref="AC1" si="25">AB1+1</f>
        <v>46183</v>
      </c>
      <c r="AD1" s="33">
        <f t="shared" ref="AD1" si="26">AC1+1</f>
        <v>46184</v>
      </c>
      <c r="AE1" s="33">
        <f t="shared" ref="AE1" si="27">AD1+1</f>
        <v>46185</v>
      </c>
      <c r="AF1" s="33">
        <f t="shared" ref="AF1" si="28">AE1+1</f>
        <v>46186</v>
      </c>
      <c r="AG1" s="33">
        <f t="shared" ref="AG1" si="29">AF1+1</f>
        <v>46187</v>
      </c>
      <c r="AH1" s="153">
        <f t="shared" ref="AH1" si="30">AG1+1</f>
        <v>46188</v>
      </c>
      <c r="AI1" s="33">
        <f t="shared" ref="AI1" si="31">AH1+1</f>
        <v>46189</v>
      </c>
      <c r="AJ1" s="33">
        <f t="shared" ref="AJ1" si="32">AI1+1</f>
        <v>46190</v>
      </c>
      <c r="AK1" s="33">
        <f t="shared" ref="AK1" si="33">AJ1+1</f>
        <v>46191</v>
      </c>
      <c r="AL1" s="33">
        <f t="shared" ref="AL1" si="34">AK1+1</f>
        <v>46192</v>
      </c>
      <c r="AM1" s="33">
        <f t="shared" ref="AM1" si="35">AL1+1</f>
        <v>46193</v>
      </c>
      <c r="AN1" s="33">
        <f t="shared" ref="AN1" si="36">AM1+1</f>
        <v>46194</v>
      </c>
      <c r="AO1" s="33">
        <f t="shared" ref="AO1" si="37">AN1+1</f>
        <v>46195</v>
      </c>
      <c r="AP1" s="33">
        <f t="shared" ref="AP1" si="38">AO1+1</f>
        <v>46196</v>
      </c>
      <c r="AQ1" s="33">
        <f t="shared" ref="AQ1" si="39">AP1+1</f>
        <v>46197</v>
      </c>
      <c r="AR1" s="33">
        <f t="shared" ref="AR1" si="40">AQ1+1</f>
        <v>46198</v>
      </c>
      <c r="AS1" s="33">
        <f t="shared" ref="AS1" si="41">AR1+1</f>
        <v>46199</v>
      </c>
      <c r="AT1" s="33">
        <f t="shared" ref="AT1:AU1" si="42">AS1+1</f>
        <v>46200</v>
      </c>
      <c r="AU1" s="33">
        <f t="shared" si="42"/>
        <v>46201</v>
      </c>
    </row>
    <row r="2" spans="1:47" ht="11.25" customHeight="1" x14ac:dyDescent="0.2">
      <c r="A2" s="7" t="s">
        <v>1</v>
      </c>
      <c r="B2" s="8" t="s">
        <v>53</v>
      </c>
      <c r="C2" s="9">
        <v>6561</v>
      </c>
      <c r="D2" s="9">
        <v>6568</v>
      </c>
      <c r="E2" s="9">
        <v>6573</v>
      </c>
      <c r="F2" s="9">
        <v>6576</v>
      </c>
      <c r="G2" s="9">
        <v>6576</v>
      </c>
      <c r="H2" s="9">
        <v>6581</v>
      </c>
      <c r="I2" s="9">
        <v>6582</v>
      </c>
      <c r="J2" s="9">
        <v>6582</v>
      </c>
      <c r="K2" s="9">
        <v>6587</v>
      </c>
      <c r="L2" s="9">
        <v>6587</v>
      </c>
      <c r="M2" s="9">
        <v>6587</v>
      </c>
      <c r="N2" s="9">
        <v>6590</v>
      </c>
      <c r="O2" s="9">
        <v>6591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47" ht="11.25" customHeight="1" x14ac:dyDescent="0.2">
      <c r="A3" s="10" t="s">
        <v>54</v>
      </c>
      <c r="B3" s="11" t="s">
        <v>55</v>
      </c>
      <c r="C3" s="12">
        <v>1814</v>
      </c>
      <c r="D3" s="12">
        <v>1817</v>
      </c>
      <c r="E3" s="12">
        <v>1818</v>
      </c>
      <c r="F3" s="12">
        <v>1819</v>
      </c>
      <c r="G3" s="12">
        <v>1819</v>
      </c>
      <c r="H3" s="12">
        <v>1821</v>
      </c>
      <c r="I3" s="12">
        <v>1821</v>
      </c>
      <c r="J3" s="12">
        <v>1821</v>
      </c>
      <c r="K3" s="12">
        <v>1823</v>
      </c>
      <c r="L3" s="12">
        <v>1823</v>
      </c>
      <c r="M3" s="12">
        <v>1823</v>
      </c>
      <c r="N3" s="12">
        <v>1824</v>
      </c>
      <c r="O3" s="12">
        <v>1824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47" ht="11.25" customHeight="1" x14ac:dyDescent="0.25">
      <c r="A4" s="13">
        <f>+A9*1000</f>
        <v>30000</v>
      </c>
      <c r="B4" s="11" t="s">
        <v>56</v>
      </c>
      <c r="C4" s="12">
        <v>3201</v>
      </c>
      <c r="D4" s="12">
        <v>3202</v>
      </c>
      <c r="E4" s="12">
        <v>3205</v>
      </c>
      <c r="F4" s="12">
        <v>3206</v>
      </c>
      <c r="G4" s="12">
        <v>3206</v>
      </c>
      <c r="H4" s="12">
        <v>3207</v>
      </c>
      <c r="I4" s="12">
        <v>3208</v>
      </c>
      <c r="J4" s="12">
        <v>3208</v>
      </c>
      <c r="K4" s="12">
        <v>3209</v>
      </c>
      <c r="L4" s="12">
        <v>3209</v>
      </c>
      <c r="M4" s="12">
        <v>3209</v>
      </c>
      <c r="N4" s="12">
        <v>3210</v>
      </c>
      <c r="O4" s="12">
        <v>3211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</row>
    <row r="5" spans="1:47" ht="11.25" customHeight="1" x14ac:dyDescent="0.2">
      <c r="A5" s="14" t="s">
        <v>9</v>
      </c>
      <c r="B5" s="11" t="s">
        <v>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 spans="1:47" ht="11.25" customHeight="1" x14ac:dyDescent="0.2">
      <c r="A6" s="15">
        <f>AVERAGE(C9:AS9)*30*1000</f>
        <v>75000</v>
      </c>
      <c r="B6" s="11" t="s">
        <v>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4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spans="1:47" ht="11.25" customHeight="1" x14ac:dyDescent="0.25">
      <c r="A7" s="13"/>
      <c r="B7" s="17" t="s">
        <v>57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34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47" ht="11.25" customHeight="1" x14ac:dyDescent="0.25">
      <c r="A8" s="34"/>
      <c r="B8" s="11" t="s">
        <v>58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4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</row>
    <row r="9" spans="1:47" ht="11.25" customHeight="1" x14ac:dyDescent="0.2">
      <c r="A9" s="15">
        <f t="shared" ref="A9:A11" si="43">SUM(C9:AS9)</f>
        <v>30</v>
      </c>
      <c r="B9" s="35" t="s">
        <v>59</v>
      </c>
      <c r="C9" s="36"/>
      <c r="D9" s="36">
        <f t="shared" ref="D9:D11" si="44">IF(D2="","",D2-C2)</f>
        <v>7</v>
      </c>
      <c r="E9" s="36">
        <f t="shared" ref="E9:E11" si="45">IF(E2="","",E2-D2)</f>
        <v>5</v>
      </c>
      <c r="F9" s="36">
        <f t="shared" ref="F9:F11" si="46">IF(F2="","",F2-E2)</f>
        <v>3</v>
      </c>
      <c r="G9" s="36">
        <f t="shared" ref="G9:G11" si="47">IF(G2="","",G2-F2)</f>
        <v>0</v>
      </c>
      <c r="H9" s="36">
        <f t="shared" ref="H9:H11" si="48">IF(H2="","",H2-G2)</f>
        <v>5</v>
      </c>
      <c r="I9" s="36">
        <f t="shared" ref="I9:I11" si="49">IF(I2="","",I2-H2)</f>
        <v>1</v>
      </c>
      <c r="J9" s="36">
        <f t="shared" ref="J9:J11" si="50">IF(J2="","",J2-I2)</f>
        <v>0</v>
      </c>
      <c r="K9" s="36">
        <f t="shared" ref="K9:K11" si="51">IF(K2="","",K2-J2)</f>
        <v>5</v>
      </c>
      <c r="L9" s="36">
        <f t="shared" ref="L9:L11" si="52">IF(L2="","",L2-K2)</f>
        <v>0</v>
      </c>
      <c r="M9" s="36">
        <f t="shared" ref="M9:M11" si="53">IF(M2="","",M2-L2)</f>
        <v>0</v>
      </c>
      <c r="N9" s="36">
        <f t="shared" ref="N9:N11" si="54">IF(N2="","",N2-M2)</f>
        <v>3</v>
      </c>
      <c r="O9" s="36">
        <f t="shared" ref="O9:O11" si="55">IF(O2="","",O2-N2)</f>
        <v>1</v>
      </c>
      <c r="P9" s="36" t="str">
        <f t="shared" ref="P9:P11" si="56">IF(P2="","",P2-O2)</f>
        <v/>
      </c>
      <c r="Q9" s="36" t="str">
        <f t="shared" ref="Q9:Q11" si="57">IF(Q2="","",Q2-P2)</f>
        <v/>
      </c>
      <c r="R9" s="36" t="str">
        <f t="shared" ref="R9:R11" si="58">IF(R2="","",R2-Q2)</f>
        <v/>
      </c>
      <c r="S9" s="36" t="str">
        <f t="shared" ref="S9:S11" si="59">IF(S2="","",S2-R2)</f>
        <v/>
      </c>
      <c r="T9" s="36" t="str">
        <f t="shared" ref="T9:T11" si="60">IF(T2="","",T2-S2)</f>
        <v/>
      </c>
      <c r="U9" s="36" t="str">
        <f t="shared" ref="U9:U11" si="61">IF(U2="","",U2-T2)</f>
        <v/>
      </c>
      <c r="V9" s="36" t="str">
        <f t="shared" ref="V9:V11" si="62">IF(V2="","",V2-U2)</f>
        <v/>
      </c>
      <c r="W9" s="36" t="str">
        <f t="shared" ref="W9:W11" si="63">IF(W2="","",W2-V2)</f>
        <v/>
      </c>
      <c r="X9" s="36" t="str">
        <f t="shared" ref="X9:X11" si="64">IF(X2="","",X2-W2)</f>
        <v/>
      </c>
      <c r="Y9" s="36" t="str">
        <f t="shared" ref="Y9:Y11" si="65">IF(Y2="","",Y2-X2)</f>
        <v/>
      </c>
      <c r="Z9" s="36" t="str">
        <f t="shared" ref="Z9:Z11" si="66">IF(Z2="","",Z2-Y2)</f>
        <v/>
      </c>
      <c r="AA9" s="36" t="str">
        <f t="shared" ref="AA9:AA11" si="67">IF(AA2="","",AA2-Z2)</f>
        <v/>
      </c>
      <c r="AB9" s="36" t="str">
        <f t="shared" ref="AB9:AB11" si="68">IF(AB2="","",AB2-AA2)</f>
        <v/>
      </c>
      <c r="AC9" s="36" t="str">
        <f t="shared" ref="AC9:AC11" si="69">IF(AC2="","",AC2-AB2)</f>
        <v/>
      </c>
      <c r="AD9" s="36" t="str">
        <f t="shared" ref="AD9:AD11" si="70">IF(AD2="","",AD2-AC2)</f>
        <v/>
      </c>
      <c r="AE9" s="36" t="str">
        <f t="shared" ref="AE9:AE11" si="71">IF(AE2="","",AE2-AD2)</f>
        <v/>
      </c>
      <c r="AF9" s="36" t="str">
        <f t="shared" ref="AF9:AF10" si="72">IF(AF2="","",AF2-AE2)</f>
        <v/>
      </c>
      <c r="AG9" s="36" t="str">
        <f t="shared" ref="AG9:AG11" si="73">IF(AG2="","",AG2-AF2)</f>
        <v/>
      </c>
      <c r="AH9" s="156" t="str">
        <f t="shared" ref="AH9:AH11" si="74">IF(AH2="","",AH2-AG2)</f>
        <v/>
      </c>
      <c r="AI9" s="36" t="str">
        <f t="shared" ref="AI9:AI11" si="75">IF(AI2="","",AI2-AH2)</f>
        <v/>
      </c>
      <c r="AJ9" s="36" t="str">
        <f t="shared" ref="AJ9:AJ11" si="76">IF(AJ2="","",AJ2-AI2)</f>
        <v/>
      </c>
      <c r="AK9" s="36" t="str">
        <f t="shared" ref="AK9:AK11" si="77">IF(AK2="","",AK2-AJ2)</f>
        <v/>
      </c>
      <c r="AL9" s="36" t="str">
        <f t="shared" ref="AL9:AL11" si="78">IF(AL2="","",AL2-AK2)</f>
        <v/>
      </c>
      <c r="AM9" s="36" t="str">
        <f t="shared" ref="AM9:AM11" si="79">IF(AM2="","",AM2-AL2)</f>
        <v/>
      </c>
      <c r="AN9" s="36" t="str">
        <f t="shared" ref="AN9:AN11" si="80">IF(AN2="","",AN2-AM2)</f>
        <v/>
      </c>
      <c r="AO9" s="36" t="str">
        <f t="shared" ref="AO9:AO11" si="81">IF(AO2="","",AO2-AN2)</f>
        <v/>
      </c>
      <c r="AP9" s="36" t="str">
        <f t="shared" ref="AP9:AP11" si="82">IF(AP2="","",AP2-AO2)</f>
        <v/>
      </c>
      <c r="AQ9" s="36" t="str">
        <f t="shared" ref="AQ9:AQ11" si="83">IF(AQ2="","",AQ2-AP2)</f>
        <v/>
      </c>
      <c r="AR9" s="36" t="str">
        <f t="shared" ref="AR9:AR11" si="84">IF(AR2="","",AR2-AQ2)</f>
        <v/>
      </c>
      <c r="AS9" s="36" t="str">
        <f t="shared" ref="AS9:AS11" si="85">IF(AS2="","",AS2-AR2)</f>
        <v/>
      </c>
      <c r="AT9" s="36" t="str">
        <f t="shared" ref="AT9:AU9" si="86">IF(AT2="","",AT2-AS2)</f>
        <v/>
      </c>
      <c r="AU9" s="36" t="str">
        <f t="shared" si="86"/>
        <v/>
      </c>
    </row>
    <row r="10" spans="1:47" ht="11.25" customHeight="1" x14ac:dyDescent="0.2">
      <c r="A10" s="15">
        <f t="shared" si="43"/>
        <v>10</v>
      </c>
      <c r="B10" s="35" t="s">
        <v>60</v>
      </c>
      <c r="C10" s="36"/>
      <c r="D10" s="36">
        <f t="shared" si="44"/>
        <v>3</v>
      </c>
      <c r="E10" s="36">
        <f t="shared" si="45"/>
        <v>1</v>
      </c>
      <c r="F10" s="36">
        <f t="shared" si="46"/>
        <v>1</v>
      </c>
      <c r="G10" s="36">
        <f t="shared" si="47"/>
        <v>0</v>
      </c>
      <c r="H10" s="36">
        <f t="shared" si="48"/>
        <v>2</v>
      </c>
      <c r="I10" s="36">
        <f t="shared" si="49"/>
        <v>0</v>
      </c>
      <c r="J10" s="36">
        <f t="shared" si="50"/>
        <v>0</v>
      </c>
      <c r="K10" s="36">
        <f t="shared" si="51"/>
        <v>2</v>
      </c>
      <c r="L10" s="36">
        <f t="shared" si="52"/>
        <v>0</v>
      </c>
      <c r="M10" s="36">
        <f t="shared" si="53"/>
        <v>0</v>
      </c>
      <c r="N10" s="36">
        <f t="shared" si="54"/>
        <v>1</v>
      </c>
      <c r="O10" s="36">
        <f t="shared" si="55"/>
        <v>0</v>
      </c>
      <c r="P10" s="36" t="str">
        <f t="shared" si="56"/>
        <v/>
      </c>
      <c r="Q10" s="36" t="str">
        <f t="shared" si="57"/>
        <v/>
      </c>
      <c r="R10" s="36" t="str">
        <f t="shared" si="58"/>
        <v/>
      </c>
      <c r="S10" s="36" t="str">
        <f t="shared" si="59"/>
        <v/>
      </c>
      <c r="T10" s="36" t="str">
        <f t="shared" si="60"/>
        <v/>
      </c>
      <c r="U10" s="36" t="str">
        <f t="shared" si="61"/>
        <v/>
      </c>
      <c r="V10" s="36" t="str">
        <f t="shared" si="62"/>
        <v/>
      </c>
      <c r="W10" s="36" t="str">
        <f t="shared" si="63"/>
        <v/>
      </c>
      <c r="X10" s="36" t="str">
        <f t="shared" si="64"/>
        <v/>
      </c>
      <c r="Y10" s="36" t="str">
        <f t="shared" si="65"/>
        <v/>
      </c>
      <c r="Z10" s="36" t="str">
        <f t="shared" si="66"/>
        <v/>
      </c>
      <c r="AA10" s="36" t="str">
        <f t="shared" si="67"/>
        <v/>
      </c>
      <c r="AB10" s="36" t="str">
        <f t="shared" si="68"/>
        <v/>
      </c>
      <c r="AC10" s="36" t="str">
        <f t="shared" si="69"/>
        <v/>
      </c>
      <c r="AD10" s="36" t="str">
        <f t="shared" si="70"/>
        <v/>
      </c>
      <c r="AE10" s="36" t="str">
        <f t="shared" si="71"/>
        <v/>
      </c>
      <c r="AF10" s="36" t="str">
        <f t="shared" si="72"/>
        <v/>
      </c>
      <c r="AG10" s="36" t="str">
        <f t="shared" si="73"/>
        <v/>
      </c>
      <c r="AH10" s="156" t="str">
        <f t="shared" si="74"/>
        <v/>
      </c>
      <c r="AI10" s="36" t="str">
        <f t="shared" si="75"/>
        <v/>
      </c>
      <c r="AJ10" s="36" t="str">
        <f t="shared" si="76"/>
        <v/>
      </c>
      <c r="AK10" s="36" t="str">
        <f t="shared" si="77"/>
        <v/>
      </c>
      <c r="AL10" s="36" t="str">
        <f t="shared" si="78"/>
        <v/>
      </c>
      <c r="AM10" s="36" t="str">
        <f t="shared" si="79"/>
        <v/>
      </c>
      <c r="AN10" s="36" t="str">
        <f t="shared" si="80"/>
        <v/>
      </c>
      <c r="AO10" s="36" t="str">
        <f t="shared" si="81"/>
        <v/>
      </c>
      <c r="AP10" s="36" t="str">
        <f t="shared" si="82"/>
        <v/>
      </c>
      <c r="AQ10" s="36" t="str">
        <f t="shared" si="83"/>
        <v/>
      </c>
      <c r="AR10" s="36" t="str">
        <f t="shared" si="84"/>
        <v/>
      </c>
      <c r="AS10" s="36" t="str">
        <f t="shared" si="85"/>
        <v/>
      </c>
      <c r="AT10" s="36" t="str">
        <f t="shared" ref="AT10:AU10" si="87">IF(AT3="","",AT3-AS3)</f>
        <v/>
      </c>
      <c r="AU10" s="36" t="str">
        <f t="shared" si="87"/>
        <v/>
      </c>
    </row>
    <row r="11" spans="1:47" ht="11.25" customHeight="1" x14ac:dyDescent="0.2">
      <c r="A11" s="15">
        <f t="shared" si="43"/>
        <v>11</v>
      </c>
      <c r="B11" s="35" t="s">
        <v>61</v>
      </c>
      <c r="C11" s="36"/>
      <c r="D11" s="36">
        <f t="shared" si="44"/>
        <v>1</v>
      </c>
      <c r="E11" s="36">
        <f t="shared" si="45"/>
        <v>3</v>
      </c>
      <c r="F11" s="36">
        <f t="shared" si="46"/>
        <v>1</v>
      </c>
      <c r="G11" s="36">
        <f t="shared" si="47"/>
        <v>0</v>
      </c>
      <c r="H11" s="36">
        <f t="shared" si="48"/>
        <v>1</v>
      </c>
      <c r="I11" s="36">
        <f t="shared" si="49"/>
        <v>1</v>
      </c>
      <c r="J11" s="36">
        <f t="shared" si="50"/>
        <v>0</v>
      </c>
      <c r="K11" s="36">
        <f t="shared" si="51"/>
        <v>1</v>
      </c>
      <c r="L11" s="36">
        <f t="shared" si="52"/>
        <v>0</v>
      </c>
      <c r="M11" s="36">
        <f t="shared" si="53"/>
        <v>0</v>
      </c>
      <c r="N11" s="36">
        <f t="shared" si="54"/>
        <v>1</v>
      </c>
      <c r="O11" s="36">
        <f t="shared" si="55"/>
        <v>1</v>
      </c>
      <c r="P11" s="36" t="str">
        <f t="shared" si="56"/>
        <v/>
      </c>
      <c r="Q11" s="36" t="str">
        <f t="shared" si="57"/>
        <v/>
      </c>
      <c r="R11" s="36" t="str">
        <f t="shared" si="58"/>
        <v/>
      </c>
      <c r="S11" s="36" t="str">
        <f t="shared" si="59"/>
        <v/>
      </c>
      <c r="T11" s="36" t="str">
        <f t="shared" si="60"/>
        <v/>
      </c>
      <c r="U11" s="36" t="str">
        <f t="shared" si="61"/>
        <v/>
      </c>
      <c r="V11" s="36" t="str">
        <f t="shared" si="62"/>
        <v/>
      </c>
      <c r="W11" s="36" t="str">
        <f t="shared" si="63"/>
        <v/>
      </c>
      <c r="X11" s="36" t="str">
        <f t="shared" si="64"/>
        <v/>
      </c>
      <c r="Y11" s="36" t="str">
        <f t="shared" si="65"/>
        <v/>
      </c>
      <c r="Z11" s="36" t="str">
        <f t="shared" si="66"/>
        <v/>
      </c>
      <c r="AA11" s="36" t="str">
        <f t="shared" si="67"/>
        <v/>
      </c>
      <c r="AB11" s="36" t="str">
        <f t="shared" si="68"/>
        <v/>
      </c>
      <c r="AC11" s="36" t="str">
        <f t="shared" si="69"/>
        <v/>
      </c>
      <c r="AD11" s="36" t="str">
        <f t="shared" si="70"/>
        <v/>
      </c>
      <c r="AE11" s="36" t="str">
        <f t="shared" si="71"/>
        <v/>
      </c>
      <c r="AF11" s="36">
        <v>1</v>
      </c>
      <c r="AG11" s="36" t="str">
        <f t="shared" si="73"/>
        <v/>
      </c>
      <c r="AH11" s="156" t="str">
        <f t="shared" si="74"/>
        <v/>
      </c>
      <c r="AI11" s="36" t="str">
        <f t="shared" si="75"/>
        <v/>
      </c>
      <c r="AJ11" s="36" t="str">
        <f t="shared" si="76"/>
        <v/>
      </c>
      <c r="AK11" s="36" t="str">
        <f t="shared" si="77"/>
        <v/>
      </c>
      <c r="AL11" s="36" t="str">
        <f t="shared" si="78"/>
        <v/>
      </c>
      <c r="AM11" s="36" t="str">
        <f t="shared" si="79"/>
        <v/>
      </c>
      <c r="AN11" s="36" t="str">
        <f t="shared" si="80"/>
        <v/>
      </c>
      <c r="AO11" s="36" t="str">
        <f t="shared" si="81"/>
        <v/>
      </c>
      <c r="AP11" s="36" t="str">
        <f t="shared" si="82"/>
        <v/>
      </c>
      <c r="AQ11" s="36" t="str">
        <f t="shared" si="83"/>
        <v/>
      </c>
      <c r="AR11" s="36" t="str">
        <f t="shared" si="84"/>
        <v/>
      </c>
      <c r="AS11" s="36" t="str">
        <f t="shared" si="85"/>
        <v/>
      </c>
      <c r="AT11" s="36" t="str">
        <f t="shared" ref="AT11:AU11" si="88">IF(AT4="","",AT4-AS4)</f>
        <v/>
      </c>
      <c r="AU11" s="36" t="str">
        <f t="shared" si="88"/>
        <v/>
      </c>
    </row>
    <row r="12" spans="1:47" ht="11.25" customHeight="1" x14ac:dyDescent="0.2">
      <c r="A12" s="15">
        <f>SUM(C12:AJ12)</f>
        <v>0</v>
      </c>
      <c r="B12" s="35" t="s">
        <v>16</v>
      </c>
      <c r="C12" s="36"/>
      <c r="D12" s="36" t="s">
        <v>18</v>
      </c>
      <c r="E12" s="36" t="s">
        <v>18</v>
      </c>
      <c r="F12" s="36" t="s">
        <v>18</v>
      </c>
      <c r="G12" s="36" t="s">
        <v>18</v>
      </c>
      <c r="H12" s="36" t="s">
        <v>18</v>
      </c>
      <c r="I12" s="36" t="s">
        <v>18</v>
      </c>
      <c r="J12" s="36" t="s">
        <v>18</v>
      </c>
      <c r="K12" s="36" t="s">
        <v>18</v>
      </c>
      <c r="L12" s="36" t="s">
        <v>18</v>
      </c>
      <c r="M12" s="36" t="s">
        <v>18</v>
      </c>
      <c r="N12" s="36" t="s">
        <v>18</v>
      </c>
      <c r="O12" s="36" t="s">
        <v>18</v>
      </c>
      <c r="P12" s="36" t="s">
        <v>18</v>
      </c>
      <c r="Q12" s="36" t="s">
        <v>18</v>
      </c>
      <c r="R12" s="36" t="s">
        <v>18</v>
      </c>
      <c r="S12" s="36" t="s">
        <v>18</v>
      </c>
      <c r="T12" s="36" t="s">
        <v>18</v>
      </c>
      <c r="U12" s="36" t="s">
        <v>18</v>
      </c>
      <c r="V12" s="36" t="s">
        <v>18</v>
      </c>
      <c r="W12" s="36" t="s">
        <v>18</v>
      </c>
      <c r="X12" s="36" t="s">
        <v>18</v>
      </c>
      <c r="Y12" s="36" t="s">
        <v>18</v>
      </c>
      <c r="Z12" s="36" t="s">
        <v>18</v>
      </c>
      <c r="AA12" s="36" t="s">
        <v>18</v>
      </c>
      <c r="AB12" s="36" t="s">
        <v>18</v>
      </c>
      <c r="AC12" s="36" t="s">
        <v>18</v>
      </c>
      <c r="AD12" s="36" t="s">
        <v>18</v>
      </c>
      <c r="AE12" s="36" t="s">
        <v>18</v>
      </c>
      <c r="AF12" s="36" t="s">
        <v>18</v>
      </c>
      <c r="AG12" s="36" t="s">
        <v>18</v>
      </c>
      <c r="AH12" s="156" t="s">
        <v>18</v>
      </c>
      <c r="AI12" s="36" t="s">
        <v>18</v>
      </c>
      <c r="AJ12" s="36" t="s">
        <v>18</v>
      </c>
      <c r="AK12" s="36" t="s">
        <v>18</v>
      </c>
      <c r="AL12" s="36" t="s">
        <v>18</v>
      </c>
      <c r="AM12" s="36" t="s">
        <v>18</v>
      </c>
      <c r="AN12" s="36" t="s">
        <v>18</v>
      </c>
      <c r="AO12" s="36" t="s">
        <v>18</v>
      </c>
      <c r="AP12" s="36" t="s">
        <v>18</v>
      </c>
      <c r="AQ12" s="36" t="s">
        <v>18</v>
      </c>
      <c r="AR12" s="36" t="s">
        <v>18</v>
      </c>
      <c r="AS12" s="36" t="s">
        <v>18</v>
      </c>
      <c r="AT12" s="36" t="s">
        <v>18</v>
      </c>
      <c r="AU12" s="36" t="s">
        <v>18</v>
      </c>
    </row>
    <row r="13" spans="1:47" ht="12.75" customHeight="1" thickBot="1" x14ac:dyDescent="0.25">
      <c r="A13" s="21">
        <f>IF(A12="","",A12/(A9*100))</f>
        <v>0</v>
      </c>
      <c r="B13" s="37" t="s">
        <v>17</v>
      </c>
      <c r="C13" s="38" t="s">
        <v>18</v>
      </c>
      <c r="D13" s="38" t="s">
        <v>18</v>
      </c>
      <c r="E13" s="38" t="s">
        <v>18</v>
      </c>
      <c r="F13" s="38" t="s">
        <v>18</v>
      </c>
      <c r="G13" s="38" t="s">
        <v>18</v>
      </c>
      <c r="H13" s="38" t="s">
        <v>18</v>
      </c>
      <c r="I13" s="38" t="s">
        <v>18</v>
      </c>
      <c r="J13" s="38" t="s">
        <v>18</v>
      </c>
      <c r="K13" s="38" t="s">
        <v>18</v>
      </c>
      <c r="L13" s="38" t="s">
        <v>18</v>
      </c>
      <c r="M13" s="38" t="s">
        <v>18</v>
      </c>
      <c r="N13" s="38" t="s">
        <v>18</v>
      </c>
      <c r="O13" s="38" t="s">
        <v>18</v>
      </c>
      <c r="P13" s="38" t="s">
        <v>18</v>
      </c>
      <c r="Q13" s="38" t="s">
        <v>18</v>
      </c>
      <c r="R13" s="38" t="s">
        <v>18</v>
      </c>
      <c r="S13" s="38" t="s">
        <v>18</v>
      </c>
      <c r="T13" s="38" t="s">
        <v>18</v>
      </c>
      <c r="U13" s="38" t="s">
        <v>18</v>
      </c>
      <c r="V13" s="38" t="s">
        <v>18</v>
      </c>
      <c r="W13" s="38" t="s">
        <v>18</v>
      </c>
      <c r="X13" s="38" t="s">
        <v>18</v>
      </c>
      <c r="Y13" s="38" t="s">
        <v>18</v>
      </c>
      <c r="Z13" s="38" t="s">
        <v>18</v>
      </c>
      <c r="AA13" s="38" t="s">
        <v>18</v>
      </c>
      <c r="AB13" s="38" t="s">
        <v>18</v>
      </c>
      <c r="AC13" s="38" t="s">
        <v>18</v>
      </c>
      <c r="AD13" s="38" t="s">
        <v>18</v>
      </c>
      <c r="AE13" s="38" t="s">
        <v>18</v>
      </c>
      <c r="AF13" s="38" t="s">
        <v>18</v>
      </c>
      <c r="AG13" s="38" t="s">
        <v>18</v>
      </c>
      <c r="AH13" s="158" t="s">
        <v>18</v>
      </c>
      <c r="AI13" s="38" t="s">
        <v>18</v>
      </c>
      <c r="AJ13" s="38" t="s">
        <v>18</v>
      </c>
      <c r="AK13" s="38" t="s">
        <v>18</v>
      </c>
      <c r="AL13" s="38" t="s">
        <v>18</v>
      </c>
      <c r="AM13" s="38" t="s">
        <v>18</v>
      </c>
      <c r="AN13" s="38" t="s">
        <v>18</v>
      </c>
      <c r="AO13" s="38" t="s">
        <v>18</v>
      </c>
      <c r="AP13" s="38" t="s">
        <v>18</v>
      </c>
      <c r="AQ13" s="38" t="s">
        <v>18</v>
      </c>
      <c r="AR13" s="38" t="s">
        <v>18</v>
      </c>
      <c r="AS13" s="38" t="s">
        <v>18</v>
      </c>
      <c r="AT13" s="38" t="s">
        <v>18</v>
      </c>
      <c r="AU13" s="38" t="s">
        <v>18</v>
      </c>
    </row>
    <row r="14" spans="1:47" ht="11.25" customHeight="1" x14ac:dyDescent="0.1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</row>
    <row r="15" spans="1:47" ht="11.25" customHeight="1" x14ac:dyDescent="0.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</row>
    <row r="16" spans="1:47" ht="11.25" customHeight="1" x14ac:dyDescent="0.15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</row>
    <row r="17" spans="1:47" ht="11.25" customHeight="1" x14ac:dyDescent="0.1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</row>
    <row r="18" spans="1:47" ht="11.25" customHeight="1" x14ac:dyDescent="0.1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</row>
    <row r="19" spans="1:47" ht="11.25" customHeight="1" x14ac:dyDescent="0.1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</row>
    <row r="20" spans="1:47" ht="11.25" customHeight="1" x14ac:dyDescent="0.1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</row>
    <row r="21" spans="1:47" ht="11.25" customHeight="1" x14ac:dyDescent="0.1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</row>
    <row r="22" spans="1:47" ht="11.25" customHeight="1" x14ac:dyDescent="0.1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</row>
    <row r="23" spans="1:47" ht="11.25" customHeight="1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</row>
    <row r="24" spans="1:47" ht="11.25" customHeight="1" x14ac:dyDescent="0.1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</row>
    <row r="25" spans="1:47" ht="11.25" customHeight="1" x14ac:dyDescent="0.1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</row>
    <row r="26" spans="1:47" ht="11.25" customHeight="1" x14ac:dyDescent="0.1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</row>
    <row r="27" spans="1:47" ht="11.25" customHeight="1" x14ac:dyDescent="0.1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</row>
    <row r="28" spans="1:47" ht="11.25" customHeight="1" x14ac:dyDescent="0.1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</row>
    <row r="29" spans="1:47" ht="11.25" customHeight="1" x14ac:dyDescent="0.1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</row>
    <row r="30" spans="1:47" ht="11.25" customHeight="1" x14ac:dyDescent="0.1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</row>
    <row r="31" spans="1:47" ht="11.25" customHeight="1" x14ac:dyDescent="0.1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</row>
    <row r="32" spans="1:47" ht="11.25" customHeight="1" x14ac:dyDescent="0.1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</row>
    <row r="33" spans="1:47" ht="11.25" customHeight="1" x14ac:dyDescent="0.1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</row>
    <row r="34" spans="1:47" ht="11.25" customHeight="1" x14ac:dyDescent="0.1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</row>
    <row r="35" spans="1:47" ht="11.25" customHeight="1" x14ac:dyDescent="0.1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</row>
    <row r="36" spans="1:47" ht="11.25" customHeight="1" x14ac:dyDescent="0.1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</row>
    <row r="37" spans="1:47" ht="11.25" customHeight="1" x14ac:dyDescent="0.1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</row>
    <row r="38" spans="1:47" ht="11.25" customHeight="1" x14ac:dyDescent="0.1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</row>
    <row r="39" spans="1:47" ht="11.25" customHeight="1" x14ac:dyDescent="0.1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</row>
    <row r="40" spans="1:47" ht="11.25" customHeight="1" x14ac:dyDescent="0.1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</row>
    <row r="41" spans="1:47" ht="11.25" customHeight="1" x14ac:dyDescent="0.1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</row>
    <row r="42" spans="1:47" ht="11.25" customHeight="1" x14ac:dyDescent="0.1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</row>
    <row r="43" spans="1:47" ht="11.25" customHeight="1" x14ac:dyDescent="0.1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</row>
    <row r="44" spans="1:47" ht="11.25" customHeight="1" x14ac:dyDescent="0.1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</row>
    <row r="45" spans="1:47" ht="11.25" customHeight="1" x14ac:dyDescent="0.1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</row>
    <row r="46" spans="1:47" ht="11.25" customHeight="1" x14ac:dyDescent="0.1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</row>
    <row r="47" spans="1:47" ht="11.25" customHeight="1" x14ac:dyDescent="0.1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</row>
    <row r="48" spans="1:47" ht="11.25" customHeight="1" x14ac:dyDescent="0.1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</row>
    <row r="49" spans="1:47" ht="11.25" customHeight="1" x14ac:dyDescent="0.1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</row>
    <row r="50" spans="1:47" ht="11.25" customHeight="1" x14ac:dyDescent="0.1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</row>
    <row r="51" spans="1:47" ht="11.25" customHeight="1" x14ac:dyDescent="0.1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</row>
    <row r="52" spans="1:47" ht="11.25" customHeight="1" x14ac:dyDescent="0.1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</row>
    <row r="53" spans="1:47" ht="11.25" customHeight="1" x14ac:dyDescent="0.1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</row>
    <row r="54" spans="1:47" ht="11.25" customHeight="1" x14ac:dyDescent="0.1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</row>
    <row r="55" spans="1:47" ht="11.25" customHeight="1" x14ac:dyDescent="0.1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</row>
    <row r="56" spans="1:47" ht="11.25" customHeight="1" x14ac:dyDescent="0.1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</row>
    <row r="57" spans="1:47" ht="11.25" customHeight="1" x14ac:dyDescent="0.1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</row>
    <row r="58" spans="1:47" ht="11.25" customHeight="1" x14ac:dyDescent="0.1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</row>
    <row r="59" spans="1:47" ht="11.25" customHeight="1" x14ac:dyDescent="0.1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</row>
    <row r="60" spans="1:47" ht="11.25" customHeight="1" x14ac:dyDescent="0.1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</row>
    <row r="61" spans="1:47" ht="11.25" customHeight="1" x14ac:dyDescent="0.1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</row>
    <row r="62" spans="1:47" ht="11.25" customHeight="1" x14ac:dyDescent="0.1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</row>
    <row r="63" spans="1:47" ht="11.25" customHeight="1" x14ac:dyDescent="0.1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</row>
    <row r="64" spans="1:47" ht="11.25" customHeight="1" x14ac:dyDescent="0.1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</row>
    <row r="65" spans="1:47" ht="11.25" customHeight="1" x14ac:dyDescent="0.1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</row>
    <row r="66" spans="1:47" ht="11.25" customHeight="1" x14ac:dyDescent="0.1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</row>
    <row r="67" spans="1:47" ht="11.25" customHeight="1" x14ac:dyDescent="0.1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</row>
    <row r="68" spans="1:47" ht="11.25" customHeight="1" x14ac:dyDescent="0.1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</row>
    <row r="69" spans="1:47" ht="11.25" customHeight="1" x14ac:dyDescent="0.1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</row>
    <row r="70" spans="1:47" ht="11.25" customHeight="1" x14ac:dyDescent="0.1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</row>
    <row r="71" spans="1:47" ht="11.25" customHeight="1" x14ac:dyDescent="0.1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</row>
    <row r="72" spans="1:47" ht="11.25" customHeight="1" x14ac:dyDescent="0.1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</row>
    <row r="73" spans="1:47" ht="11.25" customHeight="1" x14ac:dyDescent="0.1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</row>
    <row r="74" spans="1:47" ht="11.25" customHeight="1" x14ac:dyDescent="0.1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</row>
    <row r="75" spans="1:47" ht="11.25" customHeight="1" x14ac:dyDescent="0.1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</row>
    <row r="76" spans="1:47" ht="11.25" customHeight="1" x14ac:dyDescent="0.1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</row>
    <row r="77" spans="1:47" ht="11.25" customHeight="1" x14ac:dyDescent="0.1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</row>
    <row r="78" spans="1:47" ht="11.25" customHeight="1" x14ac:dyDescent="0.1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</row>
    <row r="79" spans="1:47" ht="11.25" customHeight="1" x14ac:dyDescent="0.1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</row>
    <row r="80" spans="1:47" ht="11.25" customHeight="1" x14ac:dyDescent="0.1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</row>
    <row r="81" spans="1:47" ht="11.25" customHeight="1" x14ac:dyDescent="0.1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</row>
    <row r="82" spans="1:47" ht="11.25" customHeight="1" x14ac:dyDescent="0.1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</row>
    <row r="83" spans="1:47" ht="11.25" customHeight="1" x14ac:dyDescent="0.1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</row>
    <row r="84" spans="1:47" ht="11.25" customHeight="1" x14ac:dyDescent="0.1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</row>
    <row r="85" spans="1:47" ht="11.25" customHeight="1" x14ac:dyDescent="0.1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</row>
    <row r="86" spans="1:47" ht="11.25" customHeight="1" x14ac:dyDescent="0.1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</row>
    <row r="87" spans="1:47" ht="11.25" customHeight="1" x14ac:dyDescent="0.1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</row>
    <row r="88" spans="1:47" ht="11.25" customHeight="1" x14ac:dyDescent="0.1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</row>
    <row r="89" spans="1:47" ht="11.25" customHeight="1" x14ac:dyDescent="0.1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</row>
    <row r="90" spans="1:47" ht="11.25" customHeight="1" x14ac:dyDescent="0.1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</row>
    <row r="91" spans="1:47" ht="11.25" customHeight="1" x14ac:dyDescent="0.1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</row>
    <row r="92" spans="1:47" ht="11.25" customHeight="1" x14ac:dyDescent="0.1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</row>
    <row r="93" spans="1:47" ht="11.25" customHeight="1" x14ac:dyDescent="0.1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</row>
    <row r="94" spans="1:47" ht="11.25" customHeight="1" x14ac:dyDescent="0.1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</row>
    <row r="95" spans="1:47" ht="11.25" customHeight="1" x14ac:dyDescent="0.1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</row>
    <row r="96" spans="1:47" ht="11.25" customHeight="1" x14ac:dyDescent="0.1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</row>
    <row r="97" spans="1:47" ht="11.25" customHeight="1" x14ac:dyDescent="0.1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</row>
    <row r="98" spans="1:47" ht="11.25" customHeight="1" x14ac:dyDescent="0.1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</row>
    <row r="99" spans="1:47" ht="11.25" customHeight="1" x14ac:dyDescent="0.1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</row>
    <row r="100" spans="1:47" ht="11.25" customHeight="1" x14ac:dyDescent="0.1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</row>
    <row r="101" spans="1:47" ht="11.25" customHeight="1" x14ac:dyDescent="0.1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</row>
    <row r="102" spans="1:47" ht="11.25" customHeight="1" x14ac:dyDescent="0.1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</row>
    <row r="103" spans="1:47" ht="11.25" customHeight="1" x14ac:dyDescent="0.1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</row>
    <row r="104" spans="1:47" ht="11.25" customHeight="1" x14ac:dyDescent="0.1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</row>
    <row r="105" spans="1:47" ht="11.25" customHeight="1" x14ac:dyDescent="0.1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</row>
    <row r="106" spans="1:47" ht="11.25" customHeight="1" x14ac:dyDescent="0.1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</row>
    <row r="107" spans="1:47" ht="11.25" customHeight="1" x14ac:dyDescent="0.1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</row>
    <row r="108" spans="1:47" ht="11.25" customHeight="1" x14ac:dyDescent="0.1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</row>
    <row r="109" spans="1:47" ht="11.25" customHeight="1" x14ac:dyDescent="0.1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</row>
    <row r="110" spans="1:47" ht="11.25" customHeight="1" x14ac:dyDescent="0.1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</row>
    <row r="111" spans="1:47" ht="11.25" customHeight="1" x14ac:dyDescent="0.1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</row>
    <row r="112" spans="1:47" ht="11.25" customHeight="1" x14ac:dyDescent="0.1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</row>
    <row r="113" spans="1:47" ht="11.25" customHeight="1" x14ac:dyDescent="0.1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</row>
    <row r="114" spans="1:47" ht="11.25" customHeight="1" x14ac:dyDescent="0.1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</row>
    <row r="115" spans="1:47" ht="11.25" customHeight="1" x14ac:dyDescent="0.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</row>
    <row r="116" spans="1:47" ht="11.25" customHeight="1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</row>
    <row r="117" spans="1:47" ht="11.25" customHeight="1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</row>
    <row r="118" spans="1:47" ht="11.25" customHeight="1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</row>
    <row r="119" spans="1:47" ht="11.25" customHeight="1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</row>
    <row r="120" spans="1:47" ht="11.25" customHeight="1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</row>
    <row r="121" spans="1:47" ht="11.25" customHeight="1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</row>
    <row r="122" spans="1:47" ht="11.25" customHeight="1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</row>
    <row r="123" spans="1:47" ht="11.25" customHeight="1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</row>
    <row r="124" spans="1:47" ht="11.25" customHeight="1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</row>
    <row r="125" spans="1:47" ht="11.25" customHeight="1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</row>
    <row r="126" spans="1:47" ht="11.25" customHeight="1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</row>
    <row r="127" spans="1:47" ht="11.25" customHeight="1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</row>
    <row r="128" spans="1:47" ht="11.25" customHeight="1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</row>
    <row r="129" spans="1:47" ht="11.25" customHeight="1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</row>
    <row r="130" spans="1:47" ht="11.25" customHeight="1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</row>
    <row r="131" spans="1:47" ht="11.25" customHeight="1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</row>
    <row r="132" spans="1:47" ht="11.25" customHeight="1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</row>
    <row r="133" spans="1:47" ht="11.25" customHeight="1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</row>
    <row r="134" spans="1:47" ht="11.25" customHeight="1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</row>
    <row r="135" spans="1:47" ht="11.25" customHeight="1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</row>
    <row r="136" spans="1:47" ht="11.25" customHeight="1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</row>
    <row r="137" spans="1:47" ht="11.25" customHeight="1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</row>
    <row r="138" spans="1:47" ht="11.25" customHeight="1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</row>
    <row r="139" spans="1:47" ht="11.25" customHeight="1" x14ac:dyDescent="0.1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</row>
    <row r="140" spans="1:47" ht="11.25" customHeight="1" x14ac:dyDescent="0.1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</row>
    <row r="141" spans="1:47" ht="11.25" customHeight="1" x14ac:dyDescent="0.1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</row>
    <row r="142" spans="1:47" ht="11.25" customHeight="1" x14ac:dyDescent="0.1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</row>
    <row r="143" spans="1:47" ht="11.25" customHeight="1" x14ac:dyDescent="0.1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</row>
    <row r="144" spans="1:47" ht="11.25" customHeight="1" x14ac:dyDescent="0.1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</row>
    <row r="145" spans="1:47" ht="11.25" customHeight="1" x14ac:dyDescent="0.1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</row>
    <row r="146" spans="1:47" ht="11.25" customHeight="1" x14ac:dyDescent="0.1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</row>
    <row r="147" spans="1:47" ht="11.25" customHeight="1" x14ac:dyDescent="0.1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</row>
    <row r="148" spans="1:47" ht="11.25" customHeight="1" x14ac:dyDescent="0.1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</row>
    <row r="149" spans="1:47" ht="11.25" customHeight="1" x14ac:dyDescent="0.1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</row>
    <row r="150" spans="1:47" ht="11.25" customHeight="1" x14ac:dyDescent="0.1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</row>
    <row r="151" spans="1:47" ht="11.25" customHeight="1" x14ac:dyDescent="0.1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</row>
    <row r="152" spans="1:47" ht="11.25" customHeight="1" x14ac:dyDescent="0.1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</row>
    <row r="153" spans="1:47" ht="11.25" customHeight="1" x14ac:dyDescent="0.1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</row>
    <row r="154" spans="1:47" ht="11.25" customHeight="1" x14ac:dyDescent="0.1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</row>
    <row r="155" spans="1:47" ht="11.25" customHeight="1" x14ac:dyDescent="0.1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</row>
    <row r="156" spans="1:47" ht="11.25" customHeight="1" x14ac:dyDescent="0.1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</row>
    <row r="157" spans="1:47" ht="11.25" customHeight="1" x14ac:dyDescent="0.1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</row>
    <row r="158" spans="1:47" ht="11.25" customHeight="1" x14ac:dyDescent="0.1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</row>
    <row r="159" spans="1:47" ht="11.25" customHeight="1" x14ac:dyDescent="0.1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</row>
    <row r="160" spans="1:47" ht="11.25" customHeight="1" x14ac:dyDescent="0.1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</row>
    <row r="161" spans="1:47" ht="11.25" customHeight="1" x14ac:dyDescent="0.1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</row>
    <row r="162" spans="1:47" ht="11.25" customHeight="1" x14ac:dyDescent="0.1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</row>
    <row r="163" spans="1:47" ht="11.25" customHeight="1" x14ac:dyDescent="0.1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</row>
    <row r="164" spans="1:47" ht="11.25" customHeight="1" x14ac:dyDescent="0.1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</row>
    <row r="165" spans="1:47" ht="11.25" customHeight="1" x14ac:dyDescent="0.1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</row>
    <row r="166" spans="1:47" ht="11.25" customHeight="1" x14ac:dyDescent="0.1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</row>
    <row r="167" spans="1:47" ht="11.25" customHeight="1" x14ac:dyDescent="0.1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</row>
    <row r="168" spans="1:47" ht="11.25" customHeight="1" x14ac:dyDescent="0.1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</row>
    <row r="169" spans="1:47" ht="11.25" customHeight="1" x14ac:dyDescent="0.1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</row>
    <row r="170" spans="1:47" ht="11.25" customHeight="1" x14ac:dyDescent="0.1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</row>
    <row r="171" spans="1:47" ht="11.25" customHeight="1" x14ac:dyDescent="0.1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</row>
    <row r="172" spans="1:47" ht="11.25" customHeight="1" x14ac:dyDescent="0.1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</row>
    <row r="173" spans="1:47" ht="11.25" customHeight="1" x14ac:dyDescent="0.1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</row>
    <row r="174" spans="1:47" ht="11.25" customHeight="1" x14ac:dyDescent="0.1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</row>
    <row r="175" spans="1:47" ht="11.25" customHeight="1" x14ac:dyDescent="0.1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</row>
    <row r="176" spans="1:47" ht="11.25" customHeight="1" x14ac:dyDescent="0.1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</row>
    <row r="177" spans="1:47" ht="11.25" customHeight="1" x14ac:dyDescent="0.1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</row>
    <row r="178" spans="1:47" ht="11.25" customHeight="1" x14ac:dyDescent="0.1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</row>
    <row r="179" spans="1:47" ht="11.25" customHeight="1" x14ac:dyDescent="0.1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</row>
    <row r="180" spans="1:47" ht="11.25" customHeight="1" x14ac:dyDescent="0.1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</row>
    <row r="181" spans="1:47" ht="11.25" customHeight="1" x14ac:dyDescent="0.1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</row>
    <row r="182" spans="1:47" ht="11.25" customHeight="1" x14ac:dyDescent="0.1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</row>
    <row r="183" spans="1:47" ht="11.25" customHeight="1" x14ac:dyDescent="0.1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</row>
    <row r="184" spans="1:47" ht="11.25" customHeight="1" x14ac:dyDescent="0.1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</row>
    <row r="185" spans="1:47" ht="11.25" customHeight="1" x14ac:dyDescent="0.1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</row>
    <row r="186" spans="1:47" ht="11.25" customHeight="1" x14ac:dyDescent="0.1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</row>
    <row r="187" spans="1:47" ht="11.25" customHeight="1" x14ac:dyDescent="0.1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</row>
    <row r="188" spans="1:47" ht="11.25" customHeight="1" x14ac:dyDescent="0.1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</row>
    <row r="189" spans="1:47" ht="11.25" customHeight="1" x14ac:dyDescent="0.1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</row>
    <row r="190" spans="1:47" ht="11.25" customHeight="1" x14ac:dyDescent="0.1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</row>
    <row r="191" spans="1:47" ht="11.25" customHeight="1" x14ac:dyDescent="0.1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</row>
    <row r="192" spans="1:47" ht="11.25" customHeight="1" x14ac:dyDescent="0.1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</row>
    <row r="193" spans="1:47" ht="11.25" customHeight="1" x14ac:dyDescent="0.1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</row>
    <row r="194" spans="1:47" ht="11.25" customHeight="1" x14ac:dyDescent="0.1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</row>
    <row r="195" spans="1:47" ht="11.25" customHeight="1" x14ac:dyDescent="0.1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</row>
    <row r="196" spans="1:47" ht="11.25" customHeight="1" x14ac:dyDescent="0.1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</row>
    <row r="197" spans="1:47" ht="11.25" customHeight="1" x14ac:dyDescent="0.1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</row>
    <row r="198" spans="1:47" ht="11.25" customHeight="1" x14ac:dyDescent="0.1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</row>
    <row r="199" spans="1:47" ht="11.25" customHeight="1" x14ac:dyDescent="0.1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</row>
    <row r="200" spans="1:47" ht="11.25" customHeight="1" x14ac:dyDescent="0.1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</row>
    <row r="201" spans="1:47" ht="11.25" customHeight="1" x14ac:dyDescent="0.1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</row>
    <row r="202" spans="1:47" ht="11.25" customHeight="1" x14ac:dyDescent="0.1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</row>
    <row r="203" spans="1:47" ht="11.25" customHeight="1" x14ac:dyDescent="0.1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</row>
    <row r="204" spans="1:47" ht="11.25" customHeight="1" x14ac:dyDescent="0.1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</row>
    <row r="205" spans="1:47" ht="11.25" customHeight="1" x14ac:dyDescent="0.1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</row>
    <row r="206" spans="1:47" ht="11.25" customHeight="1" x14ac:dyDescent="0.1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</row>
    <row r="207" spans="1:47" ht="11.25" customHeight="1" x14ac:dyDescent="0.1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</row>
    <row r="208" spans="1:47" ht="11.25" customHeight="1" x14ac:dyDescent="0.1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</row>
    <row r="209" spans="1:47" ht="11.25" customHeight="1" x14ac:dyDescent="0.1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</row>
    <row r="210" spans="1:47" ht="11.25" customHeight="1" x14ac:dyDescent="0.1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</row>
    <row r="211" spans="1:47" ht="11.25" customHeight="1" x14ac:dyDescent="0.1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</row>
    <row r="212" spans="1:47" ht="11.25" customHeight="1" x14ac:dyDescent="0.1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</row>
    <row r="213" spans="1:47" ht="11.25" customHeight="1" x14ac:dyDescent="0.1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</row>
    <row r="214" spans="1:47" ht="11.25" customHeight="1" x14ac:dyDescent="0.1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</row>
    <row r="215" spans="1:47" ht="11.25" customHeight="1" x14ac:dyDescent="0.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</row>
    <row r="216" spans="1:47" ht="11.25" customHeight="1" x14ac:dyDescent="0.1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</row>
    <row r="217" spans="1:47" ht="11.25" customHeight="1" x14ac:dyDescent="0.1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</row>
    <row r="218" spans="1:47" ht="11.25" customHeight="1" x14ac:dyDescent="0.1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</row>
    <row r="219" spans="1:47" ht="11.25" customHeight="1" x14ac:dyDescent="0.1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</row>
    <row r="220" spans="1:47" ht="11.25" customHeight="1" x14ac:dyDescent="0.1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</row>
    <row r="221" spans="1:47" ht="11.25" customHeight="1" x14ac:dyDescent="0.1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</row>
    <row r="222" spans="1:47" ht="11.25" customHeight="1" x14ac:dyDescent="0.1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</row>
    <row r="223" spans="1:47" ht="11.25" customHeight="1" x14ac:dyDescent="0.1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</row>
    <row r="224" spans="1:47" ht="11.25" customHeight="1" x14ac:dyDescent="0.1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</row>
    <row r="225" spans="1:47" ht="11.25" customHeight="1" x14ac:dyDescent="0.1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</row>
    <row r="226" spans="1:47" ht="11.25" customHeight="1" x14ac:dyDescent="0.1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</row>
    <row r="227" spans="1:47" ht="11.25" customHeight="1" x14ac:dyDescent="0.1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</row>
    <row r="228" spans="1:47" ht="11.25" customHeight="1" x14ac:dyDescent="0.1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</row>
    <row r="229" spans="1:47" ht="11.25" customHeight="1" x14ac:dyDescent="0.1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</row>
    <row r="230" spans="1:47" ht="11.25" customHeight="1" x14ac:dyDescent="0.1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</row>
    <row r="231" spans="1:47" ht="11.25" customHeight="1" x14ac:dyDescent="0.1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</row>
    <row r="232" spans="1:47" ht="11.25" customHeight="1" x14ac:dyDescent="0.1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</row>
    <row r="233" spans="1:47" ht="11.25" customHeight="1" x14ac:dyDescent="0.1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</row>
    <row r="234" spans="1:47" ht="11.25" customHeight="1" x14ac:dyDescent="0.1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</row>
    <row r="235" spans="1:47" ht="11.25" customHeight="1" x14ac:dyDescent="0.1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</row>
    <row r="236" spans="1:47" ht="11.25" customHeight="1" x14ac:dyDescent="0.1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</row>
    <row r="237" spans="1:47" ht="11.25" customHeight="1" x14ac:dyDescent="0.1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</row>
    <row r="238" spans="1:47" ht="11.25" customHeight="1" x14ac:dyDescent="0.1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</row>
    <row r="239" spans="1:47" ht="11.25" customHeight="1" x14ac:dyDescent="0.1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</row>
    <row r="240" spans="1:47" ht="11.25" customHeight="1" x14ac:dyDescent="0.1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</row>
    <row r="241" spans="1:47" ht="11.25" customHeight="1" x14ac:dyDescent="0.1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</row>
    <row r="242" spans="1:47" ht="11.25" customHeight="1" x14ac:dyDescent="0.1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</row>
    <row r="243" spans="1:47" ht="11.25" customHeight="1" x14ac:dyDescent="0.1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</row>
    <row r="244" spans="1:47" ht="11.25" customHeight="1" x14ac:dyDescent="0.1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</row>
    <row r="245" spans="1:47" ht="11.25" customHeight="1" x14ac:dyDescent="0.1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</row>
    <row r="246" spans="1:47" ht="11.25" customHeight="1" x14ac:dyDescent="0.1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</row>
    <row r="247" spans="1:47" ht="11.25" customHeight="1" x14ac:dyDescent="0.1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</row>
    <row r="248" spans="1:47" ht="11.25" customHeight="1" x14ac:dyDescent="0.1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</row>
    <row r="249" spans="1:47" ht="11.25" customHeight="1" x14ac:dyDescent="0.1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</row>
    <row r="250" spans="1:47" ht="11.25" customHeight="1" x14ac:dyDescent="0.1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</row>
    <row r="251" spans="1:47" ht="11.25" customHeight="1" x14ac:dyDescent="0.1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</row>
    <row r="252" spans="1:47" ht="11.25" customHeight="1" x14ac:dyDescent="0.1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</row>
    <row r="253" spans="1:47" ht="11.25" customHeight="1" x14ac:dyDescent="0.1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</row>
    <row r="254" spans="1:47" ht="11.25" customHeight="1" x14ac:dyDescent="0.1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</row>
    <row r="255" spans="1:47" ht="11.25" customHeight="1" x14ac:dyDescent="0.1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</row>
    <row r="256" spans="1:47" ht="11.25" customHeight="1" x14ac:dyDescent="0.1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</row>
    <row r="257" spans="1:47" ht="11.25" customHeight="1" x14ac:dyDescent="0.1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</row>
    <row r="258" spans="1:47" ht="11.25" customHeight="1" x14ac:dyDescent="0.1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</row>
    <row r="259" spans="1:47" ht="11.25" customHeight="1" x14ac:dyDescent="0.1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</row>
    <row r="260" spans="1:47" ht="11.25" customHeight="1" x14ac:dyDescent="0.1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</row>
    <row r="261" spans="1:47" ht="11.25" customHeight="1" x14ac:dyDescent="0.1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</row>
    <row r="262" spans="1:47" ht="11.25" customHeight="1" x14ac:dyDescent="0.1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</row>
    <row r="263" spans="1:47" ht="11.25" customHeight="1" x14ac:dyDescent="0.1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</row>
    <row r="264" spans="1:47" ht="11.25" customHeight="1" x14ac:dyDescent="0.1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</row>
    <row r="265" spans="1:47" ht="11.25" customHeight="1" x14ac:dyDescent="0.1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</row>
    <row r="266" spans="1:47" ht="11.25" customHeight="1" x14ac:dyDescent="0.1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</row>
    <row r="267" spans="1:47" ht="11.25" customHeight="1" x14ac:dyDescent="0.1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</row>
    <row r="268" spans="1:47" ht="11.25" customHeight="1" x14ac:dyDescent="0.1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</row>
    <row r="269" spans="1:47" ht="11.25" customHeight="1" x14ac:dyDescent="0.1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</row>
    <row r="270" spans="1:47" ht="11.25" customHeight="1" x14ac:dyDescent="0.1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</row>
    <row r="271" spans="1:47" ht="11.25" customHeight="1" x14ac:dyDescent="0.1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</row>
    <row r="272" spans="1:47" ht="11.25" customHeight="1" x14ac:dyDescent="0.1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</row>
    <row r="273" spans="1:47" ht="11.25" customHeight="1" x14ac:dyDescent="0.1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</row>
    <row r="274" spans="1:47" ht="11.25" customHeight="1" x14ac:dyDescent="0.1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</row>
    <row r="275" spans="1:47" ht="11.25" customHeight="1" x14ac:dyDescent="0.1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</row>
    <row r="276" spans="1:47" ht="11.25" customHeight="1" x14ac:dyDescent="0.1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</row>
    <row r="277" spans="1:47" ht="11.25" customHeight="1" x14ac:dyDescent="0.1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</row>
    <row r="278" spans="1:47" ht="11.25" customHeight="1" x14ac:dyDescent="0.1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</row>
    <row r="279" spans="1:47" ht="11.25" customHeight="1" x14ac:dyDescent="0.1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</row>
    <row r="280" spans="1:47" ht="11.25" customHeight="1" x14ac:dyDescent="0.1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</row>
    <row r="281" spans="1:47" ht="11.25" customHeight="1" x14ac:dyDescent="0.1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</row>
    <row r="282" spans="1:47" ht="11.25" customHeight="1" x14ac:dyDescent="0.1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</row>
    <row r="283" spans="1:47" ht="11.25" customHeight="1" x14ac:dyDescent="0.1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</row>
    <row r="284" spans="1:47" ht="11.25" customHeight="1" x14ac:dyDescent="0.1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</row>
    <row r="285" spans="1:47" ht="11.25" customHeight="1" x14ac:dyDescent="0.1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</row>
    <row r="286" spans="1:47" ht="11.25" customHeight="1" x14ac:dyDescent="0.1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</row>
    <row r="287" spans="1:47" ht="11.25" customHeight="1" x14ac:dyDescent="0.1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</row>
    <row r="288" spans="1:47" ht="11.25" customHeight="1" x14ac:dyDescent="0.1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</row>
    <row r="289" spans="1:47" ht="11.25" customHeight="1" x14ac:dyDescent="0.1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</row>
    <row r="290" spans="1:47" ht="11.25" customHeight="1" x14ac:dyDescent="0.1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</row>
    <row r="291" spans="1:47" ht="11.25" customHeight="1" x14ac:dyDescent="0.1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</row>
    <row r="292" spans="1:47" ht="11.25" customHeight="1" x14ac:dyDescent="0.1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</row>
    <row r="293" spans="1:47" ht="11.25" customHeight="1" x14ac:dyDescent="0.1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</row>
    <row r="294" spans="1:47" ht="11.25" customHeight="1" x14ac:dyDescent="0.1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</row>
    <row r="295" spans="1:47" ht="11.25" customHeight="1" x14ac:dyDescent="0.1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</row>
    <row r="296" spans="1:47" ht="11.25" customHeight="1" x14ac:dyDescent="0.1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</row>
    <row r="297" spans="1:47" ht="11.25" customHeight="1" x14ac:dyDescent="0.1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</row>
    <row r="298" spans="1:47" ht="11.25" customHeight="1" x14ac:dyDescent="0.1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</row>
    <row r="299" spans="1:47" ht="11.25" customHeight="1" x14ac:dyDescent="0.1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</row>
    <row r="300" spans="1:47" ht="11.25" customHeight="1" x14ac:dyDescent="0.1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</row>
    <row r="301" spans="1:47" ht="11.25" customHeight="1" x14ac:dyDescent="0.1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</row>
    <row r="302" spans="1:47" ht="11.25" customHeight="1" x14ac:dyDescent="0.1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</row>
    <row r="303" spans="1:47" ht="11.25" customHeight="1" x14ac:dyDescent="0.1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</row>
    <row r="304" spans="1:47" ht="11.25" customHeight="1" x14ac:dyDescent="0.1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</row>
    <row r="305" spans="1:47" ht="11.25" customHeight="1" x14ac:dyDescent="0.1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</row>
    <row r="306" spans="1:47" ht="11.25" customHeight="1" x14ac:dyDescent="0.1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</row>
    <row r="307" spans="1:47" ht="11.25" customHeight="1" x14ac:dyDescent="0.1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</row>
    <row r="308" spans="1:47" ht="11.25" customHeight="1" x14ac:dyDescent="0.1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</row>
    <row r="309" spans="1:47" ht="11.25" customHeight="1" x14ac:dyDescent="0.1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</row>
    <row r="310" spans="1:47" ht="11.25" customHeight="1" x14ac:dyDescent="0.1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</row>
    <row r="311" spans="1:47" ht="11.25" customHeight="1" x14ac:dyDescent="0.1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</row>
    <row r="312" spans="1:47" ht="11.25" customHeight="1" x14ac:dyDescent="0.1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</row>
    <row r="313" spans="1:47" ht="11.25" customHeight="1" x14ac:dyDescent="0.1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</row>
    <row r="314" spans="1:47" ht="11.25" customHeight="1" x14ac:dyDescent="0.1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</row>
    <row r="315" spans="1:47" ht="11.25" customHeight="1" x14ac:dyDescent="0.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</row>
    <row r="316" spans="1:47" ht="11.25" customHeight="1" x14ac:dyDescent="0.1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</row>
    <row r="317" spans="1:47" ht="11.25" customHeight="1" x14ac:dyDescent="0.1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</row>
    <row r="318" spans="1:47" ht="11.25" customHeight="1" x14ac:dyDescent="0.1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</row>
    <row r="319" spans="1:47" ht="11.25" customHeight="1" x14ac:dyDescent="0.1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</row>
    <row r="320" spans="1:47" ht="11.25" customHeight="1" x14ac:dyDescent="0.1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</row>
    <row r="321" spans="1:47" ht="11.25" customHeight="1" x14ac:dyDescent="0.1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</row>
    <row r="322" spans="1:47" ht="11.25" customHeight="1" x14ac:dyDescent="0.1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</row>
    <row r="323" spans="1:47" ht="11.25" customHeight="1" x14ac:dyDescent="0.1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</row>
    <row r="324" spans="1:47" ht="11.25" customHeight="1" x14ac:dyDescent="0.1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</row>
    <row r="325" spans="1:47" ht="11.25" customHeight="1" x14ac:dyDescent="0.1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</row>
    <row r="326" spans="1:47" ht="11.25" customHeight="1" x14ac:dyDescent="0.1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</row>
    <row r="327" spans="1:47" ht="11.25" customHeight="1" x14ac:dyDescent="0.1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</row>
    <row r="328" spans="1:47" ht="11.25" customHeight="1" x14ac:dyDescent="0.1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</row>
    <row r="329" spans="1:47" ht="11.25" customHeight="1" x14ac:dyDescent="0.1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</row>
    <row r="330" spans="1:47" ht="11.25" customHeight="1" x14ac:dyDescent="0.1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</row>
    <row r="331" spans="1:47" ht="11.25" customHeight="1" x14ac:dyDescent="0.1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</row>
    <row r="332" spans="1:47" ht="11.25" customHeight="1" x14ac:dyDescent="0.1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</row>
    <row r="333" spans="1:47" ht="11.25" customHeight="1" x14ac:dyDescent="0.1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</row>
    <row r="334" spans="1:47" ht="11.25" customHeight="1" x14ac:dyDescent="0.1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</row>
    <row r="335" spans="1:47" ht="11.25" customHeight="1" x14ac:dyDescent="0.1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</row>
    <row r="336" spans="1:47" ht="11.25" customHeight="1" x14ac:dyDescent="0.1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</row>
    <row r="337" spans="1:47" ht="11.25" customHeight="1" x14ac:dyDescent="0.1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</row>
    <row r="338" spans="1:47" ht="11.25" customHeight="1" x14ac:dyDescent="0.1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</row>
    <row r="339" spans="1:47" ht="11.25" customHeight="1" x14ac:dyDescent="0.1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</row>
    <row r="340" spans="1:47" ht="11.25" customHeight="1" x14ac:dyDescent="0.1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</row>
    <row r="341" spans="1:47" ht="11.25" customHeight="1" x14ac:dyDescent="0.1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</row>
    <row r="342" spans="1:47" ht="11.25" customHeight="1" x14ac:dyDescent="0.1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</row>
    <row r="343" spans="1:47" ht="11.25" customHeight="1" x14ac:dyDescent="0.1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</row>
    <row r="344" spans="1:47" ht="11.25" customHeight="1" x14ac:dyDescent="0.1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</row>
    <row r="345" spans="1:47" ht="11.25" customHeight="1" x14ac:dyDescent="0.1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</row>
    <row r="346" spans="1:47" ht="11.25" customHeight="1" x14ac:dyDescent="0.1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</row>
    <row r="347" spans="1:47" ht="11.25" customHeight="1" x14ac:dyDescent="0.1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</row>
    <row r="348" spans="1:47" ht="11.25" customHeight="1" x14ac:dyDescent="0.1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</row>
    <row r="349" spans="1:47" ht="11.25" customHeight="1" x14ac:dyDescent="0.1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</row>
    <row r="350" spans="1:47" ht="11.25" customHeight="1" x14ac:dyDescent="0.1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</row>
    <row r="351" spans="1:47" ht="11.25" customHeight="1" x14ac:dyDescent="0.1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</row>
    <row r="352" spans="1:47" ht="11.25" customHeight="1" x14ac:dyDescent="0.1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</row>
    <row r="353" spans="1:47" ht="11.25" customHeight="1" x14ac:dyDescent="0.1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</row>
    <row r="354" spans="1:47" ht="11.25" customHeight="1" x14ac:dyDescent="0.1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</row>
    <row r="355" spans="1:47" ht="11.25" customHeight="1" x14ac:dyDescent="0.1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</row>
    <row r="356" spans="1:47" ht="11.25" customHeight="1" x14ac:dyDescent="0.1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</row>
    <row r="357" spans="1:47" ht="11.25" customHeight="1" x14ac:dyDescent="0.1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</row>
    <row r="358" spans="1:47" ht="11.25" customHeight="1" x14ac:dyDescent="0.1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</row>
    <row r="359" spans="1:47" ht="11.25" customHeight="1" x14ac:dyDescent="0.1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</row>
    <row r="360" spans="1:47" ht="11.25" customHeight="1" x14ac:dyDescent="0.1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</row>
    <row r="361" spans="1:47" ht="11.25" customHeight="1" x14ac:dyDescent="0.1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</row>
    <row r="362" spans="1:47" ht="11.25" customHeight="1" x14ac:dyDescent="0.1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</row>
    <row r="363" spans="1:47" ht="11.25" customHeight="1" x14ac:dyDescent="0.1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</row>
    <row r="364" spans="1:47" ht="11.25" customHeight="1" x14ac:dyDescent="0.1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</row>
    <row r="365" spans="1:47" ht="11.25" customHeight="1" x14ac:dyDescent="0.1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</row>
    <row r="366" spans="1:47" ht="11.25" customHeight="1" x14ac:dyDescent="0.1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</row>
    <row r="367" spans="1:47" ht="11.25" customHeight="1" x14ac:dyDescent="0.1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</row>
    <row r="368" spans="1:47" ht="11.25" customHeight="1" x14ac:dyDescent="0.1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</row>
    <row r="369" spans="1:47" ht="11.25" customHeight="1" x14ac:dyDescent="0.1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</row>
    <row r="370" spans="1:47" ht="11.25" customHeight="1" x14ac:dyDescent="0.1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</row>
    <row r="371" spans="1:47" ht="11.25" customHeight="1" x14ac:dyDescent="0.1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</row>
    <row r="372" spans="1:47" ht="11.25" customHeight="1" x14ac:dyDescent="0.1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</row>
    <row r="373" spans="1:47" ht="11.25" customHeight="1" x14ac:dyDescent="0.1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</row>
    <row r="374" spans="1:47" ht="11.25" customHeight="1" x14ac:dyDescent="0.1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</row>
    <row r="375" spans="1:47" ht="11.25" customHeight="1" x14ac:dyDescent="0.1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</row>
    <row r="376" spans="1:47" ht="11.25" customHeight="1" x14ac:dyDescent="0.1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</row>
    <row r="377" spans="1:47" ht="11.25" customHeight="1" x14ac:dyDescent="0.1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</row>
    <row r="378" spans="1:47" ht="11.25" customHeight="1" x14ac:dyDescent="0.1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</row>
    <row r="379" spans="1:47" ht="11.25" customHeight="1" x14ac:dyDescent="0.1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</row>
    <row r="380" spans="1:47" ht="11.25" customHeight="1" x14ac:dyDescent="0.1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</row>
    <row r="381" spans="1:47" ht="11.25" customHeight="1" x14ac:dyDescent="0.1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</row>
    <row r="382" spans="1:47" ht="11.25" customHeight="1" x14ac:dyDescent="0.1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</row>
    <row r="383" spans="1:47" ht="11.25" customHeight="1" x14ac:dyDescent="0.1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</row>
    <row r="384" spans="1:47" ht="11.25" customHeight="1" x14ac:dyDescent="0.1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</row>
    <row r="385" spans="1:47" ht="11.25" customHeight="1" x14ac:dyDescent="0.1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</row>
    <row r="386" spans="1:47" ht="11.25" customHeight="1" x14ac:dyDescent="0.1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</row>
    <row r="387" spans="1:47" ht="11.25" customHeight="1" x14ac:dyDescent="0.1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</row>
    <row r="388" spans="1:47" ht="11.25" customHeight="1" x14ac:dyDescent="0.1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</row>
    <row r="389" spans="1:47" ht="11.25" customHeight="1" x14ac:dyDescent="0.1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</row>
    <row r="390" spans="1:47" ht="11.25" customHeight="1" x14ac:dyDescent="0.1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</row>
    <row r="391" spans="1:47" ht="11.25" customHeight="1" x14ac:dyDescent="0.1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</row>
    <row r="392" spans="1:47" ht="11.25" customHeight="1" x14ac:dyDescent="0.1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</row>
    <row r="393" spans="1:47" ht="11.25" customHeight="1" x14ac:dyDescent="0.1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</row>
    <row r="394" spans="1:47" ht="11.25" customHeight="1" x14ac:dyDescent="0.1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</row>
    <row r="395" spans="1:47" ht="11.25" customHeight="1" x14ac:dyDescent="0.1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</row>
    <row r="396" spans="1:47" ht="11.25" customHeight="1" x14ac:dyDescent="0.1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</row>
    <row r="397" spans="1:47" ht="11.25" customHeight="1" x14ac:dyDescent="0.1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</row>
    <row r="398" spans="1:47" ht="11.25" customHeight="1" x14ac:dyDescent="0.1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</row>
    <row r="399" spans="1:47" ht="11.25" customHeight="1" x14ac:dyDescent="0.1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</row>
    <row r="400" spans="1:47" ht="11.25" customHeight="1" x14ac:dyDescent="0.1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</row>
    <row r="401" spans="1:47" ht="11.25" customHeight="1" x14ac:dyDescent="0.1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</row>
    <row r="402" spans="1:47" ht="11.25" customHeight="1" x14ac:dyDescent="0.1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</row>
    <row r="403" spans="1:47" ht="11.25" customHeight="1" x14ac:dyDescent="0.1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</row>
    <row r="404" spans="1:47" ht="11.25" customHeight="1" x14ac:dyDescent="0.1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</row>
    <row r="405" spans="1:47" ht="11.25" customHeight="1" x14ac:dyDescent="0.1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</row>
    <row r="406" spans="1:47" ht="11.25" customHeight="1" x14ac:dyDescent="0.1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</row>
    <row r="407" spans="1:47" ht="11.25" customHeight="1" x14ac:dyDescent="0.1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</row>
    <row r="408" spans="1:47" ht="11.25" customHeight="1" x14ac:dyDescent="0.1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</row>
    <row r="409" spans="1:47" ht="11.25" customHeight="1" x14ac:dyDescent="0.1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</row>
    <row r="410" spans="1:47" ht="11.25" customHeight="1" x14ac:dyDescent="0.1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</row>
    <row r="411" spans="1:47" ht="11.25" customHeight="1" x14ac:dyDescent="0.1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</row>
    <row r="412" spans="1:47" ht="11.25" customHeight="1" x14ac:dyDescent="0.1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</row>
    <row r="413" spans="1:47" ht="11.25" customHeight="1" x14ac:dyDescent="0.1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</row>
    <row r="414" spans="1:47" ht="11.25" customHeight="1" x14ac:dyDescent="0.1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</row>
    <row r="415" spans="1:47" ht="11.25" customHeight="1" x14ac:dyDescent="0.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</row>
    <row r="416" spans="1:47" ht="11.25" customHeight="1" x14ac:dyDescent="0.1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</row>
    <row r="417" spans="1:47" ht="11.25" customHeight="1" x14ac:dyDescent="0.1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</row>
    <row r="418" spans="1:47" ht="11.25" customHeight="1" x14ac:dyDescent="0.1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</row>
    <row r="419" spans="1:47" ht="11.25" customHeight="1" x14ac:dyDescent="0.1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</row>
    <row r="420" spans="1:47" ht="11.25" customHeight="1" x14ac:dyDescent="0.1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</row>
    <row r="421" spans="1:47" ht="11.25" customHeight="1" x14ac:dyDescent="0.1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</row>
    <row r="422" spans="1:47" ht="11.25" customHeight="1" x14ac:dyDescent="0.1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</row>
    <row r="423" spans="1:47" ht="11.25" customHeight="1" x14ac:dyDescent="0.1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</row>
    <row r="424" spans="1:47" ht="11.25" customHeight="1" x14ac:dyDescent="0.1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</row>
    <row r="425" spans="1:47" ht="11.25" customHeight="1" x14ac:dyDescent="0.1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</row>
    <row r="426" spans="1:47" ht="11.25" customHeight="1" x14ac:dyDescent="0.1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</row>
    <row r="427" spans="1:47" ht="11.25" customHeight="1" x14ac:dyDescent="0.1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</row>
    <row r="428" spans="1:47" ht="11.25" customHeight="1" x14ac:dyDescent="0.1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</row>
    <row r="429" spans="1:47" ht="11.25" customHeight="1" x14ac:dyDescent="0.1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</row>
    <row r="430" spans="1:47" ht="11.25" customHeight="1" x14ac:dyDescent="0.1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</row>
    <row r="431" spans="1:47" ht="11.25" customHeight="1" x14ac:dyDescent="0.1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</row>
    <row r="432" spans="1:47" ht="11.25" customHeight="1" x14ac:dyDescent="0.1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</row>
    <row r="433" spans="1:47" ht="11.25" customHeight="1" x14ac:dyDescent="0.1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</row>
    <row r="434" spans="1:47" ht="11.25" customHeight="1" x14ac:dyDescent="0.1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</row>
    <row r="435" spans="1:47" ht="11.25" customHeight="1" x14ac:dyDescent="0.1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</row>
    <row r="436" spans="1:47" ht="11.25" customHeight="1" x14ac:dyDescent="0.1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</row>
    <row r="437" spans="1:47" ht="11.25" customHeight="1" x14ac:dyDescent="0.1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</row>
    <row r="438" spans="1:47" ht="11.25" customHeight="1" x14ac:dyDescent="0.1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</row>
    <row r="439" spans="1:47" ht="11.25" customHeight="1" x14ac:dyDescent="0.1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</row>
    <row r="440" spans="1:47" ht="11.25" customHeight="1" x14ac:dyDescent="0.1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</row>
    <row r="441" spans="1:47" ht="11.25" customHeight="1" x14ac:dyDescent="0.1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</row>
    <row r="442" spans="1:47" ht="11.25" customHeight="1" x14ac:dyDescent="0.1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</row>
    <row r="443" spans="1:47" ht="11.25" customHeight="1" x14ac:dyDescent="0.1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</row>
    <row r="444" spans="1:47" ht="11.25" customHeight="1" x14ac:dyDescent="0.1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</row>
    <row r="445" spans="1:47" ht="11.25" customHeight="1" x14ac:dyDescent="0.1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</row>
    <row r="446" spans="1:47" ht="11.25" customHeight="1" x14ac:dyDescent="0.1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</row>
    <row r="447" spans="1:47" ht="11.25" customHeight="1" x14ac:dyDescent="0.1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</row>
    <row r="448" spans="1:47" ht="11.25" customHeight="1" x14ac:dyDescent="0.1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</row>
    <row r="449" spans="1:47" ht="11.25" customHeight="1" x14ac:dyDescent="0.1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</row>
    <row r="450" spans="1:47" ht="11.25" customHeight="1" x14ac:dyDescent="0.1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</row>
    <row r="451" spans="1:47" ht="11.25" customHeight="1" x14ac:dyDescent="0.1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</row>
    <row r="452" spans="1:47" ht="11.25" customHeight="1" x14ac:dyDescent="0.1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</row>
    <row r="453" spans="1:47" ht="11.25" customHeight="1" x14ac:dyDescent="0.1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</row>
    <row r="454" spans="1:47" ht="11.25" customHeight="1" x14ac:dyDescent="0.1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</row>
    <row r="455" spans="1:47" ht="11.25" customHeight="1" x14ac:dyDescent="0.1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</row>
    <row r="456" spans="1:47" ht="11.25" customHeight="1" x14ac:dyDescent="0.1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</row>
    <row r="457" spans="1:47" ht="11.25" customHeight="1" x14ac:dyDescent="0.1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</row>
    <row r="458" spans="1:47" ht="11.25" customHeight="1" x14ac:dyDescent="0.1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</row>
    <row r="459" spans="1:47" ht="11.25" customHeight="1" x14ac:dyDescent="0.1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</row>
    <row r="460" spans="1:47" ht="11.25" customHeight="1" x14ac:dyDescent="0.1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</row>
    <row r="461" spans="1:47" ht="11.25" customHeight="1" x14ac:dyDescent="0.1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</row>
    <row r="462" spans="1:47" ht="11.25" customHeight="1" x14ac:dyDescent="0.1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</row>
    <row r="463" spans="1:47" ht="11.25" customHeight="1" x14ac:dyDescent="0.1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</row>
    <row r="464" spans="1:47" ht="11.25" customHeight="1" x14ac:dyDescent="0.1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</row>
    <row r="465" spans="1:47" ht="11.25" customHeight="1" x14ac:dyDescent="0.1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</row>
    <row r="466" spans="1:47" ht="11.25" customHeight="1" x14ac:dyDescent="0.1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</row>
    <row r="467" spans="1:47" ht="11.25" customHeight="1" x14ac:dyDescent="0.1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</row>
    <row r="468" spans="1:47" ht="11.25" customHeight="1" x14ac:dyDescent="0.1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</row>
    <row r="469" spans="1:47" ht="11.25" customHeight="1" x14ac:dyDescent="0.1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</row>
    <row r="470" spans="1:47" ht="11.25" customHeight="1" x14ac:dyDescent="0.1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</row>
    <row r="471" spans="1:47" ht="11.25" customHeight="1" x14ac:dyDescent="0.1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</row>
    <row r="472" spans="1:47" ht="11.25" customHeight="1" x14ac:dyDescent="0.1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</row>
    <row r="473" spans="1:47" ht="11.25" customHeight="1" x14ac:dyDescent="0.1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</row>
    <row r="474" spans="1:47" ht="11.25" customHeight="1" x14ac:dyDescent="0.1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</row>
    <row r="475" spans="1:47" ht="11.25" customHeight="1" x14ac:dyDescent="0.1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</row>
    <row r="476" spans="1:47" ht="11.25" customHeight="1" x14ac:dyDescent="0.1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</row>
    <row r="477" spans="1:47" ht="11.25" customHeight="1" x14ac:dyDescent="0.1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</row>
    <row r="478" spans="1:47" ht="11.25" customHeight="1" x14ac:dyDescent="0.1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</row>
    <row r="479" spans="1:47" ht="11.25" customHeight="1" x14ac:dyDescent="0.1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</row>
    <row r="480" spans="1:47" ht="11.25" customHeight="1" x14ac:dyDescent="0.1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</row>
    <row r="481" spans="1:47" ht="11.25" customHeight="1" x14ac:dyDescent="0.1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</row>
    <row r="482" spans="1:47" ht="11.25" customHeight="1" x14ac:dyDescent="0.1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</row>
    <row r="483" spans="1:47" ht="11.25" customHeight="1" x14ac:dyDescent="0.1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</row>
    <row r="484" spans="1:47" ht="11.25" customHeight="1" x14ac:dyDescent="0.1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</row>
    <row r="485" spans="1:47" ht="11.25" customHeight="1" x14ac:dyDescent="0.1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</row>
    <row r="486" spans="1:47" ht="11.25" customHeight="1" x14ac:dyDescent="0.1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</row>
    <row r="487" spans="1:47" ht="11.25" customHeight="1" x14ac:dyDescent="0.1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</row>
    <row r="488" spans="1:47" ht="11.25" customHeight="1" x14ac:dyDescent="0.1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</row>
    <row r="489" spans="1:47" ht="11.25" customHeight="1" x14ac:dyDescent="0.1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</row>
    <row r="490" spans="1:47" ht="11.25" customHeight="1" x14ac:dyDescent="0.1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</row>
    <row r="491" spans="1:47" ht="11.25" customHeight="1" x14ac:dyDescent="0.1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</row>
    <row r="492" spans="1:47" ht="11.25" customHeight="1" x14ac:dyDescent="0.1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</row>
    <row r="493" spans="1:47" ht="11.25" customHeight="1" x14ac:dyDescent="0.1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</row>
    <row r="494" spans="1:47" ht="11.25" customHeight="1" x14ac:dyDescent="0.1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</row>
    <row r="495" spans="1:47" ht="11.25" customHeight="1" x14ac:dyDescent="0.1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</row>
    <row r="496" spans="1:47" ht="11.25" customHeight="1" x14ac:dyDescent="0.1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</row>
    <row r="497" spans="1:47" ht="11.25" customHeight="1" x14ac:dyDescent="0.1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</row>
    <row r="498" spans="1:47" ht="11.25" customHeight="1" x14ac:dyDescent="0.1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</row>
    <row r="499" spans="1:47" ht="11.25" customHeight="1" x14ac:dyDescent="0.1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</row>
    <row r="500" spans="1:47" ht="11.25" customHeight="1" x14ac:dyDescent="0.1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</row>
    <row r="501" spans="1:47" ht="11.25" customHeight="1" x14ac:dyDescent="0.1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</row>
    <row r="502" spans="1:47" ht="11.25" customHeight="1" x14ac:dyDescent="0.1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</row>
    <row r="503" spans="1:47" ht="11.25" customHeight="1" x14ac:dyDescent="0.1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</row>
    <row r="504" spans="1:47" ht="11.25" customHeight="1" x14ac:dyDescent="0.1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</row>
    <row r="505" spans="1:47" ht="11.25" customHeight="1" x14ac:dyDescent="0.1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</row>
    <row r="506" spans="1:47" ht="11.25" customHeight="1" x14ac:dyDescent="0.1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</row>
    <row r="507" spans="1:47" ht="11.25" customHeight="1" x14ac:dyDescent="0.1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</row>
    <row r="508" spans="1:47" ht="11.25" customHeight="1" x14ac:dyDescent="0.1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</row>
    <row r="509" spans="1:47" ht="11.25" customHeight="1" x14ac:dyDescent="0.1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</row>
    <row r="510" spans="1:47" ht="11.25" customHeight="1" x14ac:dyDescent="0.1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</row>
    <row r="511" spans="1:47" ht="11.25" customHeight="1" x14ac:dyDescent="0.1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</row>
    <row r="512" spans="1:47" ht="11.25" customHeight="1" x14ac:dyDescent="0.1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</row>
    <row r="513" spans="1:47" ht="11.25" customHeight="1" x14ac:dyDescent="0.1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</row>
    <row r="514" spans="1:47" ht="11.25" customHeight="1" x14ac:dyDescent="0.1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</row>
    <row r="515" spans="1:47" ht="11.25" customHeight="1" x14ac:dyDescent="0.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</row>
    <row r="516" spans="1:47" ht="11.25" customHeight="1" x14ac:dyDescent="0.1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</row>
    <row r="517" spans="1:47" ht="11.25" customHeight="1" x14ac:dyDescent="0.1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</row>
    <row r="518" spans="1:47" ht="11.25" customHeight="1" x14ac:dyDescent="0.1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</row>
    <row r="519" spans="1:47" ht="11.25" customHeight="1" x14ac:dyDescent="0.1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</row>
    <row r="520" spans="1:47" ht="11.25" customHeight="1" x14ac:dyDescent="0.1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</row>
    <row r="521" spans="1:47" ht="11.25" customHeight="1" x14ac:dyDescent="0.1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</row>
    <row r="522" spans="1:47" ht="11.25" customHeight="1" x14ac:dyDescent="0.1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</row>
    <row r="523" spans="1:47" ht="11.25" customHeight="1" x14ac:dyDescent="0.1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</row>
    <row r="524" spans="1:47" ht="11.25" customHeight="1" x14ac:dyDescent="0.1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</row>
    <row r="525" spans="1:47" ht="11.25" customHeight="1" x14ac:dyDescent="0.1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</row>
    <row r="526" spans="1:47" ht="11.25" customHeight="1" x14ac:dyDescent="0.1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</row>
    <row r="527" spans="1:47" ht="11.25" customHeight="1" x14ac:dyDescent="0.1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</row>
    <row r="528" spans="1:47" ht="11.25" customHeight="1" x14ac:dyDescent="0.1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</row>
    <row r="529" spans="1:47" ht="11.25" customHeight="1" x14ac:dyDescent="0.1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</row>
    <row r="530" spans="1:47" ht="11.25" customHeight="1" x14ac:dyDescent="0.1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</row>
    <row r="531" spans="1:47" ht="11.25" customHeight="1" x14ac:dyDescent="0.1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</row>
    <row r="532" spans="1:47" ht="11.25" customHeight="1" x14ac:dyDescent="0.1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</row>
    <row r="533" spans="1:47" ht="11.25" customHeight="1" x14ac:dyDescent="0.1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</row>
    <row r="534" spans="1:47" ht="11.25" customHeight="1" x14ac:dyDescent="0.1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</row>
    <row r="535" spans="1:47" ht="11.25" customHeight="1" x14ac:dyDescent="0.1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</row>
    <row r="536" spans="1:47" ht="11.25" customHeight="1" x14ac:dyDescent="0.1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</row>
    <row r="537" spans="1:47" ht="11.25" customHeight="1" x14ac:dyDescent="0.1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</row>
    <row r="538" spans="1:47" ht="11.25" customHeight="1" x14ac:dyDescent="0.1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</row>
    <row r="539" spans="1:47" ht="11.25" customHeight="1" x14ac:dyDescent="0.1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</row>
    <row r="540" spans="1:47" ht="11.25" customHeight="1" x14ac:dyDescent="0.1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</row>
    <row r="541" spans="1:47" ht="11.25" customHeight="1" x14ac:dyDescent="0.1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</row>
    <row r="542" spans="1:47" ht="11.25" customHeight="1" x14ac:dyDescent="0.1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</row>
    <row r="543" spans="1:47" ht="11.25" customHeight="1" x14ac:dyDescent="0.1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</row>
    <row r="544" spans="1:47" ht="11.25" customHeight="1" x14ac:dyDescent="0.1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</row>
    <row r="545" spans="1:47" ht="11.25" customHeight="1" x14ac:dyDescent="0.1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</row>
    <row r="546" spans="1:47" ht="11.25" customHeight="1" x14ac:dyDescent="0.1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</row>
    <row r="547" spans="1:47" ht="11.25" customHeight="1" x14ac:dyDescent="0.1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</row>
    <row r="548" spans="1:47" ht="11.25" customHeight="1" x14ac:dyDescent="0.1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</row>
    <row r="549" spans="1:47" ht="11.25" customHeight="1" x14ac:dyDescent="0.1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</row>
    <row r="550" spans="1:47" ht="11.25" customHeight="1" x14ac:dyDescent="0.1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</row>
    <row r="551" spans="1:47" ht="11.25" customHeight="1" x14ac:dyDescent="0.1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</row>
    <row r="552" spans="1:47" ht="11.25" customHeight="1" x14ac:dyDescent="0.1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</row>
    <row r="553" spans="1:47" ht="11.25" customHeight="1" x14ac:dyDescent="0.1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</row>
    <row r="554" spans="1:47" ht="11.25" customHeight="1" x14ac:dyDescent="0.1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</row>
    <row r="555" spans="1:47" ht="11.25" customHeight="1" x14ac:dyDescent="0.1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</row>
    <row r="556" spans="1:47" ht="11.25" customHeight="1" x14ac:dyDescent="0.1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</row>
    <row r="557" spans="1:47" ht="11.25" customHeight="1" x14ac:dyDescent="0.1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</row>
    <row r="558" spans="1:47" ht="11.25" customHeight="1" x14ac:dyDescent="0.1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</row>
    <row r="559" spans="1:47" ht="11.25" customHeight="1" x14ac:dyDescent="0.1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</row>
    <row r="560" spans="1:47" ht="11.25" customHeight="1" x14ac:dyDescent="0.1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</row>
    <row r="561" spans="1:47" ht="11.25" customHeight="1" x14ac:dyDescent="0.1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</row>
    <row r="562" spans="1:47" ht="11.25" customHeight="1" x14ac:dyDescent="0.1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</row>
    <row r="563" spans="1:47" ht="11.25" customHeight="1" x14ac:dyDescent="0.1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</row>
    <row r="564" spans="1:47" ht="11.25" customHeight="1" x14ac:dyDescent="0.1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</row>
    <row r="565" spans="1:47" ht="11.25" customHeight="1" x14ac:dyDescent="0.1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</row>
    <row r="566" spans="1:47" ht="11.25" customHeight="1" x14ac:dyDescent="0.1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</row>
    <row r="567" spans="1:47" ht="11.25" customHeight="1" x14ac:dyDescent="0.1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</row>
    <row r="568" spans="1:47" ht="11.25" customHeight="1" x14ac:dyDescent="0.1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</row>
    <row r="569" spans="1:47" ht="11.25" customHeight="1" x14ac:dyDescent="0.1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</row>
    <row r="570" spans="1:47" ht="11.25" customHeight="1" x14ac:dyDescent="0.1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</row>
    <row r="571" spans="1:47" ht="11.25" customHeight="1" x14ac:dyDescent="0.1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</row>
    <row r="572" spans="1:47" ht="11.25" customHeight="1" x14ac:dyDescent="0.1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</row>
    <row r="573" spans="1:47" ht="11.25" customHeight="1" x14ac:dyDescent="0.1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</row>
    <row r="574" spans="1:47" ht="11.25" customHeight="1" x14ac:dyDescent="0.1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</row>
    <row r="575" spans="1:47" ht="11.25" customHeight="1" x14ac:dyDescent="0.1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</row>
    <row r="576" spans="1:47" ht="11.25" customHeight="1" x14ac:dyDescent="0.1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</row>
    <row r="577" spans="1:47" ht="11.25" customHeight="1" x14ac:dyDescent="0.1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</row>
    <row r="578" spans="1:47" ht="11.25" customHeight="1" x14ac:dyDescent="0.1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</row>
    <row r="579" spans="1:47" ht="11.25" customHeight="1" x14ac:dyDescent="0.1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</row>
    <row r="580" spans="1:47" ht="11.25" customHeight="1" x14ac:dyDescent="0.1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</row>
    <row r="581" spans="1:47" ht="11.25" customHeight="1" x14ac:dyDescent="0.1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</row>
    <row r="582" spans="1:47" ht="11.25" customHeight="1" x14ac:dyDescent="0.1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</row>
    <row r="583" spans="1:47" ht="11.25" customHeight="1" x14ac:dyDescent="0.1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</row>
    <row r="584" spans="1:47" ht="11.25" customHeight="1" x14ac:dyDescent="0.1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</row>
    <row r="585" spans="1:47" ht="11.25" customHeight="1" x14ac:dyDescent="0.1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</row>
    <row r="586" spans="1:47" ht="11.25" customHeight="1" x14ac:dyDescent="0.1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</row>
    <row r="587" spans="1:47" ht="11.25" customHeight="1" x14ac:dyDescent="0.1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</row>
    <row r="588" spans="1:47" ht="11.25" customHeight="1" x14ac:dyDescent="0.1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</row>
    <row r="589" spans="1:47" ht="11.25" customHeight="1" x14ac:dyDescent="0.1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</row>
    <row r="590" spans="1:47" ht="11.25" customHeight="1" x14ac:dyDescent="0.1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</row>
    <row r="591" spans="1:47" ht="11.25" customHeight="1" x14ac:dyDescent="0.1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</row>
    <row r="592" spans="1:47" ht="11.25" customHeight="1" x14ac:dyDescent="0.1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</row>
    <row r="593" spans="1:47" ht="11.25" customHeight="1" x14ac:dyDescent="0.1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</row>
    <row r="594" spans="1:47" ht="11.25" customHeight="1" x14ac:dyDescent="0.1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</row>
    <row r="595" spans="1:47" ht="11.25" customHeight="1" x14ac:dyDescent="0.1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</row>
    <row r="596" spans="1:47" ht="11.25" customHeight="1" x14ac:dyDescent="0.1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</row>
    <row r="597" spans="1:47" ht="11.25" customHeight="1" x14ac:dyDescent="0.1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</row>
    <row r="598" spans="1:47" ht="11.25" customHeight="1" x14ac:dyDescent="0.1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</row>
    <row r="599" spans="1:47" ht="11.25" customHeight="1" x14ac:dyDescent="0.1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</row>
    <row r="600" spans="1:47" ht="11.25" customHeight="1" x14ac:dyDescent="0.1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</row>
    <row r="601" spans="1:47" ht="11.25" customHeight="1" x14ac:dyDescent="0.1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</row>
    <row r="602" spans="1:47" ht="11.25" customHeight="1" x14ac:dyDescent="0.1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</row>
    <row r="603" spans="1:47" ht="11.25" customHeight="1" x14ac:dyDescent="0.1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</row>
    <row r="604" spans="1:47" ht="11.25" customHeight="1" x14ac:dyDescent="0.1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</row>
    <row r="605" spans="1:47" ht="11.25" customHeight="1" x14ac:dyDescent="0.1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</row>
    <row r="606" spans="1:47" ht="11.25" customHeight="1" x14ac:dyDescent="0.1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</row>
    <row r="607" spans="1:47" ht="11.25" customHeight="1" x14ac:dyDescent="0.1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</row>
    <row r="608" spans="1:47" ht="11.25" customHeight="1" x14ac:dyDescent="0.1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</row>
    <row r="609" spans="1:47" ht="11.25" customHeight="1" x14ac:dyDescent="0.1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</row>
    <row r="610" spans="1:47" ht="11.25" customHeight="1" x14ac:dyDescent="0.1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</row>
    <row r="611" spans="1:47" ht="11.25" customHeight="1" x14ac:dyDescent="0.1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</row>
    <row r="612" spans="1:47" ht="11.25" customHeight="1" x14ac:dyDescent="0.1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</row>
    <row r="613" spans="1:47" ht="11.25" customHeight="1" x14ac:dyDescent="0.1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</row>
    <row r="614" spans="1:47" ht="11.25" customHeight="1" x14ac:dyDescent="0.1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</row>
    <row r="615" spans="1:47" ht="11.25" customHeight="1" x14ac:dyDescent="0.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</row>
    <row r="616" spans="1:47" ht="11.25" customHeight="1" x14ac:dyDescent="0.1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</row>
    <row r="617" spans="1:47" ht="11.25" customHeight="1" x14ac:dyDescent="0.1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</row>
    <row r="618" spans="1:47" ht="11.25" customHeight="1" x14ac:dyDescent="0.1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</row>
    <row r="619" spans="1:47" ht="11.25" customHeight="1" x14ac:dyDescent="0.1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</row>
    <row r="620" spans="1:47" ht="11.25" customHeight="1" x14ac:dyDescent="0.1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</row>
    <row r="621" spans="1:47" ht="11.25" customHeight="1" x14ac:dyDescent="0.1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</row>
    <row r="622" spans="1:47" ht="11.25" customHeight="1" x14ac:dyDescent="0.1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</row>
    <row r="623" spans="1:47" ht="11.25" customHeight="1" x14ac:dyDescent="0.1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</row>
    <row r="624" spans="1:47" ht="11.25" customHeight="1" x14ac:dyDescent="0.1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</row>
    <row r="625" spans="1:47" ht="11.25" customHeight="1" x14ac:dyDescent="0.1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</row>
    <row r="626" spans="1:47" ht="11.25" customHeight="1" x14ac:dyDescent="0.1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</row>
    <row r="627" spans="1:47" ht="11.25" customHeight="1" x14ac:dyDescent="0.1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</row>
    <row r="628" spans="1:47" ht="11.25" customHeight="1" x14ac:dyDescent="0.1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</row>
    <row r="629" spans="1:47" ht="11.25" customHeight="1" x14ac:dyDescent="0.1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</row>
    <row r="630" spans="1:47" ht="11.25" customHeight="1" x14ac:dyDescent="0.1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</row>
    <row r="631" spans="1:47" ht="11.25" customHeight="1" x14ac:dyDescent="0.1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</row>
    <row r="632" spans="1:47" ht="11.25" customHeight="1" x14ac:dyDescent="0.1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</row>
    <row r="633" spans="1:47" ht="11.25" customHeight="1" x14ac:dyDescent="0.1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</row>
    <row r="634" spans="1:47" ht="11.25" customHeight="1" x14ac:dyDescent="0.1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</row>
    <row r="635" spans="1:47" ht="11.25" customHeight="1" x14ac:dyDescent="0.1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</row>
    <row r="636" spans="1:47" ht="11.25" customHeight="1" x14ac:dyDescent="0.1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</row>
    <row r="637" spans="1:47" ht="11.25" customHeight="1" x14ac:dyDescent="0.1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</row>
    <row r="638" spans="1:47" ht="11.25" customHeight="1" x14ac:dyDescent="0.1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</row>
    <row r="639" spans="1:47" ht="11.25" customHeight="1" x14ac:dyDescent="0.1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</row>
    <row r="640" spans="1:47" ht="11.25" customHeight="1" x14ac:dyDescent="0.1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</row>
    <row r="641" spans="1:47" ht="11.25" customHeight="1" x14ac:dyDescent="0.1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</row>
    <row r="642" spans="1:47" ht="11.25" customHeight="1" x14ac:dyDescent="0.1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</row>
    <row r="643" spans="1:47" ht="11.25" customHeight="1" x14ac:dyDescent="0.1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</row>
    <row r="644" spans="1:47" ht="11.25" customHeight="1" x14ac:dyDescent="0.1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</row>
    <row r="645" spans="1:47" ht="11.25" customHeight="1" x14ac:dyDescent="0.1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</row>
    <row r="646" spans="1:47" ht="11.25" customHeight="1" x14ac:dyDescent="0.1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</row>
    <row r="647" spans="1:47" ht="11.25" customHeight="1" x14ac:dyDescent="0.1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</row>
    <row r="648" spans="1:47" ht="11.25" customHeight="1" x14ac:dyDescent="0.1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</row>
    <row r="649" spans="1:47" ht="11.25" customHeight="1" x14ac:dyDescent="0.1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</row>
    <row r="650" spans="1:47" ht="11.25" customHeight="1" x14ac:dyDescent="0.1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</row>
    <row r="651" spans="1:47" ht="11.25" customHeight="1" x14ac:dyDescent="0.1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</row>
    <row r="652" spans="1:47" ht="11.25" customHeight="1" x14ac:dyDescent="0.1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</row>
    <row r="653" spans="1:47" ht="11.25" customHeight="1" x14ac:dyDescent="0.1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</row>
    <row r="654" spans="1:47" ht="11.25" customHeight="1" x14ac:dyDescent="0.1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</row>
    <row r="655" spans="1:47" ht="11.25" customHeight="1" x14ac:dyDescent="0.1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</row>
    <row r="656" spans="1:47" ht="11.25" customHeight="1" x14ac:dyDescent="0.1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</row>
    <row r="657" spans="1:47" ht="11.25" customHeight="1" x14ac:dyDescent="0.1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</row>
    <row r="658" spans="1:47" ht="11.25" customHeight="1" x14ac:dyDescent="0.1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</row>
    <row r="659" spans="1:47" ht="11.25" customHeight="1" x14ac:dyDescent="0.1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</row>
    <row r="660" spans="1:47" ht="11.25" customHeight="1" x14ac:dyDescent="0.1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</row>
    <row r="661" spans="1:47" ht="11.25" customHeight="1" x14ac:dyDescent="0.1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</row>
    <row r="662" spans="1:47" ht="11.25" customHeight="1" x14ac:dyDescent="0.1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</row>
    <row r="663" spans="1:47" ht="11.25" customHeight="1" x14ac:dyDescent="0.1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</row>
    <row r="664" spans="1:47" ht="11.25" customHeight="1" x14ac:dyDescent="0.1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</row>
    <row r="665" spans="1:47" ht="11.25" customHeight="1" x14ac:dyDescent="0.1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</row>
    <row r="666" spans="1:47" ht="11.25" customHeight="1" x14ac:dyDescent="0.1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</row>
    <row r="667" spans="1:47" ht="11.25" customHeight="1" x14ac:dyDescent="0.1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</row>
    <row r="668" spans="1:47" ht="11.25" customHeight="1" x14ac:dyDescent="0.1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</row>
    <row r="669" spans="1:47" ht="11.25" customHeight="1" x14ac:dyDescent="0.1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</row>
    <row r="670" spans="1:47" ht="11.25" customHeight="1" x14ac:dyDescent="0.1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</row>
    <row r="671" spans="1:47" ht="11.25" customHeight="1" x14ac:dyDescent="0.1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</row>
    <row r="672" spans="1:47" ht="11.25" customHeight="1" x14ac:dyDescent="0.1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</row>
    <row r="673" spans="1:47" ht="11.25" customHeight="1" x14ac:dyDescent="0.1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</row>
    <row r="674" spans="1:47" ht="11.25" customHeight="1" x14ac:dyDescent="0.1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</row>
    <row r="675" spans="1:47" ht="11.25" customHeight="1" x14ac:dyDescent="0.1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</row>
    <row r="676" spans="1:47" ht="11.25" customHeight="1" x14ac:dyDescent="0.1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</row>
    <row r="677" spans="1:47" ht="11.25" customHeight="1" x14ac:dyDescent="0.1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</row>
    <row r="678" spans="1:47" ht="11.25" customHeight="1" x14ac:dyDescent="0.1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</row>
    <row r="679" spans="1:47" ht="11.25" customHeight="1" x14ac:dyDescent="0.1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</row>
    <row r="680" spans="1:47" ht="11.25" customHeight="1" x14ac:dyDescent="0.1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</row>
    <row r="681" spans="1:47" ht="11.25" customHeight="1" x14ac:dyDescent="0.1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</row>
    <row r="682" spans="1:47" ht="11.25" customHeight="1" x14ac:dyDescent="0.1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</row>
    <row r="683" spans="1:47" ht="11.25" customHeight="1" x14ac:dyDescent="0.1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</row>
    <row r="684" spans="1:47" ht="11.25" customHeight="1" x14ac:dyDescent="0.1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</row>
    <row r="685" spans="1:47" ht="11.25" customHeight="1" x14ac:dyDescent="0.1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</row>
    <row r="686" spans="1:47" ht="11.25" customHeight="1" x14ac:dyDescent="0.1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</row>
    <row r="687" spans="1:47" ht="11.25" customHeight="1" x14ac:dyDescent="0.1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</row>
    <row r="688" spans="1:47" ht="11.25" customHeight="1" x14ac:dyDescent="0.1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</row>
    <row r="689" spans="1:47" ht="11.25" customHeight="1" x14ac:dyDescent="0.1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</row>
    <row r="690" spans="1:47" ht="11.25" customHeight="1" x14ac:dyDescent="0.1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</row>
    <row r="691" spans="1:47" ht="11.25" customHeight="1" x14ac:dyDescent="0.1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</row>
    <row r="692" spans="1:47" ht="11.25" customHeight="1" x14ac:dyDescent="0.1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</row>
    <row r="693" spans="1:47" ht="11.25" customHeight="1" x14ac:dyDescent="0.1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</row>
    <row r="694" spans="1:47" ht="11.25" customHeight="1" x14ac:dyDescent="0.1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</row>
    <row r="695" spans="1:47" ht="11.25" customHeight="1" x14ac:dyDescent="0.1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</row>
    <row r="696" spans="1:47" ht="11.25" customHeight="1" x14ac:dyDescent="0.1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</row>
    <row r="697" spans="1:47" ht="11.25" customHeight="1" x14ac:dyDescent="0.1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</row>
    <row r="698" spans="1:47" ht="11.25" customHeight="1" x14ac:dyDescent="0.1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</row>
    <row r="699" spans="1:47" ht="11.25" customHeight="1" x14ac:dyDescent="0.1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</row>
    <row r="700" spans="1:47" ht="11.25" customHeight="1" x14ac:dyDescent="0.1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</row>
    <row r="701" spans="1:47" ht="11.25" customHeight="1" x14ac:dyDescent="0.1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</row>
    <row r="702" spans="1:47" ht="11.25" customHeight="1" x14ac:dyDescent="0.1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</row>
    <row r="703" spans="1:47" ht="11.25" customHeight="1" x14ac:dyDescent="0.1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</row>
    <row r="704" spans="1:47" ht="11.25" customHeight="1" x14ac:dyDescent="0.1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</row>
    <row r="705" spans="1:47" ht="11.25" customHeight="1" x14ac:dyDescent="0.1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</row>
    <row r="706" spans="1:47" ht="11.25" customHeight="1" x14ac:dyDescent="0.1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</row>
    <row r="707" spans="1:47" ht="11.25" customHeight="1" x14ac:dyDescent="0.1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</row>
    <row r="708" spans="1:47" ht="11.25" customHeight="1" x14ac:dyDescent="0.1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</row>
    <row r="709" spans="1:47" ht="11.25" customHeight="1" x14ac:dyDescent="0.1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</row>
    <row r="710" spans="1:47" ht="11.25" customHeight="1" x14ac:dyDescent="0.1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</row>
    <row r="711" spans="1:47" ht="11.25" customHeight="1" x14ac:dyDescent="0.1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</row>
    <row r="712" spans="1:47" ht="11.25" customHeight="1" x14ac:dyDescent="0.1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</row>
    <row r="713" spans="1:47" ht="11.25" customHeight="1" x14ac:dyDescent="0.1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</row>
    <row r="714" spans="1:47" ht="11.25" customHeight="1" x14ac:dyDescent="0.1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</row>
    <row r="715" spans="1:47" ht="11.25" customHeight="1" x14ac:dyDescent="0.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</row>
    <row r="716" spans="1:47" ht="11.25" customHeight="1" x14ac:dyDescent="0.1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</row>
    <row r="717" spans="1:47" ht="11.25" customHeight="1" x14ac:dyDescent="0.1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</row>
    <row r="718" spans="1:47" ht="11.25" customHeight="1" x14ac:dyDescent="0.1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</row>
    <row r="719" spans="1:47" ht="11.25" customHeight="1" x14ac:dyDescent="0.1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</row>
    <row r="720" spans="1:47" ht="11.25" customHeight="1" x14ac:dyDescent="0.1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</row>
    <row r="721" spans="1:47" ht="11.25" customHeight="1" x14ac:dyDescent="0.1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</row>
    <row r="722" spans="1:47" ht="11.25" customHeight="1" x14ac:dyDescent="0.1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</row>
    <row r="723" spans="1:47" ht="11.25" customHeight="1" x14ac:dyDescent="0.1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</row>
    <row r="724" spans="1:47" ht="11.25" customHeight="1" x14ac:dyDescent="0.1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</row>
    <row r="725" spans="1:47" ht="11.25" customHeight="1" x14ac:dyDescent="0.1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</row>
    <row r="726" spans="1:47" ht="11.25" customHeight="1" x14ac:dyDescent="0.1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</row>
    <row r="727" spans="1:47" ht="11.25" customHeight="1" x14ac:dyDescent="0.1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</row>
    <row r="728" spans="1:47" ht="11.25" customHeight="1" x14ac:dyDescent="0.1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</row>
    <row r="729" spans="1:47" ht="11.25" customHeight="1" x14ac:dyDescent="0.1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</row>
    <row r="730" spans="1:47" ht="11.25" customHeight="1" x14ac:dyDescent="0.1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</row>
    <row r="731" spans="1:47" ht="11.25" customHeight="1" x14ac:dyDescent="0.1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</row>
    <row r="732" spans="1:47" ht="11.25" customHeight="1" x14ac:dyDescent="0.1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</row>
    <row r="733" spans="1:47" ht="11.25" customHeight="1" x14ac:dyDescent="0.1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</row>
    <row r="734" spans="1:47" ht="11.25" customHeight="1" x14ac:dyDescent="0.1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</row>
    <row r="735" spans="1:47" ht="11.25" customHeight="1" x14ac:dyDescent="0.1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</row>
    <row r="736" spans="1:47" ht="11.25" customHeight="1" x14ac:dyDescent="0.1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</row>
    <row r="737" spans="1:47" ht="11.25" customHeight="1" x14ac:dyDescent="0.1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</row>
    <row r="738" spans="1:47" ht="11.25" customHeight="1" x14ac:dyDescent="0.1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</row>
    <row r="739" spans="1:47" ht="11.25" customHeight="1" x14ac:dyDescent="0.1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</row>
    <row r="740" spans="1:47" ht="11.25" customHeight="1" x14ac:dyDescent="0.1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</row>
    <row r="741" spans="1:47" ht="11.25" customHeight="1" x14ac:dyDescent="0.1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</row>
    <row r="742" spans="1:47" ht="11.25" customHeight="1" x14ac:dyDescent="0.1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</row>
    <row r="743" spans="1:47" ht="11.25" customHeight="1" x14ac:dyDescent="0.1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</row>
    <row r="744" spans="1:47" ht="11.25" customHeight="1" x14ac:dyDescent="0.1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</row>
    <row r="745" spans="1:47" ht="11.25" customHeight="1" x14ac:dyDescent="0.1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</row>
    <row r="746" spans="1:47" ht="11.25" customHeight="1" x14ac:dyDescent="0.1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</row>
    <row r="747" spans="1:47" ht="11.25" customHeight="1" x14ac:dyDescent="0.1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</row>
    <row r="748" spans="1:47" ht="11.25" customHeight="1" x14ac:dyDescent="0.1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</row>
    <row r="749" spans="1:47" ht="11.25" customHeight="1" x14ac:dyDescent="0.1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</row>
    <row r="750" spans="1:47" ht="11.25" customHeight="1" x14ac:dyDescent="0.1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</row>
    <row r="751" spans="1:47" ht="11.25" customHeight="1" x14ac:dyDescent="0.1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</row>
    <row r="752" spans="1:47" ht="11.25" customHeight="1" x14ac:dyDescent="0.1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</row>
    <row r="753" spans="1:47" ht="11.25" customHeight="1" x14ac:dyDescent="0.1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</row>
    <row r="754" spans="1:47" ht="11.25" customHeight="1" x14ac:dyDescent="0.1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</row>
    <row r="755" spans="1:47" ht="11.25" customHeight="1" x14ac:dyDescent="0.1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</row>
    <row r="756" spans="1:47" ht="11.25" customHeight="1" x14ac:dyDescent="0.1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</row>
    <row r="757" spans="1:47" ht="11.25" customHeight="1" x14ac:dyDescent="0.1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</row>
    <row r="758" spans="1:47" ht="11.25" customHeight="1" x14ac:dyDescent="0.1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</row>
    <row r="759" spans="1:47" ht="11.25" customHeight="1" x14ac:dyDescent="0.1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</row>
    <row r="760" spans="1:47" ht="11.25" customHeight="1" x14ac:dyDescent="0.1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</row>
    <row r="761" spans="1:47" ht="11.25" customHeight="1" x14ac:dyDescent="0.1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</row>
    <row r="762" spans="1:47" ht="11.25" customHeight="1" x14ac:dyDescent="0.1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</row>
    <row r="763" spans="1:47" ht="11.25" customHeight="1" x14ac:dyDescent="0.1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</row>
    <row r="764" spans="1:47" ht="11.25" customHeight="1" x14ac:dyDescent="0.1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</row>
    <row r="765" spans="1:47" ht="11.25" customHeight="1" x14ac:dyDescent="0.1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</row>
    <row r="766" spans="1:47" ht="11.25" customHeight="1" x14ac:dyDescent="0.1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</row>
    <row r="767" spans="1:47" ht="11.25" customHeight="1" x14ac:dyDescent="0.1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</row>
    <row r="768" spans="1:47" ht="11.25" customHeight="1" x14ac:dyDescent="0.1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</row>
    <row r="769" spans="1:47" ht="11.25" customHeight="1" x14ac:dyDescent="0.1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</row>
    <row r="770" spans="1:47" ht="11.25" customHeight="1" x14ac:dyDescent="0.1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</row>
    <row r="771" spans="1:47" ht="11.25" customHeight="1" x14ac:dyDescent="0.1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</row>
    <row r="772" spans="1:47" ht="11.25" customHeight="1" x14ac:dyDescent="0.1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</row>
    <row r="773" spans="1:47" ht="11.25" customHeight="1" x14ac:dyDescent="0.1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</row>
    <row r="774" spans="1:47" ht="11.25" customHeight="1" x14ac:dyDescent="0.1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</row>
    <row r="775" spans="1:47" ht="11.25" customHeight="1" x14ac:dyDescent="0.1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</row>
    <row r="776" spans="1:47" ht="11.25" customHeight="1" x14ac:dyDescent="0.1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</row>
    <row r="777" spans="1:47" ht="11.25" customHeight="1" x14ac:dyDescent="0.1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</row>
    <row r="778" spans="1:47" ht="11.25" customHeight="1" x14ac:dyDescent="0.1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</row>
    <row r="779" spans="1:47" ht="11.25" customHeight="1" x14ac:dyDescent="0.1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</row>
    <row r="780" spans="1:47" ht="11.25" customHeight="1" x14ac:dyDescent="0.1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</row>
    <row r="781" spans="1:47" ht="11.25" customHeight="1" x14ac:dyDescent="0.1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</row>
    <row r="782" spans="1:47" ht="11.25" customHeight="1" x14ac:dyDescent="0.1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</row>
    <row r="783" spans="1:47" ht="11.25" customHeight="1" x14ac:dyDescent="0.1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</row>
    <row r="784" spans="1:47" ht="11.25" customHeight="1" x14ac:dyDescent="0.1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</row>
    <row r="785" spans="1:47" ht="11.25" customHeight="1" x14ac:dyDescent="0.1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</row>
    <row r="786" spans="1:47" ht="11.25" customHeight="1" x14ac:dyDescent="0.1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</row>
    <row r="787" spans="1:47" ht="11.25" customHeight="1" x14ac:dyDescent="0.1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</row>
    <row r="788" spans="1:47" ht="11.25" customHeight="1" x14ac:dyDescent="0.1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</row>
    <row r="789" spans="1:47" ht="11.25" customHeight="1" x14ac:dyDescent="0.1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</row>
    <row r="790" spans="1:47" ht="11.25" customHeight="1" x14ac:dyDescent="0.1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</row>
    <row r="791" spans="1:47" ht="11.25" customHeight="1" x14ac:dyDescent="0.1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</row>
    <row r="792" spans="1:47" ht="11.25" customHeight="1" x14ac:dyDescent="0.1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</row>
    <row r="793" spans="1:47" ht="11.25" customHeight="1" x14ac:dyDescent="0.1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</row>
    <row r="794" spans="1:47" ht="11.25" customHeight="1" x14ac:dyDescent="0.1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</row>
    <row r="795" spans="1:47" ht="11.25" customHeight="1" x14ac:dyDescent="0.1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</row>
    <row r="796" spans="1:47" ht="11.25" customHeight="1" x14ac:dyDescent="0.1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</row>
    <row r="797" spans="1:47" ht="11.25" customHeight="1" x14ac:dyDescent="0.1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</row>
    <row r="798" spans="1:47" ht="11.25" customHeight="1" x14ac:dyDescent="0.1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</row>
    <row r="799" spans="1:47" ht="11.25" customHeight="1" x14ac:dyDescent="0.1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</row>
    <row r="800" spans="1:47" ht="11.25" customHeight="1" x14ac:dyDescent="0.1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</row>
    <row r="801" spans="1:47" ht="11.25" customHeight="1" x14ac:dyDescent="0.1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</row>
    <row r="802" spans="1:47" ht="11.25" customHeight="1" x14ac:dyDescent="0.1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</row>
    <row r="803" spans="1:47" ht="11.25" customHeight="1" x14ac:dyDescent="0.1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</row>
    <row r="804" spans="1:47" ht="11.25" customHeight="1" x14ac:dyDescent="0.1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</row>
    <row r="805" spans="1:47" ht="11.25" customHeight="1" x14ac:dyDescent="0.1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</row>
    <row r="806" spans="1:47" ht="11.25" customHeight="1" x14ac:dyDescent="0.1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</row>
    <row r="807" spans="1:47" ht="11.25" customHeight="1" x14ac:dyDescent="0.1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</row>
    <row r="808" spans="1:47" ht="11.25" customHeight="1" x14ac:dyDescent="0.1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</row>
    <row r="809" spans="1:47" ht="11.25" customHeight="1" x14ac:dyDescent="0.1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</row>
    <row r="810" spans="1:47" ht="11.25" customHeight="1" x14ac:dyDescent="0.1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</row>
    <row r="811" spans="1:47" ht="11.25" customHeight="1" x14ac:dyDescent="0.1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</row>
    <row r="812" spans="1:47" ht="11.25" customHeight="1" x14ac:dyDescent="0.1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</row>
    <row r="813" spans="1:47" ht="11.25" customHeight="1" x14ac:dyDescent="0.1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</row>
    <row r="814" spans="1:47" ht="11.25" customHeight="1" x14ac:dyDescent="0.1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</row>
    <row r="815" spans="1:47" ht="11.25" customHeight="1" x14ac:dyDescent="0.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</row>
    <row r="816" spans="1:47" ht="11.25" customHeight="1" x14ac:dyDescent="0.1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</row>
    <row r="817" spans="1:47" ht="11.25" customHeight="1" x14ac:dyDescent="0.1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</row>
    <row r="818" spans="1:47" ht="11.25" customHeight="1" x14ac:dyDescent="0.1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</row>
    <row r="819" spans="1:47" ht="11.25" customHeight="1" x14ac:dyDescent="0.1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</row>
    <row r="820" spans="1:47" ht="11.25" customHeight="1" x14ac:dyDescent="0.1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</row>
    <row r="821" spans="1:47" ht="11.25" customHeight="1" x14ac:dyDescent="0.1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</row>
    <row r="822" spans="1:47" ht="11.25" customHeight="1" x14ac:dyDescent="0.1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</row>
    <row r="823" spans="1:47" ht="11.25" customHeight="1" x14ac:dyDescent="0.1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</row>
    <row r="824" spans="1:47" ht="11.25" customHeight="1" x14ac:dyDescent="0.1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</row>
    <row r="825" spans="1:47" ht="11.25" customHeight="1" x14ac:dyDescent="0.1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</row>
    <row r="826" spans="1:47" ht="11.25" customHeight="1" x14ac:dyDescent="0.1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</row>
    <row r="827" spans="1:47" ht="11.25" customHeight="1" x14ac:dyDescent="0.1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</row>
    <row r="828" spans="1:47" ht="11.25" customHeight="1" x14ac:dyDescent="0.1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</row>
    <row r="829" spans="1:47" ht="11.25" customHeight="1" x14ac:dyDescent="0.1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</row>
    <row r="830" spans="1:47" ht="11.25" customHeight="1" x14ac:dyDescent="0.1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</row>
    <row r="831" spans="1:47" ht="11.25" customHeight="1" x14ac:dyDescent="0.1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</row>
    <row r="832" spans="1:47" ht="11.25" customHeight="1" x14ac:dyDescent="0.1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</row>
    <row r="833" spans="1:47" ht="11.25" customHeight="1" x14ac:dyDescent="0.1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</row>
    <row r="834" spans="1:47" ht="11.25" customHeight="1" x14ac:dyDescent="0.1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</row>
    <row r="835" spans="1:47" ht="11.25" customHeight="1" x14ac:dyDescent="0.1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</row>
    <row r="836" spans="1:47" ht="11.25" customHeight="1" x14ac:dyDescent="0.1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</row>
    <row r="837" spans="1:47" ht="11.25" customHeight="1" x14ac:dyDescent="0.1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</row>
    <row r="838" spans="1:47" ht="11.25" customHeight="1" x14ac:dyDescent="0.1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</row>
    <row r="839" spans="1:47" ht="11.25" customHeight="1" x14ac:dyDescent="0.1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</row>
    <row r="840" spans="1:47" ht="11.25" customHeight="1" x14ac:dyDescent="0.1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</row>
    <row r="841" spans="1:47" ht="11.25" customHeight="1" x14ac:dyDescent="0.1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</row>
    <row r="842" spans="1:47" ht="11.25" customHeight="1" x14ac:dyDescent="0.1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</row>
    <row r="843" spans="1:47" ht="11.25" customHeight="1" x14ac:dyDescent="0.1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</row>
    <row r="844" spans="1:47" ht="11.25" customHeight="1" x14ac:dyDescent="0.1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</row>
    <row r="845" spans="1:47" ht="11.25" customHeight="1" x14ac:dyDescent="0.1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</row>
    <row r="846" spans="1:47" ht="11.25" customHeight="1" x14ac:dyDescent="0.1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</row>
    <row r="847" spans="1:47" ht="11.25" customHeight="1" x14ac:dyDescent="0.1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</row>
    <row r="848" spans="1:47" ht="11.25" customHeight="1" x14ac:dyDescent="0.1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</row>
    <row r="849" spans="1:47" ht="11.25" customHeight="1" x14ac:dyDescent="0.1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</row>
    <row r="850" spans="1:47" ht="11.25" customHeight="1" x14ac:dyDescent="0.1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</row>
    <row r="851" spans="1:47" ht="11.25" customHeight="1" x14ac:dyDescent="0.1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</row>
    <row r="852" spans="1:47" ht="11.25" customHeight="1" x14ac:dyDescent="0.1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</row>
    <row r="853" spans="1:47" ht="11.25" customHeight="1" x14ac:dyDescent="0.1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</row>
    <row r="854" spans="1:47" ht="11.25" customHeight="1" x14ac:dyDescent="0.1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</row>
    <row r="855" spans="1:47" ht="11.25" customHeight="1" x14ac:dyDescent="0.1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</row>
    <row r="856" spans="1:47" ht="11.25" customHeight="1" x14ac:dyDescent="0.1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</row>
    <row r="857" spans="1:47" ht="11.25" customHeight="1" x14ac:dyDescent="0.1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</row>
    <row r="858" spans="1:47" ht="11.25" customHeight="1" x14ac:dyDescent="0.1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</row>
    <row r="859" spans="1:47" ht="11.25" customHeight="1" x14ac:dyDescent="0.1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</row>
    <row r="860" spans="1:47" ht="11.25" customHeight="1" x14ac:dyDescent="0.1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</row>
    <row r="861" spans="1:47" ht="11.25" customHeight="1" x14ac:dyDescent="0.1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</row>
    <row r="862" spans="1:47" ht="11.25" customHeight="1" x14ac:dyDescent="0.1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</row>
    <row r="863" spans="1:47" ht="11.25" customHeight="1" x14ac:dyDescent="0.1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</row>
    <row r="864" spans="1:47" ht="11.25" customHeight="1" x14ac:dyDescent="0.1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</row>
    <row r="865" spans="1:47" ht="11.25" customHeight="1" x14ac:dyDescent="0.1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</row>
    <row r="866" spans="1:47" ht="11.25" customHeight="1" x14ac:dyDescent="0.1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</row>
    <row r="867" spans="1:47" ht="11.25" customHeight="1" x14ac:dyDescent="0.1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</row>
    <row r="868" spans="1:47" ht="11.25" customHeight="1" x14ac:dyDescent="0.1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</row>
    <row r="869" spans="1:47" ht="11.25" customHeight="1" x14ac:dyDescent="0.1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</row>
    <row r="870" spans="1:47" ht="11.25" customHeight="1" x14ac:dyDescent="0.1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</row>
    <row r="871" spans="1:47" ht="11.25" customHeight="1" x14ac:dyDescent="0.1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</row>
    <row r="872" spans="1:47" ht="11.25" customHeight="1" x14ac:dyDescent="0.1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</row>
    <row r="873" spans="1:47" ht="11.25" customHeight="1" x14ac:dyDescent="0.1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</row>
    <row r="874" spans="1:47" ht="11.25" customHeight="1" x14ac:dyDescent="0.1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</row>
    <row r="875" spans="1:47" ht="11.25" customHeight="1" x14ac:dyDescent="0.1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</row>
    <row r="876" spans="1:47" ht="11.25" customHeight="1" x14ac:dyDescent="0.1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</row>
    <row r="877" spans="1:47" ht="11.25" customHeight="1" x14ac:dyDescent="0.1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</row>
    <row r="878" spans="1:47" ht="11.25" customHeight="1" x14ac:dyDescent="0.1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</row>
    <row r="879" spans="1:47" ht="11.25" customHeight="1" x14ac:dyDescent="0.1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</row>
    <row r="880" spans="1:47" ht="11.25" customHeight="1" x14ac:dyDescent="0.1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</row>
    <row r="881" spans="1:47" ht="11.25" customHeight="1" x14ac:dyDescent="0.1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</row>
    <row r="882" spans="1:47" ht="11.25" customHeight="1" x14ac:dyDescent="0.1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</row>
    <row r="883" spans="1:47" ht="11.25" customHeight="1" x14ac:dyDescent="0.1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</row>
    <row r="884" spans="1:47" ht="11.25" customHeight="1" x14ac:dyDescent="0.1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</row>
    <row r="885" spans="1:47" ht="11.25" customHeight="1" x14ac:dyDescent="0.1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</row>
    <row r="886" spans="1:47" ht="11.25" customHeight="1" x14ac:dyDescent="0.1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</row>
    <row r="887" spans="1:47" ht="11.25" customHeight="1" x14ac:dyDescent="0.1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</row>
    <row r="888" spans="1:47" ht="11.25" customHeight="1" x14ac:dyDescent="0.1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</row>
    <row r="889" spans="1:47" ht="11.25" customHeight="1" x14ac:dyDescent="0.1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</row>
    <row r="890" spans="1:47" ht="11.25" customHeight="1" x14ac:dyDescent="0.1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</row>
    <row r="891" spans="1:47" ht="11.25" customHeight="1" x14ac:dyDescent="0.1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</row>
    <row r="892" spans="1:47" ht="11.25" customHeight="1" x14ac:dyDescent="0.1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</row>
    <row r="893" spans="1:47" ht="11.25" customHeight="1" x14ac:dyDescent="0.1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</row>
    <row r="894" spans="1:47" ht="11.25" customHeight="1" x14ac:dyDescent="0.1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</row>
    <row r="895" spans="1:47" ht="11.25" customHeight="1" x14ac:dyDescent="0.1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</row>
    <row r="896" spans="1:47" ht="11.25" customHeight="1" x14ac:dyDescent="0.1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</row>
    <row r="897" spans="1:47" ht="11.25" customHeight="1" x14ac:dyDescent="0.1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</row>
    <row r="898" spans="1:47" ht="11.25" customHeight="1" x14ac:dyDescent="0.1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</row>
    <row r="899" spans="1:47" ht="11.25" customHeight="1" x14ac:dyDescent="0.1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</row>
    <row r="900" spans="1:47" ht="11.25" customHeight="1" x14ac:dyDescent="0.1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</row>
    <row r="901" spans="1:47" ht="11.25" customHeight="1" x14ac:dyDescent="0.1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</row>
    <row r="902" spans="1:47" ht="11.25" customHeight="1" x14ac:dyDescent="0.1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</row>
    <row r="903" spans="1:47" ht="11.25" customHeight="1" x14ac:dyDescent="0.1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</row>
    <row r="904" spans="1:47" ht="11.25" customHeight="1" x14ac:dyDescent="0.1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</row>
    <row r="905" spans="1:47" ht="11.25" customHeight="1" x14ac:dyDescent="0.1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</row>
    <row r="906" spans="1:47" ht="11.25" customHeight="1" x14ac:dyDescent="0.1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</row>
    <row r="907" spans="1:47" ht="11.25" customHeight="1" x14ac:dyDescent="0.1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</row>
    <row r="908" spans="1:47" ht="11.25" customHeight="1" x14ac:dyDescent="0.1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</row>
    <row r="909" spans="1:47" ht="11.25" customHeight="1" x14ac:dyDescent="0.1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</row>
    <row r="910" spans="1:47" ht="11.25" customHeight="1" x14ac:dyDescent="0.1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</row>
    <row r="911" spans="1:47" ht="11.25" customHeight="1" x14ac:dyDescent="0.1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</row>
    <row r="912" spans="1:47" ht="11.25" customHeight="1" x14ac:dyDescent="0.1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</row>
    <row r="913" spans="1:47" ht="11.25" customHeight="1" x14ac:dyDescent="0.1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</row>
    <row r="914" spans="1:47" ht="11.25" customHeight="1" x14ac:dyDescent="0.1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</row>
    <row r="915" spans="1:47" ht="11.25" customHeight="1" x14ac:dyDescent="0.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</row>
    <row r="916" spans="1:47" ht="11.25" customHeight="1" x14ac:dyDescent="0.1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</row>
    <row r="917" spans="1:47" ht="11.25" customHeight="1" x14ac:dyDescent="0.1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</row>
    <row r="918" spans="1:47" ht="11.25" customHeight="1" x14ac:dyDescent="0.1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</row>
    <row r="919" spans="1:47" ht="11.25" customHeight="1" x14ac:dyDescent="0.1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</row>
    <row r="920" spans="1:47" ht="11.25" customHeight="1" x14ac:dyDescent="0.1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</row>
    <row r="921" spans="1:47" ht="11.25" customHeight="1" x14ac:dyDescent="0.1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</row>
    <row r="922" spans="1:47" ht="11.25" customHeight="1" x14ac:dyDescent="0.1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</row>
    <row r="923" spans="1:47" ht="11.25" customHeight="1" x14ac:dyDescent="0.1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</row>
    <row r="924" spans="1:47" ht="11.25" customHeight="1" x14ac:dyDescent="0.1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</row>
    <row r="925" spans="1:47" ht="11.25" customHeight="1" x14ac:dyDescent="0.1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</row>
    <row r="926" spans="1:47" ht="11.25" customHeight="1" x14ac:dyDescent="0.1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</row>
    <row r="927" spans="1:47" ht="11.25" customHeight="1" x14ac:dyDescent="0.1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</row>
    <row r="928" spans="1:47" ht="11.25" customHeight="1" x14ac:dyDescent="0.1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</row>
    <row r="929" spans="1:47" ht="11.25" customHeight="1" x14ac:dyDescent="0.1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</row>
    <row r="930" spans="1:47" ht="11.25" customHeight="1" x14ac:dyDescent="0.1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</row>
    <row r="931" spans="1:47" ht="11.25" customHeight="1" x14ac:dyDescent="0.1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</row>
    <row r="932" spans="1:47" ht="11.25" customHeight="1" x14ac:dyDescent="0.1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</row>
    <row r="933" spans="1:47" ht="11.25" customHeight="1" x14ac:dyDescent="0.1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</row>
    <row r="934" spans="1:47" ht="11.25" customHeight="1" x14ac:dyDescent="0.1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</row>
    <row r="935" spans="1:47" ht="11.25" customHeight="1" x14ac:dyDescent="0.1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</row>
    <row r="936" spans="1:47" ht="11.25" customHeight="1" x14ac:dyDescent="0.1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</row>
    <row r="937" spans="1:47" ht="11.25" customHeight="1" x14ac:dyDescent="0.1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</row>
    <row r="938" spans="1:47" ht="11.25" customHeight="1" x14ac:dyDescent="0.1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</row>
    <row r="939" spans="1:47" ht="11.25" customHeight="1" x14ac:dyDescent="0.1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</row>
    <row r="940" spans="1:47" ht="11.25" customHeight="1" x14ac:dyDescent="0.1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</row>
    <row r="941" spans="1:47" ht="11.25" customHeight="1" x14ac:dyDescent="0.1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</row>
    <row r="942" spans="1:47" ht="11.25" customHeight="1" x14ac:dyDescent="0.1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</row>
    <row r="943" spans="1:47" ht="11.25" customHeight="1" x14ac:dyDescent="0.1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</row>
    <row r="944" spans="1:47" ht="11.25" customHeight="1" x14ac:dyDescent="0.1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</row>
    <row r="945" spans="1:47" ht="11.25" customHeight="1" x14ac:dyDescent="0.1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</row>
    <row r="946" spans="1:47" ht="11.25" customHeight="1" x14ac:dyDescent="0.1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</row>
    <row r="947" spans="1:47" ht="11.25" customHeight="1" x14ac:dyDescent="0.1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</row>
    <row r="948" spans="1:47" ht="11.25" customHeight="1" x14ac:dyDescent="0.1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</row>
    <row r="949" spans="1:47" ht="11.25" customHeight="1" x14ac:dyDescent="0.1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</row>
    <row r="950" spans="1:47" ht="11.25" customHeight="1" x14ac:dyDescent="0.1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</row>
    <row r="951" spans="1:47" ht="11.25" customHeight="1" x14ac:dyDescent="0.1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</row>
    <row r="952" spans="1:47" ht="11.25" customHeight="1" x14ac:dyDescent="0.1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</row>
    <row r="953" spans="1:47" ht="11.25" customHeight="1" x14ac:dyDescent="0.1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</row>
    <row r="954" spans="1:47" ht="11.25" customHeight="1" x14ac:dyDescent="0.1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</row>
    <row r="955" spans="1:47" ht="11.25" customHeight="1" x14ac:dyDescent="0.1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</row>
    <row r="956" spans="1:47" ht="11.25" customHeight="1" x14ac:dyDescent="0.1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</row>
    <row r="957" spans="1:47" ht="11.25" customHeight="1" x14ac:dyDescent="0.1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</row>
    <row r="958" spans="1:47" ht="11.25" customHeight="1" x14ac:dyDescent="0.1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</row>
    <row r="959" spans="1:47" ht="11.25" customHeight="1" x14ac:dyDescent="0.1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</row>
    <row r="960" spans="1:47" ht="11.25" customHeight="1" x14ac:dyDescent="0.1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</row>
    <row r="961" spans="1:47" ht="11.25" customHeight="1" x14ac:dyDescent="0.1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</row>
    <row r="962" spans="1:47" ht="11.25" customHeight="1" x14ac:dyDescent="0.1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</row>
    <row r="963" spans="1:47" ht="11.25" customHeight="1" x14ac:dyDescent="0.1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</row>
    <row r="964" spans="1:47" ht="11.25" customHeight="1" x14ac:dyDescent="0.1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</row>
    <row r="965" spans="1:47" ht="11.25" customHeight="1" x14ac:dyDescent="0.1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</row>
    <row r="966" spans="1:47" ht="11.25" customHeight="1" x14ac:dyDescent="0.1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</row>
    <row r="967" spans="1:47" ht="11.25" customHeight="1" x14ac:dyDescent="0.1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</row>
    <row r="968" spans="1:47" ht="11.25" customHeight="1" x14ac:dyDescent="0.1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</row>
    <row r="969" spans="1:47" ht="11.25" customHeight="1" x14ac:dyDescent="0.1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</row>
    <row r="970" spans="1:47" ht="11.25" customHeight="1" x14ac:dyDescent="0.1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</row>
    <row r="971" spans="1:47" ht="11.25" customHeight="1" x14ac:dyDescent="0.1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</row>
    <row r="972" spans="1:47" ht="11.25" customHeight="1" x14ac:dyDescent="0.1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</row>
    <row r="973" spans="1:47" ht="11.25" customHeight="1" x14ac:dyDescent="0.1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</row>
    <row r="974" spans="1:47" ht="11.25" customHeight="1" x14ac:dyDescent="0.1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</row>
    <row r="975" spans="1:47" ht="11.25" customHeight="1" x14ac:dyDescent="0.1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</row>
    <row r="976" spans="1:47" ht="11.25" customHeight="1" x14ac:dyDescent="0.1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</row>
    <row r="977" spans="1:47" ht="11.25" customHeight="1" x14ac:dyDescent="0.1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</row>
    <row r="978" spans="1:47" ht="11.25" customHeight="1" x14ac:dyDescent="0.1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</row>
    <row r="979" spans="1:47" ht="11.25" customHeight="1" x14ac:dyDescent="0.1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</row>
    <row r="980" spans="1:47" ht="11.25" customHeight="1" x14ac:dyDescent="0.1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</row>
    <row r="981" spans="1:47" ht="11.25" customHeight="1" x14ac:dyDescent="0.1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</row>
    <row r="982" spans="1:47" ht="11.25" customHeight="1" x14ac:dyDescent="0.1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</row>
    <row r="983" spans="1:47" ht="11.25" customHeight="1" x14ac:dyDescent="0.1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</row>
    <row r="984" spans="1:47" ht="11.25" customHeight="1" x14ac:dyDescent="0.1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</row>
    <row r="985" spans="1:47" ht="11.25" customHeight="1" x14ac:dyDescent="0.1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</row>
    <row r="986" spans="1:47" ht="11.25" customHeight="1" x14ac:dyDescent="0.1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</row>
    <row r="987" spans="1:47" ht="11.25" customHeight="1" x14ac:dyDescent="0.1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</row>
    <row r="988" spans="1:47" ht="11.25" customHeight="1" x14ac:dyDescent="0.1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</row>
    <row r="989" spans="1:47" ht="11.25" customHeight="1" x14ac:dyDescent="0.1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</row>
    <row r="990" spans="1:47" ht="11.25" customHeight="1" x14ac:dyDescent="0.1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</row>
    <row r="991" spans="1:47" ht="11.25" customHeight="1" x14ac:dyDescent="0.1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</row>
    <row r="992" spans="1:47" ht="11.25" customHeight="1" x14ac:dyDescent="0.1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</row>
    <row r="993" spans="1:47" ht="11.25" customHeight="1" x14ac:dyDescent="0.1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</row>
    <row r="994" spans="1:47" ht="11.25" customHeight="1" x14ac:dyDescent="0.1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</row>
    <row r="995" spans="1:47" ht="11.25" customHeight="1" x14ac:dyDescent="0.1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</row>
    <row r="996" spans="1:47" ht="11.25" customHeight="1" x14ac:dyDescent="0.1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</row>
    <row r="997" spans="1:47" ht="11.25" customHeight="1" x14ac:dyDescent="0.1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</row>
    <row r="998" spans="1:47" ht="11.25" customHeight="1" x14ac:dyDescent="0.1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</row>
    <row r="999" spans="1:47" ht="11.25" customHeight="1" x14ac:dyDescent="0.1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</row>
    <row r="1000" spans="1:47" ht="11.25" customHeight="1" x14ac:dyDescent="0.1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</row>
  </sheetData>
  <phoneticPr fontId="9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15"/>
  <sheetViews>
    <sheetView workbookViewId="0">
      <pane ySplit="1" topLeftCell="A2" activePane="bottomLeft" state="frozen"/>
      <selection activeCell="D1" sqref="D1"/>
      <selection pane="bottomLeft" activeCell="H26" sqref="H26"/>
    </sheetView>
  </sheetViews>
  <sheetFormatPr defaultColWidth="14.390625" defaultRowHeight="15" customHeight="1" x14ac:dyDescent="0.2"/>
  <cols>
    <col min="1" max="1" width="9.14453125" customWidth="1"/>
    <col min="2" max="2" width="8.33984375" customWidth="1"/>
    <col min="3" max="3" width="9.81640625" customWidth="1"/>
    <col min="4" max="4" width="7.12890625" customWidth="1"/>
    <col min="5" max="5" width="8.33984375" customWidth="1"/>
    <col min="6" max="6" width="5.109375" customWidth="1"/>
    <col min="7" max="7" width="5.6484375" customWidth="1"/>
    <col min="8" max="8" width="7.12890625" customWidth="1"/>
    <col min="9" max="9" width="11.296875" customWidth="1"/>
    <col min="10" max="10" width="9.28125" customWidth="1"/>
    <col min="11" max="11" width="5.6484375" customWidth="1"/>
    <col min="12" max="12" width="11.703125" customWidth="1"/>
    <col min="13" max="13" width="7.53125" customWidth="1"/>
    <col min="14" max="14" width="12.10546875" customWidth="1"/>
    <col min="15" max="15" width="9.55078125" customWidth="1"/>
  </cols>
  <sheetData>
    <row r="1" spans="1:28" ht="16.5" x14ac:dyDescent="0.2">
      <c r="A1" s="40"/>
      <c r="B1" s="41" t="s">
        <v>62</v>
      </c>
      <c r="C1" s="41" t="s">
        <v>63</v>
      </c>
      <c r="D1" s="41" t="s">
        <v>64</v>
      </c>
      <c r="E1" s="41"/>
      <c r="F1" s="42" t="s">
        <v>65</v>
      </c>
      <c r="G1" s="43" t="s">
        <v>66</v>
      </c>
      <c r="H1" s="44" t="s">
        <v>67</v>
      </c>
      <c r="I1" s="41" t="s">
        <v>68</v>
      </c>
      <c r="J1" s="41"/>
      <c r="K1" s="41" t="s">
        <v>69</v>
      </c>
      <c r="L1" s="41"/>
      <c r="M1" s="41"/>
      <c r="N1" s="41"/>
      <c r="O1" s="41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6.5" x14ac:dyDescent="0.2">
      <c r="A2" s="40" t="s">
        <v>1</v>
      </c>
      <c r="B2" s="41"/>
      <c r="C2" s="41"/>
      <c r="D2" s="41"/>
      <c r="E2" s="41">
        <f>SUM(E3:E39)</f>
        <v>4017</v>
      </c>
      <c r="F2" s="46"/>
      <c r="G2" s="41"/>
      <c r="H2" s="47"/>
      <c r="I2" s="41"/>
      <c r="J2" s="41"/>
      <c r="K2" s="41"/>
      <c r="L2" s="41" t="s">
        <v>70</v>
      </c>
      <c r="M2" s="41" t="s">
        <v>71</v>
      </c>
      <c r="N2" s="41"/>
      <c r="O2" s="41" t="s">
        <v>72</v>
      </c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spans="1:28" ht="16.5" x14ac:dyDescent="0.2">
      <c r="A3" s="48" t="s">
        <v>54</v>
      </c>
      <c r="B3" s="49">
        <f>MIN(ガチャ!2:2)</f>
        <v>6561</v>
      </c>
      <c r="C3" s="49">
        <f>MAX(ガチャ!2:2)</f>
        <v>6591</v>
      </c>
      <c r="D3" s="49">
        <f t="shared" ref="D3:D19" si="0">C3-B3</f>
        <v>30</v>
      </c>
      <c r="E3" s="50">
        <f>D3*10</f>
        <v>300</v>
      </c>
      <c r="F3" s="51"/>
      <c r="G3" s="52"/>
      <c r="H3" s="53"/>
      <c r="I3" s="54">
        <f>F3*1000</f>
        <v>0</v>
      </c>
      <c r="J3" s="49">
        <f t="shared" ref="J3:J4" si="1">I3-E3*100</f>
        <v>-30000</v>
      </c>
      <c r="K3" s="55"/>
      <c r="L3" s="41" t="s">
        <v>65</v>
      </c>
      <c r="M3" s="41">
        <v>1006</v>
      </c>
      <c r="N3" s="41">
        <f>M3*1000</f>
        <v>1006000</v>
      </c>
      <c r="O3" s="41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spans="1:28" ht="16.5" x14ac:dyDescent="0.2">
      <c r="A4" s="56" t="s">
        <v>73</v>
      </c>
      <c r="B4" s="57">
        <f>MIN(クレーン佐賀八女!A15:AR15)</f>
        <v>28348</v>
      </c>
      <c r="C4" s="57">
        <f t="array" ref="C4">LOOKUP(2,1/(ISNUMBER(クレーン佐賀八女!B15:AS15)),クレーン佐賀八女!B15:AS15)</f>
        <v>28496</v>
      </c>
      <c r="D4" s="57">
        <f t="shared" si="0"/>
        <v>148</v>
      </c>
      <c r="E4" s="58">
        <f>SUM(D4:D7)</f>
        <v>698</v>
      </c>
      <c r="F4" s="59"/>
      <c r="G4" s="57"/>
      <c r="H4" s="60"/>
      <c r="I4" s="61">
        <f>F4*1000+G4*500+H4*100</f>
        <v>0</v>
      </c>
      <c r="J4" s="57">
        <f t="shared" si="1"/>
        <v>-69800</v>
      </c>
      <c r="K4" s="62"/>
      <c r="L4" s="41" t="s">
        <v>66</v>
      </c>
      <c r="M4" s="41">
        <v>476</v>
      </c>
      <c r="N4" s="41">
        <f>M4*500</f>
        <v>238000</v>
      </c>
      <c r="O4" s="41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spans="1:28" ht="16.5" x14ac:dyDescent="0.2">
      <c r="A5" s="63"/>
      <c r="B5" s="64">
        <f>MIN(クレーン佐賀八女!A27:AR27)</f>
        <v>21919</v>
      </c>
      <c r="C5" s="64">
        <f t="array" ref="C5">LOOKUP(2,1/(ISNUMBER(クレーン佐賀八女!B27:AS27)),クレーン佐賀八女!B27:AS27)</f>
        <v>22186</v>
      </c>
      <c r="D5" s="64">
        <f t="shared" si="0"/>
        <v>267</v>
      </c>
      <c r="E5" s="65"/>
      <c r="F5" s="66"/>
      <c r="G5" s="64"/>
      <c r="H5" s="67"/>
      <c r="I5" s="68"/>
      <c r="J5" s="64"/>
      <c r="K5" s="69"/>
      <c r="L5" s="41" t="s">
        <v>67</v>
      </c>
      <c r="M5" s="41">
        <v>2440</v>
      </c>
      <c r="N5" s="41">
        <f>M5*100</f>
        <v>244000</v>
      </c>
      <c r="O5" s="41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spans="1:28" ht="16.5" x14ac:dyDescent="0.2">
      <c r="A6" s="70"/>
      <c r="B6" s="64">
        <f>MIN(クレーン佐賀八女!A39:AR39)</f>
        <v>22220</v>
      </c>
      <c r="C6" s="64">
        <f t="array" ref="C6">LOOKUP(2,1/(ISNUMBER(クレーン佐賀八女!B39:AS39)),クレーン佐賀八女!B39:AS39)</f>
        <v>22382</v>
      </c>
      <c r="D6" s="64">
        <f t="shared" si="0"/>
        <v>162</v>
      </c>
      <c r="E6" s="65"/>
      <c r="F6" s="66"/>
      <c r="G6" s="64"/>
      <c r="H6" s="67"/>
      <c r="I6" s="71"/>
      <c r="J6" s="64"/>
      <c r="K6" s="69"/>
      <c r="L6" s="41" t="s">
        <v>74</v>
      </c>
      <c r="M6" s="41"/>
      <c r="N6" s="41"/>
      <c r="O6" s="4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1:28" ht="16.5" x14ac:dyDescent="0.2">
      <c r="A7" s="72"/>
      <c r="B7" s="73">
        <f>MIN(クレーン佐賀八女!A51:AR51)</f>
        <v>18777</v>
      </c>
      <c r="C7" s="73">
        <f t="array" ref="C7">LOOKUP(2,1/(ISNUMBER(クレーン佐賀八女!B51:AS51)),クレーン佐賀八女!B51:AS51)</f>
        <v>18898</v>
      </c>
      <c r="D7" s="73">
        <f t="shared" si="0"/>
        <v>121</v>
      </c>
      <c r="E7" s="74"/>
      <c r="F7" s="75"/>
      <c r="G7" s="73"/>
      <c r="H7" s="76"/>
      <c r="I7" s="77"/>
      <c r="J7" s="73"/>
      <c r="K7" s="78"/>
      <c r="L7" s="41" t="s">
        <v>65</v>
      </c>
      <c r="M7" s="41"/>
      <c r="N7" s="41">
        <f>M7*1000</f>
        <v>0</v>
      </c>
      <c r="O7" s="4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28" ht="16.5" x14ac:dyDescent="0.2">
      <c r="A8" s="79" t="s">
        <v>3</v>
      </c>
      <c r="B8" s="80">
        <f>MIN(クレーン佐賀八女!A3:AR3)</f>
        <v>33500</v>
      </c>
      <c r="C8" s="80">
        <f t="array" ref="C8">LOOKUP(2,1/(ISNUMBER(クレーン佐賀八女!B3:AS3)),クレーン佐賀八女!B3:AS3)</f>
        <v>33618</v>
      </c>
      <c r="D8" s="80">
        <f t="shared" si="0"/>
        <v>118</v>
      </c>
      <c r="E8" s="81">
        <f>SUM(D8)</f>
        <v>118</v>
      </c>
      <c r="F8" s="82"/>
      <c r="G8" s="80"/>
      <c r="H8" s="83"/>
      <c r="I8" s="84">
        <f t="shared" ref="I8:I9" si="2">F8*1000+G8*500+H8*100</f>
        <v>0</v>
      </c>
      <c r="J8" s="80">
        <f t="shared" ref="J8:J9" si="3">I8-E8*100</f>
        <v>-11800</v>
      </c>
      <c r="K8" s="85"/>
      <c r="L8" s="41" t="s">
        <v>66</v>
      </c>
      <c r="M8" s="41"/>
      <c r="N8" s="41">
        <f>M8*500</f>
        <v>0</v>
      </c>
      <c r="O8" s="4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1:28" ht="16.5" x14ac:dyDescent="0.2">
      <c r="A9" s="56" t="s">
        <v>75</v>
      </c>
      <c r="B9" s="57">
        <f>MIN(クレーン佐賀八女!A63:AR63)</f>
        <v>24397</v>
      </c>
      <c r="C9" s="57">
        <f t="array" ref="C9">LOOKUP(2,1/(ISNUMBER(クレーン佐賀八女!B63:AS63)),クレーン佐賀八女!B63:AS63)</f>
        <v>24496</v>
      </c>
      <c r="D9" s="57">
        <f t="shared" si="0"/>
        <v>99</v>
      </c>
      <c r="E9" s="58">
        <f>SUM(D9:D12)</f>
        <v>597</v>
      </c>
      <c r="F9" s="59"/>
      <c r="G9" s="57"/>
      <c r="H9" s="60"/>
      <c r="I9" s="61">
        <f t="shared" si="2"/>
        <v>0</v>
      </c>
      <c r="J9" s="57">
        <f t="shared" si="3"/>
        <v>-59700</v>
      </c>
      <c r="K9" s="62"/>
      <c r="L9" s="41" t="s">
        <v>76</v>
      </c>
      <c r="M9" s="41"/>
      <c r="N9" s="41">
        <f>M9*100</f>
        <v>0</v>
      </c>
      <c r="O9" s="4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1:28" ht="16.5" x14ac:dyDescent="0.2">
      <c r="A10" s="70"/>
      <c r="B10" s="64">
        <f>MIN(クレーン佐賀八女!A75:AR75)</f>
        <v>19552</v>
      </c>
      <c r="C10" s="64">
        <f t="array" ref="C10">LOOKUP(2,1/(ISNUMBER(クレーン佐賀八女!B75:AS75)),クレーン佐賀八女!B75:AS75)</f>
        <v>19761</v>
      </c>
      <c r="D10" s="64">
        <f t="shared" si="0"/>
        <v>209</v>
      </c>
      <c r="E10" s="65"/>
      <c r="F10" s="66"/>
      <c r="G10" s="64"/>
      <c r="H10" s="67"/>
      <c r="I10" s="68"/>
      <c r="J10" s="64"/>
      <c r="K10" s="86"/>
      <c r="L10" s="41" t="s">
        <v>77</v>
      </c>
      <c r="M10" s="41"/>
      <c r="N10" s="41"/>
      <c r="O10" s="4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1:28" ht="16.5" x14ac:dyDescent="0.2">
      <c r="A11" s="70"/>
      <c r="B11" s="64">
        <f>MIN(クレーン佐賀八女!A87:AR87)</f>
        <v>21267</v>
      </c>
      <c r="C11" s="64">
        <f t="array" ref="C11">LOOKUP(2,1/(ISNUMBER(クレーン佐賀八女!B87:AS87)),クレーン佐賀八女!B87:AS87)</f>
        <v>21467</v>
      </c>
      <c r="D11" s="64">
        <f t="shared" si="0"/>
        <v>200</v>
      </c>
      <c r="E11" s="65"/>
      <c r="F11" s="66"/>
      <c r="G11" s="64"/>
      <c r="H11" s="67"/>
      <c r="I11" s="71">
        <f>F11*1000+G11*500+H11*100</f>
        <v>0</v>
      </c>
      <c r="J11" s="64">
        <f>I11-E11*100</f>
        <v>0</v>
      </c>
      <c r="K11" s="86"/>
      <c r="L11" s="41" t="s">
        <v>65</v>
      </c>
      <c r="M11" s="41"/>
      <c r="N11" s="41">
        <f>M11*1000</f>
        <v>0</v>
      </c>
      <c r="O11" s="41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1:28" ht="16.5" x14ac:dyDescent="0.2">
      <c r="A12" s="72"/>
      <c r="B12" s="73">
        <f>MIN(クレーン佐賀八女!A99:AR99)</f>
        <v>17991</v>
      </c>
      <c r="C12" s="73">
        <f t="array" ref="C12">LOOKUP(2,1/(ISNUMBER(クレーン佐賀八女!B99:AS99)),クレーン佐賀八女!B99:AS99)</f>
        <v>18080</v>
      </c>
      <c r="D12" s="73">
        <f t="shared" si="0"/>
        <v>89</v>
      </c>
      <c r="E12" s="74"/>
      <c r="F12" s="75"/>
      <c r="G12" s="73"/>
      <c r="H12" s="76"/>
      <c r="I12" s="87"/>
      <c r="J12" s="73"/>
      <c r="K12" s="88"/>
      <c r="L12" s="41" t="s">
        <v>66</v>
      </c>
      <c r="M12" s="41"/>
      <c r="N12" s="41">
        <f>M12*500</f>
        <v>0</v>
      </c>
      <c r="O12" s="41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spans="1:28" ht="16.5" x14ac:dyDescent="0.2">
      <c r="A13" s="89" t="s">
        <v>78</v>
      </c>
      <c r="B13" s="90">
        <f>MIN(クレーン佐賀八女!A111:AR111)</f>
        <v>7997</v>
      </c>
      <c r="C13" s="90">
        <f t="array" ref="C13">LOOKUP(2,1/(ISNUMBER(クレーン佐賀八女!B111:AS111)),クレーン佐賀八女!B111:AS111)</f>
        <v>8021</v>
      </c>
      <c r="D13" s="90">
        <f t="shared" si="0"/>
        <v>24</v>
      </c>
      <c r="E13" s="91">
        <f>SUM(D13:D16)</f>
        <v>212</v>
      </c>
      <c r="F13" s="92"/>
      <c r="G13" s="90"/>
      <c r="H13" s="93"/>
      <c r="I13" s="94">
        <f>F13*1000+G13*500+H13*100</f>
        <v>0</v>
      </c>
      <c r="J13" s="90">
        <f>I13-E13*100</f>
        <v>-21200</v>
      </c>
      <c r="K13" s="95"/>
      <c r="L13" s="41" t="s">
        <v>67</v>
      </c>
      <c r="M13" s="41">
        <v>2000</v>
      </c>
      <c r="N13" s="41">
        <f>M13*100</f>
        <v>200000</v>
      </c>
      <c r="O13" s="41" t="s">
        <v>79</v>
      </c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spans="1:28" ht="16.5" x14ac:dyDescent="0.2">
      <c r="A14" s="70"/>
      <c r="B14" s="64">
        <f>MIN(クレーン佐賀八女!A123:AR123)</f>
        <v>11553</v>
      </c>
      <c r="C14" s="64">
        <f t="array" ref="C14">LOOKUP(2,1/(ISNUMBER(クレーン佐賀八女!B123:AS123)),クレーン佐賀八女!B123:AS123)</f>
        <v>11604</v>
      </c>
      <c r="D14" s="64">
        <f t="shared" si="0"/>
        <v>51</v>
      </c>
      <c r="E14" s="65"/>
      <c r="F14" s="66"/>
      <c r="G14" s="64"/>
      <c r="H14" s="67"/>
      <c r="I14" s="68"/>
      <c r="J14" s="64"/>
      <c r="K14" s="86"/>
      <c r="L14" s="41"/>
      <c r="M14" s="41"/>
      <c r="N14" s="41">
        <f>SUM(N11:N13)</f>
        <v>200000</v>
      </c>
      <c r="O14" s="41">
        <v>200000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spans="1:28" ht="16.5" x14ac:dyDescent="0.2">
      <c r="A15" s="70"/>
      <c r="B15" s="64">
        <f>MIN(クレーン佐賀八女!A135:AR135)</f>
        <v>7938</v>
      </c>
      <c r="C15" s="64">
        <f t="array" ref="C15">LOOKUP(2,1/(ISNUMBER(クレーン佐賀八女!B135:AS135)),クレーン佐賀八女!B135:AS135)</f>
        <v>8053</v>
      </c>
      <c r="D15" s="64">
        <f t="shared" si="0"/>
        <v>115</v>
      </c>
      <c r="E15" s="65"/>
      <c r="F15" s="66"/>
      <c r="G15" s="64"/>
      <c r="H15" s="67"/>
      <c r="I15" s="71">
        <f>F15*1000+G15*500+H15*100</f>
        <v>0</v>
      </c>
      <c r="J15" s="64">
        <f>I15-E15*100</f>
        <v>0</v>
      </c>
      <c r="K15" s="86"/>
      <c r="L15" s="96"/>
      <c r="M15" s="96"/>
      <c r="N15" s="96"/>
      <c r="O15" s="4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spans="1:28" ht="16.5" x14ac:dyDescent="0.2">
      <c r="A16" s="97"/>
      <c r="B16" s="98">
        <f>MIN(クレーン佐賀八女!A147:AR147)</f>
        <v>9161</v>
      </c>
      <c r="C16" s="98">
        <f t="array" ref="C16">LOOKUP(2,1/(ISNUMBER(クレーン佐賀八女!B147:AS147)),クレーン佐賀八女!B147:AS147)</f>
        <v>9183</v>
      </c>
      <c r="D16" s="98">
        <f t="shared" si="0"/>
        <v>22</v>
      </c>
      <c r="E16" s="99"/>
      <c r="F16" s="100"/>
      <c r="G16" s="98"/>
      <c r="H16" s="101"/>
      <c r="I16" s="102"/>
      <c r="J16" s="98"/>
      <c r="K16" s="103"/>
      <c r="L16" s="96"/>
      <c r="M16" s="96"/>
      <c r="N16" s="96"/>
      <c r="O16" s="4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spans="1:28" ht="16.5" x14ac:dyDescent="0.2">
      <c r="A17" s="104" t="s">
        <v>80</v>
      </c>
      <c r="B17" s="105">
        <f>MIN(クレーン佐賀八女!A159:AR159)</f>
        <v>26427</v>
      </c>
      <c r="C17" s="105">
        <f t="array" ref="C17">LOOKUP(2,1/(ISNUMBER(クレーン佐賀八女!B159:AS159)),クレーン佐賀八女!B159:AS159)</f>
        <v>27236</v>
      </c>
      <c r="D17" s="105">
        <f t="shared" si="0"/>
        <v>809</v>
      </c>
      <c r="E17" s="106">
        <f t="shared" ref="E17:E19" si="4">SUM(D17)</f>
        <v>809</v>
      </c>
      <c r="F17" s="107"/>
      <c r="G17" s="105"/>
      <c r="H17" s="108"/>
      <c r="I17" s="109">
        <f t="shared" ref="I17:I19" si="5">F17*1000+G17*500+H17*100</f>
        <v>0</v>
      </c>
      <c r="J17" s="105">
        <f t="shared" ref="J17:J19" si="6">I17-E17*100</f>
        <v>-80900</v>
      </c>
      <c r="K17" s="110"/>
      <c r="L17" s="96"/>
      <c r="M17" s="96"/>
      <c r="N17" s="96"/>
      <c r="O17" s="41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spans="1:28" ht="16.5" x14ac:dyDescent="0.2">
      <c r="A18" s="79" t="s">
        <v>80</v>
      </c>
      <c r="B18" s="80">
        <f>MIN(クレーン佐賀八女!A171:AR171)</f>
        <v>14373</v>
      </c>
      <c r="C18" s="80">
        <f t="array" ref="C18">LOOKUP(2,1/(ISNUMBER(クレーン佐賀八女!B171:AS171)),クレーン佐賀八女!B171:AS171)</f>
        <v>14413</v>
      </c>
      <c r="D18" s="80">
        <f t="shared" si="0"/>
        <v>40</v>
      </c>
      <c r="E18" s="81">
        <f t="shared" si="4"/>
        <v>40</v>
      </c>
      <c r="F18" s="82"/>
      <c r="G18" s="80"/>
      <c r="H18" s="83"/>
      <c r="I18" s="84">
        <f t="shared" si="5"/>
        <v>0</v>
      </c>
      <c r="J18" s="80">
        <f t="shared" si="6"/>
        <v>-4000</v>
      </c>
      <c r="K18" s="111"/>
      <c r="L18" s="96"/>
      <c r="M18" s="96"/>
      <c r="N18" s="96"/>
      <c r="O18" s="4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spans="1:28" ht="16.5" x14ac:dyDescent="0.2">
      <c r="A19" s="104" t="s">
        <v>80</v>
      </c>
      <c r="B19" s="105">
        <f>MIN(クレーン佐賀八女!183:183)</f>
        <v>6478</v>
      </c>
      <c r="C19" s="105">
        <f>MAX(クレーン佐賀八女!183:183)</f>
        <v>6932</v>
      </c>
      <c r="D19" s="105">
        <f t="shared" si="0"/>
        <v>454</v>
      </c>
      <c r="E19" s="81">
        <f t="shared" si="4"/>
        <v>454</v>
      </c>
      <c r="F19" s="107"/>
      <c r="G19" s="105"/>
      <c r="H19" s="108"/>
      <c r="I19" s="109">
        <f t="shared" si="5"/>
        <v>0</v>
      </c>
      <c r="J19" s="105">
        <f t="shared" si="6"/>
        <v>-45400</v>
      </c>
      <c r="K19" s="110"/>
      <c r="L19" s="96"/>
      <c r="M19" s="96"/>
      <c r="N19" s="96"/>
      <c r="O19" s="4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spans="1:28" ht="15.75" customHeight="1" x14ac:dyDescent="0.2">
      <c r="A20" s="89" t="s">
        <v>275</v>
      </c>
      <c r="B20" s="90">
        <f>MIN(クレーン佐賀八女!195:195)</f>
        <v>0</v>
      </c>
      <c r="C20" s="90">
        <f>MAX(クレーン佐賀八女!195:195)</f>
        <v>139</v>
      </c>
      <c r="D20" s="90">
        <f t="shared" ref="D20:D23" si="7">C20-B20</f>
        <v>139</v>
      </c>
      <c r="E20" s="91">
        <f>SUM(D20:D23)</f>
        <v>248</v>
      </c>
      <c r="F20" s="92"/>
      <c r="G20" s="90"/>
      <c r="H20" s="93"/>
      <c r="I20" s="94">
        <f>F20*1000+G20*500+H20*100</f>
        <v>0</v>
      </c>
      <c r="J20" s="90">
        <f>I20-E20*100</f>
        <v>-24800</v>
      </c>
      <c r="K20" s="95"/>
      <c r="L20" s="96"/>
      <c r="M20" s="96"/>
      <c r="N20" s="96"/>
      <c r="O20" s="41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spans="1:28" ht="15.75" customHeight="1" x14ac:dyDescent="0.2">
      <c r="A21" s="70"/>
      <c r="B21" s="64">
        <f>MIN(クレーン佐賀八女!207:207)</f>
        <v>0</v>
      </c>
      <c r="C21" s="64">
        <f>MAX(クレーン佐賀八女!207:207)</f>
        <v>22</v>
      </c>
      <c r="D21" s="64">
        <f t="shared" si="7"/>
        <v>22</v>
      </c>
      <c r="E21" s="65"/>
      <c r="F21" s="66"/>
      <c r="G21" s="64"/>
      <c r="H21" s="67"/>
      <c r="I21" s="68"/>
      <c r="J21" s="64"/>
      <c r="K21" s="86"/>
      <c r="L21" s="96"/>
      <c r="M21" s="96"/>
      <c r="N21" s="96"/>
      <c r="O21" s="41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spans="1:28" ht="15.75" customHeight="1" x14ac:dyDescent="0.2">
      <c r="A22" s="70"/>
      <c r="B22" s="64">
        <f>MIN(クレーン佐賀八女!A219:AR219)</f>
        <v>0</v>
      </c>
      <c r="C22" s="64">
        <f>MAX(クレーン佐賀八女!B219:AS219)</f>
        <v>42</v>
      </c>
      <c r="D22" s="64">
        <f t="shared" si="7"/>
        <v>42</v>
      </c>
      <c r="E22" s="65"/>
      <c r="F22" s="66"/>
      <c r="G22" s="64"/>
      <c r="H22" s="67"/>
      <c r="I22" s="71">
        <f>F22*1000+G22*500+H22*100</f>
        <v>0</v>
      </c>
      <c r="J22" s="64">
        <f>I22-E22*100</f>
        <v>0</v>
      </c>
      <c r="K22" s="86"/>
      <c r="L22" s="96"/>
      <c r="M22" s="96"/>
      <c r="N22" s="96"/>
      <c r="O22" s="41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spans="1:28" ht="15.75" customHeight="1" x14ac:dyDescent="0.2">
      <c r="A23" s="97"/>
      <c r="B23" s="98">
        <f>MIN(クレーン佐賀八女!A231:AR231)</f>
        <v>0</v>
      </c>
      <c r="C23" s="98">
        <f>MAX(クレーン佐賀八女!B231:AS231)</f>
        <v>45</v>
      </c>
      <c r="D23" s="98">
        <f t="shared" si="7"/>
        <v>45</v>
      </c>
      <c r="E23" s="99"/>
      <c r="F23" s="100"/>
      <c r="G23" s="98"/>
      <c r="H23" s="101"/>
      <c r="I23" s="102"/>
      <c r="J23" s="98"/>
      <c r="K23" s="103"/>
      <c r="L23" s="96"/>
      <c r="M23" s="96"/>
      <c r="N23" s="96"/>
      <c r="O23" s="41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spans="1:28" ht="15.75" customHeight="1" x14ac:dyDescent="0.2">
      <c r="A24" s="56" t="s">
        <v>276</v>
      </c>
      <c r="B24" s="57">
        <f>MIN(クレーン佐賀八女!A243:AR243)</f>
        <v>0</v>
      </c>
      <c r="C24" s="57">
        <f>MAX(クレーン佐賀八女!B243:AS243)</f>
        <v>9</v>
      </c>
      <c r="D24" s="57">
        <f t="shared" ref="D24:D27" si="8">C24-B24</f>
        <v>9</v>
      </c>
      <c r="E24" s="58">
        <f>SUM(D24:D27)</f>
        <v>141</v>
      </c>
      <c r="F24" s="59"/>
      <c r="G24" s="57"/>
      <c r="H24" s="60"/>
      <c r="I24" s="61">
        <f>F24*1000+G24*500+H24*100</f>
        <v>0</v>
      </c>
      <c r="J24" s="57">
        <f>I24-E24*100</f>
        <v>-14100</v>
      </c>
      <c r="K24" s="236"/>
      <c r="L24" s="96"/>
      <c r="M24" s="96"/>
      <c r="N24" s="96"/>
      <c r="O24" s="41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spans="1:28" ht="15.75" customHeight="1" x14ac:dyDescent="0.2">
      <c r="A25" s="70"/>
      <c r="B25" s="64">
        <f>MIN(クレーン佐賀八女!A255:AR255)</f>
        <v>0</v>
      </c>
      <c r="C25" s="64">
        <f>MAX(クレーン佐賀八女!B255:AS255)</f>
        <v>59</v>
      </c>
      <c r="D25" s="64">
        <f t="shared" si="8"/>
        <v>59</v>
      </c>
      <c r="E25" s="65"/>
      <c r="F25" s="66"/>
      <c r="G25" s="64"/>
      <c r="H25" s="67"/>
      <c r="I25" s="68"/>
      <c r="J25" s="64"/>
      <c r="K25" s="86"/>
      <c r="L25" s="96"/>
      <c r="M25" s="96"/>
      <c r="N25" s="96"/>
      <c r="O25" s="41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spans="1:28" ht="15.75" customHeight="1" x14ac:dyDescent="0.2">
      <c r="A26" s="70"/>
      <c r="B26" s="64">
        <f>MIN(クレーン佐賀八女!A267:AR267)</f>
        <v>0</v>
      </c>
      <c r="C26" s="64">
        <f>MAX(クレーン佐賀八女!B267:AS267)</f>
        <v>44</v>
      </c>
      <c r="D26" s="64">
        <f t="shared" si="8"/>
        <v>44</v>
      </c>
      <c r="E26" s="65"/>
      <c r="F26" s="66"/>
      <c r="G26" s="64"/>
      <c r="H26" s="67"/>
      <c r="I26" s="71">
        <f>F26*1000+G26*500+H26*100</f>
        <v>0</v>
      </c>
      <c r="J26" s="64">
        <f>I26-E26*100</f>
        <v>0</v>
      </c>
      <c r="K26" s="86"/>
      <c r="L26" s="96"/>
      <c r="M26" s="96"/>
      <c r="N26" s="96"/>
      <c r="O26" s="41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spans="1:28" ht="15.75" customHeight="1" x14ac:dyDescent="0.2">
      <c r="A27" s="72"/>
      <c r="B27" s="73">
        <f>MIN(クレーン佐賀八女!A279:AR279)</f>
        <v>0</v>
      </c>
      <c r="C27" s="73">
        <f>MAX(クレーン佐賀八女!B279:AS279)</f>
        <v>29</v>
      </c>
      <c r="D27" s="73">
        <f t="shared" si="8"/>
        <v>29</v>
      </c>
      <c r="E27" s="74"/>
      <c r="F27" s="75"/>
      <c r="G27" s="73"/>
      <c r="H27" s="76"/>
      <c r="I27" s="87"/>
      <c r="J27" s="73"/>
      <c r="K27" s="88"/>
      <c r="L27" s="96"/>
      <c r="M27" s="96"/>
      <c r="N27" s="96"/>
      <c r="O27" s="41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spans="1:28" ht="15.75" customHeight="1" x14ac:dyDescent="0.2">
      <c r="A28" s="89" t="s">
        <v>277</v>
      </c>
      <c r="B28" s="90">
        <f>MIN(クレーン佐賀八女!A291:AR291)</f>
        <v>0</v>
      </c>
      <c r="C28" s="90">
        <f>MAX(クレーン佐賀八女!B291:AS291)</f>
        <v>42</v>
      </c>
      <c r="D28" s="90">
        <f t="shared" ref="D28:D34" si="9">C28-B28</f>
        <v>42</v>
      </c>
      <c r="E28" s="91">
        <f>SUM(D28:D31)</f>
        <v>151</v>
      </c>
      <c r="F28" s="92"/>
      <c r="G28" s="90"/>
      <c r="H28" s="93"/>
      <c r="I28" s="94">
        <f>F28*1000+G28*500+H28*100</f>
        <v>0</v>
      </c>
      <c r="J28" s="90">
        <f>I28-E28*100</f>
        <v>-15100</v>
      </c>
      <c r="K28" s="95"/>
      <c r="L28" s="96"/>
      <c r="M28" s="96"/>
      <c r="N28" s="96"/>
      <c r="O28" s="41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spans="1:28" ht="15.75" customHeight="1" x14ac:dyDescent="0.2">
      <c r="A29" s="70"/>
      <c r="B29" s="64">
        <f>MIN(クレーン佐賀八女!A303:AR303)</f>
        <v>0</v>
      </c>
      <c r="C29" s="64">
        <f>MAX(クレーン佐賀八女!B303:AS303)</f>
        <v>12</v>
      </c>
      <c r="D29" s="64">
        <f t="shared" si="9"/>
        <v>12</v>
      </c>
      <c r="E29" s="65"/>
      <c r="F29" s="66"/>
      <c r="G29" s="64"/>
      <c r="H29" s="67"/>
      <c r="I29" s="68"/>
      <c r="J29" s="64"/>
      <c r="K29" s="86"/>
      <c r="L29" s="96"/>
      <c r="M29" s="96"/>
      <c r="N29" s="96"/>
      <c r="O29" s="41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spans="1:28" ht="15.75" customHeight="1" x14ac:dyDescent="0.2">
      <c r="A30" s="70"/>
      <c r="B30" s="64">
        <f>MIN(クレーン佐賀八女!A315:AR315)</f>
        <v>0</v>
      </c>
      <c r="C30" s="64">
        <f>MAX(クレーン佐賀八女!B315:AS315)</f>
        <v>19</v>
      </c>
      <c r="D30" s="64">
        <f t="shared" si="9"/>
        <v>19</v>
      </c>
      <c r="E30" s="65"/>
      <c r="F30" s="66"/>
      <c r="G30" s="64"/>
      <c r="H30" s="67"/>
      <c r="I30" s="71">
        <f>F30*1000+G30*500+H30*100</f>
        <v>0</v>
      </c>
      <c r="J30" s="64">
        <f>I30-E30*100</f>
        <v>0</v>
      </c>
      <c r="K30" s="86"/>
      <c r="L30" s="96"/>
      <c r="M30" s="96"/>
      <c r="N30" s="96"/>
      <c r="O30" s="41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spans="1:28" ht="15.75" customHeight="1" x14ac:dyDescent="0.2">
      <c r="A31" s="97"/>
      <c r="B31" s="98">
        <f>MIN(クレーン佐賀八女!A327:AR327)</f>
        <v>0</v>
      </c>
      <c r="C31" s="98">
        <f>MAX(クレーン佐賀八女!B327:AS327)</f>
        <v>78</v>
      </c>
      <c r="D31" s="98">
        <f t="shared" si="9"/>
        <v>78</v>
      </c>
      <c r="E31" s="99"/>
      <c r="F31" s="100"/>
      <c r="G31" s="98"/>
      <c r="H31" s="101"/>
      <c r="I31" s="102"/>
      <c r="J31" s="98"/>
      <c r="K31" s="103"/>
      <c r="L31" s="96"/>
      <c r="M31" s="96"/>
      <c r="N31" s="96"/>
      <c r="O31" s="41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spans="1:28" ht="15.75" customHeight="1" x14ac:dyDescent="0.2">
      <c r="A32" s="104" t="s">
        <v>80</v>
      </c>
      <c r="B32" s="105">
        <f>MIN(クレーン佐賀八女!339:339)</f>
        <v>237</v>
      </c>
      <c r="C32" s="105">
        <f>MAX(クレーン佐賀八女!339:339)</f>
        <v>327</v>
      </c>
      <c r="D32" s="105">
        <f t="shared" si="9"/>
        <v>90</v>
      </c>
      <c r="E32" s="106">
        <f t="shared" ref="E32:E33" si="10">SUM(D32)</f>
        <v>90</v>
      </c>
      <c r="F32" s="107"/>
      <c r="G32" s="105"/>
      <c r="H32" s="108"/>
      <c r="I32" s="109">
        <f t="shared" ref="I32:I34" si="11">F32*1000+G32*500+H32*100</f>
        <v>0</v>
      </c>
      <c r="J32" s="105">
        <f t="shared" ref="J32:J34" si="12">I32-E32*100</f>
        <v>-9000</v>
      </c>
      <c r="K32" s="110"/>
      <c r="L32" s="96"/>
      <c r="M32" s="96"/>
      <c r="N32" s="96"/>
      <c r="O32" s="41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spans="1:28" ht="15.75" customHeight="1" x14ac:dyDescent="0.2">
      <c r="A33" s="79" t="s">
        <v>80</v>
      </c>
      <c r="B33" s="80">
        <f>MIN(クレーン佐賀八女!351:351)</f>
        <v>230</v>
      </c>
      <c r="C33" s="80">
        <f>MAX(クレーン佐賀八女!351:351)</f>
        <v>332</v>
      </c>
      <c r="D33" s="80">
        <f t="shared" si="9"/>
        <v>102</v>
      </c>
      <c r="E33" s="81">
        <f t="shared" si="10"/>
        <v>102</v>
      </c>
      <c r="F33" s="82"/>
      <c r="G33" s="80"/>
      <c r="H33" s="83"/>
      <c r="I33" s="84">
        <f t="shared" si="11"/>
        <v>0</v>
      </c>
      <c r="J33" s="80">
        <f t="shared" si="12"/>
        <v>-10200</v>
      </c>
      <c r="K33" s="111"/>
      <c r="L33" s="96"/>
      <c r="M33" s="96"/>
      <c r="N33" s="96"/>
      <c r="O33" s="41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spans="1:28" ht="15.75" customHeight="1" x14ac:dyDescent="0.2">
      <c r="A34" s="104" t="s">
        <v>80</v>
      </c>
      <c r="B34" s="105">
        <f>MIN(クレーン佐賀八女!363:363)</f>
        <v>230</v>
      </c>
      <c r="C34" s="105">
        <f>MAX(クレーン佐賀八女!363:363)</f>
        <v>287</v>
      </c>
      <c r="D34" s="105">
        <f t="shared" si="9"/>
        <v>57</v>
      </c>
      <c r="E34" s="106">
        <f>SUM(D34:D51)</f>
        <v>57</v>
      </c>
      <c r="F34" s="107"/>
      <c r="G34" s="105"/>
      <c r="H34" s="108"/>
      <c r="I34" s="109">
        <f t="shared" si="11"/>
        <v>0</v>
      </c>
      <c r="J34" s="105">
        <f t="shared" si="12"/>
        <v>-5700</v>
      </c>
      <c r="K34" s="110"/>
      <c r="L34" s="96"/>
      <c r="M34" s="96"/>
      <c r="N34" s="96"/>
      <c r="O34" s="41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pans="1:28" ht="15.75" customHeight="1" x14ac:dyDescent="0.2">
      <c r="A35" s="112"/>
      <c r="B35" s="41"/>
      <c r="C35" s="41"/>
      <c r="D35" s="45"/>
      <c r="E35" s="41"/>
      <c r="F35" s="113"/>
      <c r="G35" s="114"/>
      <c r="H35" s="115"/>
      <c r="I35" s="41">
        <f>SUM(I3:I19)</f>
        <v>0</v>
      </c>
      <c r="J35" s="41"/>
      <c r="K35" s="96"/>
      <c r="L35" s="96"/>
      <c r="M35" s="96"/>
      <c r="N35" s="96"/>
      <c r="O35" s="41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spans="1:28" ht="15.75" customHeight="1" x14ac:dyDescent="0.2">
      <c r="A36" s="40"/>
      <c r="B36" s="41"/>
      <c r="C36" s="41"/>
      <c r="D36" s="41"/>
      <c r="E36" s="41"/>
      <c r="F36" s="41"/>
      <c r="G36" s="41"/>
      <c r="H36" s="41"/>
      <c r="I36" s="45"/>
      <c r="J36" s="41"/>
      <c r="K36" s="96"/>
      <c r="L36" s="96"/>
      <c r="M36" s="96"/>
      <c r="N36" s="96"/>
      <c r="O36" s="41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spans="1:28" ht="15.75" customHeight="1" x14ac:dyDescent="0.2">
      <c r="A37" s="112"/>
      <c r="B37" s="41"/>
      <c r="C37" s="41"/>
      <c r="D37" s="41"/>
      <c r="E37" s="41"/>
      <c r="F37" s="41"/>
      <c r="G37" s="41"/>
      <c r="H37" s="45"/>
      <c r="I37" s="45"/>
      <c r="J37" s="45"/>
      <c r="K37" s="96"/>
      <c r="L37" s="96"/>
      <c r="M37" s="96"/>
      <c r="N37" s="96"/>
      <c r="O37" s="41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spans="1:28" ht="15.75" customHeight="1" x14ac:dyDescent="0.2">
      <c r="A38" s="40"/>
      <c r="B38" s="41"/>
      <c r="C38" s="41"/>
      <c r="D38" s="41"/>
      <c r="E38" s="41"/>
      <c r="F38" s="41"/>
      <c r="G38" s="41"/>
      <c r="H38" s="45"/>
      <c r="I38" s="45"/>
      <c r="J38" s="45"/>
      <c r="K38" s="96"/>
      <c r="L38" s="96"/>
      <c r="M38" s="96"/>
      <c r="N38" s="96"/>
      <c r="O38" s="41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spans="1:28" ht="15.75" customHeight="1" x14ac:dyDescent="0.2">
      <c r="A39" s="112"/>
      <c r="B39" s="45"/>
      <c r="C39" s="45"/>
      <c r="D39" s="45"/>
      <c r="E39" s="45"/>
      <c r="F39" s="45"/>
      <c r="G39" s="45"/>
      <c r="H39" s="45"/>
      <c r="I39" s="45"/>
      <c r="J39" s="45"/>
      <c r="K39" s="96"/>
      <c r="L39" s="96"/>
      <c r="M39" s="96"/>
      <c r="N39" s="96"/>
      <c r="O39" s="41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spans="1:28" ht="15.75" customHeight="1" x14ac:dyDescent="0.2">
      <c r="A40" s="112"/>
      <c r="B40" s="45"/>
      <c r="C40" s="45"/>
      <c r="D40" s="45"/>
      <c r="E40" s="45"/>
      <c r="F40" s="45"/>
      <c r="G40" s="45"/>
      <c r="H40" s="45"/>
      <c r="I40" s="45"/>
      <c r="J40" s="45"/>
      <c r="K40" s="96"/>
      <c r="L40" s="96"/>
      <c r="M40" s="96"/>
      <c r="N40" s="96"/>
      <c r="O40" s="41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spans="1:28" ht="15.75" customHeight="1" x14ac:dyDescent="0.2">
      <c r="A41" s="112"/>
      <c r="B41" s="45"/>
      <c r="C41" s="45"/>
      <c r="D41" s="45"/>
      <c r="E41" s="45"/>
      <c r="F41" s="45"/>
      <c r="G41" s="45"/>
      <c r="H41" s="45"/>
      <c r="I41" s="45"/>
      <c r="J41" s="45"/>
      <c r="K41" s="96"/>
      <c r="L41" s="96"/>
      <c r="M41" s="96"/>
      <c r="N41" s="96"/>
      <c r="O41" s="41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spans="1:28" ht="15.75" customHeight="1" x14ac:dyDescent="0.2">
      <c r="A42" s="112"/>
      <c r="B42" s="45"/>
      <c r="C42" s="45"/>
      <c r="D42" s="45"/>
      <c r="E42" s="45"/>
      <c r="F42" s="45"/>
      <c r="G42" s="45"/>
      <c r="H42" s="45"/>
      <c r="I42" s="45"/>
      <c r="J42" s="45"/>
      <c r="K42" s="96"/>
      <c r="L42" s="96"/>
      <c r="M42" s="96"/>
      <c r="N42" s="96"/>
      <c r="O42" s="41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 spans="1:28" ht="15.75" customHeight="1" x14ac:dyDescent="0.2">
      <c r="A43" s="112"/>
      <c r="B43" s="45"/>
      <c r="C43" s="45"/>
      <c r="D43" s="45"/>
      <c r="E43" s="45"/>
      <c r="F43" s="45"/>
      <c r="G43" s="45"/>
      <c r="H43" s="45"/>
      <c r="I43" s="45"/>
      <c r="J43" s="45"/>
      <c r="K43" s="96"/>
      <c r="L43" s="96"/>
      <c r="M43" s="96"/>
      <c r="N43" s="96"/>
      <c r="O43" s="41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 spans="1:28" ht="15.75" customHeight="1" x14ac:dyDescent="0.2">
      <c r="A44" s="112"/>
      <c r="B44" s="45"/>
      <c r="C44" s="45"/>
      <c r="D44" s="45"/>
      <c r="E44" s="45"/>
      <c r="F44" s="45"/>
      <c r="G44" s="45"/>
      <c r="H44" s="45"/>
      <c r="I44" s="45"/>
      <c r="J44" s="45"/>
      <c r="K44" s="96"/>
      <c r="L44" s="96"/>
      <c r="M44" s="96"/>
      <c r="N44" s="96"/>
      <c r="O44" s="41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 spans="1:28" ht="15.75" customHeight="1" x14ac:dyDescent="0.2">
      <c r="A45" s="112"/>
      <c r="B45" s="45"/>
      <c r="C45" s="45"/>
      <c r="D45" s="45"/>
      <c r="E45" s="45"/>
      <c r="F45" s="45"/>
      <c r="G45" s="45"/>
      <c r="H45" s="45"/>
      <c r="I45" s="45"/>
      <c r="J45" s="45"/>
      <c r="K45" s="96"/>
      <c r="L45" s="96"/>
      <c r="M45" s="96"/>
      <c r="N45" s="96"/>
      <c r="O45" s="41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 spans="1:28" ht="15.75" customHeight="1" x14ac:dyDescent="0.2">
      <c r="A46" s="112"/>
      <c r="B46" s="45"/>
      <c r="C46" s="45"/>
      <c r="D46" s="45"/>
      <c r="E46" s="45"/>
      <c r="F46" s="45"/>
      <c r="G46" s="45"/>
      <c r="H46" s="45"/>
      <c r="I46" s="45"/>
      <c r="J46" s="45"/>
      <c r="K46" s="96"/>
      <c r="L46" s="96"/>
      <c r="M46" s="96"/>
      <c r="N46" s="96"/>
      <c r="O46" s="41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 spans="1:28" ht="15.75" customHeight="1" x14ac:dyDescent="0.2">
      <c r="A47" s="112"/>
      <c r="B47" s="45"/>
      <c r="C47" s="45"/>
      <c r="D47" s="45"/>
      <c r="E47" s="45"/>
      <c r="F47" s="45"/>
      <c r="G47" s="45"/>
      <c r="H47" s="45"/>
      <c r="I47" s="45"/>
      <c r="J47" s="45"/>
      <c r="K47" s="96"/>
      <c r="L47" s="96"/>
      <c r="M47" s="96"/>
      <c r="N47" s="96"/>
      <c r="O47" s="41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 spans="1:28" ht="15.75" customHeight="1" x14ac:dyDescent="0.2">
      <c r="A48" s="112"/>
      <c r="B48" s="45"/>
      <c r="C48" s="45"/>
      <c r="D48" s="45"/>
      <c r="E48" s="45"/>
      <c r="F48" s="45"/>
      <c r="G48" s="45"/>
      <c r="H48" s="45"/>
      <c r="I48" s="45"/>
      <c r="J48" s="45"/>
      <c r="K48" s="96"/>
      <c r="L48" s="96"/>
      <c r="M48" s="96"/>
      <c r="N48" s="96"/>
      <c r="O48" s="41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 spans="1:28" ht="15.75" customHeight="1" x14ac:dyDescent="0.2">
      <c r="A49" s="112"/>
      <c r="B49" s="45"/>
      <c r="C49" s="45"/>
      <c r="D49" s="45"/>
      <c r="E49" s="45"/>
      <c r="F49" s="45"/>
      <c r="G49" s="45"/>
      <c r="H49" s="45"/>
      <c r="I49" s="45"/>
      <c r="J49" s="45"/>
      <c r="K49" s="96"/>
      <c r="L49" s="96"/>
      <c r="M49" s="96"/>
      <c r="N49" s="96"/>
      <c r="O49" s="41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 spans="1:28" ht="15.75" customHeight="1" x14ac:dyDescent="0.2">
      <c r="A50" s="112"/>
      <c r="B50" s="45"/>
      <c r="C50" s="45"/>
      <c r="D50" s="45"/>
      <c r="E50" s="45"/>
      <c r="F50" s="45"/>
      <c r="G50" s="45"/>
      <c r="H50" s="45"/>
      <c r="I50" s="45"/>
      <c r="J50" s="45"/>
      <c r="K50" s="96"/>
      <c r="L50" s="96"/>
      <c r="M50" s="96"/>
      <c r="N50" s="96"/>
      <c r="O50" s="41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 spans="1:28" ht="15.75" customHeight="1" x14ac:dyDescent="0.2">
      <c r="A51" s="112"/>
      <c r="B51" s="45"/>
      <c r="C51" s="45"/>
      <c r="D51" s="45"/>
      <c r="E51" s="45"/>
      <c r="F51" s="45"/>
      <c r="G51" s="45"/>
      <c r="H51" s="45"/>
      <c r="I51" s="45"/>
      <c r="J51" s="45"/>
      <c r="K51" s="96"/>
      <c r="L51" s="96"/>
      <c r="M51" s="96"/>
      <c r="N51" s="96"/>
      <c r="O51" s="41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 spans="1:28" ht="15.75" customHeight="1" x14ac:dyDescent="0.2">
      <c r="A52" s="112"/>
      <c r="B52" s="45"/>
      <c r="C52" s="45"/>
      <c r="D52" s="45"/>
      <c r="E52" s="45"/>
      <c r="F52" s="45"/>
      <c r="G52" s="45"/>
      <c r="H52" s="45"/>
      <c r="I52" s="45"/>
      <c r="J52" s="45"/>
      <c r="K52" s="96"/>
      <c r="L52" s="96"/>
      <c r="M52" s="96"/>
      <c r="N52" s="96"/>
      <c r="O52" s="41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 spans="1:28" ht="15.75" customHeight="1" x14ac:dyDescent="0.2">
      <c r="A53" s="112"/>
      <c r="B53" s="45"/>
      <c r="C53" s="45"/>
      <c r="D53" s="45"/>
      <c r="E53" s="45"/>
      <c r="F53" s="45"/>
      <c r="G53" s="45"/>
      <c r="H53" s="45"/>
      <c r="I53" s="45"/>
      <c r="J53" s="45"/>
      <c r="K53" s="96"/>
      <c r="L53" s="96"/>
      <c r="M53" s="96"/>
      <c r="N53" s="96"/>
      <c r="O53" s="41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 spans="1:28" ht="15.75" customHeight="1" x14ac:dyDescent="0.2">
      <c r="A54" s="112"/>
      <c r="B54" s="45"/>
      <c r="C54" s="45"/>
      <c r="D54" s="45"/>
      <c r="E54" s="45"/>
      <c r="F54" s="45"/>
      <c r="G54" s="45"/>
      <c r="H54" s="45"/>
      <c r="I54" s="45"/>
      <c r="J54" s="45"/>
      <c r="K54" s="96"/>
      <c r="L54" s="96"/>
      <c r="M54" s="96"/>
      <c r="N54" s="96"/>
      <c r="O54" s="41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 spans="1:28" ht="15.75" customHeight="1" x14ac:dyDescent="0.2">
      <c r="A55" s="112"/>
      <c r="B55" s="45"/>
      <c r="C55" s="45"/>
      <c r="D55" s="45"/>
      <c r="E55" s="45"/>
      <c r="F55" s="45"/>
      <c r="G55" s="45"/>
      <c r="H55" s="45"/>
      <c r="I55" s="45"/>
      <c r="J55" s="45"/>
      <c r="K55" s="96"/>
      <c r="L55" s="96"/>
      <c r="M55" s="96"/>
      <c r="N55" s="96"/>
      <c r="O55" s="41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 spans="1:28" ht="15.75" customHeight="1" x14ac:dyDescent="0.2">
      <c r="A56" s="112"/>
      <c r="B56" s="45"/>
      <c r="C56" s="45"/>
      <c r="D56" s="45"/>
      <c r="E56" s="45"/>
      <c r="F56" s="45"/>
      <c r="G56" s="45"/>
      <c r="H56" s="45"/>
      <c r="I56" s="45"/>
      <c r="J56" s="45"/>
      <c r="K56" s="96"/>
      <c r="L56" s="96"/>
      <c r="M56" s="96"/>
      <c r="N56" s="96"/>
      <c r="O56" s="41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 spans="1:28" ht="15.75" customHeight="1" x14ac:dyDescent="0.2">
      <c r="A57" s="112"/>
      <c r="B57" s="45"/>
      <c r="C57" s="45"/>
      <c r="D57" s="45"/>
      <c r="E57" s="45"/>
      <c r="F57" s="45"/>
      <c r="G57" s="45"/>
      <c r="H57" s="45"/>
      <c r="I57" s="45"/>
      <c r="J57" s="45"/>
      <c r="K57" s="96"/>
      <c r="L57" s="96"/>
      <c r="M57" s="96"/>
      <c r="N57" s="96"/>
      <c r="O57" s="41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 spans="1:28" ht="15.75" customHeight="1" x14ac:dyDescent="0.2">
      <c r="A58" s="112"/>
      <c r="B58" s="45"/>
      <c r="C58" s="45"/>
      <c r="D58" s="45"/>
      <c r="E58" s="45"/>
      <c r="F58" s="45"/>
      <c r="G58" s="45"/>
      <c r="H58" s="45"/>
      <c r="I58" s="45"/>
      <c r="J58" s="45"/>
      <c r="K58" s="96"/>
      <c r="L58" s="96"/>
      <c r="M58" s="96"/>
      <c r="N58" s="96"/>
      <c r="O58" s="41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 spans="1:28" ht="15.75" customHeight="1" x14ac:dyDescent="0.2">
      <c r="A59" s="112"/>
      <c r="B59" s="45"/>
      <c r="C59" s="45"/>
      <c r="D59" s="45"/>
      <c r="E59" s="45"/>
      <c r="F59" s="45"/>
      <c r="G59" s="45"/>
      <c r="H59" s="45"/>
      <c r="I59" s="45"/>
      <c r="J59" s="45"/>
      <c r="K59" s="96"/>
      <c r="L59" s="96"/>
      <c r="M59" s="96"/>
      <c r="N59" s="96"/>
      <c r="O59" s="41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 spans="1:28" ht="15.75" customHeight="1" x14ac:dyDescent="0.2">
      <c r="A60" s="112"/>
      <c r="B60" s="45"/>
      <c r="C60" s="45"/>
      <c r="D60" s="45"/>
      <c r="E60" s="45"/>
      <c r="F60" s="45"/>
      <c r="G60" s="45"/>
      <c r="H60" s="45"/>
      <c r="I60" s="45"/>
      <c r="J60" s="45"/>
      <c r="K60" s="96"/>
      <c r="L60" s="96"/>
      <c r="M60" s="96"/>
      <c r="N60" s="96"/>
      <c r="O60" s="41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 spans="1:28" ht="15.75" customHeight="1" x14ac:dyDescent="0.2">
      <c r="A61" s="112"/>
      <c r="B61" s="45"/>
      <c r="C61" s="45"/>
      <c r="D61" s="45"/>
      <c r="E61" s="45"/>
      <c r="F61" s="45"/>
      <c r="G61" s="45"/>
      <c r="H61" s="45"/>
      <c r="I61" s="45"/>
      <c r="J61" s="45"/>
      <c r="K61" s="96"/>
      <c r="L61" s="96"/>
      <c r="M61" s="96"/>
      <c r="N61" s="96"/>
      <c r="O61" s="41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 spans="1:28" ht="15.75" customHeight="1" x14ac:dyDescent="0.2">
      <c r="A62" s="112"/>
      <c r="B62" s="45"/>
      <c r="C62" s="45"/>
      <c r="D62" s="45"/>
      <c r="E62" s="45"/>
      <c r="F62" s="45"/>
      <c r="G62" s="45"/>
      <c r="H62" s="45"/>
      <c r="I62" s="45"/>
      <c r="J62" s="45"/>
      <c r="K62" s="96"/>
      <c r="L62" s="96"/>
      <c r="M62" s="96"/>
      <c r="N62" s="96"/>
      <c r="O62" s="41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 spans="1:28" ht="15.75" customHeight="1" x14ac:dyDescent="0.2">
      <c r="A63" s="112"/>
      <c r="B63" s="45"/>
      <c r="C63" s="45"/>
      <c r="D63" s="45"/>
      <c r="E63" s="45"/>
      <c r="F63" s="45"/>
      <c r="G63" s="45"/>
      <c r="H63" s="45"/>
      <c r="I63" s="45"/>
      <c r="J63" s="45"/>
      <c r="K63" s="96"/>
      <c r="L63" s="96"/>
      <c r="M63" s="96"/>
      <c r="N63" s="96"/>
      <c r="O63" s="41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 spans="1:28" ht="15.75" customHeight="1" x14ac:dyDescent="0.2">
      <c r="A64" s="112"/>
      <c r="B64" s="45"/>
      <c r="C64" s="45"/>
      <c r="D64" s="45"/>
      <c r="E64" s="45"/>
      <c r="F64" s="45"/>
      <c r="G64" s="45"/>
      <c r="H64" s="45"/>
      <c r="I64" s="45"/>
      <c r="J64" s="45"/>
      <c r="K64" s="96"/>
      <c r="L64" s="96"/>
      <c r="M64" s="96"/>
      <c r="N64" s="96"/>
      <c r="O64" s="41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 spans="1:28" ht="15.75" customHeight="1" x14ac:dyDescent="0.2">
      <c r="A65" s="112"/>
      <c r="B65" s="45"/>
      <c r="C65" s="45"/>
      <c r="D65" s="45"/>
      <c r="E65" s="45"/>
      <c r="F65" s="45"/>
      <c r="G65" s="45"/>
      <c r="H65" s="45"/>
      <c r="I65" s="45"/>
      <c r="J65" s="45"/>
      <c r="K65" s="96"/>
      <c r="L65" s="96"/>
      <c r="M65" s="96"/>
      <c r="N65" s="96"/>
      <c r="O65" s="41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 spans="1:28" ht="15.75" customHeight="1" x14ac:dyDescent="0.2">
      <c r="A66" s="112"/>
      <c r="B66" s="45"/>
      <c r="C66" s="45"/>
      <c r="D66" s="45"/>
      <c r="E66" s="45"/>
      <c r="F66" s="45"/>
      <c r="G66" s="45"/>
      <c r="H66" s="45"/>
      <c r="I66" s="45"/>
      <c r="J66" s="45"/>
      <c r="K66" s="96"/>
      <c r="L66" s="96"/>
      <c r="M66" s="96"/>
      <c r="N66" s="96"/>
      <c r="O66" s="41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 spans="1:28" ht="15.75" customHeight="1" x14ac:dyDescent="0.2">
      <c r="A67" s="112"/>
      <c r="B67" s="45"/>
      <c r="C67" s="45"/>
      <c r="D67" s="45"/>
      <c r="E67" s="45"/>
      <c r="F67" s="45"/>
      <c r="G67" s="45"/>
      <c r="H67" s="45"/>
      <c r="I67" s="45"/>
      <c r="J67" s="45"/>
      <c r="K67" s="96"/>
      <c r="L67" s="96"/>
      <c r="M67" s="96"/>
      <c r="N67" s="96"/>
      <c r="O67" s="41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spans="1:28" ht="15.75" customHeight="1" x14ac:dyDescent="0.2">
      <c r="A68" s="112"/>
      <c r="B68" s="45"/>
      <c r="C68" s="45"/>
      <c r="D68" s="45"/>
      <c r="E68" s="45"/>
      <c r="F68" s="45"/>
      <c r="G68" s="45"/>
      <c r="H68" s="45"/>
      <c r="I68" s="45"/>
      <c r="J68" s="45"/>
      <c r="K68" s="96"/>
      <c r="L68" s="96"/>
      <c r="M68" s="96"/>
      <c r="N68" s="96"/>
      <c r="O68" s="41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spans="1:28" ht="15.75" customHeight="1" x14ac:dyDescent="0.2">
      <c r="A69" s="112"/>
      <c r="B69" s="45"/>
      <c r="C69" s="45"/>
      <c r="D69" s="45"/>
      <c r="E69" s="45"/>
      <c r="F69" s="45"/>
      <c r="G69" s="45"/>
      <c r="H69" s="45"/>
      <c r="I69" s="45"/>
      <c r="J69" s="45"/>
      <c r="K69" s="96"/>
      <c r="L69" s="96"/>
      <c r="M69" s="96"/>
      <c r="N69" s="96"/>
      <c r="O69" s="41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 spans="1:28" ht="15.75" customHeight="1" x14ac:dyDescent="0.2">
      <c r="A70" s="112"/>
      <c r="B70" s="45"/>
      <c r="C70" s="45"/>
      <c r="D70" s="45"/>
      <c r="E70" s="45"/>
      <c r="F70" s="45"/>
      <c r="G70" s="45"/>
      <c r="H70" s="45"/>
      <c r="I70" s="45"/>
      <c r="J70" s="45"/>
      <c r="K70" s="96"/>
      <c r="L70" s="96"/>
      <c r="M70" s="96"/>
      <c r="N70" s="96"/>
      <c r="O70" s="41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 spans="1:28" ht="15.75" customHeight="1" x14ac:dyDescent="0.2">
      <c r="A71" s="112"/>
      <c r="B71" s="45"/>
      <c r="C71" s="45"/>
      <c r="D71" s="45"/>
      <c r="E71" s="45"/>
      <c r="F71" s="45"/>
      <c r="G71" s="45"/>
      <c r="H71" s="45"/>
      <c r="I71" s="45"/>
      <c r="J71" s="45"/>
      <c r="K71" s="96"/>
      <c r="L71" s="96"/>
      <c r="M71" s="96"/>
      <c r="N71" s="96"/>
      <c r="O71" s="41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 spans="1:28" ht="15.75" customHeight="1" x14ac:dyDescent="0.2">
      <c r="A72" s="112"/>
      <c r="B72" s="45"/>
      <c r="C72" s="45"/>
      <c r="D72" s="45"/>
      <c r="E72" s="45"/>
      <c r="F72" s="45"/>
      <c r="G72" s="45"/>
      <c r="H72" s="45"/>
      <c r="I72" s="45"/>
      <c r="J72" s="45"/>
      <c r="K72" s="96"/>
      <c r="L72" s="96"/>
      <c r="M72" s="96"/>
      <c r="N72" s="96"/>
      <c r="O72" s="41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 spans="1:28" ht="15.75" customHeight="1" x14ac:dyDescent="0.2">
      <c r="A73" s="112"/>
      <c r="B73" s="45"/>
      <c r="C73" s="45"/>
      <c r="D73" s="45"/>
      <c r="E73" s="45"/>
      <c r="F73" s="45"/>
      <c r="G73" s="45"/>
      <c r="H73" s="45"/>
      <c r="I73" s="45"/>
      <c r="J73" s="45"/>
      <c r="K73" s="96"/>
      <c r="L73" s="96"/>
      <c r="M73" s="96"/>
      <c r="N73" s="96"/>
      <c r="O73" s="41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 spans="1:28" ht="15.75" customHeight="1" x14ac:dyDescent="0.2">
      <c r="A74" s="112"/>
      <c r="B74" s="45"/>
      <c r="C74" s="45"/>
      <c r="D74" s="45"/>
      <c r="E74" s="45"/>
      <c r="F74" s="45"/>
      <c r="G74" s="45"/>
      <c r="H74" s="45"/>
      <c r="I74" s="45"/>
      <c r="J74" s="45"/>
      <c r="K74" s="96"/>
      <c r="L74" s="96"/>
      <c r="M74" s="96"/>
      <c r="N74" s="96"/>
      <c r="O74" s="41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 spans="1:28" ht="15.75" customHeight="1" x14ac:dyDescent="0.2">
      <c r="A75" s="112"/>
      <c r="B75" s="45"/>
      <c r="C75" s="45"/>
      <c r="D75" s="45"/>
      <c r="E75" s="45"/>
      <c r="F75" s="45"/>
      <c r="G75" s="45"/>
      <c r="H75" s="45"/>
      <c r="I75" s="45"/>
      <c r="J75" s="45"/>
      <c r="K75" s="96"/>
      <c r="L75" s="96"/>
      <c r="M75" s="96"/>
      <c r="N75" s="96"/>
      <c r="O75" s="41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 spans="1:28" ht="15.75" customHeight="1" x14ac:dyDescent="0.2">
      <c r="A76" s="112"/>
      <c r="B76" s="45"/>
      <c r="C76" s="45"/>
      <c r="D76" s="45"/>
      <c r="E76" s="45"/>
      <c r="F76" s="45"/>
      <c r="G76" s="45"/>
      <c r="H76" s="45"/>
      <c r="I76" s="45"/>
      <c r="J76" s="45"/>
      <c r="K76" s="96"/>
      <c r="L76" s="96"/>
      <c r="M76" s="96"/>
      <c r="N76" s="96"/>
      <c r="O76" s="41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 spans="1:28" ht="15.75" customHeight="1" x14ac:dyDescent="0.2">
      <c r="A77" s="112"/>
      <c r="B77" s="45"/>
      <c r="C77" s="45"/>
      <c r="D77" s="45"/>
      <c r="E77" s="45"/>
      <c r="F77" s="45"/>
      <c r="G77" s="45"/>
      <c r="H77" s="45"/>
      <c r="I77" s="45"/>
      <c r="J77" s="45"/>
      <c r="K77" s="96"/>
      <c r="L77" s="96"/>
      <c r="M77" s="96"/>
      <c r="N77" s="96"/>
      <c r="O77" s="41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 spans="1:28" ht="15.75" customHeight="1" x14ac:dyDescent="0.2">
      <c r="A78" s="112"/>
      <c r="B78" s="45"/>
      <c r="C78" s="45"/>
      <c r="D78" s="45"/>
      <c r="E78" s="45"/>
      <c r="F78" s="45"/>
      <c r="G78" s="45"/>
      <c r="H78" s="45"/>
      <c r="I78" s="45"/>
      <c r="J78" s="45"/>
      <c r="K78" s="96"/>
      <c r="L78" s="96"/>
      <c r="M78" s="96"/>
      <c r="N78" s="96"/>
      <c r="O78" s="41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 spans="1:28" ht="15.75" customHeight="1" x14ac:dyDescent="0.2">
      <c r="A79" s="112"/>
      <c r="B79" s="45"/>
      <c r="C79" s="45"/>
      <c r="D79" s="45"/>
      <c r="E79" s="45"/>
      <c r="F79" s="45"/>
      <c r="G79" s="45"/>
      <c r="H79" s="45"/>
      <c r="I79" s="45"/>
      <c r="J79" s="45"/>
      <c r="K79" s="96"/>
      <c r="L79" s="96"/>
      <c r="M79" s="96"/>
      <c r="N79" s="96"/>
      <c r="O79" s="41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 spans="1:28" ht="15" customHeight="1" x14ac:dyDescent="0.2">
      <c r="A80" s="112"/>
      <c r="B80" s="45"/>
      <c r="C80" s="45"/>
      <c r="D80" s="45"/>
      <c r="E80" s="45"/>
      <c r="F80" s="45"/>
      <c r="G80" s="45"/>
      <c r="H80" s="45"/>
      <c r="I80" s="45"/>
      <c r="J80" s="45"/>
      <c r="K80" s="96"/>
      <c r="L80" s="96"/>
      <c r="M80" s="96"/>
      <c r="N80" s="96"/>
      <c r="O80" s="41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spans="1:28" ht="15.75" customHeight="1" x14ac:dyDescent="0.2">
      <c r="A81" s="112"/>
      <c r="B81" s="45"/>
      <c r="C81" s="45"/>
      <c r="D81" s="45"/>
      <c r="E81" s="45"/>
      <c r="F81" s="45"/>
      <c r="G81" s="45"/>
      <c r="H81" s="45"/>
      <c r="I81" s="45"/>
      <c r="J81" s="45"/>
      <c r="K81" s="96"/>
      <c r="L81" s="96"/>
      <c r="M81" s="96"/>
      <c r="N81" s="96"/>
      <c r="O81" s="41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 spans="1:28" ht="15.75" customHeight="1" x14ac:dyDescent="0.2">
      <c r="A82" s="112"/>
      <c r="B82" s="45"/>
      <c r="C82" s="45"/>
      <c r="D82" s="45"/>
      <c r="E82" s="45"/>
      <c r="F82" s="45"/>
      <c r="G82" s="45"/>
      <c r="H82" s="45"/>
      <c r="I82" s="45"/>
      <c r="J82" s="45"/>
      <c r="K82" s="96"/>
      <c r="L82" s="96"/>
      <c r="M82" s="96"/>
      <c r="N82" s="96"/>
      <c r="O82" s="41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 spans="1:28" ht="15.75" customHeight="1" x14ac:dyDescent="0.2">
      <c r="A83" s="112"/>
      <c r="B83" s="45"/>
      <c r="C83" s="45"/>
      <c r="D83" s="45"/>
      <c r="E83" s="45"/>
      <c r="F83" s="45"/>
      <c r="G83" s="45"/>
      <c r="H83" s="45"/>
      <c r="I83" s="45"/>
      <c r="J83" s="45"/>
      <c r="K83" s="96"/>
      <c r="L83" s="96"/>
      <c r="M83" s="96"/>
      <c r="N83" s="96"/>
      <c r="O83" s="41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 spans="1:28" ht="15.75" customHeight="1" x14ac:dyDescent="0.2">
      <c r="A84" s="112"/>
      <c r="B84" s="45"/>
      <c r="C84" s="45"/>
      <c r="D84" s="45"/>
      <c r="E84" s="45"/>
      <c r="F84" s="45"/>
      <c r="G84" s="45"/>
      <c r="H84" s="45"/>
      <c r="I84" s="45"/>
      <c r="J84" s="45"/>
      <c r="K84" s="96"/>
      <c r="L84" s="96"/>
      <c r="M84" s="96"/>
      <c r="N84" s="96"/>
      <c r="O84" s="41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 spans="1:28" ht="15.75" customHeight="1" x14ac:dyDescent="0.2">
      <c r="A85" s="112"/>
      <c r="B85" s="45"/>
      <c r="C85" s="45"/>
      <c r="D85" s="45"/>
      <c r="E85" s="45"/>
      <c r="F85" s="45"/>
      <c r="G85" s="45"/>
      <c r="H85" s="45"/>
      <c r="I85" s="45"/>
      <c r="J85" s="45"/>
      <c r="K85" s="96"/>
      <c r="L85" s="96"/>
      <c r="M85" s="96"/>
      <c r="N85" s="96"/>
      <c r="O85" s="41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 spans="1:28" ht="15.75" customHeight="1" x14ac:dyDescent="0.2">
      <c r="A86" s="112"/>
      <c r="B86" s="45"/>
      <c r="C86" s="45"/>
      <c r="D86" s="45"/>
      <c r="E86" s="45"/>
      <c r="F86" s="45"/>
      <c r="G86" s="45"/>
      <c r="H86" s="45"/>
      <c r="I86" s="45"/>
      <c r="J86" s="45"/>
      <c r="K86" s="96"/>
      <c r="L86" s="96"/>
      <c r="M86" s="96"/>
      <c r="N86" s="96"/>
      <c r="O86" s="41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 spans="1:28" ht="15.75" customHeight="1" x14ac:dyDescent="0.2">
      <c r="A87" s="112"/>
      <c r="B87" s="45"/>
      <c r="C87" s="45"/>
      <c r="D87" s="45"/>
      <c r="E87" s="45"/>
      <c r="F87" s="45"/>
      <c r="G87" s="45"/>
      <c r="H87" s="45"/>
      <c r="I87" s="45"/>
      <c r="J87" s="45"/>
      <c r="K87" s="96"/>
      <c r="L87" s="96"/>
      <c r="M87" s="96"/>
      <c r="N87" s="96"/>
      <c r="O87" s="41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 spans="1:28" ht="15.75" customHeight="1" x14ac:dyDescent="0.2">
      <c r="A88" s="112"/>
      <c r="B88" s="45"/>
      <c r="C88" s="45"/>
      <c r="D88" s="45"/>
      <c r="E88" s="45"/>
      <c r="F88" s="45"/>
      <c r="G88" s="45"/>
      <c r="H88" s="45"/>
      <c r="I88" s="45"/>
      <c r="J88" s="45"/>
      <c r="K88" s="96"/>
      <c r="L88" s="96"/>
      <c r="M88" s="96"/>
      <c r="N88" s="96"/>
      <c r="O88" s="41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 spans="1:28" ht="15.75" customHeight="1" x14ac:dyDescent="0.2">
      <c r="A89" s="112"/>
      <c r="B89" s="45"/>
      <c r="C89" s="45"/>
      <c r="D89" s="45"/>
      <c r="E89" s="45"/>
      <c r="F89" s="45"/>
      <c r="G89" s="45"/>
      <c r="H89" s="45"/>
      <c r="I89" s="45"/>
      <c r="J89" s="45"/>
      <c r="K89" s="96"/>
      <c r="L89" s="96"/>
      <c r="M89" s="96"/>
      <c r="N89" s="96"/>
      <c r="O89" s="41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 spans="1:28" ht="15.75" customHeight="1" x14ac:dyDescent="0.2">
      <c r="A90" s="112"/>
      <c r="B90" s="45"/>
      <c r="C90" s="45"/>
      <c r="D90" s="45"/>
      <c r="E90" s="45"/>
      <c r="F90" s="45"/>
      <c r="G90" s="45"/>
      <c r="H90" s="45"/>
      <c r="I90" s="45"/>
      <c r="J90" s="45"/>
      <c r="K90" s="96"/>
      <c r="L90" s="96"/>
      <c r="M90" s="96"/>
      <c r="N90" s="96"/>
      <c r="O90" s="41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 spans="1:28" ht="15.75" customHeight="1" x14ac:dyDescent="0.2">
      <c r="A91" s="112"/>
      <c r="B91" s="45"/>
      <c r="C91" s="45"/>
      <c r="D91" s="45"/>
      <c r="E91" s="45"/>
      <c r="F91" s="45"/>
      <c r="G91" s="45"/>
      <c r="H91" s="45"/>
      <c r="I91" s="45"/>
      <c r="J91" s="45"/>
      <c r="K91" s="96"/>
      <c r="L91" s="96"/>
      <c r="M91" s="96"/>
      <c r="N91" s="96"/>
      <c r="O91" s="41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 spans="1:28" ht="15.75" customHeight="1" x14ac:dyDescent="0.2">
      <c r="A92" s="112"/>
      <c r="B92" s="45"/>
      <c r="C92" s="45"/>
      <c r="D92" s="45"/>
      <c r="E92" s="45"/>
      <c r="F92" s="45"/>
      <c r="G92" s="45"/>
      <c r="H92" s="45"/>
      <c r="I92" s="45"/>
      <c r="J92" s="45"/>
      <c r="K92" s="96"/>
      <c r="L92" s="96"/>
      <c r="M92" s="96"/>
      <c r="N92" s="96"/>
      <c r="O92" s="41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 spans="1:28" ht="15.75" customHeight="1" x14ac:dyDescent="0.2">
      <c r="A93" s="112"/>
      <c r="B93" s="45"/>
      <c r="C93" s="45"/>
      <c r="D93" s="45"/>
      <c r="E93" s="45"/>
      <c r="F93" s="45"/>
      <c r="G93" s="45"/>
      <c r="H93" s="45"/>
      <c r="I93" s="45"/>
      <c r="J93" s="45"/>
      <c r="K93" s="96"/>
      <c r="L93" s="96"/>
      <c r="M93" s="96"/>
      <c r="N93" s="96"/>
      <c r="O93" s="41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 spans="1:28" ht="15.75" customHeight="1" x14ac:dyDescent="0.2">
      <c r="A94" s="112"/>
      <c r="B94" s="45"/>
      <c r="C94" s="45"/>
      <c r="D94" s="45"/>
      <c r="E94" s="45"/>
      <c r="F94" s="45"/>
      <c r="G94" s="45"/>
      <c r="H94" s="45"/>
      <c r="I94" s="45"/>
      <c r="J94" s="45"/>
      <c r="K94" s="96"/>
      <c r="L94" s="96"/>
      <c r="M94" s="96"/>
      <c r="N94" s="96"/>
      <c r="O94" s="41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 spans="1:28" ht="15.75" customHeight="1" x14ac:dyDescent="0.2">
      <c r="A95" s="112"/>
      <c r="B95" s="45"/>
      <c r="C95" s="45"/>
      <c r="D95" s="45"/>
      <c r="E95" s="45"/>
      <c r="F95" s="45"/>
      <c r="G95" s="45"/>
      <c r="H95" s="45"/>
      <c r="I95" s="45"/>
      <c r="J95" s="45"/>
      <c r="K95" s="96"/>
      <c r="L95" s="96"/>
      <c r="M95" s="96"/>
      <c r="N95" s="96"/>
      <c r="O95" s="41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 spans="1:28" ht="15" customHeight="1" x14ac:dyDescent="0.2">
      <c r="A96" s="112"/>
      <c r="B96" s="45"/>
      <c r="C96" s="45"/>
      <c r="D96" s="45"/>
      <c r="E96" s="45"/>
      <c r="F96" s="45"/>
      <c r="G96" s="45"/>
      <c r="H96" s="45"/>
      <c r="I96" s="45"/>
      <c r="J96" s="45"/>
      <c r="K96" s="96"/>
      <c r="L96" s="96"/>
      <c r="M96" s="96"/>
      <c r="N96" s="96"/>
      <c r="O96" s="41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 spans="1:28" ht="15.75" customHeight="1" x14ac:dyDescent="0.2">
      <c r="A97" s="112"/>
      <c r="B97" s="45"/>
      <c r="C97" s="45"/>
      <c r="D97" s="45"/>
      <c r="E97" s="45"/>
      <c r="F97" s="45"/>
      <c r="G97" s="45"/>
      <c r="H97" s="45"/>
      <c r="I97" s="45"/>
      <c r="J97" s="45"/>
      <c r="K97" s="96"/>
      <c r="L97" s="96"/>
      <c r="M97" s="96"/>
      <c r="N97" s="96"/>
      <c r="O97" s="41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 spans="1:28" ht="15.75" customHeight="1" x14ac:dyDescent="0.2">
      <c r="A98" s="112"/>
      <c r="B98" s="45"/>
      <c r="C98" s="45"/>
      <c r="D98" s="45"/>
      <c r="E98" s="45"/>
      <c r="F98" s="45"/>
      <c r="G98" s="45"/>
      <c r="H98" s="45"/>
      <c r="I98" s="45"/>
      <c r="J98" s="45"/>
      <c r="K98" s="96"/>
      <c r="L98" s="96"/>
      <c r="M98" s="96"/>
      <c r="N98" s="96"/>
      <c r="O98" s="41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 spans="1:28" ht="15.75" customHeight="1" x14ac:dyDescent="0.2">
      <c r="A99" s="112"/>
      <c r="B99" s="45"/>
      <c r="C99" s="45"/>
      <c r="D99" s="45"/>
      <c r="E99" s="45"/>
      <c r="F99" s="45"/>
      <c r="G99" s="45"/>
      <c r="H99" s="45"/>
      <c r="I99" s="45"/>
      <c r="J99" s="45"/>
      <c r="K99" s="96"/>
      <c r="L99" s="96"/>
      <c r="M99" s="96"/>
      <c r="N99" s="96"/>
      <c r="O99" s="41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 spans="1:28" ht="15.75" customHeight="1" x14ac:dyDescent="0.2">
      <c r="A100" s="112"/>
      <c r="B100" s="45"/>
      <c r="C100" s="45"/>
      <c r="D100" s="45"/>
      <c r="E100" s="45"/>
      <c r="F100" s="45"/>
      <c r="G100" s="45"/>
      <c r="H100" s="45"/>
      <c r="I100" s="45"/>
      <c r="J100" s="45"/>
      <c r="K100" s="96"/>
      <c r="L100" s="96"/>
      <c r="M100" s="96"/>
      <c r="N100" s="96"/>
      <c r="O100" s="41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 spans="1:28" ht="15.75" customHeight="1" x14ac:dyDescent="0.2">
      <c r="A101" s="112"/>
      <c r="B101" s="45"/>
      <c r="C101" s="45"/>
      <c r="D101" s="45"/>
      <c r="E101" s="45"/>
      <c r="F101" s="45"/>
      <c r="G101" s="45"/>
      <c r="H101" s="45"/>
      <c r="I101" s="45"/>
      <c r="J101" s="45"/>
      <c r="K101" s="96"/>
      <c r="L101" s="96"/>
      <c r="M101" s="96"/>
      <c r="N101" s="96"/>
      <c r="O101" s="41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 spans="1:28" ht="15.75" customHeight="1" x14ac:dyDescent="0.2">
      <c r="A102" s="112"/>
      <c r="B102" s="45"/>
      <c r="C102" s="45"/>
      <c r="D102" s="45"/>
      <c r="E102" s="45"/>
      <c r="F102" s="45"/>
      <c r="G102" s="45"/>
      <c r="H102" s="45"/>
      <c r="I102" s="45"/>
      <c r="J102" s="45"/>
      <c r="K102" s="96"/>
      <c r="L102" s="96"/>
      <c r="M102" s="96"/>
      <c r="N102" s="96"/>
      <c r="O102" s="41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 spans="1:28" ht="15.75" customHeight="1" x14ac:dyDescent="0.2">
      <c r="A103" s="112"/>
      <c r="B103" s="45"/>
      <c r="C103" s="45"/>
      <c r="D103" s="45"/>
      <c r="E103" s="45"/>
      <c r="F103" s="45"/>
      <c r="G103" s="45"/>
      <c r="H103" s="45"/>
      <c r="I103" s="45"/>
      <c r="J103" s="45"/>
      <c r="K103" s="96"/>
      <c r="L103" s="96"/>
      <c r="M103" s="96"/>
      <c r="N103" s="96"/>
      <c r="O103" s="41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 spans="1:28" ht="15.75" customHeight="1" x14ac:dyDescent="0.2">
      <c r="A104" s="112"/>
      <c r="B104" s="45"/>
      <c r="C104" s="45"/>
      <c r="D104" s="45"/>
      <c r="E104" s="45"/>
      <c r="F104" s="45"/>
      <c r="G104" s="45"/>
      <c r="H104" s="45"/>
      <c r="I104" s="45"/>
      <c r="J104" s="45"/>
      <c r="K104" s="96"/>
      <c r="L104" s="96"/>
      <c r="M104" s="96"/>
      <c r="N104" s="96"/>
      <c r="O104" s="41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 spans="1:28" ht="15.75" customHeight="1" x14ac:dyDescent="0.2">
      <c r="A105" s="112"/>
      <c r="B105" s="45"/>
      <c r="C105" s="45"/>
      <c r="D105" s="45"/>
      <c r="E105" s="45"/>
      <c r="F105" s="45"/>
      <c r="G105" s="45"/>
      <c r="H105" s="45"/>
      <c r="I105" s="45"/>
      <c r="J105" s="45"/>
      <c r="K105" s="96"/>
      <c r="L105" s="96"/>
      <c r="M105" s="96"/>
      <c r="N105" s="96"/>
      <c r="O105" s="41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 spans="1:28" ht="15.75" customHeight="1" x14ac:dyDescent="0.2">
      <c r="A106" s="112"/>
      <c r="B106" s="45"/>
      <c r="C106" s="45"/>
      <c r="D106" s="45"/>
      <c r="E106" s="45"/>
      <c r="F106" s="45"/>
      <c r="G106" s="45"/>
      <c r="H106" s="45"/>
      <c r="I106" s="45"/>
      <c r="J106" s="45"/>
      <c r="K106" s="96"/>
      <c r="L106" s="96"/>
      <c r="M106" s="96"/>
      <c r="N106" s="96"/>
      <c r="O106" s="41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 spans="1:28" ht="15.75" customHeight="1" x14ac:dyDescent="0.2">
      <c r="A107" s="112"/>
      <c r="B107" s="45"/>
      <c r="C107" s="45"/>
      <c r="D107" s="45"/>
      <c r="E107" s="45"/>
      <c r="F107" s="45"/>
      <c r="G107" s="45"/>
      <c r="H107" s="45"/>
      <c r="I107" s="45"/>
      <c r="J107" s="45"/>
      <c r="K107" s="96"/>
      <c r="L107" s="96"/>
      <c r="M107" s="96"/>
      <c r="N107" s="96"/>
      <c r="O107" s="41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 spans="1:28" ht="15.75" customHeight="1" x14ac:dyDescent="0.2">
      <c r="A108" s="112"/>
      <c r="B108" s="45"/>
      <c r="C108" s="45"/>
      <c r="D108" s="45"/>
      <c r="E108" s="45"/>
      <c r="F108" s="45"/>
      <c r="G108" s="45"/>
      <c r="H108" s="45"/>
      <c r="I108" s="45"/>
      <c r="J108" s="45"/>
      <c r="K108" s="96"/>
      <c r="L108" s="96"/>
      <c r="M108" s="96"/>
      <c r="N108" s="96"/>
      <c r="O108" s="41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 spans="1:28" ht="15.75" customHeight="1" x14ac:dyDescent="0.2">
      <c r="A109" s="112"/>
      <c r="B109" s="45"/>
      <c r="C109" s="45"/>
      <c r="D109" s="45"/>
      <c r="E109" s="45"/>
      <c r="F109" s="45"/>
      <c r="G109" s="45"/>
      <c r="H109" s="45"/>
      <c r="I109" s="45"/>
      <c r="J109" s="45"/>
      <c r="K109" s="96"/>
      <c r="L109" s="96"/>
      <c r="M109" s="96"/>
      <c r="N109" s="96"/>
      <c r="O109" s="41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 spans="1:28" ht="15.75" customHeight="1" x14ac:dyDescent="0.2">
      <c r="A110" s="112"/>
      <c r="B110" s="45"/>
      <c r="C110" s="45"/>
      <c r="D110" s="45"/>
      <c r="E110" s="45"/>
      <c r="F110" s="45"/>
      <c r="G110" s="45"/>
      <c r="H110" s="45"/>
      <c r="I110" s="45"/>
      <c r="J110" s="45"/>
      <c r="K110" s="96"/>
      <c r="L110" s="96"/>
      <c r="M110" s="96"/>
      <c r="N110" s="96"/>
      <c r="O110" s="41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 spans="1:28" ht="15.75" customHeight="1" x14ac:dyDescent="0.2">
      <c r="A111" s="112"/>
      <c r="B111" s="45"/>
      <c r="C111" s="45"/>
      <c r="D111" s="45"/>
      <c r="E111" s="45"/>
      <c r="F111" s="45"/>
      <c r="G111" s="45"/>
      <c r="H111" s="45"/>
      <c r="I111" s="45"/>
      <c r="J111" s="45"/>
      <c r="K111" s="96"/>
      <c r="L111" s="96"/>
      <c r="M111" s="96"/>
      <c r="N111" s="96"/>
      <c r="O111" s="41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 spans="1:28" ht="15.75" customHeight="1" x14ac:dyDescent="0.2">
      <c r="A112" s="112"/>
      <c r="B112" s="45"/>
      <c r="C112" s="45"/>
      <c r="D112" s="45"/>
      <c r="E112" s="45"/>
      <c r="F112" s="45"/>
      <c r="G112" s="45"/>
      <c r="H112" s="45"/>
      <c r="I112" s="45"/>
      <c r="J112" s="45"/>
      <c r="K112" s="96"/>
      <c r="L112" s="96"/>
      <c r="M112" s="96"/>
      <c r="N112" s="96"/>
      <c r="O112" s="41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 spans="1:28" ht="15.75" customHeight="1" x14ac:dyDescent="0.2">
      <c r="A113" s="112"/>
      <c r="B113" s="45"/>
      <c r="C113" s="45"/>
      <c r="D113" s="45"/>
      <c r="E113" s="45"/>
      <c r="F113" s="45"/>
      <c r="G113" s="45"/>
      <c r="H113" s="45"/>
      <c r="I113" s="45"/>
      <c r="J113" s="45"/>
      <c r="K113" s="96"/>
      <c r="L113" s="96"/>
      <c r="M113" s="96"/>
      <c r="N113" s="96"/>
      <c r="O113" s="41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 spans="1:28" ht="15.75" customHeight="1" x14ac:dyDescent="0.2">
      <c r="A114" s="112"/>
      <c r="B114" s="45"/>
      <c r="C114" s="45"/>
      <c r="D114" s="45"/>
      <c r="E114" s="45"/>
      <c r="F114" s="45"/>
      <c r="G114" s="45"/>
      <c r="H114" s="45"/>
      <c r="I114" s="45"/>
      <c r="J114" s="45"/>
      <c r="K114" s="96"/>
      <c r="L114" s="96"/>
      <c r="M114" s="96"/>
      <c r="N114" s="96"/>
      <c r="O114" s="41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 spans="1:28" ht="15.75" customHeight="1" x14ac:dyDescent="0.2">
      <c r="A115" s="112"/>
      <c r="B115" s="45"/>
      <c r="C115" s="45"/>
      <c r="D115" s="45"/>
      <c r="E115" s="45"/>
      <c r="F115" s="45"/>
      <c r="G115" s="45"/>
      <c r="H115" s="45"/>
      <c r="I115" s="45"/>
      <c r="J115" s="45"/>
      <c r="K115" s="96"/>
      <c r="L115" s="96"/>
      <c r="M115" s="96"/>
      <c r="N115" s="96"/>
      <c r="O115" s="41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 spans="1:28" ht="15.75" customHeight="1" x14ac:dyDescent="0.2">
      <c r="A116" s="112"/>
      <c r="B116" s="45"/>
      <c r="C116" s="45"/>
      <c r="D116" s="45"/>
      <c r="E116" s="45"/>
      <c r="F116" s="45"/>
      <c r="G116" s="45"/>
      <c r="H116" s="45"/>
      <c r="I116" s="45"/>
      <c r="J116" s="45"/>
      <c r="K116" s="96"/>
      <c r="L116" s="96"/>
      <c r="M116" s="96"/>
      <c r="N116" s="96"/>
      <c r="O116" s="41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 spans="1:28" ht="15.75" customHeight="1" x14ac:dyDescent="0.2">
      <c r="A117" s="112"/>
      <c r="B117" s="45"/>
      <c r="C117" s="45"/>
      <c r="D117" s="45"/>
      <c r="E117" s="45"/>
      <c r="F117" s="45"/>
      <c r="G117" s="45"/>
      <c r="H117" s="45"/>
      <c r="I117" s="45"/>
      <c r="J117" s="45"/>
      <c r="K117" s="96"/>
      <c r="L117" s="96"/>
      <c r="M117" s="96"/>
      <c r="N117" s="96"/>
      <c r="O117" s="41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 spans="1:28" ht="15.75" customHeight="1" x14ac:dyDescent="0.2">
      <c r="A118" s="112"/>
      <c r="B118" s="45"/>
      <c r="C118" s="45"/>
      <c r="D118" s="45"/>
      <c r="E118" s="45"/>
      <c r="F118" s="45"/>
      <c r="G118" s="45"/>
      <c r="H118" s="45"/>
      <c r="I118" s="45"/>
      <c r="J118" s="45"/>
      <c r="K118" s="96"/>
      <c r="L118" s="96"/>
      <c r="M118" s="96"/>
      <c r="N118" s="96"/>
      <c r="O118" s="41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 spans="1:28" ht="15.75" customHeight="1" x14ac:dyDescent="0.2">
      <c r="A119" s="112"/>
      <c r="B119" s="45"/>
      <c r="C119" s="45"/>
      <c r="D119" s="45"/>
      <c r="E119" s="45"/>
      <c r="F119" s="45"/>
      <c r="G119" s="45"/>
      <c r="H119" s="45"/>
      <c r="I119" s="45"/>
      <c r="J119" s="45"/>
      <c r="K119" s="96"/>
      <c r="L119" s="96"/>
      <c r="M119" s="96"/>
      <c r="N119" s="96"/>
      <c r="O119" s="41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 spans="1:28" ht="15.75" customHeight="1" x14ac:dyDescent="0.2">
      <c r="A120" s="112"/>
      <c r="B120" s="45"/>
      <c r="C120" s="45"/>
      <c r="D120" s="45"/>
      <c r="E120" s="45"/>
      <c r="F120" s="45"/>
      <c r="G120" s="45"/>
      <c r="H120" s="45"/>
      <c r="I120" s="45"/>
      <c r="J120" s="45"/>
      <c r="K120" s="96"/>
      <c r="L120" s="96"/>
      <c r="M120" s="96"/>
      <c r="N120" s="96"/>
      <c r="O120" s="41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 spans="1:28" ht="15.75" customHeight="1" x14ac:dyDescent="0.2">
      <c r="A121" s="112"/>
      <c r="B121" s="45"/>
      <c r="C121" s="45"/>
      <c r="D121" s="45"/>
      <c r="E121" s="45"/>
      <c r="F121" s="45"/>
      <c r="G121" s="45"/>
      <c r="H121" s="45"/>
      <c r="I121" s="45"/>
      <c r="J121" s="45"/>
      <c r="K121" s="96"/>
      <c r="L121" s="96"/>
      <c r="M121" s="96"/>
      <c r="N121" s="96"/>
      <c r="O121" s="41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 spans="1:28" ht="15.75" customHeight="1" x14ac:dyDescent="0.2">
      <c r="A122" s="112"/>
      <c r="B122" s="45"/>
      <c r="C122" s="45"/>
      <c r="D122" s="45"/>
      <c r="E122" s="45"/>
      <c r="F122" s="45"/>
      <c r="G122" s="45"/>
      <c r="H122" s="45"/>
      <c r="I122" s="45"/>
      <c r="J122" s="45"/>
      <c r="K122" s="96"/>
      <c r="L122" s="96"/>
      <c r="M122" s="96"/>
      <c r="N122" s="96"/>
      <c r="O122" s="41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 spans="1:28" ht="15.75" customHeight="1" x14ac:dyDescent="0.2">
      <c r="A123" s="112"/>
      <c r="B123" s="45"/>
      <c r="C123" s="45"/>
      <c r="D123" s="45"/>
      <c r="E123" s="45"/>
      <c r="F123" s="45"/>
      <c r="G123" s="45"/>
      <c r="H123" s="45"/>
      <c r="I123" s="45"/>
      <c r="J123" s="45"/>
      <c r="K123" s="96"/>
      <c r="L123" s="96"/>
      <c r="M123" s="96"/>
      <c r="N123" s="96"/>
      <c r="O123" s="41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 spans="1:28" ht="15.75" customHeight="1" x14ac:dyDescent="0.2">
      <c r="A124" s="112"/>
      <c r="B124" s="45"/>
      <c r="C124" s="45"/>
      <c r="D124" s="45"/>
      <c r="E124" s="45"/>
      <c r="F124" s="45"/>
      <c r="G124" s="45"/>
      <c r="H124" s="45"/>
      <c r="I124" s="45"/>
      <c r="J124" s="45"/>
      <c r="K124" s="96"/>
      <c r="L124" s="96"/>
      <c r="M124" s="96"/>
      <c r="N124" s="96"/>
      <c r="O124" s="41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 spans="1:28" ht="15.75" customHeight="1" x14ac:dyDescent="0.2">
      <c r="A125" s="112"/>
      <c r="B125" s="45"/>
      <c r="C125" s="45"/>
      <c r="D125" s="45"/>
      <c r="E125" s="45"/>
      <c r="F125" s="45"/>
      <c r="G125" s="45"/>
      <c r="H125" s="45"/>
      <c r="I125" s="45"/>
      <c r="J125" s="45"/>
      <c r="K125" s="96"/>
      <c r="L125" s="96"/>
      <c r="M125" s="96"/>
      <c r="N125" s="96"/>
      <c r="O125" s="41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 spans="1:28" ht="15.75" customHeight="1" x14ac:dyDescent="0.2">
      <c r="A126" s="112"/>
      <c r="B126" s="45"/>
      <c r="C126" s="45"/>
      <c r="D126" s="45"/>
      <c r="E126" s="45"/>
      <c r="F126" s="45"/>
      <c r="G126" s="45"/>
      <c r="H126" s="45"/>
      <c r="I126" s="45"/>
      <c r="J126" s="45"/>
      <c r="K126" s="96"/>
      <c r="L126" s="96"/>
      <c r="M126" s="96"/>
      <c r="N126" s="96"/>
      <c r="O126" s="41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 spans="1:28" ht="15.75" customHeight="1" x14ac:dyDescent="0.2">
      <c r="A127" s="112"/>
      <c r="B127" s="45"/>
      <c r="C127" s="45"/>
      <c r="D127" s="45"/>
      <c r="E127" s="45"/>
      <c r="F127" s="45"/>
      <c r="G127" s="45"/>
      <c r="H127" s="45"/>
      <c r="I127" s="45"/>
      <c r="J127" s="45"/>
      <c r="K127" s="96"/>
      <c r="L127" s="96"/>
      <c r="M127" s="96"/>
      <c r="N127" s="96"/>
      <c r="O127" s="41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 spans="1:28" ht="15.75" customHeight="1" x14ac:dyDescent="0.2">
      <c r="A128" s="112"/>
      <c r="B128" s="45"/>
      <c r="C128" s="45"/>
      <c r="D128" s="45"/>
      <c r="E128" s="45"/>
      <c r="F128" s="45"/>
      <c r="G128" s="45"/>
      <c r="H128" s="45"/>
      <c r="I128" s="45"/>
      <c r="J128" s="45"/>
      <c r="K128" s="96"/>
      <c r="L128" s="96"/>
      <c r="M128" s="96"/>
      <c r="N128" s="96"/>
      <c r="O128" s="41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 spans="1:28" ht="15.75" customHeight="1" x14ac:dyDescent="0.2">
      <c r="A129" s="112"/>
      <c r="B129" s="45"/>
      <c r="C129" s="45"/>
      <c r="D129" s="45"/>
      <c r="E129" s="45"/>
      <c r="F129" s="45"/>
      <c r="G129" s="45"/>
      <c r="H129" s="45"/>
      <c r="I129" s="45"/>
      <c r="J129" s="45"/>
      <c r="K129" s="96"/>
      <c r="L129" s="96"/>
      <c r="M129" s="96"/>
      <c r="N129" s="96"/>
      <c r="O129" s="41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 spans="1:28" ht="15.75" customHeight="1" x14ac:dyDescent="0.2">
      <c r="A130" s="112"/>
      <c r="B130" s="45"/>
      <c r="C130" s="45"/>
      <c r="D130" s="45"/>
      <c r="E130" s="45"/>
      <c r="F130" s="45"/>
      <c r="G130" s="45"/>
      <c r="H130" s="45"/>
      <c r="I130" s="45"/>
      <c r="J130" s="45"/>
      <c r="K130" s="96"/>
      <c r="L130" s="96"/>
      <c r="M130" s="96"/>
      <c r="N130" s="96"/>
      <c r="O130" s="41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 spans="1:28" ht="15" customHeight="1" x14ac:dyDescent="0.2">
      <c r="A131" s="112"/>
      <c r="B131" s="45"/>
      <c r="C131" s="45"/>
      <c r="D131" s="45"/>
      <c r="E131" s="45"/>
      <c r="F131" s="45"/>
      <c r="G131" s="45"/>
      <c r="H131" s="45"/>
      <c r="I131" s="45"/>
      <c r="J131" s="45"/>
      <c r="K131" s="96"/>
      <c r="L131" s="96"/>
      <c r="M131" s="96"/>
      <c r="N131" s="96"/>
      <c r="O131" s="41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 spans="1:28" ht="15" customHeight="1" x14ac:dyDescent="0.2">
      <c r="A132" s="112"/>
      <c r="B132" s="45"/>
      <c r="C132" s="45"/>
      <c r="D132" s="45"/>
      <c r="E132" s="45"/>
      <c r="F132" s="45"/>
      <c r="G132" s="45"/>
      <c r="H132" s="45"/>
      <c r="I132" s="45"/>
      <c r="J132" s="45"/>
      <c r="K132" s="96"/>
      <c r="L132" s="96"/>
      <c r="M132" s="96"/>
      <c r="N132" s="96"/>
      <c r="O132" s="41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 spans="1:28" ht="15" customHeight="1" x14ac:dyDescent="0.2">
      <c r="A133" s="112"/>
      <c r="B133" s="45"/>
      <c r="C133" s="45"/>
      <c r="D133" s="45"/>
      <c r="E133" s="45"/>
      <c r="F133" s="45"/>
      <c r="G133" s="45"/>
      <c r="H133" s="45"/>
      <c r="I133" s="45"/>
      <c r="J133" s="45"/>
      <c r="K133" s="96"/>
      <c r="L133" s="96"/>
      <c r="M133" s="96"/>
      <c r="N133" s="96"/>
      <c r="O133" s="41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 spans="1:28" ht="16.5" x14ac:dyDescent="0.2">
      <c r="A134" s="112"/>
      <c r="B134" s="45"/>
      <c r="C134" s="45"/>
      <c r="D134" s="45"/>
      <c r="E134" s="45"/>
      <c r="F134" s="45"/>
      <c r="G134" s="45"/>
      <c r="H134" s="45"/>
      <c r="I134" s="45"/>
      <c r="J134" s="45"/>
      <c r="K134" s="96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 spans="1:28" ht="16.5" x14ac:dyDescent="0.2">
      <c r="A135" s="112"/>
      <c r="B135" s="45"/>
      <c r="C135" s="45"/>
      <c r="D135" s="45"/>
      <c r="E135" s="45"/>
      <c r="F135" s="45"/>
      <c r="G135" s="45"/>
      <c r="H135" s="45"/>
      <c r="I135" s="45"/>
      <c r="J135" s="45"/>
      <c r="K135" s="96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 spans="1:28" ht="16.5" x14ac:dyDescent="0.2">
      <c r="A136" s="112"/>
      <c r="B136" s="45"/>
      <c r="C136" s="45"/>
      <c r="D136" s="45"/>
      <c r="E136" s="45"/>
      <c r="F136" s="45"/>
      <c r="G136" s="45"/>
      <c r="H136" s="45"/>
      <c r="I136" s="45"/>
      <c r="J136" s="45"/>
      <c r="K136" s="96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 spans="1:28" ht="16.5" x14ac:dyDescent="0.2">
      <c r="A137" s="112"/>
      <c r="B137" s="45"/>
      <c r="C137" s="45"/>
      <c r="D137" s="45"/>
      <c r="E137" s="45"/>
      <c r="F137" s="45"/>
      <c r="G137" s="45"/>
      <c r="H137" s="45"/>
      <c r="I137" s="45"/>
      <c r="J137" s="45"/>
      <c r="K137" s="96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 spans="1:28" ht="16.5" x14ac:dyDescent="0.2">
      <c r="A138" s="112"/>
      <c r="B138" s="45"/>
      <c r="C138" s="45"/>
      <c r="D138" s="45"/>
      <c r="E138" s="45"/>
      <c r="F138" s="45"/>
      <c r="G138" s="45"/>
      <c r="H138" s="45"/>
      <c r="I138" s="45"/>
      <c r="J138" s="45"/>
      <c r="K138" s="96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 spans="1:28" ht="16.5" x14ac:dyDescent="0.2">
      <c r="A139" s="112"/>
      <c r="B139" s="45"/>
      <c r="C139" s="45"/>
      <c r="D139" s="45"/>
      <c r="E139" s="45"/>
      <c r="F139" s="45"/>
      <c r="G139" s="45"/>
      <c r="H139" s="45"/>
      <c r="I139" s="45"/>
      <c r="J139" s="45"/>
      <c r="K139" s="96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 spans="1:28" ht="16.5" x14ac:dyDescent="0.2">
      <c r="A140" s="112"/>
      <c r="B140" s="45"/>
      <c r="C140" s="45"/>
      <c r="D140" s="45"/>
      <c r="E140" s="45"/>
      <c r="F140" s="45"/>
      <c r="G140" s="45"/>
      <c r="H140" s="45"/>
      <c r="I140" s="45"/>
      <c r="J140" s="45"/>
      <c r="K140" s="96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 spans="1:28" ht="16.5" x14ac:dyDescent="0.2">
      <c r="A141" s="112"/>
      <c r="B141" s="45"/>
      <c r="C141" s="45"/>
      <c r="D141" s="45"/>
      <c r="E141" s="45"/>
      <c r="F141" s="45"/>
      <c r="G141" s="45"/>
      <c r="H141" s="45"/>
      <c r="I141" s="45"/>
      <c r="J141" s="45"/>
      <c r="K141" s="96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 spans="1:28" ht="16.5" x14ac:dyDescent="0.2">
      <c r="A142" s="112"/>
      <c r="B142" s="45"/>
      <c r="C142" s="45"/>
      <c r="D142" s="45"/>
      <c r="E142" s="45"/>
      <c r="F142" s="45"/>
      <c r="G142" s="45"/>
      <c r="H142" s="45"/>
      <c r="I142" s="45"/>
      <c r="J142" s="45"/>
      <c r="K142" s="96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 spans="1:28" ht="16.5" x14ac:dyDescent="0.2">
      <c r="A143" s="112"/>
      <c r="B143" s="45"/>
      <c r="C143" s="45"/>
      <c r="D143" s="45"/>
      <c r="E143" s="45"/>
      <c r="F143" s="45"/>
      <c r="G143" s="45"/>
      <c r="H143" s="45"/>
      <c r="I143" s="45"/>
      <c r="J143" s="45"/>
      <c r="K143" s="96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 spans="1:28" ht="16.5" x14ac:dyDescent="0.2">
      <c r="A144" s="112"/>
      <c r="B144" s="45"/>
      <c r="C144" s="45"/>
      <c r="D144" s="45"/>
      <c r="E144" s="45"/>
      <c r="F144" s="45"/>
      <c r="G144" s="45"/>
      <c r="H144" s="45"/>
      <c r="I144" s="45"/>
      <c r="J144" s="45"/>
      <c r="K144" s="96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 spans="1:28" ht="16.5" x14ac:dyDescent="0.2">
      <c r="A145" s="112"/>
      <c r="B145" s="45"/>
      <c r="C145" s="45"/>
      <c r="D145" s="45"/>
      <c r="E145" s="45"/>
      <c r="F145" s="45"/>
      <c r="G145" s="45"/>
      <c r="H145" s="45"/>
      <c r="I145" s="45"/>
      <c r="J145" s="45"/>
      <c r="K145" s="96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 spans="1:28" ht="16.5" x14ac:dyDescent="0.2">
      <c r="A146" s="112"/>
      <c r="B146" s="45"/>
      <c r="C146" s="45"/>
      <c r="D146" s="45"/>
      <c r="E146" s="45"/>
      <c r="F146" s="45"/>
      <c r="G146" s="45"/>
      <c r="H146" s="45"/>
      <c r="I146" s="45"/>
      <c r="J146" s="45"/>
      <c r="K146" s="96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 spans="1:28" ht="16.5" x14ac:dyDescent="0.2">
      <c r="A147" s="112"/>
      <c r="B147" s="45"/>
      <c r="C147" s="45"/>
      <c r="D147" s="45"/>
      <c r="E147" s="45"/>
      <c r="F147" s="45"/>
      <c r="G147" s="45"/>
      <c r="H147" s="45"/>
      <c r="I147" s="45"/>
      <c r="J147" s="45"/>
      <c r="K147" s="96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 spans="1:28" ht="16.5" x14ac:dyDescent="0.2">
      <c r="A148" s="112"/>
      <c r="B148" s="45"/>
      <c r="C148" s="45"/>
      <c r="D148" s="45"/>
      <c r="E148" s="45"/>
      <c r="F148" s="45"/>
      <c r="G148" s="45"/>
      <c r="H148" s="45"/>
      <c r="I148" s="45"/>
      <c r="J148" s="45"/>
      <c r="K148" s="96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 spans="1:28" ht="16.5" x14ac:dyDescent="0.2">
      <c r="A149" s="112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 spans="1:28" ht="16.5" x14ac:dyDescent="0.2">
      <c r="A150" s="112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 spans="1:28" ht="16.5" x14ac:dyDescent="0.2">
      <c r="A151" s="112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 spans="1:28" ht="16.5" x14ac:dyDescent="0.2">
      <c r="A152" s="112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 spans="1:28" ht="16.5" x14ac:dyDescent="0.2">
      <c r="A153" s="112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 spans="1:28" ht="16.5" x14ac:dyDescent="0.2">
      <c r="A154" s="112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 spans="1:28" ht="16.5" x14ac:dyDescent="0.2">
      <c r="A155" s="112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 spans="1:28" ht="16.5" x14ac:dyDescent="0.2">
      <c r="A156" s="112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 spans="1:28" ht="16.5" x14ac:dyDescent="0.2">
      <c r="A157" s="112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 spans="1:28" ht="16.5" x14ac:dyDescent="0.2">
      <c r="A158" s="112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 spans="1:28" ht="16.5" x14ac:dyDescent="0.2">
      <c r="A159" s="112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 spans="1:28" ht="16.5" x14ac:dyDescent="0.2">
      <c r="A160" s="112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 spans="1:28" ht="16.5" x14ac:dyDescent="0.2">
      <c r="A161" s="112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 spans="1:28" ht="16.5" x14ac:dyDescent="0.2">
      <c r="A162" s="112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 spans="1:28" ht="16.5" x14ac:dyDescent="0.2">
      <c r="A163" s="112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 spans="1:28" ht="16.5" x14ac:dyDescent="0.2">
      <c r="A164" s="112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 spans="1:28" ht="16.5" x14ac:dyDescent="0.2">
      <c r="A165" s="112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 spans="1:28" ht="16.5" x14ac:dyDescent="0.2">
      <c r="A166" s="112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 spans="1:28" ht="16.5" x14ac:dyDescent="0.2">
      <c r="A167" s="112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 spans="1:28" ht="16.5" x14ac:dyDescent="0.2">
      <c r="A168" s="112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 spans="1:28" ht="16.5" x14ac:dyDescent="0.2">
      <c r="A169" s="112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 spans="1:28" ht="16.5" x14ac:dyDescent="0.2">
      <c r="A170" s="112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 spans="1:28" ht="16.5" x14ac:dyDescent="0.2">
      <c r="A171" s="112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 spans="1:28" ht="16.5" x14ac:dyDescent="0.2">
      <c r="A172" s="112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 spans="1:28" ht="16.5" x14ac:dyDescent="0.2">
      <c r="A173" s="112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 spans="1:28" ht="16.5" x14ac:dyDescent="0.2">
      <c r="A174" s="112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 spans="1:28" ht="16.5" x14ac:dyDescent="0.2">
      <c r="A175" s="112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 spans="1:28" ht="16.5" x14ac:dyDescent="0.2">
      <c r="A176" s="112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 spans="1:28" ht="16.5" x14ac:dyDescent="0.2">
      <c r="A177" s="112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 spans="1:28" ht="16.5" x14ac:dyDescent="0.2">
      <c r="A178" s="112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 spans="1:28" ht="16.5" x14ac:dyDescent="0.2">
      <c r="A179" s="112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 spans="1:28" ht="16.5" x14ac:dyDescent="0.2">
      <c r="A180" s="112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 spans="1:28" ht="16.5" x14ac:dyDescent="0.2">
      <c r="A181" s="112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 spans="1:28" ht="16.5" x14ac:dyDescent="0.2">
      <c r="A182" s="112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 spans="1:28" ht="16.5" x14ac:dyDescent="0.2">
      <c r="A183" s="112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 spans="1:28" ht="16.5" x14ac:dyDescent="0.2">
      <c r="A184" s="112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 spans="1:28" ht="16.5" x14ac:dyDescent="0.2">
      <c r="A185" s="112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 spans="1:28" ht="16.5" x14ac:dyDescent="0.2">
      <c r="A186" s="112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 spans="1:28" ht="16.5" x14ac:dyDescent="0.2">
      <c r="A187" s="112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 spans="1:28" ht="16.5" x14ac:dyDescent="0.2">
      <c r="A188" s="112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 spans="1:28" ht="16.5" x14ac:dyDescent="0.2">
      <c r="A189" s="112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 spans="1:28" ht="16.5" x14ac:dyDescent="0.2">
      <c r="A190" s="112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 spans="1:28" ht="16.5" x14ac:dyDescent="0.2">
      <c r="A191" s="112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 spans="1:28" ht="16.5" x14ac:dyDescent="0.2">
      <c r="A192" s="112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 spans="1:28" ht="16.5" x14ac:dyDescent="0.2">
      <c r="A193" s="112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 spans="1:28" ht="16.5" x14ac:dyDescent="0.2">
      <c r="A194" s="112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 spans="1:28" ht="16.5" x14ac:dyDescent="0.2">
      <c r="A195" s="112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 spans="1:28" ht="16.5" x14ac:dyDescent="0.2">
      <c r="A196" s="112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 spans="1:28" ht="16.5" x14ac:dyDescent="0.2">
      <c r="A197" s="112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 spans="1:28" ht="16.5" x14ac:dyDescent="0.2">
      <c r="A198" s="112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 spans="1:28" ht="16.5" x14ac:dyDescent="0.2">
      <c r="A199" s="112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 spans="1:28" ht="16.5" x14ac:dyDescent="0.2">
      <c r="A200" s="112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 spans="1:28" ht="16.5" x14ac:dyDescent="0.2">
      <c r="A201" s="112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 spans="1:28" ht="16.5" x14ac:dyDescent="0.2">
      <c r="A202" s="112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 spans="1:28" ht="16.5" x14ac:dyDescent="0.2">
      <c r="A203" s="112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 spans="1:28" ht="16.5" x14ac:dyDescent="0.2">
      <c r="A204" s="112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 spans="1:28" ht="16.5" x14ac:dyDescent="0.2">
      <c r="A205" s="112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 spans="1:28" ht="16.5" x14ac:dyDescent="0.2">
      <c r="A206" s="112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 spans="1:28" ht="16.5" x14ac:dyDescent="0.2">
      <c r="A207" s="112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 spans="1:28" ht="16.5" x14ac:dyDescent="0.2">
      <c r="A208" s="112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 spans="1:28" ht="16.5" x14ac:dyDescent="0.2">
      <c r="A209" s="112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 spans="1:28" ht="16.5" x14ac:dyDescent="0.2">
      <c r="A210" s="112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 spans="1:28" ht="16.5" x14ac:dyDescent="0.2">
      <c r="A211" s="112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 spans="1:28" ht="16.5" x14ac:dyDescent="0.2">
      <c r="A212" s="112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 spans="1:28" ht="16.5" x14ac:dyDescent="0.2">
      <c r="A213" s="112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 spans="1:28" ht="16.5" x14ac:dyDescent="0.2">
      <c r="A214" s="112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 spans="1:28" ht="16.5" x14ac:dyDescent="0.2">
      <c r="A215" s="112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 spans="1:28" ht="16.5" x14ac:dyDescent="0.2">
      <c r="A216" s="112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 spans="1:28" ht="16.5" x14ac:dyDescent="0.2">
      <c r="A217" s="112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 spans="1:28" ht="16.5" x14ac:dyDescent="0.2">
      <c r="A218" s="112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 spans="1:28" ht="16.5" x14ac:dyDescent="0.2">
      <c r="A219" s="112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 spans="1:28" ht="16.5" x14ac:dyDescent="0.2">
      <c r="A220" s="112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 spans="1:28" ht="16.5" x14ac:dyDescent="0.2">
      <c r="A221" s="112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 spans="1:28" ht="16.5" x14ac:dyDescent="0.2">
      <c r="A222" s="112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 spans="1:28" ht="16.5" x14ac:dyDescent="0.2">
      <c r="A223" s="112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 spans="1:28" ht="16.5" x14ac:dyDescent="0.2">
      <c r="A224" s="112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 spans="1:28" ht="16.5" x14ac:dyDescent="0.2">
      <c r="A225" s="112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 spans="1:28" ht="16.5" x14ac:dyDescent="0.2">
      <c r="A226" s="112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 spans="1:28" ht="16.5" x14ac:dyDescent="0.2">
      <c r="A227" s="112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 spans="1:28" ht="16.5" x14ac:dyDescent="0.2">
      <c r="A228" s="112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 spans="1:28" ht="16.5" x14ac:dyDescent="0.2">
      <c r="A229" s="112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 spans="1:28" ht="16.5" x14ac:dyDescent="0.2">
      <c r="A230" s="112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 spans="1:28" ht="16.5" x14ac:dyDescent="0.2">
      <c r="A231" s="112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 spans="1:28" ht="16.5" x14ac:dyDescent="0.2">
      <c r="A232" s="112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 spans="1:28" ht="16.5" x14ac:dyDescent="0.2">
      <c r="A233" s="112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ht="16.5" x14ac:dyDescent="0.2">
      <c r="A234" s="112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ht="16.5" x14ac:dyDescent="0.2">
      <c r="A235" s="112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 spans="1:28" ht="16.5" x14ac:dyDescent="0.2">
      <c r="A236" s="112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 spans="1:28" ht="16.5" x14ac:dyDescent="0.2">
      <c r="A237" s="112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 spans="1:28" ht="16.5" x14ac:dyDescent="0.2">
      <c r="A238" s="112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 spans="1:28" ht="16.5" x14ac:dyDescent="0.2">
      <c r="A239" s="112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 spans="1:28" ht="16.5" x14ac:dyDescent="0.2">
      <c r="A240" s="112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 spans="1:28" ht="16.5" x14ac:dyDescent="0.2">
      <c r="A241" s="112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 spans="1:28" ht="16.5" x14ac:dyDescent="0.2">
      <c r="A242" s="112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 spans="1:28" ht="16.5" x14ac:dyDescent="0.2">
      <c r="A243" s="112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 spans="1:28" ht="16.5" x14ac:dyDescent="0.2">
      <c r="A244" s="112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 spans="1:28" ht="16.5" x14ac:dyDescent="0.2">
      <c r="A245" s="112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 spans="1:28" ht="16.5" x14ac:dyDescent="0.2">
      <c r="A246" s="112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 spans="1:28" ht="16.5" x14ac:dyDescent="0.2">
      <c r="A247" s="112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 spans="1:28" ht="16.5" x14ac:dyDescent="0.2">
      <c r="A248" s="112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 spans="1:28" ht="16.5" x14ac:dyDescent="0.2">
      <c r="A249" s="112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 spans="1:28" ht="16.5" x14ac:dyDescent="0.2">
      <c r="A250" s="112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 spans="1:28" ht="16.5" x14ac:dyDescent="0.2">
      <c r="A251" s="112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 spans="1:28" ht="16.5" x14ac:dyDescent="0.2">
      <c r="A252" s="112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 spans="1:28" ht="16.5" x14ac:dyDescent="0.2">
      <c r="A253" s="112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 spans="1:28" ht="16.5" x14ac:dyDescent="0.2">
      <c r="A254" s="112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 spans="1:28" ht="16.5" x14ac:dyDescent="0.2">
      <c r="A255" s="112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 spans="1:28" ht="16.5" x14ac:dyDescent="0.2">
      <c r="A256" s="112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 spans="1:28" ht="16.5" x14ac:dyDescent="0.2">
      <c r="A257" s="112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 spans="1:28" ht="16.5" x14ac:dyDescent="0.2">
      <c r="A258" s="112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 spans="1:28" ht="16.5" x14ac:dyDescent="0.2">
      <c r="A259" s="112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 spans="1:28" ht="16.5" x14ac:dyDescent="0.2">
      <c r="A260" s="112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 spans="1:28" ht="16.5" x14ac:dyDescent="0.2">
      <c r="A261" s="112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 spans="1:28" ht="16.5" x14ac:dyDescent="0.2">
      <c r="A262" s="112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 spans="1:28" ht="16.5" x14ac:dyDescent="0.2">
      <c r="A263" s="112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 spans="1:28" ht="16.5" x14ac:dyDescent="0.2">
      <c r="A264" s="112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 spans="1:28" ht="16.5" x14ac:dyDescent="0.2">
      <c r="A265" s="112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 spans="1:28" ht="16.5" x14ac:dyDescent="0.2">
      <c r="A266" s="112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 spans="1:28" ht="16.5" x14ac:dyDescent="0.2">
      <c r="A267" s="112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 spans="1:28" ht="16.5" x14ac:dyDescent="0.2">
      <c r="A268" s="112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 spans="1:28" ht="16.5" x14ac:dyDescent="0.2">
      <c r="A269" s="112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 spans="1:28" ht="16.5" x14ac:dyDescent="0.2">
      <c r="A270" s="112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 spans="1:28" ht="16.5" x14ac:dyDescent="0.2">
      <c r="A271" s="112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 spans="1:28" ht="16.5" x14ac:dyDescent="0.2">
      <c r="A272" s="112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 spans="1:28" ht="16.5" x14ac:dyDescent="0.2">
      <c r="A273" s="112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 spans="1:28" ht="16.5" x14ac:dyDescent="0.2">
      <c r="A274" s="112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 spans="1:28" ht="16.5" x14ac:dyDescent="0.2">
      <c r="A275" s="112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 spans="1:28" ht="16.5" x14ac:dyDescent="0.2">
      <c r="A276" s="112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 spans="1:28" ht="16.5" x14ac:dyDescent="0.2">
      <c r="A277" s="112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 spans="1:28" ht="16.5" x14ac:dyDescent="0.2">
      <c r="A278" s="112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 spans="1:28" ht="16.5" x14ac:dyDescent="0.2">
      <c r="A279" s="112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 spans="1:28" ht="16.5" x14ac:dyDescent="0.2">
      <c r="A280" s="112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 spans="1:28" ht="16.5" x14ac:dyDescent="0.2">
      <c r="A281" s="112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 spans="1:28" ht="16.5" x14ac:dyDescent="0.2">
      <c r="A282" s="112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 spans="1:28" ht="16.5" x14ac:dyDescent="0.2">
      <c r="A283" s="112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 spans="1:28" ht="16.5" x14ac:dyDescent="0.2">
      <c r="A284" s="112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 spans="1:28" ht="16.5" x14ac:dyDescent="0.2">
      <c r="A285" s="112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 spans="1:28" ht="16.5" x14ac:dyDescent="0.2">
      <c r="A286" s="112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 spans="1:28" ht="16.5" x14ac:dyDescent="0.2">
      <c r="A287" s="112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 spans="1:28" ht="16.5" x14ac:dyDescent="0.2">
      <c r="A288" s="112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 spans="1:28" ht="16.5" x14ac:dyDescent="0.2">
      <c r="A289" s="112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 spans="1:28" ht="16.5" x14ac:dyDescent="0.2">
      <c r="A290" s="112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 spans="1:28" ht="16.5" x14ac:dyDescent="0.2">
      <c r="A291" s="112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 spans="1:28" ht="16.5" x14ac:dyDescent="0.2">
      <c r="A292" s="112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 spans="1:28" ht="16.5" x14ac:dyDescent="0.2">
      <c r="A293" s="112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 spans="1:28" ht="16.5" x14ac:dyDescent="0.2">
      <c r="A294" s="112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ht="16.5" x14ac:dyDescent="0.2">
      <c r="A295" s="112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ht="16.5" x14ac:dyDescent="0.2">
      <c r="A296" s="112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 spans="1:28" ht="16.5" x14ac:dyDescent="0.2">
      <c r="A297" s="112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 spans="1:28" ht="16.5" x14ac:dyDescent="0.2">
      <c r="A298" s="112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 spans="1:28" ht="16.5" x14ac:dyDescent="0.2">
      <c r="A299" s="112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 spans="1:28" ht="16.5" x14ac:dyDescent="0.2">
      <c r="A300" s="112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 spans="1:28" ht="16.5" x14ac:dyDescent="0.2">
      <c r="A301" s="112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 spans="1:28" ht="16.5" x14ac:dyDescent="0.2">
      <c r="A302" s="112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 spans="1:28" ht="16.5" x14ac:dyDescent="0.2">
      <c r="A303" s="112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 spans="1:28" ht="16.5" x14ac:dyDescent="0.2">
      <c r="A304" s="112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 spans="1:28" ht="16.5" x14ac:dyDescent="0.2">
      <c r="A305" s="112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 spans="1:28" ht="16.5" x14ac:dyDescent="0.2">
      <c r="A306" s="112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 spans="1:28" ht="16.5" x14ac:dyDescent="0.2">
      <c r="A307" s="112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 spans="1:28" ht="16.5" x14ac:dyDescent="0.2">
      <c r="A308" s="112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 spans="1:28" ht="16.5" x14ac:dyDescent="0.2">
      <c r="A309" s="112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 spans="1:28" ht="16.5" x14ac:dyDescent="0.2">
      <c r="A310" s="112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 spans="1:28" ht="16.5" x14ac:dyDescent="0.2">
      <c r="A311" s="112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 spans="1:28" ht="16.5" x14ac:dyDescent="0.2">
      <c r="A312" s="112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 spans="1:28" ht="16.5" x14ac:dyDescent="0.2">
      <c r="A313" s="112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 spans="1:28" ht="16.5" x14ac:dyDescent="0.2">
      <c r="A314" s="112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 spans="1:28" ht="16.5" x14ac:dyDescent="0.2">
      <c r="A315" s="112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 spans="1:28" ht="16.5" x14ac:dyDescent="0.2">
      <c r="A316" s="112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 spans="1:28" ht="16.5" x14ac:dyDescent="0.2">
      <c r="A317" s="112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 spans="1:28" ht="16.5" x14ac:dyDescent="0.2">
      <c r="A318" s="112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 spans="1:28" ht="16.5" x14ac:dyDescent="0.2">
      <c r="A319" s="112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 spans="1:28" ht="16.5" x14ac:dyDescent="0.2">
      <c r="A320" s="112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 spans="1:28" ht="16.5" x14ac:dyDescent="0.2">
      <c r="A321" s="112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 spans="1:28" ht="16.5" x14ac:dyDescent="0.2">
      <c r="A322" s="112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 spans="1:28" ht="16.5" x14ac:dyDescent="0.2">
      <c r="A323" s="112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 spans="1:28" ht="16.5" x14ac:dyDescent="0.2">
      <c r="A324" s="112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 spans="1:28" ht="16.5" x14ac:dyDescent="0.2">
      <c r="A325" s="112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 spans="1:28" ht="16.5" x14ac:dyDescent="0.2">
      <c r="A326" s="112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 spans="1:28" ht="16.5" x14ac:dyDescent="0.2">
      <c r="A327" s="112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 spans="1:28" ht="16.5" x14ac:dyDescent="0.2">
      <c r="A328" s="112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 spans="1:28" ht="16.5" x14ac:dyDescent="0.2">
      <c r="A329" s="112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 spans="1:28" ht="16.5" x14ac:dyDescent="0.2">
      <c r="A330" s="112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 spans="1:28" ht="16.5" x14ac:dyDescent="0.2">
      <c r="A331" s="112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 spans="1:28" ht="16.5" x14ac:dyDescent="0.2">
      <c r="A332" s="112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 spans="1:28" ht="16.5" x14ac:dyDescent="0.2">
      <c r="A333" s="112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 spans="1:28" ht="16.5" x14ac:dyDescent="0.2">
      <c r="A334" s="112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 spans="1:28" ht="16.5" x14ac:dyDescent="0.2">
      <c r="A335" s="112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 spans="1:28" ht="16.5" x14ac:dyDescent="0.2">
      <c r="A336" s="112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 spans="1:28" ht="16.5" x14ac:dyDescent="0.2">
      <c r="A337" s="112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 spans="1:28" ht="16.5" x14ac:dyDescent="0.2">
      <c r="A338" s="112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 spans="1:28" ht="16.5" x14ac:dyDescent="0.2">
      <c r="A339" s="112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 spans="1:28" ht="16.5" x14ac:dyDescent="0.2">
      <c r="A340" s="112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 spans="1:28" ht="16.5" x14ac:dyDescent="0.2">
      <c r="A341" s="112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 spans="1:28" ht="16.5" x14ac:dyDescent="0.2">
      <c r="A342" s="112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 spans="1:28" ht="16.5" x14ac:dyDescent="0.2">
      <c r="A343" s="112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 spans="1:28" ht="16.5" x14ac:dyDescent="0.2">
      <c r="A344" s="112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 spans="1:28" ht="16.5" x14ac:dyDescent="0.2">
      <c r="A345" s="112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 spans="1:28" ht="16.5" x14ac:dyDescent="0.2">
      <c r="A346" s="112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 spans="1:28" ht="16.5" x14ac:dyDescent="0.2">
      <c r="A347" s="112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 spans="1:28" ht="16.5" x14ac:dyDescent="0.2">
      <c r="A348" s="112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 spans="1:28" ht="16.5" x14ac:dyDescent="0.2">
      <c r="A349" s="112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 spans="1:28" ht="16.5" x14ac:dyDescent="0.2">
      <c r="A350" s="112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 spans="1:28" ht="16.5" x14ac:dyDescent="0.2">
      <c r="A351" s="112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 spans="1:28" ht="16.5" x14ac:dyDescent="0.2">
      <c r="A352" s="112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 spans="1:28" ht="16.5" x14ac:dyDescent="0.2">
      <c r="A353" s="112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 spans="1:28" ht="16.5" x14ac:dyDescent="0.2">
      <c r="A354" s="112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 spans="1:28" ht="16.5" x14ac:dyDescent="0.2">
      <c r="A355" s="112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 spans="1:28" ht="16.5" x14ac:dyDescent="0.2">
      <c r="A356" s="112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 spans="1:28" ht="16.5" x14ac:dyDescent="0.2">
      <c r="A357" s="112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 spans="1:28" ht="16.5" x14ac:dyDescent="0.2">
      <c r="A358" s="112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 spans="1:28" ht="16.5" x14ac:dyDescent="0.2">
      <c r="A359" s="112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 spans="1:28" ht="16.5" x14ac:dyDescent="0.2">
      <c r="A360" s="112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 spans="1:28" ht="16.5" x14ac:dyDescent="0.2">
      <c r="A361" s="112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 spans="1:28" ht="16.5" x14ac:dyDescent="0.2">
      <c r="A362" s="112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 spans="1:28" ht="16.5" x14ac:dyDescent="0.2">
      <c r="A363" s="112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 spans="1:28" ht="16.5" x14ac:dyDescent="0.2">
      <c r="A364" s="112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 spans="1:28" ht="16.5" x14ac:dyDescent="0.2">
      <c r="A365" s="112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 spans="1:28" ht="16.5" x14ac:dyDescent="0.2">
      <c r="A366" s="112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 spans="1:28" ht="16.5" x14ac:dyDescent="0.2">
      <c r="A367" s="112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 spans="1:28" ht="16.5" x14ac:dyDescent="0.2">
      <c r="A368" s="112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 spans="1:28" ht="16.5" x14ac:dyDescent="0.2">
      <c r="A369" s="112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 spans="1:28" ht="16.5" x14ac:dyDescent="0.2">
      <c r="A370" s="112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 spans="1:28" ht="16.5" x14ac:dyDescent="0.2">
      <c r="A371" s="112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 spans="1:28" ht="16.5" x14ac:dyDescent="0.2">
      <c r="A372" s="112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 spans="1:28" ht="16.5" x14ac:dyDescent="0.2">
      <c r="A373" s="112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 spans="1:28" ht="16.5" x14ac:dyDescent="0.2">
      <c r="A374" s="112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 spans="1:28" ht="16.5" x14ac:dyDescent="0.2">
      <c r="A375" s="112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 spans="1:28" ht="16.5" x14ac:dyDescent="0.2">
      <c r="A376" s="112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 spans="1:28" ht="16.5" x14ac:dyDescent="0.2">
      <c r="A377" s="112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 spans="1:28" ht="16.5" x14ac:dyDescent="0.2">
      <c r="A378" s="112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 spans="1:28" ht="16.5" x14ac:dyDescent="0.2">
      <c r="A379" s="112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 spans="1:28" ht="16.5" x14ac:dyDescent="0.2">
      <c r="A380" s="112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 spans="1:28" ht="16.5" x14ac:dyDescent="0.2">
      <c r="A381" s="112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 spans="1:28" ht="16.5" x14ac:dyDescent="0.2">
      <c r="A382" s="112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 spans="1:28" ht="16.5" x14ac:dyDescent="0.2">
      <c r="A383" s="112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 spans="1:28" ht="16.5" x14ac:dyDescent="0.2">
      <c r="A384" s="112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 spans="1:28" ht="16.5" x14ac:dyDescent="0.2">
      <c r="A385" s="112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 spans="1:28" ht="16.5" x14ac:dyDescent="0.2">
      <c r="A386" s="112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 spans="1:28" ht="16.5" x14ac:dyDescent="0.2">
      <c r="A387" s="112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 spans="1:28" ht="16.5" x14ac:dyDescent="0.2">
      <c r="A388" s="112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 spans="1:28" ht="16.5" x14ac:dyDescent="0.2">
      <c r="A389" s="112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 spans="1:28" ht="16.5" x14ac:dyDescent="0.2">
      <c r="A390" s="112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 spans="1:28" ht="16.5" x14ac:dyDescent="0.2">
      <c r="A391" s="112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 spans="1:28" ht="16.5" x14ac:dyDescent="0.2">
      <c r="A392" s="112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 spans="1:28" ht="16.5" x14ac:dyDescent="0.2">
      <c r="A393" s="112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 spans="1:28" ht="16.5" x14ac:dyDescent="0.2">
      <c r="A394" s="112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 spans="1:28" ht="16.5" x14ac:dyDescent="0.2">
      <c r="A395" s="112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 spans="1:28" ht="16.5" x14ac:dyDescent="0.2">
      <c r="A396" s="112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 spans="1:28" ht="16.5" x14ac:dyDescent="0.2">
      <c r="A397" s="112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 spans="1:28" ht="16.5" x14ac:dyDescent="0.2">
      <c r="A398" s="112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 spans="1:28" ht="16.5" x14ac:dyDescent="0.2">
      <c r="A399" s="112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 spans="1:28" ht="16.5" x14ac:dyDescent="0.2">
      <c r="A400" s="112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 spans="1:28" ht="16.5" x14ac:dyDescent="0.2">
      <c r="A401" s="112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 spans="1:28" ht="16.5" x14ac:dyDescent="0.2">
      <c r="A402" s="112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 spans="1:28" ht="16.5" x14ac:dyDescent="0.2">
      <c r="A403" s="112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 spans="1:28" ht="16.5" x14ac:dyDescent="0.2">
      <c r="A404" s="112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 spans="1:28" ht="16.5" x14ac:dyDescent="0.2">
      <c r="A405" s="112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 spans="1:28" ht="16.5" x14ac:dyDescent="0.2">
      <c r="A406" s="112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 spans="1:28" ht="16.5" x14ac:dyDescent="0.2">
      <c r="A407" s="112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 spans="1:28" ht="16.5" x14ac:dyDescent="0.2">
      <c r="A408" s="112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 spans="1:28" ht="16.5" x14ac:dyDescent="0.2">
      <c r="A409" s="112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 spans="1:28" ht="16.5" x14ac:dyDescent="0.2">
      <c r="A410" s="112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 spans="1:28" ht="16.5" x14ac:dyDescent="0.2">
      <c r="A411" s="112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 spans="1:28" ht="16.5" x14ac:dyDescent="0.2">
      <c r="A412" s="112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 spans="1:28" ht="16.5" x14ac:dyDescent="0.2">
      <c r="A413" s="112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 spans="1:28" ht="16.5" x14ac:dyDescent="0.2">
      <c r="A414" s="112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 spans="1:28" ht="16.5" x14ac:dyDescent="0.2">
      <c r="A415" s="112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 spans="1:28" ht="16.5" x14ac:dyDescent="0.2">
      <c r="A416" s="112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 spans="1:28" ht="16.5" x14ac:dyDescent="0.2">
      <c r="A417" s="112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 spans="1:28" ht="16.5" x14ac:dyDescent="0.2">
      <c r="A418" s="112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 spans="1:28" ht="16.5" x14ac:dyDescent="0.2">
      <c r="A419" s="112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 spans="1:28" ht="16.5" x14ac:dyDescent="0.2">
      <c r="A420" s="112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 spans="1:28" ht="16.5" x14ac:dyDescent="0.2">
      <c r="A421" s="112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 spans="1:28" ht="16.5" x14ac:dyDescent="0.2">
      <c r="A422" s="112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 spans="1:28" ht="16.5" x14ac:dyDescent="0.2">
      <c r="A423" s="112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 spans="1:28" ht="16.5" x14ac:dyDescent="0.2">
      <c r="A424" s="112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 spans="1:28" ht="16.5" x14ac:dyDescent="0.2">
      <c r="A425" s="112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 spans="1:28" ht="16.5" x14ac:dyDescent="0.2">
      <c r="A426" s="112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 spans="1:28" ht="16.5" x14ac:dyDescent="0.2">
      <c r="A427" s="112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 spans="1:28" ht="16.5" x14ac:dyDescent="0.2">
      <c r="A428" s="112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 spans="1:28" ht="16.5" x14ac:dyDescent="0.2">
      <c r="A429" s="112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 spans="1:28" ht="16.5" x14ac:dyDescent="0.2">
      <c r="A430" s="112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 spans="1:28" ht="16.5" x14ac:dyDescent="0.2">
      <c r="A431" s="112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 spans="1:28" ht="16.5" x14ac:dyDescent="0.2">
      <c r="A432" s="112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 spans="1:28" ht="16.5" x14ac:dyDescent="0.2">
      <c r="A433" s="112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 spans="1:28" ht="16.5" x14ac:dyDescent="0.2">
      <c r="A434" s="112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 spans="1:28" ht="16.5" x14ac:dyDescent="0.2">
      <c r="A435" s="112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 spans="1:28" ht="16.5" x14ac:dyDescent="0.2">
      <c r="A436" s="112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 spans="1:28" ht="16.5" x14ac:dyDescent="0.2">
      <c r="A437" s="112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 spans="1:28" ht="16.5" x14ac:dyDescent="0.2">
      <c r="A438" s="112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 spans="1:28" ht="16.5" x14ac:dyDescent="0.2">
      <c r="A439" s="112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 spans="1:28" ht="16.5" x14ac:dyDescent="0.2">
      <c r="A440" s="112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 spans="1:28" ht="16.5" x14ac:dyDescent="0.2">
      <c r="A441" s="112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 spans="1:28" ht="16.5" x14ac:dyDescent="0.2">
      <c r="A442" s="112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 spans="1:28" ht="16.5" x14ac:dyDescent="0.2">
      <c r="A443" s="112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 spans="1:28" ht="16.5" x14ac:dyDescent="0.2">
      <c r="A444" s="112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 spans="1:28" ht="16.5" x14ac:dyDescent="0.2">
      <c r="A445" s="112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 spans="1:28" ht="16.5" x14ac:dyDescent="0.2">
      <c r="A446" s="112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 spans="1:28" ht="16.5" x14ac:dyDescent="0.2">
      <c r="A447" s="112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 spans="1:28" ht="16.5" x14ac:dyDescent="0.2">
      <c r="A448" s="112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 spans="1:28" ht="16.5" x14ac:dyDescent="0.2">
      <c r="A449" s="112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 spans="1:28" ht="16.5" x14ac:dyDescent="0.2">
      <c r="A450" s="112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 spans="1:28" ht="16.5" x14ac:dyDescent="0.2">
      <c r="A451" s="112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 spans="1:28" ht="16.5" x14ac:dyDescent="0.2">
      <c r="A452" s="112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 spans="1:28" ht="16.5" x14ac:dyDescent="0.2">
      <c r="A453" s="112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 spans="1:28" ht="16.5" x14ac:dyDescent="0.2">
      <c r="A454" s="112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 spans="1:28" ht="16.5" x14ac:dyDescent="0.2">
      <c r="A455" s="112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 spans="1:28" ht="16.5" x14ac:dyDescent="0.2">
      <c r="A456" s="112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 spans="1:28" ht="16.5" x14ac:dyDescent="0.2">
      <c r="A457" s="112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 spans="1:28" ht="16.5" x14ac:dyDescent="0.2">
      <c r="A458" s="112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 spans="1:28" ht="16.5" x14ac:dyDescent="0.2">
      <c r="A459" s="112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 spans="1:28" ht="16.5" x14ac:dyDescent="0.2">
      <c r="A460" s="112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 spans="1:28" ht="16.5" x14ac:dyDescent="0.2">
      <c r="A461" s="112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 spans="1:28" ht="16.5" x14ac:dyDescent="0.2">
      <c r="A462" s="112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 spans="1:28" ht="16.5" x14ac:dyDescent="0.2">
      <c r="A463" s="112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 spans="1:28" ht="16.5" x14ac:dyDescent="0.2">
      <c r="A464" s="112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 spans="1:28" ht="16.5" x14ac:dyDescent="0.2">
      <c r="A465" s="112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 spans="1:28" ht="16.5" x14ac:dyDescent="0.2">
      <c r="A466" s="112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 spans="1:28" ht="16.5" x14ac:dyDescent="0.2">
      <c r="A467" s="112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 spans="1:28" ht="16.5" x14ac:dyDescent="0.2">
      <c r="A468" s="112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 spans="1:28" ht="16.5" x14ac:dyDescent="0.2">
      <c r="A469" s="112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 spans="1:28" ht="16.5" x14ac:dyDescent="0.2">
      <c r="A470" s="112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 spans="1:28" ht="16.5" x14ac:dyDescent="0.2">
      <c r="A471" s="112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 spans="1:28" ht="16.5" x14ac:dyDescent="0.2">
      <c r="A472" s="112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 spans="1:28" ht="16.5" x14ac:dyDescent="0.2">
      <c r="A473" s="112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 spans="1:28" ht="16.5" x14ac:dyDescent="0.2">
      <c r="A474" s="112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 spans="1:28" ht="16.5" x14ac:dyDescent="0.2">
      <c r="A475" s="112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 spans="1:28" ht="16.5" x14ac:dyDescent="0.2">
      <c r="A476" s="112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 spans="1:28" ht="16.5" x14ac:dyDescent="0.2">
      <c r="A477" s="112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 spans="1:28" ht="16.5" x14ac:dyDescent="0.2">
      <c r="A478" s="112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 spans="1:28" ht="16.5" x14ac:dyDescent="0.2">
      <c r="A479" s="112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 spans="1:28" ht="16.5" x14ac:dyDescent="0.2">
      <c r="A480" s="112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 spans="1:28" ht="16.5" x14ac:dyDescent="0.2">
      <c r="A481" s="112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 spans="1:28" ht="16.5" x14ac:dyDescent="0.2">
      <c r="A482" s="112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 spans="1:28" ht="16.5" x14ac:dyDescent="0.2">
      <c r="A483" s="112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 spans="1:28" ht="16.5" x14ac:dyDescent="0.2">
      <c r="A484" s="112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 spans="1:28" ht="16.5" x14ac:dyDescent="0.2">
      <c r="A485" s="112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 spans="1:28" ht="16.5" x14ac:dyDescent="0.2">
      <c r="A486" s="112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 spans="1:28" ht="16.5" x14ac:dyDescent="0.2">
      <c r="A487" s="112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 spans="1:28" ht="16.5" x14ac:dyDescent="0.2">
      <c r="A488" s="112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 spans="1:28" ht="16.5" x14ac:dyDescent="0.2">
      <c r="A489" s="112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 spans="1:28" ht="16.5" x14ac:dyDescent="0.2">
      <c r="A490" s="112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 spans="1:28" ht="16.5" x14ac:dyDescent="0.2">
      <c r="A491" s="112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 spans="1:28" ht="16.5" x14ac:dyDescent="0.2">
      <c r="A492" s="112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 spans="1:28" ht="16.5" x14ac:dyDescent="0.2">
      <c r="A493" s="112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 spans="1:28" ht="16.5" x14ac:dyDescent="0.2">
      <c r="A494" s="112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 spans="1:28" ht="16.5" x14ac:dyDescent="0.2">
      <c r="A495" s="112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 spans="1:28" ht="16.5" x14ac:dyDescent="0.2">
      <c r="A496" s="112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 spans="1:28" ht="16.5" x14ac:dyDescent="0.2">
      <c r="A497" s="112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 spans="1:28" ht="16.5" x14ac:dyDescent="0.2">
      <c r="A498" s="112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 spans="1:28" ht="16.5" x14ac:dyDescent="0.2">
      <c r="A499" s="112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 spans="1:28" ht="16.5" x14ac:dyDescent="0.2">
      <c r="A500" s="112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 spans="1:28" ht="16.5" x14ac:dyDescent="0.2">
      <c r="A501" s="112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 spans="1:28" ht="16.5" x14ac:dyDescent="0.2">
      <c r="A502" s="112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 spans="1:28" ht="16.5" x14ac:dyDescent="0.2">
      <c r="A503" s="112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 spans="1:28" ht="16.5" x14ac:dyDescent="0.2">
      <c r="A504" s="112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 spans="1:28" ht="16.5" x14ac:dyDescent="0.2">
      <c r="A505" s="112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 spans="1:28" ht="16.5" x14ac:dyDescent="0.2">
      <c r="A506" s="112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 spans="1:28" ht="16.5" x14ac:dyDescent="0.2">
      <c r="A507" s="112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 spans="1:28" ht="16.5" x14ac:dyDescent="0.2">
      <c r="A508" s="112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 spans="1:28" ht="16.5" x14ac:dyDescent="0.2">
      <c r="A509" s="112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 spans="1:28" ht="16.5" x14ac:dyDescent="0.2">
      <c r="A510" s="112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 spans="1:28" ht="16.5" x14ac:dyDescent="0.2">
      <c r="A511" s="112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ht="16.5" x14ac:dyDescent="0.2">
      <c r="A512" s="112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ht="16.5" x14ac:dyDescent="0.2">
      <c r="A513" s="112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 spans="1:28" ht="16.5" x14ac:dyDescent="0.2">
      <c r="A514" s="112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 spans="1:28" ht="16.5" x14ac:dyDescent="0.2">
      <c r="A515" s="112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 spans="1:28" ht="16.5" x14ac:dyDescent="0.2">
      <c r="A516" s="112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 spans="1:28" ht="16.5" x14ac:dyDescent="0.2">
      <c r="A517" s="112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 spans="1:28" ht="16.5" x14ac:dyDescent="0.2">
      <c r="A518" s="112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 spans="1:28" ht="16.5" x14ac:dyDescent="0.2">
      <c r="A519" s="112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 spans="1:28" ht="16.5" x14ac:dyDescent="0.2">
      <c r="A520" s="112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 spans="1:28" ht="16.5" x14ac:dyDescent="0.2">
      <c r="A521" s="112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 spans="1:28" ht="16.5" x14ac:dyDescent="0.2">
      <c r="A522" s="112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 spans="1:28" ht="16.5" x14ac:dyDescent="0.2">
      <c r="A523" s="112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 spans="1:28" ht="16.5" x14ac:dyDescent="0.2">
      <c r="A524" s="112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 spans="1:28" ht="16.5" x14ac:dyDescent="0.2">
      <c r="A525" s="112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 spans="1:28" ht="16.5" x14ac:dyDescent="0.2">
      <c r="A526" s="112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 spans="1:28" ht="16.5" x14ac:dyDescent="0.2">
      <c r="A527" s="112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 spans="1:28" ht="16.5" x14ac:dyDescent="0.2">
      <c r="A528" s="112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 spans="1:28" ht="16.5" x14ac:dyDescent="0.2">
      <c r="A529" s="112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 spans="1:28" ht="16.5" x14ac:dyDescent="0.2">
      <c r="A530" s="112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 spans="1:28" ht="16.5" x14ac:dyDescent="0.2">
      <c r="A531" s="112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 spans="1:28" ht="16.5" x14ac:dyDescent="0.2">
      <c r="A532" s="112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 spans="1:28" ht="16.5" x14ac:dyDescent="0.2">
      <c r="A533" s="112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 spans="1:28" ht="16.5" x14ac:dyDescent="0.2">
      <c r="A534" s="112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 spans="1:28" ht="16.5" x14ac:dyDescent="0.2">
      <c r="A535" s="112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 spans="1:28" ht="16.5" x14ac:dyDescent="0.2">
      <c r="A536" s="112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 spans="1:28" ht="16.5" x14ac:dyDescent="0.2">
      <c r="A537" s="112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 spans="1:28" ht="16.5" x14ac:dyDescent="0.2">
      <c r="A538" s="112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 spans="1:28" ht="16.5" x14ac:dyDescent="0.2">
      <c r="A539" s="112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 spans="1:28" ht="16.5" x14ac:dyDescent="0.2">
      <c r="A540" s="112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 spans="1:28" ht="16.5" x14ac:dyDescent="0.2">
      <c r="A541" s="112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 spans="1:28" ht="16.5" x14ac:dyDescent="0.2">
      <c r="A542" s="112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 spans="1:28" ht="16.5" x14ac:dyDescent="0.2">
      <c r="A543" s="112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 spans="1:28" ht="16.5" x14ac:dyDescent="0.2">
      <c r="A544" s="112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 spans="1:28" ht="16.5" x14ac:dyDescent="0.2">
      <c r="A545" s="112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 spans="1:28" ht="16.5" x14ac:dyDescent="0.2">
      <c r="A546" s="112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 spans="1:28" ht="16.5" x14ac:dyDescent="0.2">
      <c r="A547" s="112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 spans="1:28" ht="16.5" x14ac:dyDescent="0.2">
      <c r="A548" s="112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 spans="1:28" ht="16.5" x14ac:dyDescent="0.2">
      <c r="A549" s="112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 spans="1:28" ht="16.5" x14ac:dyDescent="0.2">
      <c r="A550" s="112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 spans="1:28" ht="16.5" x14ac:dyDescent="0.2">
      <c r="A551" s="112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 spans="1:28" ht="16.5" x14ac:dyDescent="0.2">
      <c r="A552" s="112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 spans="1:28" ht="16.5" x14ac:dyDescent="0.2">
      <c r="A553" s="112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 spans="1:28" ht="16.5" x14ac:dyDescent="0.2">
      <c r="A554" s="112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 spans="1:28" ht="16.5" x14ac:dyDescent="0.2">
      <c r="A555" s="112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 spans="1:28" ht="16.5" x14ac:dyDescent="0.2">
      <c r="A556" s="112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 spans="1:28" ht="16.5" x14ac:dyDescent="0.2">
      <c r="A557" s="112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 spans="1:28" ht="16.5" x14ac:dyDescent="0.2">
      <c r="A558" s="112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 spans="1:28" ht="16.5" x14ac:dyDescent="0.2">
      <c r="A559" s="112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 spans="1:28" ht="16.5" x14ac:dyDescent="0.2">
      <c r="A560" s="112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 spans="1:28" ht="16.5" x14ac:dyDescent="0.2">
      <c r="A561" s="112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 spans="1:28" ht="16.5" x14ac:dyDescent="0.2">
      <c r="A562" s="112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 spans="1:28" ht="16.5" x14ac:dyDescent="0.2">
      <c r="A563" s="112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 spans="1:28" ht="16.5" x14ac:dyDescent="0.2">
      <c r="A564" s="112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 spans="1:28" ht="16.5" x14ac:dyDescent="0.2">
      <c r="A565" s="112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 spans="1:28" ht="16.5" x14ac:dyDescent="0.2">
      <c r="A566" s="112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 spans="1:28" ht="16.5" x14ac:dyDescent="0.2">
      <c r="A567" s="112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 spans="1:28" ht="16.5" x14ac:dyDescent="0.2">
      <c r="A568" s="112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 spans="1:28" ht="16.5" x14ac:dyDescent="0.2">
      <c r="A569" s="112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 spans="1:28" ht="16.5" x14ac:dyDescent="0.2">
      <c r="A570" s="112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 spans="1:28" ht="16.5" x14ac:dyDescent="0.2">
      <c r="A571" s="112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 spans="1:28" ht="16.5" x14ac:dyDescent="0.2">
      <c r="A572" s="112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 spans="1:28" ht="16.5" x14ac:dyDescent="0.2">
      <c r="A573" s="112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 spans="1:28" ht="16.5" x14ac:dyDescent="0.2">
      <c r="A574" s="112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 spans="1:28" ht="16.5" x14ac:dyDescent="0.2">
      <c r="A575" s="112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 spans="1:28" ht="16.5" x14ac:dyDescent="0.2">
      <c r="A576" s="112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 spans="1:28" ht="16.5" x14ac:dyDescent="0.2">
      <c r="A577" s="112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 spans="1:28" ht="16.5" x14ac:dyDescent="0.2">
      <c r="A578" s="112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 spans="1:28" ht="16.5" x14ac:dyDescent="0.2">
      <c r="A579" s="112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 spans="1:28" ht="16.5" x14ac:dyDescent="0.2">
      <c r="A580" s="112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 spans="1:28" ht="16.5" x14ac:dyDescent="0.2">
      <c r="A581" s="112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 spans="1:28" ht="16.5" x14ac:dyDescent="0.2">
      <c r="A582" s="112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 spans="1:28" ht="16.5" x14ac:dyDescent="0.2">
      <c r="A583" s="112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 spans="1:28" ht="16.5" x14ac:dyDescent="0.2">
      <c r="A584" s="112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 spans="1:28" ht="16.5" x14ac:dyDescent="0.2">
      <c r="A585" s="112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 spans="1:28" ht="16.5" x14ac:dyDescent="0.2">
      <c r="A586" s="112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 spans="1:28" ht="16.5" x14ac:dyDescent="0.2">
      <c r="A587" s="112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 spans="1:28" ht="16.5" x14ac:dyDescent="0.2">
      <c r="A588" s="112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 spans="1:28" ht="16.5" x14ac:dyDescent="0.2">
      <c r="A589" s="112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 spans="1:28" ht="16.5" x14ac:dyDescent="0.2">
      <c r="A590" s="112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 spans="1:28" ht="16.5" x14ac:dyDescent="0.2">
      <c r="A591" s="112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 spans="1:28" ht="16.5" x14ac:dyDescent="0.2">
      <c r="A592" s="112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 spans="1:28" ht="16.5" x14ac:dyDescent="0.2">
      <c r="A593" s="112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 spans="1:28" ht="16.5" x14ac:dyDescent="0.2">
      <c r="A594" s="112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 spans="1:28" ht="16.5" x14ac:dyDescent="0.2">
      <c r="A595" s="112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 spans="1:28" ht="16.5" x14ac:dyDescent="0.2">
      <c r="A596" s="112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 spans="1:28" ht="16.5" x14ac:dyDescent="0.2">
      <c r="A597" s="112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 spans="1:28" ht="16.5" x14ac:dyDescent="0.2">
      <c r="A598" s="112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 spans="1:28" ht="16.5" x14ac:dyDescent="0.2">
      <c r="A599" s="112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 spans="1:28" ht="16.5" x14ac:dyDescent="0.2">
      <c r="A600" s="112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 spans="1:28" ht="16.5" x14ac:dyDescent="0.2">
      <c r="A601" s="112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 spans="1:28" ht="16.5" x14ac:dyDescent="0.2">
      <c r="A602" s="112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 spans="1:28" ht="16.5" x14ac:dyDescent="0.2">
      <c r="A603" s="112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 spans="1:28" ht="16.5" x14ac:dyDescent="0.2">
      <c r="A604" s="112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 spans="1:28" ht="16.5" x14ac:dyDescent="0.2">
      <c r="A605" s="112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 spans="1:28" ht="16.5" x14ac:dyDescent="0.2">
      <c r="A606" s="112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 spans="1:28" ht="16.5" x14ac:dyDescent="0.2">
      <c r="A607" s="112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 spans="1:28" ht="16.5" x14ac:dyDescent="0.2">
      <c r="A608" s="112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 spans="1:28" ht="16.5" x14ac:dyDescent="0.2">
      <c r="A609" s="112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 spans="1:28" ht="16.5" x14ac:dyDescent="0.2">
      <c r="A610" s="112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 spans="1:28" ht="16.5" x14ac:dyDescent="0.2">
      <c r="A611" s="112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 spans="1:28" ht="16.5" x14ac:dyDescent="0.2">
      <c r="A612" s="112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 spans="1:28" ht="16.5" x14ac:dyDescent="0.2">
      <c r="A613" s="112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 spans="1:28" ht="16.5" x14ac:dyDescent="0.2">
      <c r="A614" s="112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 spans="1:28" ht="16.5" x14ac:dyDescent="0.2">
      <c r="A615" s="112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 spans="1:28" ht="16.5" x14ac:dyDescent="0.2">
      <c r="A616" s="112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 spans="1:28" ht="16.5" x14ac:dyDescent="0.2">
      <c r="A617" s="112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 spans="1:28" ht="16.5" x14ac:dyDescent="0.2">
      <c r="A618" s="112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 spans="1:28" ht="16.5" x14ac:dyDescent="0.2">
      <c r="A619" s="112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 spans="1:28" ht="16.5" x14ac:dyDescent="0.2">
      <c r="A620" s="112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 spans="1:28" ht="16.5" x14ac:dyDescent="0.2">
      <c r="A621" s="112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 spans="1:28" ht="16.5" x14ac:dyDescent="0.2">
      <c r="A622" s="112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 spans="1:28" ht="16.5" x14ac:dyDescent="0.2">
      <c r="A623" s="112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 spans="1:28" ht="16.5" x14ac:dyDescent="0.2">
      <c r="A624" s="112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 spans="1:28" ht="16.5" x14ac:dyDescent="0.2">
      <c r="A625" s="112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 spans="1:28" ht="16.5" x14ac:dyDescent="0.2">
      <c r="A626" s="112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 spans="1:28" ht="16.5" x14ac:dyDescent="0.2">
      <c r="A627" s="112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 spans="1:28" ht="16.5" x14ac:dyDescent="0.2">
      <c r="A628" s="112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 spans="1:28" ht="16.5" x14ac:dyDescent="0.2">
      <c r="A629" s="112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 spans="1:28" ht="16.5" x14ac:dyDescent="0.2">
      <c r="A630" s="112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 spans="1:28" ht="16.5" x14ac:dyDescent="0.2">
      <c r="A631" s="112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 spans="1:28" ht="16.5" x14ac:dyDescent="0.2">
      <c r="A632" s="112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 spans="1:28" ht="16.5" x14ac:dyDescent="0.2">
      <c r="A633" s="112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 spans="1:28" ht="16.5" x14ac:dyDescent="0.2">
      <c r="A634" s="112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 spans="1:28" ht="16.5" x14ac:dyDescent="0.2">
      <c r="A635" s="112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 spans="1:28" ht="16.5" x14ac:dyDescent="0.2">
      <c r="A636" s="112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 spans="1:28" ht="16.5" x14ac:dyDescent="0.2">
      <c r="A637" s="112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 spans="1:28" ht="16.5" x14ac:dyDescent="0.2">
      <c r="A638" s="112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 spans="1:28" ht="16.5" x14ac:dyDescent="0.2">
      <c r="A639" s="112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 spans="1:28" ht="16.5" x14ac:dyDescent="0.2">
      <c r="A640" s="112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 spans="1:28" ht="16.5" x14ac:dyDescent="0.2">
      <c r="A641" s="112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 spans="1:28" ht="16.5" x14ac:dyDescent="0.2">
      <c r="A642" s="112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 spans="1:28" ht="16.5" x14ac:dyDescent="0.2">
      <c r="A643" s="112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 spans="1:28" ht="16.5" x14ac:dyDescent="0.2">
      <c r="A644" s="112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 spans="1:28" ht="16.5" x14ac:dyDescent="0.2">
      <c r="A645" s="112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 spans="1:28" ht="16.5" x14ac:dyDescent="0.2">
      <c r="A646" s="112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 spans="1:28" ht="16.5" x14ac:dyDescent="0.2">
      <c r="A647" s="112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 spans="1:28" ht="16.5" x14ac:dyDescent="0.2">
      <c r="A648" s="112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 spans="1:28" ht="16.5" x14ac:dyDescent="0.2">
      <c r="A649" s="112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 spans="1:28" ht="16.5" x14ac:dyDescent="0.2">
      <c r="A650" s="112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 spans="1:28" ht="16.5" x14ac:dyDescent="0.2">
      <c r="A651" s="112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 spans="1:28" ht="16.5" x14ac:dyDescent="0.2">
      <c r="A652" s="112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 spans="1:28" ht="16.5" x14ac:dyDescent="0.2">
      <c r="A653" s="112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 spans="1:28" ht="16.5" x14ac:dyDescent="0.2">
      <c r="A654" s="112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 spans="1:28" ht="16.5" x14ac:dyDescent="0.2">
      <c r="A655" s="112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 spans="1:28" ht="16.5" x14ac:dyDescent="0.2">
      <c r="A656" s="112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 spans="1:28" ht="16.5" x14ac:dyDescent="0.2">
      <c r="A657" s="112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 spans="1:28" ht="16.5" x14ac:dyDescent="0.2">
      <c r="A658" s="112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 spans="1:28" ht="16.5" x14ac:dyDescent="0.2">
      <c r="A659" s="112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 spans="1:28" ht="16.5" x14ac:dyDescent="0.2">
      <c r="A660" s="112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 spans="1:28" ht="16.5" x14ac:dyDescent="0.2">
      <c r="A661" s="112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 spans="1:28" ht="16.5" x14ac:dyDescent="0.2">
      <c r="A662" s="112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 spans="1:28" ht="16.5" x14ac:dyDescent="0.2">
      <c r="A663" s="112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 spans="1:28" ht="16.5" x14ac:dyDescent="0.2">
      <c r="A664" s="112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 spans="1:28" ht="16.5" x14ac:dyDescent="0.2">
      <c r="A665" s="112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 spans="1:28" ht="16.5" x14ac:dyDescent="0.2">
      <c r="A666" s="112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 spans="1:28" ht="16.5" x14ac:dyDescent="0.2">
      <c r="A667" s="112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 spans="1:28" ht="16.5" x14ac:dyDescent="0.2">
      <c r="A668" s="112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 spans="1:28" ht="16.5" x14ac:dyDescent="0.2">
      <c r="A669" s="112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 spans="1:28" ht="16.5" x14ac:dyDescent="0.2">
      <c r="A670" s="112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 spans="1:28" ht="16.5" x14ac:dyDescent="0.2">
      <c r="A671" s="112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 spans="1:28" ht="16.5" x14ac:dyDescent="0.2">
      <c r="A672" s="112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 spans="1:28" ht="16.5" x14ac:dyDescent="0.2">
      <c r="A673" s="112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 spans="1:28" ht="16.5" x14ac:dyDescent="0.2">
      <c r="A674" s="112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 spans="1:28" ht="16.5" x14ac:dyDescent="0.2">
      <c r="A675" s="112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 spans="1:28" ht="16.5" x14ac:dyDescent="0.2">
      <c r="A676" s="112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 spans="1:28" ht="16.5" x14ac:dyDescent="0.2">
      <c r="A677" s="112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 spans="1:28" ht="16.5" x14ac:dyDescent="0.2">
      <c r="A678" s="112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 spans="1:28" ht="16.5" x14ac:dyDescent="0.2">
      <c r="A679" s="112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 spans="1:28" ht="16.5" x14ac:dyDescent="0.2">
      <c r="A680" s="112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 spans="1:28" ht="16.5" x14ac:dyDescent="0.2">
      <c r="A681" s="112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 spans="1:28" ht="16.5" x14ac:dyDescent="0.2">
      <c r="A682" s="112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 spans="1:28" ht="16.5" x14ac:dyDescent="0.2">
      <c r="A683" s="112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 spans="1:28" ht="16.5" x14ac:dyDescent="0.2">
      <c r="A684" s="112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 spans="1:28" ht="16.5" x14ac:dyDescent="0.2">
      <c r="A685" s="112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 spans="1:28" ht="16.5" x14ac:dyDescent="0.2">
      <c r="A686" s="112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 spans="1:28" ht="16.5" x14ac:dyDescent="0.2">
      <c r="A687" s="112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 spans="1:28" ht="16.5" x14ac:dyDescent="0.2">
      <c r="A688" s="112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 spans="1:28" ht="16.5" x14ac:dyDescent="0.2">
      <c r="A689" s="112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 spans="1:28" ht="16.5" x14ac:dyDescent="0.2">
      <c r="A690" s="112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 spans="1:28" ht="16.5" x14ac:dyDescent="0.2">
      <c r="A691" s="112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 spans="1:28" ht="16.5" x14ac:dyDescent="0.2">
      <c r="A692" s="112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 spans="1:28" ht="16.5" x14ac:dyDescent="0.2">
      <c r="A693" s="112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 spans="1:28" ht="16.5" x14ac:dyDescent="0.2">
      <c r="A694" s="112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 spans="1:28" ht="16.5" x14ac:dyDescent="0.2">
      <c r="A695" s="112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 spans="1:28" ht="16.5" x14ac:dyDescent="0.2">
      <c r="A696" s="112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 spans="1:28" ht="16.5" x14ac:dyDescent="0.2">
      <c r="A697" s="112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 spans="1:28" ht="16.5" x14ac:dyDescent="0.2">
      <c r="A698" s="112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 spans="1:28" ht="16.5" x14ac:dyDescent="0.2">
      <c r="A699" s="112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 spans="1:28" ht="16.5" x14ac:dyDescent="0.2">
      <c r="A700" s="112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 spans="1:28" ht="16.5" x14ac:dyDescent="0.2">
      <c r="A701" s="112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 spans="1:28" ht="16.5" x14ac:dyDescent="0.2">
      <c r="A702" s="112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 spans="1:28" ht="16.5" x14ac:dyDescent="0.2">
      <c r="A703" s="112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 spans="1:28" ht="16.5" x14ac:dyDescent="0.2">
      <c r="A704" s="112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 spans="1:28" ht="16.5" x14ac:dyDescent="0.2">
      <c r="A705" s="112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 spans="1:28" ht="16.5" x14ac:dyDescent="0.2">
      <c r="A706" s="112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 spans="1:28" ht="16.5" x14ac:dyDescent="0.2">
      <c r="A707" s="112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 spans="1:28" ht="16.5" x14ac:dyDescent="0.2">
      <c r="A708" s="112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 spans="1:28" ht="16.5" x14ac:dyDescent="0.2">
      <c r="A709" s="112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 spans="1:28" ht="16.5" x14ac:dyDescent="0.2">
      <c r="A710" s="112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 spans="1:28" ht="16.5" x14ac:dyDescent="0.2">
      <c r="A711" s="112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 spans="1:28" ht="16.5" x14ac:dyDescent="0.2">
      <c r="A712" s="112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 spans="1:28" ht="16.5" x14ac:dyDescent="0.2">
      <c r="A713" s="112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 spans="1:28" ht="16.5" x14ac:dyDescent="0.2">
      <c r="A714" s="112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 spans="1:28" ht="16.5" x14ac:dyDescent="0.2">
      <c r="A715" s="112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 spans="1:28" ht="16.5" x14ac:dyDescent="0.2">
      <c r="A716" s="112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 spans="1:28" ht="16.5" x14ac:dyDescent="0.2">
      <c r="A717" s="112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 spans="1:28" ht="16.5" x14ac:dyDescent="0.2">
      <c r="A718" s="112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 spans="1:28" ht="16.5" x14ac:dyDescent="0.2">
      <c r="A719" s="112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 spans="1:28" ht="16.5" x14ac:dyDescent="0.2">
      <c r="A720" s="112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 spans="1:28" ht="16.5" x14ac:dyDescent="0.2">
      <c r="A721" s="112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 spans="1:28" ht="16.5" x14ac:dyDescent="0.2">
      <c r="A722" s="112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 spans="1:28" ht="16.5" x14ac:dyDescent="0.2">
      <c r="A723" s="112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 spans="1:28" ht="16.5" x14ac:dyDescent="0.2">
      <c r="A724" s="112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 spans="1:28" ht="16.5" x14ac:dyDescent="0.2">
      <c r="A725" s="112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 spans="1:28" ht="16.5" x14ac:dyDescent="0.2">
      <c r="A726" s="112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 spans="1:28" ht="16.5" x14ac:dyDescent="0.2">
      <c r="A727" s="112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 spans="1:28" ht="16.5" x14ac:dyDescent="0.2">
      <c r="A728" s="112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 spans="1:28" ht="16.5" x14ac:dyDescent="0.2">
      <c r="A729" s="112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 spans="1:28" ht="16.5" x14ac:dyDescent="0.2">
      <c r="A730" s="112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 spans="1:28" ht="16.5" x14ac:dyDescent="0.2">
      <c r="A731" s="112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 spans="1:28" ht="16.5" x14ac:dyDescent="0.2">
      <c r="A732" s="112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 spans="1:28" ht="16.5" x14ac:dyDescent="0.2">
      <c r="A733" s="112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 spans="1:28" ht="16.5" x14ac:dyDescent="0.2">
      <c r="A734" s="112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 spans="1:28" ht="16.5" x14ac:dyDescent="0.2">
      <c r="A735" s="112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 spans="1:28" ht="16.5" x14ac:dyDescent="0.2">
      <c r="A736" s="112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 spans="1:28" ht="16.5" x14ac:dyDescent="0.2">
      <c r="A737" s="112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 spans="1:28" ht="16.5" x14ac:dyDescent="0.2">
      <c r="A738" s="112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 spans="1:28" ht="16.5" x14ac:dyDescent="0.2">
      <c r="A739" s="112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 spans="1:28" ht="16.5" x14ac:dyDescent="0.2">
      <c r="A740" s="112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 spans="1:28" ht="16.5" x14ac:dyDescent="0.2">
      <c r="A741" s="112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 spans="1:28" ht="16.5" x14ac:dyDescent="0.2">
      <c r="A742" s="112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 spans="1:28" ht="16.5" x14ac:dyDescent="0.2">
      <c r="A743" s="112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 spans="1:28" ht="16.5" x14ac:dyDescent="0.2">
      <c r="A744" s="112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 spans="1:28" ht="16.5" x14ac:dyDescent="0.2">
      <c r="A745" s="112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 spans="1:28" ht="16.5" x14ac:dyDescent="0.2">
      <c r="A746" s="112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 spans="1:28" ht="16.5" x14ac:dyDescent="0.2">
      <c r="A747" s="112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 spans="1:28" ht="16.5" x14ac:dyDescent="0.2">
      <c r="A748" s="112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 spans="1:28" ht="16.5" x14ac:dyDescent="0.2">
      <c r="A749" s="112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 spans="1:28" ht="16.5" x14ac:dyDescent="0.2">
      <c r="A750" s="112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 spans="1:28" ht="16.5" x14ac:dyDescent="0.2">
      <c r="A751" s="112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 spans="1:28" ht="16.5" x14ac:dyDescent="0.2">
      <c r="A752" s="112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 spans="1:28" ht="16.5" x14ac:dyDescent="0.2">
      <c r="A753" s="112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 spans="1:28" ht="16.5" x14ac:dyDescent="0.2">
      <c r="A754" s="112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 spans="1:28" ht="16.5" x14ac:dyDescent="0.2">
      <c r="A755" s="112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 spans="1:28" ht="16.5" x14ac:dyDescent="0.2">
      <c r="A756" s="112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 spans="1:28" ht="16.5" x14ac:dyDescent="0.2">
      <c r="A757" s="112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 spans="1:28" ht="16.5" x14ac:dyDescent="0.2">
      <c r="A758" s="112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 spans="1:28" ht="16.5" x14ac:dyDescent="0.2">
      <c r="A759" s="112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 spans="1:28" ht="16.5" x14ac:dyDescent="0.2">
      <c r="A760" s="112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 spans="1:28" ht="16.5" x14ac:dyDescent="0.2">
      <c r="A761" s="112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 spans="1:28" ht="16.5" x14ac:dyDescent="0.2">
      <c r="A762" s="112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 spans="1:28" ht="16.5" x14ac:dyDescent="0.2">
      <c r="A763" s="112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 spans="1:28" ht="16.5" x14ac:dyDescent="0.2">
      <c r="A764" s="112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 spans="1:28" ht="16.5" x14ac:dyDescent="0.2">
      <c r="A765" s="112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 spans="1:28" ht="16.5" x14ac:dyDescent="0.2">
      <c r="A766" s="112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 spans="1:28" ht="16.5" x14ac:dyDescent="0.2">
      <c r="A767" s="112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 spans="1:28" ht="16.5" x14ac:dyDescent="0.2">
      <c r="A768" s="112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 spans="1:28" ht="16.5" x14ac:dyDescent="0.2">
      <c r="A769" s="112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 spans="1:28" ht="16.5" x14ac:dyDescent="0.2">
      <c r="A770" s="112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 spans="1:28" ht="16.5" x14ac:dyDescent="0.2">
      <c r="A771" s="112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 spans="1:28" ht="16.5" x14ac:dyDescent="0.2">
      <c r="A772" s="112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 spans="1:28" ht="16.5" x14ac:dyDescent="0.2">
      <c r="A773" s="112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 spans="1:28" ht="16.5" x14ac:dyDescent="0.2">
      <c r="A774" s="112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 spans="1:28" ht="16.5" x14ac:dyDescent="0.2">
      <c r="A775" s="112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 spans="1:28" ht="16.5" x14ac:dyDescent="0.2">
      <c r="A776" s="112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 spans="1:28" ht="16.5" x14ac:dyDescent="0.2">
      <c r="A777" s="112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 spans="1:28" ht="16.5" x14ac:dyDescent="0.2">
      <c r="A778" s="112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 spans="1:28" ht="16.5" x14ac:dyDescent="0.2">
      <c r="A779" s="112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 spans="1:28" ht="16.5" x14ac:dyDescent="0.2">
      <c r="A780" s="112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 spans="1:28" ht="16.5" x14ac:dyDescent="0.2">
      <c r="A781" s="112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 spans="1:28" ht="16.5" x14ac:dyDescent="0.2">
      <c r="A782" s="112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 spans="1:28" ht="16.5" x14ac:dyDescent="0.2">
      <c r="A783" s="112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 spans="1:28" ht="16.5" x14ac:dyDescent="0.2">
      <c r="A784" s="112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 spans="1:28" ht="16.5" x14ac:dyDescent="0.2">
      <c r="A785" s="112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 spans="1:28" ht="16.5" x14ac:dyDescent="0.2">
      <c r="A786" s="112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 spans="1:28" ht="16.5" x14ac:dyDescent="0.2">
      <c r="A787" s="112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 spans="1:28" ht="16.5" x14ac:dyDescent="0.2">
      <c r="A788" s="112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 spans="1:28" ht="16.5" x14ac:dyDescent="0.2">
      <c r="A789" s="112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 spans="1:28" ht="16.5" x14ac:dyDescent="0.2">
      <c r="A790" s="112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 spans="1:28" ht="16.5" x14ac:dyDescent="0.2">
      <c r="A791" s="112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 spans="1:28" ht="16.5" x14ac:dyDescent="0.2">
      <c r="A792" s="112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 spans="1:28" ht="16.5" x14ac:dyDescent="0.2">
      <c r="A793" s="112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 spans="1:28" ht="16.5" x14ac:dyDescent="0.2">
      <c r="A794" s="112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 spans="1:28" ht="16.5" x14ac:dyDescent="0.2">
      <c r="A795" s="112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 spans="1:28" ht="16.5" x14ac:dyDescent="0.2">
      <c r="A796" s="112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 spans="1:28" ht="16.5" x14ac:dyDescent="0.2">
      <c r="A797" s="112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 spans="1:28" ht="16.5" x14ac:dyDescent="0.2">
      <c r="A798" s="112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 spans="1:28" ht="16.5" x14ac:dyDescent="0.2">
      <c r="A799" s="112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 spans="1:28" ht="16.5" x14ac:dyDescent="0.2">
      <c r="A800" s="112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 spans="1:28" ht="16.5" x14ac:dyDescent="0.2">
      <c r="A801" s="112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 spans="1:28" ht="16.5" x14ac:dyDescent="0.2">
      <c r="A802" s="112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 spans="1:28" ht="16.5" x14ac:dyDescent="0.2">
      <c r="A803" s="112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 spans="1:28" ht="16.5" x14ac:dyDescent="0.2">
      <c r="A804" s="112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 spans="1:28" ht="16.5" x14ac:dyDescent="0.2">
      <c r="A805" s="112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 spans="1:28" ht="16.5" x14ac:dyDescent="0.2">
      <c r="A806" s="112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 spans="1:28" ht="16.5" x14ac:dyDescent="0.2">
      <c r="A807" s="112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 spans="1:28" ht="16.5" x14ac:dyDescent="0.2">
      <c r="A808" s="112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 spans="1:28" ht="16.5" x14ac:dyDescent="0.2">
      <c r="A809" s="112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 spans="1:28" ht="16.5" x14ac:dyDescent="0.2">
      <c r="A810" s="112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 spans="1:28" ht="16.5" x14ac:dyDescent="0.2">
      <c r="A811" s="112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 spans="1:28" ht="16.5" x14ac:dyDescent="0.2">
      <c r="A812" s="112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 spans="1:28" ht="16.5" x14ac:dyDescent="0.2">
      <c r="A813" s="112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 spans="1:28" ht="16.5" x14ac:dyDescent="0.2">
      <c r="A814" s="112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 spans="1:28" ht="16.5" x14ac:dyDescent="0.2">
      <c r="A815" s="112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 spans="1:28" ht="16.5" x14ac:dyDescent="0.2">
      <c r="A816" s="112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 spans="1:28" ht="16.5" x14ac:dyDescent="0.2">
      <c r="A817" s="112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 spans="1:28" ht="16.5" x14ac:dyDescent="0.2">
      <c r="A818" s="112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 spans="1:28" ht="16.5" x14ac:dyDescent="0.2">
      <c r="A819" s="112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 spans="1:28" ht="16.5" x14ac:dyDescent="0.2">
      <c r="A820" s="112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 spans="1:28" ht="16.5" x14ac:dyDescent="0.2">
      <c r="A821" s="112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 spans="1:28" ht="16.5" x14ac:dyDescent="0.2">
      <c r="A822" s="112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 spans="1:28" ht="16.5" x14ac:dyDescent="0.2">
      <c r="A823" s="112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 spans="1:28" ht="16.5" x14ac:dyDescent="0.2">
      <c r="A824" s="112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 spans="1:28" ht="16.5" x14ac:dyDescent="0.2">
      <c r="A825" s="112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 spans="1:28" ht="16.5" x14ac:dyDescent="0.2">
      <c r="A826" s="112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 spans="1:28" ht="16.5" x14ac:dyDescent="0.2">
      <c r="A827" s="112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 spans="1:28" ht="16.5" x14ac:dyDescent="0.2">
      <c r="A828" s="112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 spans="1:28" ht="16.5" x14ac:dyDescent="0.2">
      <c r="A829" s="112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 spans="1:28" ht="16.5" x14ac:dyDescent="0.2">
      <c r="A830" s="112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 spans="1:28" ht="16.5" x14ac:dyDescent="0.2">
      <c r="A831" s="112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 spans="1:28" ht="16.5" x14ac:dyDescent="0.2">
      <c r="A832" s="112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 spans="1:28" ht="16.5" x14ac:dyDescent="0.2">
      <c r="A833" s="112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 spans="1:28" ht="16.5" x14ac:dyDescent="0.2">
      <c r="A834" s="112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 spans="1:28" ht="16.5" x14ac:dyDescent="0.2">
      <c r="A835" s="112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 spans="1:28" ht="16.5" x14ac:dyDescent="0.2">
      <c r="A836" s="112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 spans="1:28" ht="16.5" x14ac:dyDescent="0.2">
      <c r="A837" s="112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 spans="1:28" ht="16.5" x14ac:dyDescent="0.2">
      <c r="A838" s="112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 spans="1:28" ht="16.5" x14ac:dyDescent="0.2">
      <c r="A839" s="112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 spans="1:28" ht="16.5" x14ac:dyDescent="0.2">
      <c r="A840" s="112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 spans="1:28" ht="16.5" x14ac:dyDescent="0.2">
      <c r="A841" s="112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 spans="1:28" ht="16.5" x14ac:dyDescent="0.2">
      <c r="A842" s="112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 spans="1:28" ht="16.5" x14ac:dyDescent="0.2">
      <c r="A843" s="112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 spans="1:28" ht="16.5" x14ac:dyDescent="0.2">
      <c r="A844" s="112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 spans="1:28" ht="16.5" x14ac:dyDescent="0.2">
      <c r="A845" s="112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 spans="1:28" ht="16.5" x14ac:dyDescent="0.2">
      <c r="A846" s="112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 spans="1:28" ht="16.5" x14ac:dyDescent="0.2">
      <c r="A847" s="112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 spans="1:28" ht="16.5" x14ac:dyDescent="0.2">
      <c r="A848" s="112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 spans="1:28" ht="16.5" x14ac:dyDescent="0.2">
      <c r="A849" s="112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 spans="1:28" ht="16.5" x14ac:dyDescent="0.2">
      <c r="A850" s="112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 spans="1:28" ht="16.5" x14ac:dyDescent="0.2">
      <c r="A851" s="112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 spans="1:28" ht="16.5" x14ac:dyDescent="0.2">
      <c r="A852" s="112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 spans="1:28" ht="16.5" x14ac:dyDescent="0.2">
      <c r="A853" s="112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 spans="1:28" ht="16.5" x14ac:dyDescent="0.2">
      <c r="A854" s="112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 spans="1:28" ht="16.5" x14ac:dyDescent="0.2">
      <c r="A855" s="112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 spans="1:28" ht="16.5" x14ac:dyDescent="0.2">
      <c r="A856" s="112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 spans="1:28" ht="16.5" x14ac:dyDescent="0.2">
      <c r="A857" s="112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 spans="1:28" ht="16.5" x14ac:dyDescent="0.2">
      <c r="A858" s="112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 spans="1:28" ht="16.5" x14ac:dyDescent="0.2">
      <c r="A859" s="112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 spans="1:28" ht="16.5" x14ac:dyDescent="0.2">
      <c r="A860" s="112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 spans="1:28" ht="16.5" x14ac:dyDescent="0.2">
      <c r="A861" s="112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 spans="1:28" ht="16.5" x14ac:dyDescent="0.2">
      <c r="A862" s="112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 spans="1:28" ht="16.5" x14ac:dyDescent="0.2">
      <c r="A863" s="112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 spans="1:28" ht="16.5" x14ac:dyDescent="0.2">
      <c r="A864" s="112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 spans="1:28" ht="16.5" x14ac:dyDescent="0.2">
      <c r="A865" s="112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 spans="1:28" ht="16.5" x14ac:dyDescent="0.2">
      <c r="A866" s="112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 spans="1:28" ht="16.5" x14ac:dyDescent="0.2">
      <c r="A867" s="112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 spans="1:28" ht="16.5" x14ac:dyDescent="0.2">
      <c r="A868" s="112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 spans="1:28" ht="16.5" x14ac:dyDescent="0.2">
      <c r="A869" s="112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 spans="1:28" ht="16.5" x14ac:dyDescent="0.2">
      <c r="A870" s="112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 spans="1:28" ht="16.5" x14ac:dyDescent="0.2">
      <c r="A871" s="112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 spans="1:28" ht="16.5" x14ac:dyDescent="0.2">
      <c r="A872" s="112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 spans="1:28" ht="16.5" x14ac:dyDescent="0.2">
      <c r="A873" s="112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 spans="1:28" ht="16.5" x14ac:dyDescent="0.2">
      <c r="A874" s="112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 spans="1:28" ht="16.5" x14ac:dyDescent="0.2">
      <c r="A875" s="112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 spans="1:28" ht="16.5" x14ac:dyDescent="0.2">
      <c r="A876" s="112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 spans="1:28" ht="16.5" x14ac:dyDescent="0.2">
      <c r="A877" s="112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 spans="1:28" ht="16.5" x14ac:dyDescent="0.2">
      <c r="A878" s="112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 spans="1:28" ht="16.5" x14ac:dyDescent="0.2">
      <c r="A879" s="112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 spans="1:28" ht="16.5" x14ac:dyDescent="0.2">
      <c r="A880" s="112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 spans="1:28" ht="16.5" x14ac:dyDescent="0.2">
      <c r="A881" s="112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 spans="1:28" ht="16.5" x14ac:dyDescent="0.2">
      <c r="A882" s="112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 spans="1:28" ht="16.5" x14ac:dyDescent="0.2">
      <c r="A883" s="112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 spans="1:28" ht="16.5" x14ac:dyDescent="0.2">
      <c r="A884" s="112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 spans="1:28" ht="16.5" x14ac:dyDescent="0.2">
      <c r="A885" s="112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 spans="1:28" ht="16.5" x14ac:dyDescent="0.2">
      <c r="A886" s="112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 spans="1:28" ht="16.5" x14ac:dyDescent="0.2">
      <c r="A887" s="112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 spans="1:28" ht="16.5" x14ac:dyDescent="0.2">
      <c r="A888" s="112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 spans="1:28" ht="16.5" x14ac:dyDescent="0.2">
      <c r="A889" s="112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 spans="1:28" ht="16.5" x14ac:dyDescent="0.2">
      <c r="A890" s="112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 spans="1:28" ht="16.5" x14ac:dyDescent="0.2">
      <c r="A891" s="112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 spans="1:28" ht="16.5" x14ac:dyDescent="0.2">
      <c r="A892" s="112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 spans="1:28" ht="16.5" x14ac:dyDescent="0.2">
      <c r="A893" s="112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 spans="1:28" ht="16.5" x14ac:dyDescent="0.2">
      <c r="A894" s="112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 spans="1:28" ht="16.5" x14ac:dyDescent="0.2">
      <c r="A895" s="112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 spans="1:28" ht="16.5" x14ac:dyDescent="0.2">
      <c r="A896" s="112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 spans="1:28" ht="16.5" x14ac:dyDescent="0.2">
      <c r="A897" s="112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 spans="1:28" ht="16.5" x14ac:dyDescent="0.2">
      <c r="A898" s="112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 spans="1:28" ht="16.5" x14ac:dyDescent="0.2">
      <c r="A899" s="112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 spans="1:28" ht="16.5" x14ac:dyDescent="0.2">
      <c r="A900" s="112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 spans="1:28" ht="16.5" x14ac:dyDescent="0.2">
      <c r="A901" s="112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 spans="1:28" ht="16.5" x14ac:dyDescent="0.2">
      <c r="A902" s="112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 spans="1:28" ht="16.5" x14ac:dyDescent="0.2">
      <c r="A903" s="112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 spans="1:28" ht="16.5" x14ac:dyDescent="0.2">
      <c r="A904" s="112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 spans="1:28" ht="16.5" x14ac:dyDescent="0.2">
      <c r="A905" s="112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 spans="1:28" ht="16.5" x14ac:dyDescent="0.2">
      <c r="A906" s="112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 spans="1:28" ht="16.5" x14ac:dyDescent="0.2">
      <c r="A907" s="112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 spans="1:28" ht="16.5" x14ac:dyDescent="0.2">
      <c r="A908" s="112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 spans="1:28" ht="16.5" x14ac:dyDescent="0.2">
      <c r="A909" s="112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 spans="1:28" ht="16.5" x14ac:dyDescent="0.2">
      <c r="A910" s="112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 spans="1:28" ht="16.5" x14ac:dyDescent="0.2">
      <c r="A911" s="112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 spans="1:28" ht="16.5" x14ac:dyDescent="0.2">
      <c r="A912" s="112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 spans="1:28" ht="16.5" x14ac:dyDescent="0.2">
      <c r="A913" s="112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 spans="1:28" ht="16.5" x14ac:dyDescent="0.2">
      <c r="A914" s="112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 spans="1:28" ht="16.5" x14ac:dyDescent="0.2">
      <c r="A915" s="112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 spans="1:28" ht="16.5" x14ac:dyDescent="0.2">
      <c r="A916" s="112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 spans="1:28" ht="16.5" x14ac:dyDescent="0.2">
      <c r="A917" s="112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 spans="1:28" ht="16.5" x14ac:dyDescent="0.2">
      <c r="A918" s="112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 spans="1:28" ht="16.5" x14ac:dyDescent="0.2">
      <c r="A919" s="112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 spans="1:28" ht="16.5" x14ac:dyDescent="0.2">
      <c r="A920" s="112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 spans="1:28" ht="16.5" x14ac:dyDescent="0.2">
      <c r="A921" s="112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 spans="1:28" ht="16.5" x14ac:dyDescent="0.2">
      <c r="A922" s="112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 spans="1:28" ht="16.5" x14ac:dyDescent="0.2">
      <c r="A923" s="112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 spans="1:28" ht="16.5" x14ac:dyDescent="0.2">
      <c r="A924" s="112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 spans="1:28" ht="16.5" x14ac:dyDescent="0.2">
      <c r="A925" s="112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 spans="1:28" ht="16.5" x14ac:dyDescent="0.2">
      <c r="A926" s="112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 spans="1:28" ht="16.5" x14ac:dyDescent="0.2">
      <c r="A927" s="112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 spans="1:28" ht="16.5" x14ac:dyDescent="0.2">
      <c r="A928" s="112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 spans="1:28" ht="16.5" x14ac:dyDescent="0.2">
      <c r="A929" s="112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 spans="1:28" ht="16.5" x14ac:dyDescent="0.2">
      <c r="A930" s="112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 spans="1:28" ht="16.5" x14ac:dyDescent="0.2">
      <c r="A931" s="112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 spans="1:28" ht="16.5" x14ac:dyDescent="0.2">
      <c r="A932" s="112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 spans="1:28" ht="16.5" x14ac:dyDescent="0.2">
      <c r="A933" s="112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 spans="1:28" ht="16.5" x14ac:dyDescent="0.2">
      <c r="A934" s="112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 spans="1:28" ht="16.5" x14ac:dyDescent="0.2">
      <c r="A935" s="112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 spans="1:28" ht="16.5" x14ac:dyDescent="0.2">
      <c r="A936" s="112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 spans="1:28" ht="16.5" x14ac:dyDescent="0.2">
      <c r="A937" s="112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 spans="1:28" ht="16.5" x14ac:dyDescent="0.2">
      <c r="A938" s="112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 spans="1:28" ht="16.5" x14ac:dyDescent="0.2">
      <c r="A939" s="112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 spans="1:28" ht="16.5" x14ac:dyDescent="0.2">
      <c r="A940" s="112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 spans="1:28" ht="16.5" x14ac:dyDescent="0.2">
      <c r="A941" s="112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 spans="1:28" ht="16.5" x14ac:dyDescent="0.2">
      <c r="A942" s="112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 spans="1:28" ht="16.5" x14ac:dyDescent="0.2">
      <c r="A943" s="112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 spans="1:28" ht="16.5" x14ac:dyDescent="0.2">
      <c r="A944" s="112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 spans="1:28" ht="16.5" x14ac:dyDescent="0.2">
      <c r="A945" s="112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 spans="1:28" ht="16.5" x14ac:dyDescent="0.2">
      <c r="A946" s="112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 spans="1:28" ht="16.5" x14ac:dyDescent="0.2">
      <c r="A947" s="112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 spans="1:28" ht="16.5" x14ac:dyDescent="0.2">
      <c r="A948" s="112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 spans="1:28" ht="16.5" x14ac:dyDescent="0.2">
      <c r="A949" s="112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 spans="1:28" ht="16.5" x14ac:dyDescent="0.2">
      <c r="A950" s="112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 spans="1:28" ht="16.5" x14ac:dyDescent="0.2">
      <c r="A951" s="112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 spans="1:28" ht="16.5" x14ac:dyDescent="0.2">
      <c r="A952" s="112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 spans="1:28" ht="16.5" x14ac:dyDescent="0.2">
      <c r="A953" s="112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 spans="1:28" ht="16.5" x14ac:dyDescent="0.2">
      <c r="A954" s="112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 spans="1:28" ht="16.5" x14ac:dyDescent="0.2">
      <c r="A955" s="112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 spans="1:28" ht="16.5" x14ac:dyDescent="0.2">
      <c r="A956" s="112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 spans="1:28" ht="16.5" x14ac:dyDescent="0.2">
      <c r="A957" s="112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 spans="1:28" ht="16.5" x14ac:dyDescent="0.2">
      <c r="A958" s="112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 spans="1:28" ht="16.5" x14ac:dyDescent="0.2">
      <c r="A959" s="112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 spans="1:28" ht="16.5" x14ac:dyDescent="0.2">
      <c r="A960" s="112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 spans="1:28" ht="16.5" x14ac:dyDescent="0.2">
      <c r="A961" s="112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 spans="1:28" ht="16.5" x14ac:dyDescent="0.2">
      <c r="A962" s="112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 spans="1:28" ht="16.5" x14ac:dyDescent="0.2">
      <c r="A963" s="112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 spans="1:28" ht="16.5" x14ac:dyDescent="0.2">
      <c r="A964" s="112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 spans="1:28" ht="16.5" x14ac:dyDescent="0.2">
      <c r="A965" s="112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 spans="1:28" ht="16.5" x14ac:dyDescent="0.2">
      <c r="A966" s="112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 spans="1:28" ht="16.5" x14ac:dyDescent="0.2">
      <c r="A967" s="112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 spans="1:28" ht="16.5" x14ac:dyDescent="0.2">
      <c r="A968" s="112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 spans="1:28" ht="16.5" x14ac:dyDescent="0.2">
      <c r="A969" s="112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 spans="1:28" ht="16.5" x14ac:dyDescent="0.2">
      <c r="A970" s="112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 spans="1:28" ht="16.5" x14ac:dyDescent="0.2">
      <c r="A971" s="112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 spans="1:28" ht="16.5" x14ac:dyDescent="0.2">
      <c r="A972" s="112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 spans="1:28" ht="16.5" x14ac:dyDescent="0.2">
      <c r="A973" s="112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 spans="1:28" ht="16.5" x14ac:dyDescent="0.2">
      <c r="A974" s="112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 spans="1:28" ht="16.5" x14ac:dyDescent="0.2">
      <c r="A975" s="112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 spans="1:28" ht="16.5" x14ac:dyDescent="0.2">
      <c r="A976" s="112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 spans="1:28" ht="16.5" x14ac:dyDescent="0.2">
      <c r="A977" s="112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 spans="1:28" ht="16.5" x14ac:dyDescent="0.2">
      <c r="A978" s="112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 spans="1:28" ht="16.5" x14ac:dyDescent="0.2">
      <c r="A979" s="112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 spans="1:28" ht="16.5" x14ac:dyDescent="0.2">
      <c r="A980" s="112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 spans="1:28" ht="16.5" x14ac:dyDescent="0.2">
      <c r="A981" s="112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 spans="1:28" ht="16.5" x14ac:dyDescent="0.2">
      <c r="A982" s="112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 spans="1:28" ht="16.5" x14ac:dyDescent="0.2">
      <c r="A983" s="112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 spans="1:28" ht="16.5" x14ac:dyDescent="0.2">
      <c r="A984" s="112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 spans="1:28" ht="16.5" x14ac:dyDescent="0.2">
      <c r="A985" s="112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 spans="1:28" ht="16.5" x14ac:dyDescent="0.2">
      <c r="A986" s="112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 spans="1:28" ht="16.5" x14ac:dyDescent="0.2">
      <c r="A987" s="112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 spans="1:28" ht="16.5" x14ac:dyDescent="0.2">
      <c r="A988" s="112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 spans="1:28" ht="16.5" x14ac:dyDescent="0.2">
      <c r="A989" s="112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 spans="1:28" ht="16.5" x14ac:dyDescent="0.2">
      <c r="A990" s="112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 spans="1:28" ht="16.5" x14ac:dyDescent="0.2">
      <c r="A991" s="112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 spans="1:28" ht="16.5" x14ac:dyDescent="0.2">
      <c r="A992" s="112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 spans="1:28" ht="16.5" x14ac:dyDescent="0.2">
      <c r="A993" s="112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 spans="1:28" ht="16.5" x14ac:dyDescent="0.2">
      <c r="A994" s="112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 spans="1:28" ht="16.5" x14ac:dyDescent="0.2">
      <c r="A995" s="112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 spans="1:28" ht="16.5" x14ac:dyDescent="0.2">
      <c r="A996" s="112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 spans="1:28" ht="16.5" x14ac:dyDescent="0.2">
      <c r="A997" s="112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 spans="1:28" ht="16.5" x14ac:dyDescent="0.2">
      <c r="A998" s="112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 spans="1:28" ht="16.5" x14ac:dyDescent="0.2">
      <c r="A999" s="112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  <row r="1000" spans="1:28" ht="16.5" x14ac:dyDescent="0.2">
      <c r="A1000" s="112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</row>
    <row r="1001" spans="1:28" ht="15" customHeight="1" x14ac:dyDescent="0.2">
      <c r="A1001" s="112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</row>
    <row r="1002" spans="1:28" ht="15" customHeight="1" x14ac:dyDescent="0.2">
      <c r="A1002" s="112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</row>
    <row r="1003" spans="1:28" ht="15" customHeight="1" x14ac:dyDescent="0.2">
      <c r="A1003" s="112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</row>
    <row r="1004" spans="1:28" ht="15" customHeight="1" x14ac:dyDescent="0.2">
      <c r="A1004" s="112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</row>
    <row r="1005" spans="1:28" ht="15" customHeight="1" x14ac:dyDescent="0.2">
      <c r="A1005" s="112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</row>
    <row r="1006" spans="1:28" ht="15" customHeight="1" x14ac:dyDescent="0.2">
      <c r="A1006" s="112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</row>
    <row r="1007" spans="1:28" ht="15" customHeight="1" x14ac:dyDescent="0.2">
      <c r="A1007" s="112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</row>
    <row r="1008" spans="1:28" ht="15" customHeight="1" x14ac:dyDescent="0.2">
      <c r="A1008" s="112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</row>
    <row r="1009" spans="1:11" ht="15" customHeight="1" x14ac:dyDescent="0.2">
      <c r="A1009" s="112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</row>
    <row r="1010" spans="1:11" ht="15" customHeight="1" x14ac:dyDescent="0.2">
      <c r="A1010" s="112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</row>
    <row r="1011" spans="1:11" ht="15" customHeight="1" x14ac:dyDescent="0.2">
      <c r="A1011" s="112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</row>
    <row r="1012" spans="1:11" ht="15" customHeight="1" x14ac:dyDescent="0.2">
      <c r="A1012" s="112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</row>
    <row r="1013" spans="1:11" ht="15" customHeight="1" x14ac:dyDescent="0.2">
      <c r="A1013" s="112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</row>
    <row r="1014" spans="1:11" ht="15" customHeight="1" x14ac:dyDescent="0.2">
      <c r="A1014" s="112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</row>
    <row r="1015" spans="1:11" ht="15" customHeight="1" x14ac:dyDescent="0.2">
      <c r="A1015" s="112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</row>
  </sheetData>
  <phoneticPr fontId="9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286"/>
  <sheetViews>
    <sheetView workbookViewId="0">
      <selection activeCell="H21" sqref="H21"/>
    </sheetView>
  </sheetViews>
  <sheetFormatPr defaultColWidth="14.390625" defaultRowHeight="15" customHeight="1" x14ac:dyDescent="0.2"/>
  <cols>
    <col min="1" max="55" width="8.609375" customWidth="1"/>
  </cols>
  <sheetData>
    <row r="1" spans="1:55" ht="12" customHeight="1" thickBot="1" x14ac:dyDescent="0.25">
      <c r="A1" s="31"/>
      <c r="B1" s="32" t="s">
        <v>0</v>
      </c>
      <c r="C1" s="33">
        <v>46129</v>
      </c>
      <c r="D1" s="33">
        <f t="shared" ref="D1:AU1" si="0">C1+1</f>
        <v>46130</v>
      </c>
      <c r="E1" s="33">
        <f t="shared" si="0"/>
        <v>46131</v>
      </c>
      <c r="F1" s="33">
        <f t="shared" si="0"/>
        <v>46132</v>
      </c>
      <c r="G1" s="33">
        <f t="shared" si="0"/>
        <v>46133</v>
      </c>
      <c r="H1" s="33">
        <f t="shared" si="0"/>
        <v>46134</v>
      </c>
      <c r="I1" s="33">
        <f t="shared" si="0"/>
        <v>46135</v>
      </c>
      <c r="J1" s="33">
        <f t="shared" si="0"/>
        <v>46136</v>
      </c>
      <c r="K1" s="33">
        <f t="shared" si="0"/>
        <v>46137</v>
      </c>
      <c r="L1" s="33">
        <f t="shared" si="0"/>
        <v>46138</v>
      </c>
      <c r="M1" s="33">
        <f t="shared" si="0"/>
        <v>46139</v>
      </c>
      <c r="N1" s="33">
        <f t="shared" si="0"/>
        <v>46140</v>
      </c>
      <c r="O1" s="33">
        <f t="shared" si="0"/>
        <v>46141</v>
      </c>
      <c r="P1" s="33">
        <f t="shared" si="0"/>
        <v>46142</v>
      </c>
      <c r="Q1" s="33">
        <f t="shared" si="0"/>
        <v>46143</v>
      </c>
      <c r="R1" s="33">
        <f t="shared" si="0"/>
        <v>46144</v>
      </c>
      <c r="S1" s="33">
        <f t="shared" si="0"/>
        <v>46145</v>
      </c>
      <c r="T1" s="33">
        <f t="shared" si="0"/>
        <v>46146</v>
      </c>
      <c r="U1" s="33">
        <f t="shared" si="0"/>
        <v>46147</v>
      </c>
      <c r="V1" s="33">
        <f t="shared" si="0"/>
        <v>46148</v>
      </c>
      <c r="W1" s="33">
        <f t="shared" si="0"/>
        <v>46149</v>
      </c>
      <c r="X1" s="33">
        <f t="shared" si="0"/>
        <v>46150</v>
      </c>
      <c r="Y1" s="33">
        <f t="shared" si="0"/>
        <v>46151</v>
      </c>
      <c r="Z1" s="33">
        <f t="shared" si="0"/>
        <v>46152</v>
      </c>
      <c r="AA1" s="33">
        <f t="shared" si="0"/>
        <v>46153</v>
      </c>
      <c r="AB1" s="33">
        <f t="shared" si="0"/>
        <v>46154</v>
      </c>
      <c r="AC1" s="33">
        <f t="shared" si="0"/>
        <v>46155</v>
      </c>
      <c r="AD1" s="33">
        <f t="shared" si="0"/>
        <v>46156</v>
      </c>
      <c r="AE1" s="33">
        <f t="shared" si="0"/>
        <v>46157</v>
      </c>
      <c r="AF1" s="33">
        <f t="shared" si="0"/>
        <v>46158</v>
      </c>
      <c r="AG1" s="33">
        <f t="shared" si="0"/>
        <v>46159</v>
      </c>
      <c r="AH1" s="153">
        <f t="shared" si="0"/>
        <v>46160</v>
      </c>
      <c r="AI1" s="33">
        <f t="shared" si="0"/>
        <v>46161</v>
      </c>
      <c r="AJ1" s="33">
        <f t="shared" si="0"/>
        <v>46162</v>
      </c>
      <c r="AK1" s="33">
        <f t="shared" si="0"/>
        <v>46163</v>
      </c>
      <c r="AL1" s="33">
        <f t="shared" si="0"/>
        <v>46164</v>
      </c>
      <c r="AM1" s="33">
        <f t="shared" si="0"/>
        <v>46165</v>
      </c>
      <c r="AN1" s="33">
        <f t="shared" si="0"/>
        <v>46166</v>
      </c>
      <c r="AO1" s="33">
        <f t="shared" si="0"/>
        <v>46167</v>
      </c>
      <c r="AP1" s="33">
        <f t="shared" si="0"/>
        <v>46168</v>
      </c>
      <c r="AQ1" s="33">
        <f t="shared" si="0"/>
        <v>46169</v>
      </c>
      <c r="AR1" s="33">
        <f t="shared" si="0"/>
        <v>46170</v>
      </c>
      <c r="AS1" s="33">
        <f t="shared" si="0"/>
        <v>46171</v>
      </c>
      <c r="AT1" s="33">
        <f t="shared" si="0"/>
        <v>46172</v>
      </c>
      <c r="AU1" s="33">
        <f t="shared" si="0"/>
        <v>46173</v>
      </c>
    </row>
    <row r="2" spans="1:55" ht="11.25" customHeight="1" x14ac:dyDescent="0.2">
      <c r="A2" s="7" t="s">
        <v>1</v>
      </c>
      <c r="B2" s="8" t="s">
        <v>53</v>
      </c>
      <c r="C2" s="9">
        <v>6380</v>
      </c>
      <c r="D2" s="9">
        <v>6380</v>
      </c>
      <c r="E2" s="9">
        <v>6394</v>
      </c>
      <c r="F2" s="9">
        <v>6400</v>
      </c>
      <c r="G2" s="9">
        <v>6409</v>
      </c>
      <c r="H2" s="9">
        <v>6413</v>
      </c>
      <c r="I2" s="9">
        <v>6416</v>
      </c>
      <c r="J2" s="9">
        <v>6416</v>
      </c>
      <c r="K2" s="9">
        <v>6422</v>
      </c>
      <c r="L2" s="9">
        <v>6447</v>
      </c>
      <c r="M2" s="9">
        <v>6452</v>
      </c>
      <c r="N2" s="9">
        <v>6461</v>
      </c>
      <c r="O2" s="9">
        <v>6466</v>
      </c>
      <c r="P2" s="9">
        <v>6467</v>
      </c>
      <c r="Q2" s="9">
        <v>6468</v>
      </c>
      <c r="R2" s="9">
        <v>6475</v>
      </c>
      <c r="S2" s="9">
        <v>6486</v>
      </c>
      <c r="T2" s="9">
        <v>6492</v>
      </c>
      <c r="U2" s="9">
        <v>6498</v>
      </c>
      <c r="V2" s="9">
        <v>6517</v>
      </c>
      <c r="W2" s="9">
        <v>6518</v>
      </c>
      <c r="X2" s="9">
        <v>6525</v>
      </c>
      <c r="Y2" s="9">
        <v>6527</v>
      </c>
      <c r="Z2" s="9">
        <v>6542</v>
      </c>
      <c r="AA2" s="9">
        <v>6545</v>
      </c>
      <c r="AB2" s="9">
        <v>6553</v>
      </c>
      <c r="AC2" s="9">
        <v>6555</v>
      </c>
      <c r="AD2" s="9">
        <v>6555</v>
      </c>
      <c r="AE2" s="9">
        <v>6561</v>
      </c>
      <c r="AF2" s="9">
        <v>6568</v>
      </c>
      <c r="AG2" s="9">
        <v>6573</v>
      </c>
      <c r="AH2" s="119">
        <v>6576</v>
      </c>
      <c r="AI2" s="9">
        <v>6576</v>
      </c>
      <c r="AJ2" s="9">
        <v>6581</v>
      </c>
      <c r="AK2" s="9">
        <v>6582</v>
      </c>
      <c r="AL2" s="9">
        <v>6582</v>
      </c>
      <c r="AM2" s="9">
        <v>6587</v>
      </c>
      <c r="AN2" s="9"/>
      <c r="AO2" s="9"/>
      <c r="AP2" s="9"/>
      <c r="AQ2" s="9"/>
      <c r="AR2" s="9"/>
      <c r="AS2" s="9"/>
      <c r="AT2" s="9"/>
      <c r="AU2" s="9"/>
    </row>
    <row r="3" spans="1:55" ht="11.25" customHeight="1" x14ac:dyDescent="0.2">
      <c r="A3" s="10" t="s">
        <v>54</v>
      </c>
      <c r="B3" s="11" t="s">
        <v>55</v>
      </c>
      <c r="C3" s="12">
        <v>1772</v>
      </c>
      <c r="D3" s="12">
        <v>1772</v>
      </c>
      <c r="E3" s="12">
        <v>1774</v>
      </c>
      <c r="F3" s="12">
        <v>1774</v>
      </c>
      <c r="G3" s="12">
        <v>1775</v>
      </c>
      <c r="H3" s="12">
        <v>1776</v>
      </c>
      <c r="I3" s="12">
        <v>1776</v>
      </c>
      <c r="J3" s="12">
        <v>1776</v>
      </c>
      <c r="K3" s="12">
        <v>1777</v>
      </c>
      <c r="L3" s="12">
        <v>1782</v>
      </c>
      <c r="M3" s="12">
        <v>1783</v>
      </c>
      <c r="N3" s="12">
        <v>1787</v>
      </c>
      <c r="O3" s="12">
        <v>1789</v>
      </c>
      <c r="P3" s="12">
        <v>1789</v>
      </c>
      <c r="Q3" s="12">
        <v>1789</v>
      </c>
      <c r="R3" s="12">
        <v>1791</v>
      </c>
      <c r="S3" s="12">
        <v>1793</v>
      </c>
      <c r="T3" s="12">
        <v>1795</v>
      </c>
      <c r="U3" s="12">
        <v>1795</v>
      </c>
      <c r="V3" s="12">
        <v>1801</v>
      </c>
      <c r="W3" s="12">
        <v>1801</v>
      </c>
      <c r="X3" s="12">
        <v>1804</v>
      </c>
      <c r="Y3" s="12">
        <v>1804</v>
      </c>
      <c r="Z3" s="12">
        <v>1807</v>
      </c>
      <c r="AA3" s="12">
        <v>1807</v>
      </c>
      <c r="AB3" s="12">
        <v>1811</v>
      </c>
      <c r="AC3" s="12">
        <v>1812</v>
      </c>
      <c r="AD3" s="12">
        <v>1812</v>
      </c>
      <c r="AE3" s="12">
        <v>1814</v>
      </c>
      <c r="AF3" s="12">
        <v>1817</v>
      </c>
      <c r="AG3" s="12">
        <v>1818</v>
      </c>
      <c r="AH3" s="124">
        <v>1819</v>
      </c>
      <c r="AI3" s="12">
        <v>1819</v>
      </c>
      <c r="AJ3" s="12">
        <v>1821</v>
      </c>
      <c r="AK3" s="12">
        <v>1821</v>
      </c>
      <c r="AL3" s="12">
        <v>1821</v>
      </c>
      <c r="AM3" s="12">
        <v>1823</v>
      </c>
      <c r="AN3" s="12"/>
      <c r="AO3" s="12"/>
      <c r="AP3" s="12"/>
      <c r="AQ3" s="12"/>
      <c r="AR3" s="12"/>
      <c r="AS3" s="12"/>
      <c r="AT3" s="12"/>
      <c r="AU3" s="12"/>
    </row>
    <row r="4" spans="1:55" ht="11.25" customHeight="1" x14ac:dyDescent="0.25">
      <c r="A4" s="13">
        <f>+A9*1000</f>
        <v>207000</v>
      </c>
      <c r="B4" s="11" t="s">
        <v>56</v>
      </c>
      <c r="C4" s="12">
        <v>3106</v>
      </c>
      <c r="D4" s="12">
        <v>3106</v>
      </c>
      <c r="E4" s="12">
        <v>3115</v>
      </c>
      <c r="F4" s="12">
        <v>3121</v>
      </c>
      <c r="G4" s="12">
        <v>3128</v>
      </c>
      <c r="H4" s="12">
        <v>3129</v>
      </c>
      <c r="I4" s="12">
        <v>3132</v>
      </c>
      <c r="J4" s="12">
        <v>3132</v>
      </c>
      <c r="K4" s="12">
        <v>3136</v>
      </c>
      <c r="L4" s="12">
        <v>3151</v>
      </c>
      <c r="M4" s="12">
        <v>3154</v>
      </c>
      <c r="N4" s="12">
        <v>3155</v>
      </c>
      <c r="O4" s="12">
        <v>3156</v>
      </c>
      <c r="P4" s="12">
        <v>3157</v>
      </c>
      <c r="Q4" s="12">
        <v>3158</v>
      </c>
      <c r="R4" s="12">
        <v>3161</v>
      </c>
      <c r="S4" s="12">
        <v>3168</v>
      </c>
      <c r="T4" s="12">
        <v>3170</v>
      </c>
      <c r="U4" s="12">
        <v>3176</v>
      </c>
      <c r="V4" s="12">
        <v>3183</v>
      </c>
      <c r="W4" s="12">
        <v>3184</v>
      </c>
      <c r="X4" s="12">
        <v>3185</v>
      </c>
      <c r="Y4" s="12">
        <v>3187</v>
      </c>
      <c r="Z4" s="12">
        <v>3196</v>
      </c>
      <c r="AA4" s="12">
        <v>3199</v>
      </c>
      <c r="AB4" s="12">
        <v>3199</v>
      </c>
      <c r="AC4" s="12">
        <v>3199</v>
      </c>
      <c r="AD4" s="12">
        <v>3199</v>
      </c>
      <c r="AE4" s="12">
        <v>3201</v>
      </c>
      <c r="AF4" s="12">
        <v>3202</v>
      </c>
      <c r="AG4" s="12">
        <v>3205</v>
      </c>
      <c r="AH4" s="124">
        <v>3206</v>
      </c>
      <c r="AI4" s="12">
        <v>3206</v>
      </c>
      <c r="AJ4" s="12">
        <v>3207</v>
      </c>
      <c r="AK4" s="12">
        <v>3208</v>
      </c>
      <c r="AL4" s="12">
        <v>3208</v>
      </c>
      <c r="AM4" s="12">
        <v>3209</v>
      </c>
      <c r="AN4" s="12"/>
      <c r="AO4" s="12"/>
      <c r="AP4" s="12"/>
      <c r="AQ4" s="12"/>
      <c r="AR4" s="12"/>
      <c r="AS4" s="12"/>
      <c r="AT4" s="12"/>
      <c r="AU4" s="12"/>
    </row>
    <row r="5" spans="1:55" ht="11.25" customHeight="1" x14ac:dyDescent="0.2">
      <c r="A5" s="14" t="s">
        <v>9</v>
      </c>
      <c r="B5" s="11" t="s">
        <v>6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4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 spans="1:55" ht="11.25" customHeight="1" x14ac:dyDescent="0.2">
      <c r="A6" s="15">
        <f>AVERAGE(C9:AS9)*30*1000</f>
        <v>172500</v>
      </c>
      <c r="B6" s="11" t="s">
        <v>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4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spans="1:55" ht="11.25" customHeight="1" x14ac:dyDescent="0.25">
      <c r="A7" s="13"/>
      <c r="B7" s="17" t="s">
        <v>57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34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</row>
    <row r="8" spans="1:55" ht="11.25" customHeight="1" x14ac:dyDescent="0.25">
      <c r="A8" s="34"/>
      <c r="B8" s="11" t="s">
        <v>58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4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</row>
    <row r="9" spans="1:55" ht="11.25" customHeight="1" x14ac:dyDescent="0.2">
      <c r="A9" s="15">
        <f t="shared" ref="A9:A11" si="1">SUM(C9:AS9)</f>
        <v>207</v>
      </c>
      <c r="B9" s="35" t="s">
        <v>59</v>
      </c>
      <c r="C9" s="36"/>
      <c r="D9" s="36">
        <f t="shared" ref="D9:AU11" si="2">IF(D2="","",D2-C2)</f>
        <v>0</v>
      </c>
      <c r="E9" s="36">
        <f t="shared" si="2"/>
        <v>14</v>
      </c>
      <c r="F9" s="36">
        <f t="shared" si="2"/>
        <v>6</v>
      </c>
      <c r="G9" s="36">
        <f t="shared" si="2"/>
        <v>9</v>
      </c>
      <c r="H9" s="36">
        <f t="shared" si="2"/>
        <v>4</v>
      </c>
      <c r="I9" s="36">
        <f t="shared" si="2"/>
        <v>3</v>
      </c>
      <c r="J9" s="36">
        <f t="shared" si="2"/>
        <v>0</v>
      </c>
      <c r="K9" s="36">
        <f t="shared" si="2"/>
        <v>6</v>
      </c>
      <c r="L9" s="36">
        <f t="shared" si="2"/>
        <v>25</v>
      </c>
      <c r="M9" s="36">
        <f t="shared" si="2"/>
        <v>5</v>
      </c>
      <c r="N9" s="36">
        <f t="shared" si="2"/>
        <v>9</v>
      </c>
      <c r="O9" s="36">
        <f t="shared" si="2"/>
        <v>5</v>
      </c>
      <c r="P9" s="36">
        <f t="shared" si="2"/>
        <v>1</v>
      </c>
      <c r="Q9" s="36">
        <f t="shared" si="2"/>
        <v>1</v>
      </c>
      <c r="R9" s="36">
        <f t="shared" si="2"/>
        <v>7</v>
      </c>
      <c r="S9" s="36">
        <f t="shared" si="2"/>
        <v>11</v>
      </c>
      <c r="T9" s="36">
        <f t="shared" si="2"/>
        <v>6</v>
      </c>
      <c r="U9" s="36">
        <f t="shared" si="2"/>
        <v>6</v>
      </c>
      <c r="V9" s="36">
        <f t="shared" si="2"/>
        <v>19</v>
      </c>
      <c r="W9" s="36">
        <f t="shared" si="2"/>
        <v>1</v>
      </c>
      <c r="X9" s="36">
        <f t="shared" si="2"/>
        <v>7</v>
      </c>
      <c r="Y9" s="36">
        <f t="shared" si="2"/>
        <v>2</v>
      </c>
      <c r="Z9" s="36">
        <f t="shared" si="2"/>
        <v>15</v>
      </c>
      <c r="AA9" s="36">
        <f t="shared" si="2"/>
        <v>3</v>
      </c>
      <c r="AB9" s="36">
        <f t="shared" si="2"/>
        <v>8</v>
      </c>
      <c r="AC9" s="36">
        <f t="shared" si="2"/>
        <v>2</v>
      </c>
      <c r="AD9" s="36">
        <f t="shared" si="2"/>
        <v>0</v>
      </c>
      <c r="AE9" s="36">
        <f t="shared" si="2"/>
        <v>6</v>
      </c>
      <c r="AF9" s="36">
        <f t="shared" si="2"/>
        <v>7</v>
      </c>
      <c r="AG9" s="36">
        <f t="shared" si="2"/>
        <v>5</v>
      </c>
      <c r="AH9" s="156">
        <f t="shared" si="2"/>
        <v>3</v>
      </c>
      <c r="AI9" s="36">
        <f t="shared" si="2"/>
        <v>0</v>
      </c>
      <c r="AJ9" s="36">
        <f t="shared" si="2"/>
        <v>5</v>
      </c>
      <c r="AK9" s="36">
        <f t="shared" si="2"/>
        <v>1</v>
      </c>
      <c r="AL9" s="36">
        <f t="shared" si="2"/>
        <v>0</v>
      </c>
      <c r="AM9" s="36">
        <f t="shared" si="2"/>
        <v>5</v>
      </c>
      <c r="AN9" s="36" t="str">
        <f t="shared" si="2"/>
        <v/>
      </c>
      <c r="AO9" s="36" t="str">
        <f t="shared" si="2"/>
        <v/>
      </c>
      <c r="AP9" s="36" t="str">
        <f t="shared" si="2"/>
        <v/>
      </c>
      <c r="AQ9" s="36" t="str">
        <f t="shared" si="2"/>
        <v/>
      </c>
      <c r="AR9" s="36" t="str">
        <f t="shared" si="2"/>
        <v/>
      </c>
      <c r="AS9" s="36" t="str">
        <f t="shared" si="2"/>
        <v/>
      </c>
      <c r="AT9" s="36" t="str">
        <f t="shared" si="2"/>
        <v/>
      </c>
      <c r="AU9" s="36" t="str">
        <f t="shared" si="2"/>
        <v/>
      </c>
    </row>
    <row r="10" spans="1:55" ht="11.25" customHeight="1" x14ac:dyDescent="0.2">
      <c r="A10" s="15">
        <f t="shared" si="1"/>
        <v>51</v>
      </c>
      <c r="B10" s="35" t="s">
        <v>60</v>
      </c>
      <c r="C10" s="36"/>
      <c r="D10" s="36">
        <f t="shared" si="2"/>
        <v>0</v>
      </c>
      <c r="E10" s="36">
        <f t="shared" si="2"/>
        <v>2</v>
      </c>
      <c r="F10" s="36">
        <f t="shared" si="2"/>
        <v>0</v>
      </c>
      <c r="G10" s="36">
        <f t="shared" si="2"/>
        <v>1</v>
      </c>
      <c r="H10" s="36">
        <f t="shared" si="2"/>
        <v>1</v>
      </c>
      <c r="I10" s="36">
        <f t="shared" si="2"/>
        <v>0</v>
      </c>
      <c r="J10" s="36">
        <f t="shared" si="2"/>
        <v>0</v>
      </c>
      <c r="K10" s="36">
        <f t="shared" si="2"/>
        <v>1</v>
      </c>
      <c r="L10" s="36">
        <f t="shared" si="2"/>
        <v>5</v>
      </c>
      <c r="M10" s="36">
        <f t="shared" si="2"/>
        <v>1</v>
      </c>
      <c r="N10" s="36">
        <f t="shared" si="2"/>
        <v>4</v>
      </c>
      <c r="O10" s="36">
        <f t="shared" si="2"/>
        <v>2</v>
      </c>
      <c r="P10" s="36">
        <f t="shared" si="2"/>
        <v>0</v>
      </c>
      <c r="Q10" s="36">
        <f t="shared" si="2"/>
        <v>0</v>
      </c>
      <c r="R10" s="36">
        <f t="shared" si="2"/>
        <v>2</v>
      </c>
      <c r="S10" s="36">
        <f t="shared" si="2"/>
        <v>2</v>
      </c>
      <c r="T10" s="36">
        <f t="shared" si="2"/>
        <v>2</v>
      </c>
      <c r="U10" s="36">
        <f t="shared" si="2"/>
        <v>0</v>
      </c>
      <c r="V10" s="36">
        <f t="shared" si="2"/>
        <v>6</v>
      </c>
      <c r="W10" s="36">
        <f t="shared" si="2"/>
        <v>0</v>
      </c>
      <c r="X10" s="36">
        <f t="shared" si="2"/>
        <v>3</v>
      </c>
      <c r="Y10" s="36">
        <f t="shared" si="2"/>
        <v>0</v>
      </c>
      <c r="Z10" s="36">
        <f t="shared" si="2"/>
        <v>3</v>
      </c>
      <c r="AA10" s="36">
        <f t="shared" si="2"/>
        <v>0</v>
      </c>
      <c r="AB10" s="36">
        <f t="shared" si="2"/>
        <v>4</v>
      </c>
      <c r="AC10" s="36">
        <f t="shared" si="2"/>
        <v>1</v>
      </c>
      <c r="AD10" s="36">
        <f t="shared" si="2"/>
        <v>0</v>
      </c>
      <c r="AE10" s="36">
        <f t="shared" si="2"/>
        <v>2</v>
      </c>
      <c r="AF10" s="36">
        <f t="shared" si="2"/>
        <v>3</v>
      </c>
      <c r="AG10" s="36">
        <f t="shared" si="2"/>
        <v>1</v>
      </c>
      <c r="AH10" s="156">
        <f t="shared" si="2"/>
        <v>1</v>
      </c>
      <c r="AI10" s="36">
        <f t="shared" si="2"/>
        <v>0</v>
      </c>
      <c r="AJ10" s="36">
        <f t="shared" si="2"/>
        <v>2</v>
      </c>
      <c r="AK10" s="36">
        <f t="shared" si="2"/>
        <v>0</v>
      </c>
      <c r="AL10" s="36">
        <f t="shared" si="2"/>
        <v>0</v>
      </c>
      <c r="AM10" s="36">
        <f t="shared" si="2"/>
        <v>2</v>
      </c>
      <c r="AN10" s="36" t="str">
        <f t="shared" si="2"/>
        <v/>
      </c>
      <c r="AO10" s="36" t="str">
        <f t="shared" si="2"/>
        <v/>
      </c>
      <c r="AP10" s="36" t="str">
        <f t="shared" si="2"/>
        <v/>
      </c>
      <c r="AQ10" s="36" t="str">
        <f t="shared" si="2"/>
        <v/>
      </c>
      <c r="AR10" s="36" t="str">
        <f t="shared" si="2"/>
        <v/>
      </c>
      <c r="AS10" s="36" t="str">
        <f t="shared" si="2"/>
        <v/>
      </c>
      <c r="AT10" s="36" t="str">
        <f t="shared" si="2"/>
        <v/>
      </c>
      <c r="AU10" s="36" t="str">
        <f t="shared" si="2"/>
        <v/>
      </c>
    </row>
    <row r="11" spans="1:55" ht="11.25" customHeight="1" x14ac:dyDescent="0.2">
      <c r="A11" s="15">
        <f t="shared" si="1"/>
        <v>103</v>
      </c>
      <c r="B11" s="35" t="s">
        <v>61</v>
      </c>
      <c r="C11" s="36"/>
      <c r="D11" s="36">
        <f t="shared" si="2"/>
        <v>0</v>
      </c>
      <c r="E11" s="36">
        <f t="shared" si="2"/>
        <v>9</v>
      </c>
      <c r="F11" s="36">
        <f t="shared" si="2"/>
        <v>6</v>
      </c>
      <c r="G11" s="36">
        <f t="shared" si="2"/>
        <v>7</v>
      </c>
      <c r="H11" s="36">
        <f t="shared" si="2"/>
        <v>1</v>
      </c>
      <c r="I11" s="36">
        <f t="shared" si="2"/>
        <v>3</v>
      </c>
      <c r="J11" s="36">
        <f t="shared" si="2"/>
        <v>0</v>
      </c>
      <c r="K11" s="36">
        <f t="shared" si="2"/>
        <v>4</v>
      </c>
      <c r="L11" s="36">
        <f t="shared" si="2"/>
        <v>15</v>
      </c>
      <c r="M11" s="36">
        <f t="shared" si="2"/>
        <v>3</v>
      </c>
      <c r="N11" s="36">
        <f t="shared" si="2"/>
        <v>1</v>
      </c>
      <c r="O11" s="36">
        <f t="shared" si="2"/>
        <v>1</v>
      </c>
      <c r="P11" s="36">
        <f t="shared" si="2"/>
        <v>1</v>
      </c>
      <c r="Q11" s="36">
        <f t="shared" si="2"/>
        <v>1</v>
      </c>
      <c r="R11" s="36">
        <f t="shared" si="2"/>
        <v>3</v>
      </c>
      <c r="S11" s="36">
        <f t="shared" si="2"/>
        <v>7</v>
      </c>
      <c r="T11" s="36">
        <f t="shared" si="2"/>
        <v>2</v>
      </c>
      <c r="U11" s="36">
        <f t="shared" si="2"/>
        <v>6</v>
      </c>
      <c r="V11" s="36">
        <f t="shared" si="2"/>
        <v>7</v>
      </c>
      <c r="W11" s="36">
        <f t="shared" si="2"/>
        <v>1</v>
      </c>
      <c r="X11" s="36">
        <f t="shared" si="2"/>
        <v>1</v>
      </c>
      <c r="Y11" s="36">
        <f t="shared" si="2"/>
        <v>2</v>
      </c>
      <c r="Z11" s="36">
        <f t="shared" si="2"/>
        <v>9</v>
      </c>
      <c r="AA11" s="36">
        <f t="shared" si="2"/>
        <v>3</v>
      </c>
      <c r="AB11" s="36">
        <f t="shared" si="2"/>
        <v>0</v>
      </c>
      <c r="AC11" s="36">
        <f t="shared" si="2"/>
        <v>0</v>
      </c>
      <c r="AD11" s="36">
        <f t="shared" si="2"/>
        <v>0</v>
      </c>
      <c r="AE11" s="36">
        <f t="shared" si="2"/>
        <v>2</v>
      </c>
      <c r="AF11" s="36">
        <v>1</v>
      </c>
      <c r="AG11" s="36">
        <f t="shared" si="2"/>
        <v>3</v>
      </c>
      <c r="AH11" s="156">
        <f t="shared" si="2"/>
        <v>1</v>
      </c>
      <c r="AI11" s="36">
        <f t="shared" si="2"/>
        <v>0</v>
      </c>
      <c r="AJ11" s="36">
        <f t="shared" si="2"/>
        <v>1</v>
      </c>
      <c r="AK11" s="36">
        <f t="shared" si="2"/>
        <v>1</v>
      </c>
      <c r="AL11" s="36">
        <f t="shared" si="2"/>
        <v>0</v>
      </c>
      <c r="AM11" s="36">
        <f t="shared" si="2"/>
        <v>1</v>
      </c>
      <c r="AN11" s="36" t="str">
        <f t="shared" si="2"/>
        <v/>
      </c>
      <c r="AO11" s="36" t="str">
        <f t="shared" si="2"/>
        <v/>
      </c>
      <c r="AP11" s="36" t="str">
        <f t="shared" si="2"/>
        <v/>
      </c>
      <c r="AQ11" s="36" t="str">
        <f t="shared" si="2"/>
        <v/>
      </c>
      <c r="AR11" s="36" t="str">
        <f t="shared" si="2"/>
        <v/>
      </c>
      <c r="AS11" s="36" t="str">
        <f t="shared" si="2"/>
        <v/>
      </c>
      <c r="AT11" s="36" t="str">
        <f t="shared" si="2"/>
        <v/>
      </c>
      <c r="AU11" s="36" t="str">
        <f t="shared" si="2"/>
        <v/>
      </c>
    </row>
    <row r="12" spans="1:55" ht="11.25" customHeight="1" x14ac:dyDescent="0.2">
      <c r="A12" s="15">
        <f>SUM(C12:AJ12)</f>
        <v>0</v>
      </c>
      <c r="B12" s="35" t="s">
        <v>16</v>
      </c>
      <c r="C12" s="36"/>
      <c r="D12" s="36" t="s">
        <v>18</v>
      </c>
      <c r="E12" s="36" t="s">
        <v>18</v>
      </c>
      <c r="F12" s="36" t="s">
        <v>18</v>
      </c>
      <c r="G12" s="36" t="s">
        <v>18</v>
      </c>
      <c r="H12" s="36" t="s">
        <v>18</v>
      </c>
      <c r="I12" s="36" t="s">
        <v>18</v>
      </c>
      <c r="J12" s="36" t="s">
        <v>18</v>
      </c>
      <c r="K12" s="36" t="s">
        <v>18</v>
      </c>
      <c r="L12" s="36" t="s">
        <v>18</v>
      </c>
      <c r="M12" s="36" t="s">
        <v>18</v>
      </c>
      <c r="N12" s="36" t="s">
        <v>18</v>
      </c>
      <c r="O12" s="36" t="s">
        <v>18</v>
      </c>
      <c r="P12" s="36" t="s">
        <v>18</v>
      </c>
      <c r="Q12" s="36" t="s">
        <v>18</v>
      </c>
      <c r="R12" s="36" t="s">
        <v>18</v>
      </c>
      <c r="S12" s="36" t="s">
        <v>18</v>
      </c>
      <c r="T12" s="36" t="s">
        <v>18</v>
      </c>
      <c r="U12" s="36" t="s">
        <v>18</v>
      </c>
      <c r="V12" s="36" t="s">
        <v>18</v>
      </c>
      <c r="W12" s="36" t="s">
        <v>18</v>
      </c>
      <c r="X12" s="36" t="s">
        <v>18</v>
      </c>
      <c r="Y12" s="36" t="s">
        <v>18</v>
      </c>
      <c r="Z12" s="36" t="s">
        <v>18</v>
      </c>
      <c r="AA12" s="36" t="s">
        <v>18</v>
      </c>
      <c r="AB12" s="36" t="s">
        <v>18</v>
      </c>
      <c r="AC12" s="36" t="s">
        <v>18</v>
      </c>
      <c r="AD12" s="36" t="s">
        <v>18</v>
      </c>
      <c r="AE12" s="36" t="s">
        <v>18</v>
      </c>
      <c r="AF12" s="36" t="s">
        <v>18</v>
      </c>
      <c r="AG12" s="36" t="s">
        <v>18</v>
      </c>
      <c r="AH12" s="156" t="s">
        <v>18</v>
      </c>
      <c r="AI12" s="36" t="s">
        <v>18</v>
      </c>
      <c r="AJ12" s="36" t="s">
        <v>18</v>
      </c>
      <c r="AK12" s="36" t="s">
        <v>18</v>
      </c>
      <c r="AL12" s="36" t="s">
        <v>18</v>
      </c>
      <c r="AM12" s="36" t="s">
        <v>18</v>
      </c>
      <c r="AN12" s="36" t="s">
        <v>18</v>
      </c>
      <c r="AO12" s="36" t="s">
        <v>18</v>
      </c>
      <c r="AP12" s="36" t="s">
        <v>18</v>
      </c>
      <c r="AQ12" s="36" t="s">
        <v>18</v>
      </c>
      <c r="AR12" s="36" t="s">
        <v>18</v>
      </c>
      <c r="AS12" s="36" t="s">
        <v>18</v>
      </c>
      <c r="AT12" s="36" t="s">
        <v>18</v>
      </c>
      <c r="AU12" s="36" t="s">
        <v>18</v>
      </c>
    </row>
    <row r="13" spans="1:55" ht="12.75" customHeight="1" thickBot="1" x14ac:dyDescent="0.25">
      <c r="A13" s="21">
        <f>IF(A12="","",A12/(A9*100))</f>
        <v>0</v>
      </c>
      <c r="B13" s="37" t="s">
        <v>17</v>
      </c>
      <c r="C13" s="38" t="s">
        <v>18</v>
      </c>
      <c r="D13" s="38" t="s">
        <v>18</v>
      </c>
      <c r="E13" s="38" t="s">
        <v>18</v>
      </c>
      <c r="F13" s="38" t="s">
        <v>18</v>
      </c>
      <c r="G13" s="38" t="s">
        <v>18</v>
      </c>
      <c r="H13" s="38" t="s">
        <v>18</v>
      </c>
      <c r="I13" s="38" t="s">
        <v>18</v>
      </c>
      <c r="J13" s="38" t="s">
        <v>18</v>
      </c>
      <c r="K13" s="38" t="s">
        <v>18</v>
      </c>
      <c r="L13" s="38" t="s">
        <v>18</v>
      </c>
      <c r="M13" s="38" t="s">
        <v>18</v>
      </c>
      <c r="N13" s="38" t="s">
        <v>18</v>
      </c>
      <c r="O13" s="38" t="s">
        <v>18</v>
      </c>
      <c r="P13" s="38" t="s">
        <v>18</v>
      </c>
      <c r="Q13" s="38" t="s">
        <v>18</v>
      </c>
      <c r="R13" s="38" t="s">
        <v>18</v>
      </c>
      <c r="S13" s="38" t="s">
        <v>18</v>
      </c>
      <c r="T13" s="38" t="s">
        <v>18</v>
      </c>
      <c r="U13" s="38" t="s">
        <v>18</v>
      </c>
      <c r="V13" s="38" t="s">
        <v>18</v>
      </c>
      <c r="W13" s="38" t="s">
        <v>18</v>
      </c>
      <c r="X13" s="38" t="s">
        <v>18</v>
      </c>
      <c r="Y13" s="38" t="s">
        <v>18</v>
      </c>
      <c r="Z13" s="38" t="s">
        <v>18</v>
      </c>
      <c r="AA13" s="38" t="s">
        <v>18</v>
      </c>
      <c r="AB13" s="38" t="s">
        <v>18</v>
      </c>
      <c r="AC13" s="38" t="s">
        <v>18</v>
      </c>
      <c r="AD13" s="38" t="s">
        <v>18</v>
      </c>
      <c r="AE13" s="38" t="s">
        <v>18</v>
      </c>
      <c r="AF13" s="38" t="s">
        <v>18</v>
      </c>
      <c r="AG13" s="38" t="s">
        <v>18</v>
      </c>
      <c r="AH13" s="158" t="s">
        <v>18</v>
      </c>
      <c r="AI13" s="38" t="s">
        <v>18</v>
      </c>
      <c r="AJ13" s="38" t="s">
        <v>18</v>
      </c>
      <c r="AK13" s="38" t="s">
        <v>18</v>
      </c>
      <c r="AL13" s="38" t="s">
        <v>18</v>
      </c>
      <c r="AM13" s="38" t="s">
        <v>18</v>
      </c>
      <c r="AN13" s="38" t="s">
        <v>18</v>
      </c>
      <c r="AO13" s="38" t="s">
        <v>18</v>
      </c>
      <c r="AP13" s="38" t="s">
        <v>18</v>
      </c>
      <c r="AQ13" s="38" t="s">
        <v>18</v>
      </c>
      <c r="AR13" s="38" t="s">
        <v>18</v>
      </c>
      <c r="AS13" s="38" t="s">
        <v>18</v>
      </c>
      <c r="AT13" s="38" t="s">
        <v>18</v>
      </c>
      <c r="AU13" s="38" t="s">
        <v>18</v>
      </c>
    </row>
    <row r="14" spans="1:55" ht="11.25" customHeight="1" x14ac:dyDescent="0.2">
      <c r="A14" s="1">
        <f>SUM(A22,A34,A46,A58,A70,A82,A94,A106,A118,A130,A142,A154,A166,A178,A190,A202)</f>
        <v>1546497.478991597</v>
      </c>
      <c r="B14" s="2" t="s">
        <v>0</v>
      </c>
      <c r="C14" s="159">
        <v>46129</v>
      </c>
      <c r="D14" s="159">
        <f t="shared" ref="D14:AG14" si="3">C14+1</f>
        <v>46130</v>
      </c>
      <c r="E14" s="159">
        <f t="shared" si="3"/>
        <v>46131</v>
      </c>
      <c r="F14" s="159">
        <f t="shared" si="3"/>
        <v>46132</v>
      </c>
      <c r="G14" s="159">
        <f t="shared" si="3"/>
        <v>46133</v>
      </c>
      <c r="H14" s="159">
        <f t="shared" si="3"/>
        <v>46134</v>
      </c>
      <c r="I14" s="159">
        <f t="shared" si="3"/>
        <v>46135</v>
      </c>
      <c r="J14" s="159">
        <f t="shared" si="3"/>
        <v>46136</v>
      </c>
      <c r="K14" s="159">
        <f t="shared" si="3"/>
        <v>46137</v>
      </c>
      <c r="L14" s="159">
        <f t="shared" si="3"/>
        <v>46138</v>
      </c>
      <c r="M14" s="159">
        <f t="shared" si="3"/>
        <v>46139</v>
      </c>
      <c r="N14" s="159">
        <f t="shared" si="3"/>
        <v>46140</v>
      </c>
      <c r="O14" s="159">
        <f t="shared" si="3"/>
        <v>46141</v>
      </c>
      <c r="P14" s="159">
        <f t="shared" si="3"/>
        <v>46142</v>
      </c>
      <c r="Q14" s="159">
        <f t="shared" si="3"/>
        <v>46143</v>
      </c>
      <c r="R14" s="159">
        <f t="shared" si="3"/>
        <v>46144</v>
      </c>
      <c r="S14" s="159">
        <f t="shared" si="3"/>
        <v>46145</v>
      </c>
      <c r="T14" s="159">
        <f t="shared" si="3"/>
        <v>46146</v>
      </c>
      <c r="U14" s="159">
        <f t="shared" si="3"/>
        <v>46147</v>
      </c>
      <c r="V14" s="159">
        <f t="shared" si="3"/>
        <v>46148</v>
      </c>
      <c r="W14" s="159">
        <f t="shared" si="3"/>
        <v>46149</v>
      </c>
      <c r="X14" s="159">
        <f t="shared" si="3"/>
        <v>46150</v>
      </c>
      <c r="Y14" s="159">
        <f t="shared" si="3"/>
        <v>46151</v>
      </c>
      <c r="Z14" s="159">
        <f t="shared" si="3"/>
        <v>46152</v>
      </c>
      <c r="AA14" s="159">
        <f t="shared" si="3"/>
        <v>46153</v>
      </c>
      <c r="AB14" s="159">
        <f t="shared" si="3"/>
        <v>46154</v>
      </c>
      <c r="AC14" s="159">
        <f t="shared" si="3"/>
        <v>46155</v>
      </c>
      <c r="AD14" s="159">
        <f t="shared" si="3"/>
        <v>46156</v>
      </c>
      <c r="AE14" s="159">
        <f t="shared" si="3"/>
        <v>46157</v>
      </c>
      <c r="AF14" s="159">
        <f t="shared" si="3"/>
        <v>46158</v>
      </c>
      <c r="AG14" s="159">
        <f t="shared" si="3"/>
        <v>46159</v>
      </c>
      <c r="AH14" s="159">
        <f>AG14+1</f>
        <v>46160</v>
      </c>
      <c r="AI14" s="3">
        <f t="shared" ref="AI14:BC14" si="4">AH14+1</f>
        <v>46161</v>
      </c>
      <c r="AJ14" s="3">
        <f t="shared" si="4"/>
        <v>46162</v>
      </c>
      <c r="AK14" s="3">
        <f t="shared" si="4"/>
        <v>46163</v>
      </c>
      <c r="AL14" s="3">
        <f t="shared" si="4"/>
        <v>46164</v>
      </c>
      <c r="AM14" s="3">
        <f t="shared" si="4"/>
        <v>46165</v>
      </c>
      <c r="AN14" s="3">
        <f t="shared" si="4"/>
        <v>46166</v>
      </c>
      <c r="AO14" s="3">
        <f t="shared" si="4"/>
        <v>46167</v>
      </c>
      <c r="AP14" s="3">
        <f t="shared" si="4"/>
        <v>46168</v>
      </c>
      <c r="AQ14" s="3">
        <f t="shared" si="4"/>
        <v>46169</v>
      </c>
      <c r="AR14" s="3">
        <f t="shared" si="4"/>
        <v>46170</v>
      </c>
      <c r="AS14" s="3">
        <f t="shared" si="4"/>
        <v>46171</v>
      </c>
      <c r="AT14" s="3">
        <f t="shared" si="4"/>
        <v>46172</v>
      </c>
      <c r="AU14" s="3">
        <f t="shared" si="4"/>
        <v>46173</v>
      </c>
      <c r="AV14" s="3">
        <f t="shared" si="4"/>
        <v>46174</v>
      </c>
      <c r="AW14" s="3">
        <f t="shared" si="4"/>
        <v>46175</v>
      </c>
      <c r="AX14" s="3">
        <f t="shared" si="4"/>
        <v>46176</v>
      </c>
      <c r="AY14" s="3">
        <f t="shared" si="4"/>
        <v>46177</v>
      </c>
      <c r="AZ14" s="3">
        <f t="shared" si="4"/>
        <v>46178</v>
      </c>
      <c r="BA14" s="3">
        <f t="shared" si="4"/>
        <v>46179</v>
      </c>
      <c r="BB14" s="3">
        <f t="shared" si="4"/>
        <v>46180</v>
      </c>
      <c r="BC14" s="3">
        <f t="shared" si="4"/>
        <v>46181</v>
      </c>
    </row>
    <row r="15" spans="1:55" ht="11.25" customHeight="1" thickBot="1" x14ac:dyDescent="0.3">
      <c r="A15" s="4"/>
      <c r="B15" s="5">
        <f>SUM(C15:AO15)</f>
        <v>17989</v>
      </c>
      <c r="C15" s="160">
        <v>450</v>
      </c>
      <c r="D15" s="160">
        <f t="shared" ref="D15:BC15" si="5">SUM(D23,D35,D47,D59,D71,D83,D95,D107,D119,D131,D143,D155,D167,D179,D191,D203)</f>
        <v>0</v>
      </c>
      <c r="E15" s="160">
        <f t="shared" si="5"/>
        <v>1630</v>
      </c>
      <c r="F15" s="160">
        <f t="shared" si="5"/>
        <v>0</v>
      </c>
      <c r="G15" s="160">
        <f t="shared" si="5"/>
        <v>0</v>
      </c>
      <c r="H15" s="160">
        <f t="shared" si="5"/>
        <v>0</v>
      </c>
      <c r="I15" s="160">
        <f t="shared" si="5"/>
        <v>1113</v>
      </c>
      <c r="J15" s="160">
        <f t="shared" si="5"/>
        <v>0</v>
      </c>
      <c r="K15" s="160">
        <f t="shared" si="5"/>
        <v>0</v>
      </c>
      <c r="L15" s="160">
        <f t="shared" si="5"/>
        <v>1863</v>
      </c>
      <c r="M15" s="160">
        <f t="shared" si="5"/>
        <v>0</v>
      </c>
      <c r="N15" s="160">
        <f t="shared" si="5"/>
        <v>0</v>
      </c>
      <c r="O15" s="160">
        <f t="shared" si="5"/>
        <v>1795</v>
      </c>
      <c r="P15" s="160">
        <f t="shared" si="5"/>
        <v>0</v>
      </c>
      <c r="Q15" s="160">
        <f t="shared" si="5"/>
        <v>0</v>
      </c>
      <c r="R15" s="160">
        <f t="shared" si="5"/>
        <v>1592</v>
      </c>
      <c r="S15" s="160">
        <f t="shared" si="5"/>
        <v>0</v>
      </c>
      <c r="T15" s="160">
        <f t="shared" si="5"/>
        <v>1479</v>
      </c>
      <c r="U15" s="160">
        <f t="shared" si="5"/>
        <v>0</v>
      </c>
      <c r="V15" s="160">
        <f t="shared" si="5"/>
        <v>0</v>
      </c>
      <c r="W15" s="160">
        <f t="shared" si="5"/>
        <v>1338</v>
      </c>
      <c r="X15" s="160">
        <f t="shared" si="5"/>
        <v>0</v>
      </c>
      <c r="Y15" s="160">
        <f t="shared" si="5"/>
        <v>0</v>
      </c>
      <c r="Z15" s="160">
        <f t="shared" si="5"/>
        <v>2072</v>
      </c>
      <c r="AA15" s="160">
        <f t="shared" si="5"/>
        <v>0</v>
      </c>
      <c r="AB15" s="160">
        <f t="shared" si="5"/>
        <v>0</v>
      </c>
      <c r="AC15" s="160">
        <f t="shared" si="5"/>
        <v>0</v>
      </c>
      <c r="AD15" s="160">
        <f t="shared" si="5"/>
        <v>1439</v>
      </c>
      <c r="AE15" s="160">
        <f t="shared" si="5"/>
        <v>0</v>
      </c>
      <c r="AF15" s="160">
        <f t="shared" si="5"/>
        <v>0</v>
      </c>
      <c r="AG15" s="160">
        <f t="shared" si="5"/>
        <v>1383</v>
      </c>
      <c r="AH15" s="160">
        <f>SUM(AH23,AH35,AH47,AH59,AH71,AH83,AH95,AH107,AH119,AH131,AH143,AH155,AH167,AH179,AH191,AH203)</f>
        <v>0</v>
      </c>
      <c r="AI15" s="6">
        <f t="shared" si="5"/>
        <v>0</v>
      </c>
      <c r="AJ15" s="6">
        <f t="shared" si="5"/>
        <v>0</v>
      </c>
      <c r="AK15" s="6">
        <f t="shared" si="5"/>
        <v>1835</v>
      </c>
      <c r="AL15" s="6">
        <f t="shared" si="5"/>
        <v>0</v>
      </c>
      <c r="AM15" s="6">
        <f t="shared" si="5"/>
        <v>0</v>
      </c>
      <c r="AN15" s="6">
        <f t="shared" si="5"/>
        <v>0</v>
      </c>
      <c r="AO15" s="6">
        <f t="shared" si="5"/>
        <v>0</v>
      </c>
      <c r="AP15" s="6">
        <f t="shared" si="5"/>
        <v>0</v>
      </c>
      <c r="AQ15" s="6">
        <f t="shared" si="5"/>
        <v>0</v>
      </c>
      <c r="AR15" s="6">
        <f t="shared" si="5"/>
        <v>0</v>
      </c>
      <c r="AS15" s="6">
        <f t="shared" si="5"/>
        <v>0</v>
      </c>
      <c r="AT15" s="6">
        <f t="shared" si="5"/>
        <v>0</v>
      </c>
      <c r="AU15" s="6">
        <f t="shared" si="5"/>
        <v>0</v>
      </c>
      <c r="AV15" s="6">
        <f t="shared" si="5"/>
        <v>0</v>
      </c>
      <c r="AW15" s="6">
        <f t="shared" si="5"/>
        <v>0</v>
      </c>
      <c r="AX15" s="6">
        <f t="shared" si="5"/>
        <v>0</v>
      </c>
      <c r="AY15" s="6">
        <f t="shared" si="5"/>
        <v>0</v>
      </c>
      <c r="AZ15" s="6">
        <f t="shared" si="5"/>
        <v>0</v>
      </c>
      <c r="BA15" s="6">
        <f t="shared" si="5"/>
        <v>0</v>
      </c>
      <c r="BB15" s="6">
        <f t="shared" si="5"/>
        <v>0</v>
      </c>
      <c r="BC15" s="6">
        <f t="shared" si="5"/>
        <v>0</v>
      </c>
    </row>
    <row r="16" spans="1:55" ht="11.25" customHeight="1" x14ac:dyDescent="0.2">
      <c r="A16" s="7" t="s">
        <v>1</v>
      </c>
      <c r="B16" s="8" t="s">
        <v>2</v>
      </c>
      <c r="C16" s="118">
        <v>32769</v>
      </c>
      <c r="D16" s="119">
        <v>32769</v>
      </c>
      <c r="E16" s="119">
        <v>32823</v>
      </c>
      <c r="F16" s="120">
        <v>32823</v>
      </c>
      <c r="G16" s="119">
        <v>32823</v>
      </c>
      <c r="H16" s="119">
        <v>32823</v>
      </c>
      <c r="I16" s="119">
        <v>32879</v>
      </c>
      <c r="J16" s="120">
        <v>32879</v>
      </c>
      <c r="K16" s="119">
        <v>32879</v>
      </c>
      <c r="L16" s="119">
        <v>32983</v>
      </c>
      <c r="M16" s="120">
        <v>32983</v>
      </c>
      <c r="N16" s="119">
        <v>32983</v>
      </c>
      <c r="O16" s="119">
        <v>33062</v>
      </c>
      <c r="P16" s="120">
        <v>33062</v>
      </c>
      <c r="Q16" s="119">
        <v>33062</v>
      </c>
      <c r="R16" s="119">
        <v>33156</v>
      </c>
      <c r="S16" s="120">
        <v>33156</v>
      </c>
      <c r="T16" s="119">
        <v>33256</v>
      </c>
      <c r="U16" s="120">
        <v>33256</v>
      </c>
      <c r="V16" s="119">
        <v>33256</v>
      </c>
      <c r="W16" s="119">
        <v>33287</v>
      </c>
      <c r="X16" s="120">
        <v>33287</v>
      </c>
      <c r="Y16" s="119">
        <v>33287</v>
      </c>
      <c r="Z16" s="119">
        <v>33373</v>
      </c>
      <c r="AA16" s="120">
        <v>33373</v>
      </c>
      <c r="AB16" s="119">
        <v>33373</v>
      </c>
      <c r="AC16" s="119">
        <v>33373</v>
      </c>
      <c r="AD16" s="119">
        <v>33448</v>
      </c>
      <c r="AE16" s="120">
        <v>33448</v>
      </c>
      <c r="AF16" s="119">
        <v>33448</v>
      </c>
      <c r="AG16" s="119">
        <v>33500</v>
      </c>
      <c r="AH16" s="118">
        <v>33500</v>
      </c>
      <c r="AI16" s="9">
        <v>33500</v>
      </c>
      <c r="AJ16" s="9">
        <v>33500</v>
      </c>
      <c r="AK16" s="9">
        <v>33558</v>
      </c>
      <c r="AL16" s="194"/>
      <c r="AM16" s="9"/>
      <c r="AN16" s="9"/>
      <c r="AO16" s="194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</row>
    <row r="17" spans="1:55" ht="11.25" customHeight="1" x14ac:dyDescent="0.2">
      <c r="A17" s="10" t="s">
        <v>3</v>
      </c>
      <c r="B17" s="11" t="s">
        <v>4</v>
      </c>
      <c r="C17" s="123">
        <v>1181</v>
      </c>
      <c r="D17" s="124">
        <f t="shared" ref="D17" si="6">IF(D$16="","",C17)</f>
        <v>1181</v>
      </c>
      <c r="E17" s="124">
        <v>1182</v>
      </c>
      <c r="F17" s="125">
        <f t="shared" ref="F17" si="7">IF(F$16="","",E17)</f>
        <v>1182</v>
      </c>
      <c r="G17" s="124">
        <f>IF(G$16="","",F17)</f>
        <v>1182</v>
      </c>
      <c r="H17" s="124">
        <f t="shared" ref="H17" si="8">IF(H$16="","",G17)</f>
        <v>1182</v>
      </c>
      <c r="I17" s="124">
        <v>1183</v>
      </c>
      <c r="J17" s="125">
        <f t="shared" ref="J17:K17" si="9">IF(J$16="","",I17)</f>
        <v>1183</v>
      </c>
      <c r="K17" s="124">
        <f t="shared" si="9"/>
        <v>1183</v>
      </c>
      <c r="L17" s="124">
        <v>1192</v>
      </c>
      <c r="M17" s="125">
        <f t="shared" ref="M17" si="10">IF(M$16="","",L17)</f>
        <v>1192</v>
      </c>
      <c r="N17" s="124">
        <f>IF(N$16="","",M17)</f>
        <v>1192</v>
      </c>
      <c r="O17" s="124">
        <v>1200</v>
      </c>
      <c r="P17" s="125">
        <f t="shared" ref="P17:Q17" si="11">IF(P$16="","",O17)</f>
        <v>1200</v>
      </c>
      <c r="Q17" s="124">
        <f t="shared" si="11"/>
        <v>1200</v>
      </c>
      <c r="R17" s="124">
        <v>1209</v>
      </c>
      <c r="S17" s="125">
        <f t="shared" ref="S17" si="12">IF(S$16="","",R17)</f>
        <v>1209</v>
      </c>
      <c r="T17" s="124">
        <v>1215</v>
      </c>
      <c r="U17" s="125">
        <f>IF(U$16="","",T17)</f>
        <v>1215</v>
      </c>
      <c r="V17" s="124">
        <f t="shared" ref="V17" si="13">IF(V$16="","",U17)</f>
        <v>1215</v>
      </c>
      <c r="W17" s="124">
        <v>1217</v>
      </c>
      <c r="X17" s="125">
        <f t="shared" ref="X17" si="14">IF(X$16="","",W17)</f>
        <v>1217</v>
      </c>
      <c r="Y17" s="124">
        <f>IF(Y$16="","",X17)</f>
        <v>1217</v>
      </c>
      <c r="Z17" s="124">
        <v>1223</v>
      </c>
      <c r="AA17" s="125">
        <f t="shared" ref="AA17" si="15">IF(AA$16="","",Z17)</f>
        <v>1223</v>
      </c>
      <c r="AB17" s="124">
        <f>IF(AB$16="","",AA17)</f>
        <v>1223</v>
      </c>
      <c r="AC17" s="124">
        <f t="shared" ref="AC17" si="16">IF(AC$16="","",AB17)</f>
        <v>1223</v>
      </c>
      <c r="AD17" s="124">
        <v>1228</v>
      </c>
      <c r="AE17" s="125">
        <f t="shared" ref="AE17" si="17">IF(AE$16="","",AD17)</f>
        <v>1228</v>
      </c>
      <c r="AF17" s="124">
        <f>IF(AF$16="","",AE17)</f>
        <v>1228</v>
      </c>
      <c r="AG17" s="124">
        <v>1234</v>
      </c>
      <c r="AH17" s="123">
        <f>IF(AH$16="","",AG17)</f>
        <v>1234</v>
      </c>
      <c r="AI17" s="12">
        <f t="shared" ref="AI17:AJ17" si="18">IF(AI$16="","",AH17)</f>
        <v>1234</v>
      </c>
      <c r="AJ17" s="12">
        <f t="shared" si="18"/>
        <v>1234</v>
      </c>
      <c r="AK17" s="12">
        <v>1241</v>
      </c>
      <c r="AL17" s="195" t="str">
        <f t="shared" ref="AL17:BC17" si="19">IF(AL$16="","",AK17)</f>
        <v/>
      </c>
      <c r="AM17" s="12" t="str">
        <f t="shared" si="19"/>
        <v/>
      </c>
      <c r="AN17" s="12" t="str">
        <f t="shared" si="19"/>
        <v/>
      </c>
      <c r="AO17" s="195" t="str">
        <f t="shared" si="19"/>
        <v/>
      </c>
      <c r="AP17" s="12" t="str">
        <f t="shared" si="19"/>
        <v/>
      </c>
      <c r="AQ17" s="12" t="str">
        <f t="shared" si="19"/>
        <v/>
      </c>
      <c r="AR17" s="12" t="str">
        <f t="shared" si="19"/>
        <v/>
      </c>
      <c r="AS17" s="12" t="str">
        <f t="shared" si="19"/>
        <v/>
      </c>
      <c r="AT17" s="12" t="str">
        <f t="shared" si="19"/>
        <v/>
      </c>
      <c r="AU17" s="12" t="str">
        <f t="shared" si="19"/>
        <v/>
      </c>
      <c r="AV17" s="12" t="str">
        <f t="shared" si="19"/>
        <v/>
      </c>
      <c r="AW17" s="12" t="str">
        <f t="shared" si="19"/>
        <v/>
      </c>
      <c r="AX17" s="12" t="str">
        <f t="shared" si="19"/>
        <v/>
      </c>
      <c r="AY17" s="12" t="str">
        <f t="shared" si="19"/>
        <v/>
      </c>
      <c r="AZ17" s="12" t="str">
        <f t="shared" si="19"/>
        <v/>
      </c>
      <c r="BA17" s="12" t="str">
        <f t="shared" si="19"/>
        <v/>
      </c>
      <c r="BB17" s="12" t="str">
        <f t="shared" si="19"/>
        <v/>
      </c>
      <c r="BC17" s="12" t="str">
        <f t="shared" si="19"/>
        <v/>
      </c>
    </row>
    <row r="18" spans="1:55" ht="11.25" customHeight="1" x14ac:dyDescent="0.25">
      <c r="A18" s="13"/>
      <c r="B18" s="11" t="s">
        <v>5</v>
      </c>
      <c r="C18" s="123">
        <v>23</v>
      </c>
      <c r="D18" s="124">
        <f t="shared" ref="D18" si="20">IF(D16="","",(C18+C19))</f>
        <v>23</v>
      </c>
      <c r="E18" s="124">
        <v>22</v>
      </c>
      <c r="F18" s="125">
        <f t="shared" ref="F18" si="21">IF(F16="","",(E18+E19))</f>
        <v>22</v>
      </c>
      <c r="G18" s="124">
        <f>IF(G16="","",(F18+F19))</f>
        <v>22</v>
      </c>
      <c r="H18" s="124">
        <f t="shared" ref="H18" si="22">IF(H16="","",(G18+G19))</f>
        <v>22</v>
      </c>
      <c r="I18" s="124">
        <v>21</v>
      </c>
      <c r="J18" s="125">
        <f t="shared" ref="J18:K18" si="23">IF(J16="","",(I18+I19))</f>
        <v>37</v>
      </c>
      <c r="K18" s="124">
        <f t="shared" si="23"/>
        <v>37</v>
      </c>
      <c r="L18" s="124">
        <v>33</v>
      </c>
      <c r="M18" s="125">
        <f t="shared" ref="M18:N18" si="24">IF(M16="","",(L18+L19))</f>
        <v>33</v>
      </c>
      <c r="N18" s="124">
        <f t="shared" si="24"/>
        <v>33</v>
      </c>
      <c r="O18" s="124">
        <v>29</v>
      </c>
      <c r="P18" s="125">
        <f t="shared" ref="P18:Q18" si="25">IF(P16="","",(O18+O19))</f>
        <v>44</v>
      </c>
      <c r="Q18" s="124">
        <f t="shared" si="25"/>
        <v>44</v>
      </c>
      <c r="R18" s="124">
        <v>39</v>
      </c>
      <c r="S18" s="125">
        <f t="shared" ref="S18" si="26">IF(S16="","",(R18+R19))</f>
        <v>39</v>
      </c>
      <c r="T18" s="124">
        <v>33</v>
      </c>
      <c r="U18" s="125">
        <f>IF(U16="","",(T18+T19))</f>
        <v>33</v>
      </c>
      <c r="V18" s="124">
        <f t="shared" ref="V18:X18" si="27">IF(V16="","",(U18+U19))</f>
        <v>33</v>
      </c>
      <c r="W18" s="124">
        <f t="shared" si="27"/>
        <v>33</v>
      </c>
      <c r="X18" s="125">
        <f t="shared" si="27"/>
        <v>63</v>
      </c>
      <c r="Y18" s="124">
        <f>IF(Y16="","",(X18+X19))</f>
        <v>63</v>
      </c>
      <c r="Z18" s="124">
        <v>57</v>
      </c>
      <c r="AA18" s="125">
        <f t="shared" ref="AA18" si="28">IF(AA16="","",(Z18+Z19))</f>
        <v>57</v>
      </c>
      <c r="AB18" s="124">
        <f>IF(AB16="","",(AA18+AA19))</f>
        <v>57</v>
      </c>
      <c r="AC18" s="124">
        <f t="shared" ref="AC18" si="29">IF(AC16="","",(AB18+AB19))</f>
        <v>57</v>
      </c>
      <c r="AD18" s="124">
        <v>52</v>
      </c>
      <c r="AE18" s="125">
        <f t="shared" ref="AE18" si="30">IF(AE16="","",(AD18+AD19))</f>
        <v>52</v>
      </c>
      <c r="AF18" s="124">
        <f>IF(AF16="","",(AE18+AE19))</f>
        <v>52</v>
      </c>
      <c r="AG18" s="124">
        <v>46</v>
      </c>
      <c r="AH18" s="123">
        <f>IF(AH16="","",(AG18+AG19))</f>
        <v>46</v>
      </c>
      <c r="AI18" s="12">
        <f t="shared" ref="AI18:AJ18" si="31">IF(AI16="","",(AH18+AH19))</f>
        <v>46</v>
      </c>
      <c r="AJ18" s="12">
        <f t="shared" si="31"/>
        <v>46</v>
      </c>
      <c r="AK18" s="12">
        <v>39</v>
      </c>
      <c r="AL18" s="195" t="str">
        <f t="shared" ref="AL18:BC18" si="32">IF(AL16="","",(AK18+AK19))</f>
        <v/>
      </c>
      <c r="AM18" s="12" t="str">
        <f t="shared" si="32"/>
        <v/>
      </c>
      <c r="AN18" s="12" t="str">
        <f t="shared" si="32"/>
        <v/>
      </c>
      <c r="AO18" s="195" t="str">
        <f t="shared" si="32"/>
        <v/>
      </c>
      <c r="AP18" s="12" t="str">
        <f t="shared" si="32"/>
        <v/>
      </c>
      <c r="AQ18" s="12" t="str">
        <f t="shared" si="32"/>
        <v/>
      </c>
      <c r="AR18" s="12" t="str">
        <f t="shared" si="32"/>
        <v/>
      </c>
      <c r="AS18" s="12" t="str">
        <f t="shared" si="32"/>
        <v/>
      </c>
      <c r="AT18" s="12" t="str">
        <f t="shared" si="32"/>
        <v/>
      </c>
      <c r="AU18" s="12" t="str">
        <f t="shared" si="32"/>
        <v/>
      </c>
      <c r="AV18" s="12" t="str">
        <f t="shared" si="32"/>
        <v/>
      </c>
      <c r="AW18" s="12" t="str">
        <f t="shared" si="32"/>
        <v/>
      </c>
      <c r="AX18" s="12" t="str">
        <f t="shared" si="32"/>
        <v/>
      </c>
      <c r="AY18" s="12" t="str">
        <f t="shared" si="32"/>
        <v/>
      </c>
      <c r="AZ18" s="12" t="str">
        <f t="shared" si="32"/>
        <v/>
      </c>
      <c r="BA18" s="12" t="str">
        <f t="shared" si="32"/>
        <v/>
      </c>
      <c r="BB18" s="12" t="str">
        <f t="shared" si="32"/>
        <v/>
      </c>
      <c r="BC18" s="12" t="str">
        <f t="shared" si="32"/>
        <v/>
      </c>
    </row>
    <row r="19" spans="1:55" ht="11.25" customHeight="1" x14ac:dyDescent="0.2">
      <c r="A19" s="14"/>
      <c r="B19" s="11" t="s">
        <v>6</v>
      </c>
      <c r="C19" s="123"/>
      <c r="D19" s="124"/>
      <c r="E19" s="124"/>
      <c r="F19" s="125"/>
      <c r="G19" s="124"/>
      <c r="H19" s="124"/>
      <c r="I19" s="124">
        <v>16</v>
      </c>
      <c r="J19" s="125"/>
      <c r="K19" s="124"/>
      <c r="L19" s="124"/>
      <c r="M19" s="125"/>
      <c r="N19" s="124"/>
      <c r="O19" s="124">
        <v>15</v>
      </c>
      <c r="P19" s="125"/>
      <c r="Q19" s="124"/>
      <c r="R19" s="124"/>
      <c r="S19" s="125"/>
      <c r="T19" s="124"/>
      <c r="U19" s="125"/>
      <c r="V19" s="124"/>
      <c r="W19" s="124">
        <v>30</v>
      </c>
      <c r="X19" s="125"/>
      <c r="Y19" s="124"/>
      <c r="Z19" s="124"/>
      <c r="AA19" s="125"/>
      <c r="AB19" s="124"/>
      <c r="AC19" s="124"/>
      <c r="AD19" s="124"/>
      <c r="AE19" s="125"/>
      <c r="AF19" s="124"/>
      <c r="AG19" s="124"/>
      <c r="AH19" s="123"/>
      <c r="AI19" s="12"/>
      <c r="AJ19" s="12"/>
      <c r="AK19" s="12"/>
      <c r="AL19" s="195"/>
      <c r="AM19" s="12"/>
      <c r="AN19" s="12"/>
      <c r="AO19" s="195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</row>
    <row r="20" spans="1:55" ht="11.25" customHeight="1" x14ac:dyDescent="0.2">
      <c r="A20" s="15"/>
      <c r="B20" s="11" t="s">
        <v>8</v>
      </c>
      <c r="C20" s="129">
        <v>1100</v>
      </c>
      <c r="D20" s="130">
        <f t="shared" ref="D20:E20" si="33">IF(D16="","",C20)</f>
        <v>1100</v>
      </c>
      <c r="E20" s="130">
        <f t="shared" si="33"/>
        <v>1100</v>
      </c>
      <c r="F20" s="131">
        <v>300</v>
      </c>
      <c r="G20" s="130">
        <f t="shared" ref="G20:AG20" si="34">IF(G16="","",F20)</f>
        <v>300</v>
      </c>
      <c r="H20" s="130">
        <f t="shared" si="34"/>
        <v>300</v>
      </c>
      <c r="I20" s="130">
        <f t="shared" si="34"/>
        <v>300</v>
      </c>
      <c r="J20" s="131">
        <f t="shared" si="34"/>
        <v>300</v>
      </c>
      <c r="K20" s="130">
        <f t="shared" si="34"/>
        <v>300</v>
      </c>
      <c r="L20" s="130">
        <f t="shared" si="34"/>
        <v>300</v>
      </c>
      <c r="M20" s="131">
        <f t="shared" si="34"/>
        <v>300</v>
      </c>
      <c r="N20" s="130">
        <f t="shared" si="34"/>
        <v>300</v>
      </c>
      <c r="O20" s="130">
        <f t="shared" si="34"/>
        <v>300</v>
      </c>
      <c r="P20" s="131">
        <f t="shared" si="34"/>
        <v>300</v>
      </c>
      <c r="Q20" s="130">
        <f t="shared" si="34"/>
        <v>300</v>
      </c>
      <c r="R20" s="130">
        <f t="shared" si="34"/>
        <v>300</v>
      </c>
      <c r="S20" s="131">
        <f t="shared" si="34"/>
        <v>300</v>
      </c>
      <c r="T20" s="130">
        <f t="shared" si="34"/>
        <v>300</v>
      </c>
      <c r="U20" s="131">
        <f t="shared" si="34"/>
        <v>300</v>
      </c>
      <c r="V20" s="130">
        <f t="shared" si="34"/>
        <v>300</v>
      </c>
      <c r="W20" s="130">
        <f t="shared" si="34"/>
        <v>300</v>
      </c>
      <c r="X20" s="131">
        <f t="shared" si="34"/>
        <v>300</v>
      </c>
      <c r="Y20" s="130">
        <f t="shared" si="34"/>
        <v>300</v>
      </c>
      <c r="Z20" s="130">
        <f t="shared" si="34"/>
        <v>300</v>
      </c>
      <c r="AA20" s="131">
        <f t="shared" si="34"/>
        <v>300</v>
      </c>
      <c r="AB20" s="130">
        <f t="shared" si="34"/>
        <v>300</v>
      </c>
      <c r="AC20" s="130">
        <f t="shared" si="34"/>
        <v>300</v>
      </c>
      <c r="AD20" s="130">
        <f t="shared" si="34"/>
        <v>300</v>
      </c>
      <c r="AE20" s="131">
        <f t="shared" si="34"/>
        <v>300</v>
      </c>
      <c r="AF20" s="130">
        <f t="shared" si="34"/>
        <v>300</v>
      </c>
      <c r="AG20" s="130">
        <f t="shared" si="34"/>
        <v>300</v>
      </c>
      <c r="AH20" s="129">
        <f>IF(AH16="","",AG20)</f>
        <v>300</v>
      </c>
      <c r="AI20" s="16">
        <f t="shared" ref="AI20:BC20" si="35">IF(AI16="","",AH20)</f>
        <v>300</v>
      </c>
      <c r="AJ20" s="16">
        <f t="shared" si="35"/>
        <v>300</v>
      </c>
      <c r="AK20" s="16">
        <f t="shared" si="35"/>
        <v>300</v>
      </c>
      <c r="AL20" s="196" t="str">
        <f t="shared" si="35"/>
        <v/>
      </c>
      <c r="AM20" s="16" t="str">
        <f t="shared" si="35"/>
        <v/>
      </c>
      <c r="AN20" s="16" t="str">
        <f t="shared" si="35"/>
        <v/>
      </c>
      <c r="AO20" s="196" t="str">
        <f t="shared" si="35"/>
        <v/>
      </c>
      <c r="AP20" s="16" t="str">
        <f t="shared" si="35"/>
        <v/>
      </c>
      <c r="AQ20" s="16" t="str">
        <f t="shared" si="35"/>
        <v/>
      </c>
      <c r="AR20" s="16" t="str">
        <f t="shared" si="35"/>
        <v/>
      </c>
      <c r="AS20" s="16" t="str">
        <f t="shared" si="35"/>
        <v/>
      </c>
      <c r="AT20" s="16" t="str">
        <f t="shared" si="35"/>
        <v/>
      </c>
      <c r="AU20" s="16" t="str">
        <f t="shared" si="35"/>
        <v/>
      </c>
      <c r="AV20" s="16" t="str">
        <f t="shared" si="35"/>
        <v/>
      </c>
      <c r="AW20" s="16" t="str">
        <f t="shared" si="35"/>
        <v/>
      </c>
      <c r="AX20" s="16" t="str">
        <f t="shared" si="35"/>
        <v/>
      </c>
      <c r="AY20" s="16" t="str">
        <f t="shared" si="35"/>
        <v/>
      </c>
      <c r="AZ20" s="16" t="str">
        <f t="shared" si="35"/>
        <v/>
      </c>
      <c r="BA20" s="16" t="str">
        <f t="shared" si="35"/>
        <v/>
      </c>
      <c r="BB20" s="16" t="str">
        <f t="shared" si="35"/>
        <v/>
      </c>
      <c r="BC20" s="16" t="str">
        <f t="shared" si="35"/>
        <v/>
      </c>
    </row>
    <row r="21" spans="1:55" ht="11.25" customHeight="1" x14ac:dyDescent="0.2">
      <c r="A21" s="14" t="s">
        <v>9</v>
      </c>
      <c r="B21" s="17" t="s">
        <v>10</v>
      </c>
      <c r="C21" s="133" t="s">
        <v>11</v>
      </c>
      <c r="D21" s="134" t="str">
        <f t="shared" ref="D21:E21" si="36">IF(D16="","",C21)</f>
        <v>マスコットポーチヒョウ</v>
      </c>
      <c r="E21" s="134" t="str">
        <f t="shared" si="36"/>
        <v>マスコットポーチヒョウ</v>
      </c>
      <c r="F21" s="135" t="s">
        <v>240</v>
      </c>
      <c r="G21" s="134" t="str">
        <f t="shared" ref="G21:AG21" si="37">IF(G16="","",F21)</f>
        <v>フルーツスクイーズ</v>
      </c>
      <c r="H21" s="134" t="str">
        <f t="shared" si="37"/>
        <v>フルーツスクイーズ</v>
      </c>
      <c r="I21" s="134" t="str">
        <f t="shared" si="37"/>
        <v>フルーツスクイーズ</v>
      </c>
      <c r="J21" s="135" t="str">
        <f t="shared" si="37"/>
        <v>フルーツスクイーズ</v>
      </c>
      <c r="K21" s="134" t="str">
        <f t="shared" si="37"/>
        <v>フルーツスクイーズ</v>
      </c>
      <c r="L21" s="134" t="str">
        <f t="shared" si="37"/>
        <v>フルーツスクイーズ</v>
      </c>
      <c r="M21" s="135" t="str">
        <f t="shared" si="37"/>
        <v>フルーツスクイーズ</v>
      </c>
      <c r="N21" s="134" t="str">
        <f t="shared" si="37"/>
        <v>フルーツスクイーズ</v>
      </c>
      <c r="O21" s="134" t="str">
        <f t="shared" si="37"/>
        <v>フルーツスクイーズ</v>
      </c>
      <c r="P21" s="135" t="str">
        <f t="shared" si="37"/>
        <v>フルーツスクイーズ</v>
      </c>
      <c r="Q21" s="134" t="str">
        <f t="shared" si="37"/>
        <v>フルーツスクイーズ</v>
      </c>
      <c r="R21" s="134" t="str">
        <f t="shared" si="37"/>
        <v>フルーツスクイーズ</v>
      </c>
      <c r="S21" s="135" t="str">
        <f t="shared" si="37"/>
        <v>フルーツスクイーズ</v>
      </c>
      <c r="T21" s="134" t="str">
        <f t="shared" si="37"/>
        <v>フルーツスクイーズ</v>
      </c>
      <c r="U21" s="135" t="str">
        <f t="shared" si="37"/>
        <v>フルーツスクイーズ</v>
      </c>
      <c r="V21" s="134" t="str">
        <f t="shared" si="37"/>
        <v>フルーツスクイーズ</v>
      </c>
      <c r="W21" s="134" t="str">
        <f t="shared" si="37"/>
        <v>フルーツスクイーズ</v>
      </c>
      <c r="X21" s="135" t="str">
        <f t="shared" si="37"/>
        <v>フルーツスクイーズ</v>
      </c>
      <c r="Y21" s="134" t="str">
        <f t="shared" si="37"/>
        <v>フルーツスクイーズ</v>
      </c>
      <c r="Z21" s="134" t="str">
        <f t="shared" si="37"/>
        <v>フルーツスクイーズ</v>
      </c>
      <c r="AA21" s="135" t="str">
        <f t="shared" si="37"/>
        <v>フルーツスクイーズ</v>
      </c>
      <c r="AB21" s="134" t="str">
        <f t="shared" si="37"/>
        <v>フルーツスクイーズ</v>
      </c>
      <c r="AC21" s="134" t="str">
        <f t="shared" si="37"/>
        <v>フルーツスクイーズ</v>
      </c>
      <c r="AD21" s="134" t="str">
        <f t="shared" si="37"/>
        <v>フルーツスクイーズ</v>
      </c>
      <c r="AE21" s="135" t="str">
        <f t="shared" si="37"/>
        <v>フルーツスクイーズ</v>
      </c>
      <c r="AF21" s="134" t="str">
        <f t="shared" si="37"/>
        <v>フルーツスクイーズ</v>
      </c>
      <c r="AG21" s="134" t="str">
        <f t="shared" si="37"/>
        <v>フルーツスクイーズ</v>
      </c>
      <c r="AH21" s="133" t="str">
        <f>IF(AH16="","",AG21)</f>
        <v>フルーツスクイーズ</v>
      </c>
      <c r="AI21" s="18" t="str">
        <f t="shared" ref="AI21:BC21" si="38">IF(AI16="","",AH21)</f>
        <v>フルーツスクイーズ</v>
      </c>
      <c r="AJ21" s="18" t="str">
        <f t="shared" si="38"/>
        <v>フルーツスクイーズ</v>
      </c>
      <c r="AK21" s="18" t="str">
        <f t="shared" si="38"/>
        <v>フルーツスクイーズ</v>
      </c>
      <c r="AL21" s="197" t="str">
        <f t="shared" si="38"/>
        <v/>
      </c>
      <c r="AM21" s="18" t="str">
        <f t="shared" si="38"/>
        <v/>
      </c>
      <c r="AN21" s="18" t="str">
        <f t="shared" si="38"/>
        <v/>
      </c>
      <c r="AO21" s="197" t="str">
        <f t="shared" si="38"/>
        <v/>
      </c>
      <c r="AP21" s="18" t="str">
        <f t="shared" si="38"/>
        <v/>
      </c>
      <c r="AQ21" s="18" t="str">
        <f t="shared" si="38"/>
        <v/>
      </c>
      <c r="AR21" s="18" t="str">
        <f t="shared" si="38"/>
        <v/>
      </c>
      <c r="AS21" s="18" t="str">
        <f t="shared" si="38"/>
        <v/>
      </c>
      <c r="AT21" s="18" t="str">
        <f t="shared" si="38"/>
        <v/>
      </c>
      <c r="AU21" s="18" t="str">
        <f t="shared" si="38"/>
        <v/>
      </c>
      <c r="AV21" s="18" t="str">
        <f t="shared" si="38"/>
        <v/>
      </c>
      <c r="AW21" s="18" t="str">
        <f t="shared" si="38"/>
        <v/>
      </c>
      <c r="AX21" s="18" t="str">
        <f t="shared" si="38"/>
        <v/>
      </c>
      <c r="AY21" s="18" t="str">
        <f t="shared" si="38"/>
        <v/>
      </c>
      <c r="AZ21" s="18" t="str">
        <f t="shared" si="38"/>
        <v/>
      </c>
      <c r="BA21" s="18" t="str">
        <f t="shared" si="38"/>
        <v/>
      </c>
      <c r="BB21" s="18" t="str">
        <f t="shared" si="38"/>
        <v/>
      </c>
      <c r="BC21" s="18" t="str">
        <f t="shared" si="38"/>
        <v/>
      </c>
    </row>
    <row r="22" spans="1:55" ht="11.25" customHeight="1" x14ac:dyDescent="0.2">
      <c r="A22" s="15">
        <f>AVERAGE(C23:AS23)*30*100</f>
        <v>69617.647058823539</v>
      </c>
      <c r="B22" s="11" t="s">
        <v>12</v>
      </c>
      <c r="C22" s="123"/>
      <c r="D22" s="124"/>
      <c r="E22" s="124"/>
      <c r="F22" s="125"/>
      <c r="G22" s="124"/>
      <c r="H22" s="124"/>
      <c r="I22" s="124"/>
      <c r="J22" s="125"/>
      <c r="K22" s="124"/>
      <c r="L22" s="124"/>
      <c r="M22" s="125"/>
      <c r="N22" s="124"/>
      <c r="O22" s="124"/>
      <c r="P22" s="125"/>
      <c r="Q22" s="124"/>
      <c r="R22" s="124"/>
      <c r="S22" s="125"/>
      <c r="T22" s="124"/>
      <c r="U22" s="125"/>
      <c r="V22" s="124"/>
      <c r="W22" s="124"/>
      <c r="X22" s="125"/>
      <c r="Y22" s="124"/>
      <c r="Z22" s="124"/>
      <c r="AA22" s="125"/>
      <c r="AB22" s="124"/>
      <c r="AC22" s="124"/>
      <c r="AD22" s="124"/>
      <c r="AE22" s="125"/>
      <c r="AF22" s="124"/>
      <c r="AG22" s="124"/>
      <c r="AH22" s="123"/>
      <c r="AI22" s="12"/>
      <c r="AJ22" s="12"/>
      <c r="AK22" s="12"/>
      <c r="AL22" s="195"/>
      <c r="AM22" s="12"/>
      <c r="AN22" s="12"/>
      <c r="AO22" s="195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</row>
    <row r="23" spans="1:55" ht="11.25" customHeight="1" x14ac:dyDescent="0.2">
      <c r="A23" s="15">
        <f t="shared" ref="A23:A26" si="39">SUM(C23:AS23)</f>
        <v>789</v>
      </c>
      <c r="B23" s="19" t="s">
        <v>13</v>
      </c>
      <c r="C23" s="123"/>
      <c r="D23" s="137">
        <f t="shared" ref="D23:AG24" si="40">IF(D16="","",D16-C16)</f>
        <v>0</v>
      </c>
      <c r="E23" s="137">
        <f t="shared" si="40"/>
        <v>54</v>
      </c>
      <c r="F23" s="125">
        <f t="shared" si="40"/>
        <v>0</v>
      </c>
      <c r="G23" s="137">
        <f t="shared" si="40"/>
        <v>0</v>
      </c>
      <c r="H23" s="137">
        <f t="shared" si="40"/>
        <v>0</v>
      </c>
      <c r="I23" s="137">
        <f t="shared" si="40"/>
        <v>56</v>
      </c>
      <c r="J23" s="125">
        <f t="shared" si="40"/>
        <v>0</v>
      </c>
      <c r="K23" s="137">
        <f t="shared" si="40"/>
        <v>0</v>
      </c>
      <c r="L23" s="137">
        <f t="shared" si="40"/>
        <v>104</v>
      </c>
      <c r="M23" s="125">
        <f t="shared" si="40"/>
        <v>0</v>
      </c>
      <c r="N23" s="137">
        <f t="shared" si="40"/>
        <v>0</v>
      </c>
      <c r="O23" s="137">
        <f t="shared" si="40"/>
        <v>79</v>
      </c>
      <c r="P23" s="125">
        <f t="shared" si="40"/>
        <v>0</v>
      </c>
      <c r="Q23" s="137">
        <f t="shared" si="40"/>
        <v>0</v>
      </c>
      <c r="R23" s="124">
        <f t="shared" si="40"/>
        <v>94</v>
      </c>
      <c r="S23" s="125">
        <f t="shared" si="40"/>
        <v>0</v>
      </c>
      <c r="T23" s="137">
        <f t="shared" si="40"/>
        <v>100</v>
      </c>
      <c r="U23" s="125">
        <f t="shared" si="40"/>
        <v>0</v>
      </c>
      <c r="V23" s="137">
        <f t="shared" si="40"/>
        <v>0</v>
      </c>
      <c r="W23" s="137">
        <f t="shared" si="40"/>
        <v>31</v>
      </c>
      <c r="X23" s="125">
        <f t="shared" si="40"/>
        <v>0</v>
      </c>
      <c r="Y23" s="137">
        <f t="shared" si="40"/>
        <v>0</v>
      </c>
      <c r="Z23" s="137">
        <f t="shared" si="40"/>
        <v>86</v>
      </c>
      <c r="AA23" s="125">
        <f t="shared" si="40"/>
        <v>0</v>
      </c>
      <c r="AB23" s="137">
        <f t="shared" si="40"/>
        <v>0</v>
      </c>
      <c r="AC23" s="137">
        <f t="shared" si="40"/>
        <v>0</v>
      </c>
      <c r="AD23" s="137">
        <f t="shared" si="40"/>
        <v>75</v>
      </c>
      <c r="AE23" s="125">
        <f t="shared" si="40"/>
        <v>0</v>
      </c>
      <c r="AF23" s="137">
        <f t="shared" si="40"/>
        <v>0</v>
      </c>
      <c r="AG23" s="137">
        <f t="shared" si="40"/>
        <v>52</v>
      </c>
      <c r="AH23" s="123">
        <f>IF(AH16="","",AH16-AG16)</f>
        <v>0</v>
      </c>
      <c r="AI23" s="20">
        <f t="shared" ref="AI23:BC24" si="41">IF(AI16="","",AI16-AH16)</f>
        <v>0</v>
      </c>
      <c r="AJ23" s="20">
        <f t="shared" si="41"/>
        <v>0</v>
      </c>
      <c r="AK23" s="20">
        <f t="shared" si="41"/>
        <v>58</v>
      </c>
      <c r="AL23" s="195" t="str">
        <f t="shared" si="41"/>
        <v/>
      </c>
      <c r="AM23" s="20" t="str">
        <f t="shared" si="41"/>
        <v/>
      </c>
      <c r="AN23" s="20" t="str">
        <f t="shared" si="41"/>
        <v/>
      </c>
      <c r="AO23" s="195" t="str">
        <f t="shared" si="41"/>
        <v/>
      </c>
      <c r="AP23" s="20" t="str">
        <f t="shared" si="41"/>
        <v/>
      </c>
      <c r="AQ23" s="20" t="str">
        <f t="shared" si="41"/>
        <v/>
      </c>
      <c r="AR23" s="20" t="str">
        <f t="shared" si="41"/>
        <v/>
      </c>
      <c r="AS23" s="20" t="str">
        <f t="shared" si="41"/>
        <v/>
      </c>
      <c r="AT23" s="20" t="str">
        <f t="shared" si="41"/>
        <v/>
      </c>
      <c r="AU23" s="20" t="str">
        <f t="shared" si="41"/>
        <v/>
      </c>
      <c r="AV23" s="20" t="str">
        <f t="shared" si="41"/>
        <v/>
      </c>
      <c r="AW23" s="20" t="str">
        <f t="shared" si="41"/>
        <v/>
      </c>
      <c r="AX23" s="20" t="str">
        <f t="shared" si="41"/>
        <v/>
      </c>
      <c r="AY23" s="20" t="str">
        <f t="shared" si="41"/>
        <v/>
      </c>
      <c r="AZ23" s="20" t="str">
        <f t="shared" si="41"/>
        <v/>
      </c>
      <c r="BA23" s="20" t="str">
        <f t="shared" si="41"/>
        <v/>
      </c>
      <c r="BB23" s="20" t="str">
        <f t="shared" si="41"/>
        <v/>
      </c>
      <c r="BC23" s="20" t="str">
        <f t="shared" si="41"/>
        <v/>
      </c>
    </row>
    <row r="24" spans="1:55" ht="11.25" customHeight="1" x14ac:dyDescent="0.2">
      <c r="A24" s="15">
        <f t="shared" si="39"/>
        <v>62</v>
      </c>
      <c r="B24" s="19" t="s">
        <v>14</v>
      </c>
      <c r="C24" s="123">
        <v>2</v>
      </c>
      <c r="D24" s="137">
        <f t="shared" si="40"/>
        <v>0</v>
      </c>
      <c r="E24" s="137">
        <f t="shared" si="40"/>
        <v>1</v>
      </c>
      <c r="F24" s="125">
        <f t="shared" si="40"/>
        <v>0</v>
      </c>
      <c r="G24" s="137">
        <f t="shared" si="40"/>
        <v>0</v>
      </c>
      <c r="H24" s="137">
        <f t="shared" si="40"/>
        <v>0</v>
      </c>
      <c r="I24" s="137">
        <f t="shared" si="40"/>
        <v>1</v>
      </c>
      <c r="J24" s="125">
        <f t="shared" si="40"/>
        <v>0</v>
      </c>
      <c r="K24" s="137">
        <f t="shared" si="40"/>
        <v>0</v>
      </c>
      <c r="L24" s="137">
        <f t="shared" si="40"/>
        <v>9</v>
      </c>
      <c r="M24" s="125">
        <f t="shared" si="40"/>
        <v>0</v>
      </c>
      <c r="N24" s="137">
        <f t="shared" si="40"/>
        <v>0</v>
      </c>
      <c r="O24" s="137">
        <f t="shared" si="40"/>
        <v>8</v>
      </c>
      <c r="P24" s="125">
        <f t="shared" si="40"/>
        <v>0</v>
      </c>
      <c r="Q24" s="137">
        <f t="shared" si="40"/>
        <v>0</v>
      </c>
      <c r="R24" s="124">
        <f t="shared" si="40"/>
        <v>9</v>
      </c>
      <c r="S24" s="125">
        <f t="shared" si="40"/>
        <v>0</v>
      </c>
      <c r="T24" s="137">
        <f t="shared" si="40"/>
        <v>6</v>
      </c>
      <c r="U24" s="125">
        <f t="shared" si="40"/>
        <v>0</v>
      </c>
      <c r="V24" s="137">
        <f t="shared" si="40"/>
        <v>0</v>
      </c>
      <c r="W24" s="137">
        <f t="shared" si="40"/>
        <v>2</v>
      </c>
      <c r="X24" s="125">
        <f t="shared" si="40"/>
        <v>0</v>
      </c>
      <c r="Y24" s="137">
        <f t="shared" si="40"/>
        <v>0</v>
      </c>
      <c r="Z24" s="137">
        <f t="shared" si="40"/>
        <v>6</v>
      </c>
      <c r="AA24" s="125">
        <f t="shared" si="40"/>
        <v>0</v>
      </c>
      <c r="AB24" s="137">
        <f t="shared" si="40"/>
        <v>0</v>
      </c>
      <c r="AC24" s="137">
        <f t="shared" si="40"/>
        <v>0</v>
      </c>
      <c r="AD24" s="137">
        <f t="shared" si="40"/>
        <v>5</v>
      </c>
      <c r="AE24" s="125">
        <f t="shared" si="40"/>
        <v>0</v>
      </c>
      <c r="AF24" s="137">
        <f t="shared" si="40"/>
        <v>0</v>
      </c>
      <c r="AG24" s="137">
        <f t="shared" si="40"/>
        <v>6</v>
      </c>
      <c r="AH24" s="123">
        <f>IF(AH17="","",AH17-AG17)</f>
        <v>0</v>
      </c>
      <c r="AI24" s="20">
        <f t="shared" si="41"/>
        <v>0</v>
      </c>
      <c r="AJ24" s="20">
        <f t="shared" si="41"/>
        <v>0</v>
      </c>
      <c r="AK24" s="20">
        <f t="shared" si="41"/>
        <v>7</v>
      </c>
      <c r="AL24" s="195" t="str">
        <f t="shared" si="41"/>
        <v/>
      </c>
      <c r="AM24" s="20" t="str">
        <f t="shared" si="41"/>
        <v/>
      </c>
      <c r="AN24" s="20" t="str">
        <f t="shared" si="41"/>
        <v/>
      </c>
      <c r="AO24" s="195" t="str">
        <f t="shared" si="41"/>
        <v/>
      </c>
      <c r="AP24" s="20" t="str">
        <f t="shared" si="41"/>
        <v/>
      </c>
      <c r="AQ24" s="20" t="str">
        <f t="shared" si="41"/>
        <v/>
      </c>
      <c r="AR24" s="20" t="str">
        <f t="shared" si="41"/>
        <v/>
      </c>
      <c r="AS24" s="20" t="str">
        <f t="shared" si="41"/>
        <v/>
      </c>
      <c r="AT24" s="20" t="str">
        <f t="shared" si="41"/>
        <v/>
      </c>
      <c r="AU24" s="20" t="str">
        <f t="shared" si="41"/>
        <v/>
      </c>
      <c r="AV24" s="20" t="str">
        <f t="shared" si="41"/>
        <v/>
      </c>
      <c r="AW24" s="20" t="str">
        <f t="shared" si="41"/>
        <v/>
      </c>
      <c r="AX24" s="20" t="str">
        <f t="shared" si="41"/>
        <v/>
      </c>
      <c r="AY24" s="20" t="str">
        <f t="shared" si="41"/>
        <v/>
      </c>
      <c r="AZ24" s="20" t="str">
        <f t="shared" si="41"/>
        <v/>
      </c>
      <c r="BA24" s="20" t="str">
        <f t="shared" si="41"/>
        <v/>
      </c>
      <c r="BB24" s="20" t="str">
        <f t="shared" si="41"/>
        <v/>
      </c>
      <c r="BC24" s="20" t="str">
        <f t="shared" si="41"/>
        <v/>
      </c>
    </row>
    <row r="25" spans="1:55" ht="11.25" customHeight="1" x14ac:dyDescent="0.2">
      <c r="A25" s="15">
        <f t="shared" si="39"/>
        <v>45</v>
      </c>
      <c r="B25" s="19" t="s">
        <v>15</v>
      </c>
      <c r="C25" s="123">
        <v>0</v>
      </c>
      <c r="D25" s="137">
        <f t="shared" ref="D25:AG25" si="42">IF(D18="","",C18+C19-D18)</f>
        <v>0</v>
      </c>
      <c r="E25" s="137">
        <f t="shared" si="42"/>
        <v>1</v>
      </c>
      <c r="F25" s="125">
        <f t="shared" si="42"/>
        <v>0</v>
      </c>
      <c r="G25" s="137">
        <f t="shared" si="42"/>
        <v>0</v>
      </c>
      <c r="H25" s="137">
        <f t="shared" si="42"/>
        <v>0</v>
      </c>
      <c r="I25" s="137">
        <f t="shared" si="42"/>
        <v>1</v>
      </c>
      <c r="J25" s="125">
        <f t="shared" si="42"/>
        <v>0</v>
      </c>
      <c r="K25" s="137">
        <f t="shared" si="42"/>
        <v>0</v>
      </c>
      <c r="L25" s="137">
        <f t="shared" si="42"/>
        <v>4</v>
      </c>
      <c r="M25" s="125">
        <f t="shared" si="42"/>
        <v>0</v>
      </c>
      <c r="N25" s="137">
        <f t="shared" si="42"/>
        <v>0</v>
      </c>
      <c r="O25" s="137">
        <f t="shared" si="42"/>
        <v>4</v>
      </c>
      <c r="P25" s="125">
        <f t="shared" si="42"/>
        <v>0</v>
      </c>
      <c r="Q25" s="137">
        <f t="shared" si="42"/>
        <v>0</v>
      </c>
      <c r="R25" s="124">
        <f t="shared" si="42"/>
        <v>5</v>
      </c>
      <c r="S25" s="125">
        <f t="shared" si="42"/>
        <v>0</v>
      </c>
      <c r="T25" s="137">
        <f t="shared" si="42"/>
        <v>6</v>
      </c>
      <c r="U25" s="125">
        <f t="shared" si="42"/>
        <v>0</v>
      </c>
      <c r="V25" s="137">
        <f t="shared" si="42"/>
        <v>0</v>
      </c>
      <c r="W25" s="137">
        <f t="shared" si="42"/>
        <v>0</v>
      </c>
      <c r="X25" s="125">
        <f t="shared" si="42"/>
        <v>0</v>
      </c>
      <c r="Y25" s="137">
        <f t="shared" si="42"/>
        <v>0</v>
      </c>
      <c r="Z25" s="137">
        <f t="shared" si="42"/>
        <v>6</v>
      </c>
      <c r="AA25" s="125">
        <f t="shared" si="42"/>
        <v>0</v>
      </c>
      <c r="AB25" s="137">
        <f t="shared" si="42"/>
        <v>0</v>
      </c>
      <c r="AC25" s="137">
        <f t="shared" si="42"/>
        <v>0</v>
      </c>
      <c r="AD25" s="137">
        <f t="shared" si="42"/>
        <v>5</v>
      </c>
      <c r="AE25" s="125">
        <f t="shared" si="42"/>
        <v>0</v>
      </c>
      <c r="AF25" s="137">
        <f t="shared" si="42"/>
        <v>0</v>
      </c>
      <c r="AG25" s="137">
        <f t="shared" si="42"/>
        <v>6</v>
      </c>
      <c r="AH25" s="123">
        <f>IF(AH18="","",AG18+AG19-AH18)</f>
        <v>0</v>
      </c>
      <c r="AI25" s="20">
        <f t="shared" ref="AI25:BC25" si="43">IF(AI18="","",AH18+AH19-AI18)</f>
        <v>0</v>
      </c>
      <c r="AJ25" s="20">
        <f t="shared" si="43"/>
        <v>0</v>
      </c>
      <c r="AK25" s="20">
        <f t="shared" si="43"/>
        <v>7</v>
      </c>
      <c r="AL25" s="195" t="str">
        <f t="shared" si="43"/>
        <v/>
      </c>
      <c r="AM25" s="20" t="str">
        <f t="shared" si="43"/>
        <v/>
      </c>
      <c r="AN25" s="20" t="str">
        <f t="shared" si="43"/>
        <v/>
      </c>
      <c r="AO25" s="195" t="str">
        <f t="shared" si="43"/>
        <v/>
      </c>
      <c r="AP25" s="20" t="str">
        <f t="shared" si="43"/>
        <v/>
      </c>
      <c r="AQ25" s="20" t="str">
        <f t="shared" si="43"/>
        <v/>
      </c>
      <c r="AR25" s="20" t="str">
        <f t="shared" si="43"/>
        <v/>
      </c>
      <c r="AS25" s="20" t="str">
        <f t="shared" si="43"/>
        <v/>
      </c>
      <c r="AT25" s="20" t="str">
        <f t="shared" si="43"/>
        <v/>
      </c>
      <c r="AU25" s="20" t="str">
        <f t="shared" si="43"/>
        <v/>
      </c>
      <c r="AV25" s="20" t="str">
        <f t="shared" si="43"/>
        <v/>
      </c>
      <c r="AW25" s="20" t="str">
        <f t="shared" si="43"/>
        <v/>
      </c>
      <c r="AX25" s="20" t="str">
        <f t="shared" si="43"/>
        <v/>
      </c>
      <c r="AY25" s="20" t="str">
        <f t="shared" si="43"/>
        <v/>
      </c>
      <c r="AZ25" s="20" t="str">
        <f t="shared" si="43"/>
        <v/>
      </c>
      <c r="BA25" s="20" t="str">
        <f t="shared" si="43"/>
        <v/>
      </c>
      <c r="BB25" s="20" t="str">
        <f t="shared" si="43"/>
        <v/>
      </c>
      <c r="BC25" s="20" t="str">
        <f t="shared" si="43"/>
        <v/>
      </c>
    </row>
    <row r="26" spans="1:55" ht="11.25" customHeight="1" x14ac:dyDescent="0.2">
      <c r="A26" s="15">
        <f t="shared" si="39"/>
        <v>14300</v>
      </c>
      <c r="B26" s="19" t="s">
        <v>16</v>
      </c>
      <c r="C26" s="123">
        <v>0</v>
      </c>
      <c r="D26" s="137">
        <f t="shared" ref="D26:BC26" si="44">IF(D16="","",D25*D20)</f>
        <v>0</v>
      </c>
      <c r="E26" s="137">
        <f t="shared" si="44"/>
        <v>1100</v>
      </c>
      <c r="F26" s="125">
        <f t="shared" si="44"/>
        <v>0</v>
      </c>
      <c r="G26" s="137">
        <f t="shared" si="44"/>
        <v>0</v>
      </c>
      <c r="H26" s="137">
        <f t="shared" si="44"/>
        <v>0</v>
      </c>
      <c r="I26" s="137">
        <f t="shared" si="44"/>
        <v>300</v>
      </c>
      <c r="J26" s="125">
        <f t="shared" si="44"/>
        <v>0</v>
      </c>
      <c r="K26" s="137">
        <f t="shared" si="44"/>
        <v>0</v>
      </c>
      <c r="L26" s="137">
        <f t="shared" si="44"/>
        <v>1200</v>
      </c>
      <c r="M26" s="125">
        <f t="shared" si="44"/>
        <v>0</v>
      </c>
      <c r="N26" s="137">
        <f t="shared" si="44"/>
        <v>0</v>
      </c>
      <c r="O26" s="137">
        <f t="shared" si="44"/>
        <v>1200</v>
      </c>
      <c r="P26" s="125">
        <f t="shared" si="44"/>
        <v>0</v>
      </c>
      <c r="Q26" s="137">
        <f t="shared" si="44"/>
        <v>0</v>
      </c>
      <c r="R26" s="124">
        <f t="shared" si="44"/>
        <v>1500</v>
      </c>
      <c r="S26" s="125">
        <f t="shared" si="44"/>
        <v>0</v>
      </c>
      <c r="T26" s="137">
        <f t="shared" si="44"/>
        <v>1800</v>
      </c>
      <c r="U26" s="125">
        <f t="shared" si="44"/>
        <v>0</v>
      </c>
      <c r="V26" s="137">
        <f t="shared" si="44"/>
        <v>0</v>
      </c>
      <c r="W26" s="137">
        <f t="shared" si="44"/>
        <v>0</v>
      </c>
      <c r="X26" s="125">
        <f t="shared" si="44"/>
        <v>0</v>
      </c>
      <c r="Y26" s="137">
        <f t="shared" si="44"/>
        <v>0</v>
      </c>
      <c r="Z26" s="137">
        <f t="shared" si="44"/>
        <v>1800</v>
      </c>
      <c r="AA26" s="125">
        <f t="shared" si="44"/>
        <v>0</v>
      </c>
      <c r="AB26" s="137">
        <f t="shared" si="44"/>
        <v>0</v>
      </c>
      <c r="AC26" s="137">
        <f t="shared" si="44"/>
        <v>0</v>
      </c>
      <c r="AD26" s="137">
        <f t="shared" si="44"/>
        <v>1500</v>
      </c>
      <c r="AE26" s="125">
        <f t="shared" si="44"/>
        <v>0</v>
      </c>
      <c r="AF26" s="137">
        <f t="shared" si="44"/>
        <v>0</v>
      </c>
      <c r="AG26" s="137">
        <f t="shared" si="44"/>
        <v>1800</v>
      </c>
      <c r="AH26" s="123">
        <f>IF(AH16="","",AH25*AH20)</f>
        <v>0</v>
      </c>
      <c r="AI26" s="20">
        <f t="shared" si="44"/>
        <v>0</v>
      </c>
      <c r="AJ26" s="20">
        <f t="shared" si="44"/>
        <v>0</v>
      </c>
      <c r="AK26" s="20">
        <f t="shared" si="44"/>
        <v>2100</v>
      </c>
      <c r="AL26" s="195" t="str">
        <f t="shared" si="44"/>
        <v/>
      </c>
      <c r="AM26" s="20" t="str">
        <f t="shared" si="44"/>
        <v/>
      </c>
      <c r="AN26" s="20" t="str">
        <f t="shared" si="44"/>
        <v/>
      </c>
      <c r="AO26" s="195" t="str">
        <f t="shared" si="44"/>
        <v/>
      </c>
      <c r="AP26" s="20" t="str">
        <f t="shared" si="44"/>
        <v/>
      </c>
      <c r="AQ26" s="20" t="str">
        <f t="shared" si="44"/>
        <v/>
      </c>
      <c r="AR26" s="20" t="str">
        <f t="shared" si="44"/>
        <v/>
      </c>
      <c r="AS26" s="20" t="str">
        <f t="shared" si="44"/>
        <v/>
      </c>
      <c r="AT26" s="20" t="str">
        <f t="shared" si="44"/>
        <v/>
      </c>
      <c r="AU26" s="20" t="str">
        <f t="shared" si="44"/>
        <v/>
      </c>
      <c r="AV26" s="20" t="str">
        <f t="shared" si="44"/>
        <v/>
      </c>
      <c r="AW26" s="20" t="str">
        <f t="shared" si="44"/>
        <v/>
      </c>
      <c r="AX26" s="20" t="str">
        <f t="shared" si="44"/>
        <v/>
      </c>
      <c r="AY26" s="20" t="str">
        <f t="shared" si="44"/>
        <v/>
      </c>
      <c r="AZ26" s="20" t="str">
        <f t="shared" si="44"/>
        <v/>
      </c>
      <c r="BA26" s="20" t="str">
        <f t="shared" si="44"/>
        <v/>
      </c>
      <c r="BB26" s="20" t="str">
        <f t="shared" si="44"/>
        <v/>
      </c>
      <c r="BC26" s="20" t="str">
        <f t="shared" si="44"/>
        <v/>
      </c>
    </row>
    <row r="27" spans="1:55" ht="11.25" customHeight="1" thickBot="1" x14ac:dyDescent="0.25">
      <c r="A27" s="21">
        <f>IF(A26="","",A26/(A23*100))</f>
        <v>0.18124207858048164</v>
      </c>
      <c r="B27" s="22" t="s">
        <v>17</v>
      </c>
      <c r="C27" s="140" t="s">
        <v>18</v>
      </c>
      <c r="D27" s="141" t="str">
        <f t="shared" ref="D27:BC27" si="45">IF(D26="","",IF(D26=0,"",D26/(D23*100)))</f>
        <v/>
      </c>
      <c r="E27" s="141">
        <f t="shared" si="45"/>
        <v>0.20370370370370369</v>
      </c>
      <c r="F27" s="142" t="str">
        <f t="shared" si="45"/>
        <v/>
      </c>
      <c r="G27" s="141" t="str">
        <f t="shared" si="45"/>
        <v/>
      </c>
      <c r="H27" s="141" t="str">
        <f t="shared" si="45"/>
        <v/>
      </c>
      <c r="I27" s="141">
        <f t="shared" si="45"/>
        <v>5.3571428571428568E-2</v>
      </c>
      <c r="J27" s="142" t="str">
        <f t="shared" si="45"/>
        <v/>
      </c>
      <c r="K27" s="141" t="str">
        <f t="shared" si="45"/>
        <v/>
      </c>
      <c r="L27" s="141">
        <f t="shared" si="45"/>
        <v>0.11538461538461539</v>
      </c>
      <c r="M27" s="142" t="str">
        <f t="shared" si="45"/>
        <v/>
      </c>
      <c r="N27" s="141" t="str">
        <f t="shared" si="45"/>
        <v/>
      </c>
      <c r="O27" s="141">
        <f t="shared" si="45"/>
        <v>0.15189873417721519</v>
      </c>
      <c r="P27" s="142" t="str">
        <f t="shared" si="45"/>
        <v/>
      </c>
      <c r="Q27" s="141" t="str">
        <f t="shared" si="45"/>
        <v/>
      </c>
      <c r="R27" s="192">
        <f t="shared" si="45"/>
        <v>0.15957446808510639</v>
      </c>
      <c r="S27" s="142" t="str">
        <f t="shared" si="45"/>
        <v/>
      </c>
      <c r="T27" s="141">
        <f t="shared" si="45"/>
        <v>0.18</v>
      </c>
      <c r="U27" s="142" t="str">
        <f t="shared" si="45"/>
        <v/>
      </c>
      <c r="V27" s="141" t="str">
        <f t="shared" si="45"/>
        <v/>
      </c>
      <c r="W27" s="141" t="str">
        <f t="shared" si="45"/>
        <v/>
      </c>
      <c r="X27" s="142" t="str">
        <f t="shared" si="45"/>
        <v/>
      </c>
      <c r="Y27" s="141" t="str">
        <f t="shared" si="45"/>
        <v/>
      </c>
      <c r="Z27" s="141">
        <f t="shared" si="45"/>
        <v>0.20930232558139536</v>
      </c>
      <c r="AA27" s="142" t="str">
        <f t="shared" si="45"/>
        <v/>
      </c>
      <c r="AB27" s="141" t="str">
        <f t="shared" si="45"/>
        <v/>
      </c>
      <c r="AC27" s="141" t="str">
        <f t="shared" si="45"/>
        <v/>
      </c>
      <c r="AD27" s="141">
        <f t="shared" si="45"/>
        <v>0.2</v>
      </c>
      <c r="AE27" s="142" t="str">
        <f t="shared" si="45"/>
        <v/>
      </c>
      <c r="AF27" s="141" t="str">
        <f t="shared" si="45"/>
        <v/>
      </c>
      <c r="AG27" s="141">
        <f t="shared" si="45"/>
        <v>0.34615384615384615</v>
      </c>
      <c r="AH27" s="140" t="str">
        <f>IF(AH26="","",IF(AH26=0,"",AH26/(AH23*100)))</f>
        <v/>
      </c>
      <c r="AI27" s="23" t="str">
        <f t="shared" si="45"/>
        <v/>
      </c>
      <c r="AJ27" s="23" t="str">
        <f t="shared" si="45"/>
        <v/>
      </c>
      <c r="AK27" s="23">
        <f t="shared" si="45"/>
        <v>0.36206896551724138</v>
      </c>
      <c r="AL27" s="198" t="str">
        <f t="shared" si="45"/>
        <v/>
      </c>
      <c r="AM27" s="23" t="str">
        <f t="shared" si="45"/>
        <v/>
      </c>
      <c r="AN27" s="23" t="str">
        <f t="shared" si="45"/>
        <v/>
      </c>
      <c r="AO27" s="198" t="str">
        <f t="shared" si="45"/>
        <v/>
      </c>
      <c r="AP27" s="23" t="str">
        <f t="shared" si="45"/>
        <v/>
      </c>
      <c r="AQ27" s="23" t="str">
        <f t="shared" si="45"/>
        <v/>
      </c>
      <c r="AR27" s="23" t="str">
        <f t="shared" si="45"/>
        <v/>
      </c>
      <c r="AS27" s="23" t="str">
        <f t="shared" si="45"/>
        <v/>
      </c>
      <c r="AT27" s="23" t="str">
        <f t="shared" si="45"/>
        <v/>
      </c>
      <c r="AU27" s="23" t="str">
        <f t="shared" si="45"/>
        <v/>
      </c>
      <c r="AV27" s="23" t="str">
        <f t="shared" si="45"/>
        <v/>
      </c>
      <c r="AW27" s="23" t="str">
        <f t="shared" si="45"/>
        <v/>
      </c>
      <c r="AX27" s="23" t="str">
        <f t="shared" si="45"/>
        <v/>
      </c>
      <c r="AY27" s="23" t="str">
        <f t="shared" si="45"/>
        <v/>
      </c>
      <c r="AZ27" s="23" t="str">
        <f t="shared" si="45"/>
        <v/>
      </c>
      <c r="BA27" s="23" t="str">
        <f t="shared" si="45"/>
        <v/>
      </c>
      <c r="BB27" s="23" t="str">
        <f t="shared" si="45"/>
        <v/>
      </c>
      <c r="BC27" s="23" t="str">
        <f t="shared" si="45"/>
        <v/>
      </c>
    </row>
    <row r="28" spans="1:55" ht="11.25" customHeight="1" x14ac:dyDescent="0.2">
      <c r="A28" s="7" t="s">
        <v>1</v>
      </c>
      <c r="B28" s="8" t="s">
        <v>2</v>
      </c>
      <c r="C28" s="118">
        <v>27401</v>
      </c>
      <c r="D28" s="119">
        <f t="shared" ref="D28:D29" si="46">IF(D$16="","",C28)</f>
        <v>27401</v>
      </c>
      <c r="E28" s="119">
        <v>27523</v>
      </c>
      <c r="F28" s="120">
        <f t="shared" ref="F28:G29" si="47">IF(F$16="","",E28)</f>
        <v>27523</v>
      </c>
      <c r="G28" s="119">
        <f>IF(G$16="","",F28)</f>
        <v>27523</v>
      </c>
      <c r="H28" s="119">
        <f t="shared" ref="H28:H29" si="48">IF(H$16="","",G28)</f>
        <v>27523</v>
      </c>
      <c r="I28" s="119">
        <v>27644</v>
      </c>
      <c r="J28" s="120">
        <f t="shared" ref="J28:K29" si="49">IF(J$16="","",I28)</f>
        <v>27644</v>
      </c>
      <c r="K28" s="119">
        <f t="shared" si="49"/>
        <v>27644</v>
      </c>
      <c r="L28" s="119">
        <v>27710</v>
      </c>
      <c r="M28" s="120">
        <f t="shared" ref="M28:M29" si="50">IF(M$16="","",L28)</f>
        <v>27710</v>
      </c>
      <c r="N28" s="119">
        <f>IF(N$16="","",M28)</f>
        <v>27710</v>
      </c>
      <c r="O28" s="119">
        <v>27785</v>
      </c>
      <c r="P28" s="120">
        <f t="shared" ref="P28:Q29" si="51">IF(P$16="","",O28)</f>
        <v>27785</v>
      </c>
      <c r="Q28" s="119">
        <f t="shared" si="51"/>
        <v>27785</v>
      </c>
      <c r="R28" s="119">
        <v>27867</v>
      </c>
      <c r="S28" s="120">
        <f t="shared" ref="S28:S29" si="52">IF(S$16="","",R28)</f>
        <v>27867</v>
      </c>
      <c r="T28" s="119">
        <v>28052</v>
      </c>
      <c r="U28" s="120">
        <f>IF(U$16="","",T28)</f>
        <v>28052</v>
      </c>
      <c r="V28" s="119">
        <f t="shared" ref="V28:V29" si="53">IF(V$16="","",U28)</f>
        <v>28052</v>
      </c>
      <c r="W28" s="119">
        <v>28102</v>
      </c>
      <c r="X28" s="120">
        <f t="shared" ref="X28:X29" si="54">IF(X$16="","",W28)</f>
        <v>28102</v>
      </c>
      <c r="Y28" s="119">
        <f>IF(Y$16="","",X28)</f>
        <v>28102</v>
      </c>
      <c r="Z28" s="119">
        <v>28162</v>
      </c>
      <c r="AA28" s="120">
        <f t="shared" ref="AA28:AB29" si="55">IF(AA$16="","",Z28)</f>
        <v>28162</v>
      </c>
      <c r="AB28" s="119">
        <f>IF(AB$16="","",AA28)</f>
        <v>28162</v>
      </c>
      <c r="AC28" s="119">
        <f t="shared" ref="AC28:AC29" si="56">IF(AC$16="","",AB28)</f>
        <v>28162</v>
      </c>
      <c r="AD28" s="119">
        <v>28286</v>
      </c>
      <c r="AE28" s="120">
        <f t="shared" ref="AE28:AE29" si="57">IF(AE$16="","",AD28)</f>
        <v>28286</v>
      </c>
      <c r="AF28" s="119">
        <f>IF(AF$16="","",AE28)</f>
        <v>28286</v>
      </c>
      <c r="AG28" s="119">
        <v>28348</v>
      </c>
      <c r="AH28" s="118">
        <f>IF(AH$16="","",AG28)</f>
        <v>28348</v>
      </c>
      <c r="AI28" s="9">
        <f t="shared" ref="AI28:AK29" si="58">IF(AI$16="","",AH28)</f>
        <v>28348</v>
      </c>
      <c r="AJ28" s="9">
        <f t="shared" si="58"/>
        <v>28348</v>
      </c>
      <c r="AK28" s="9">
        <v>28443</v>
      </c>
      <c r="AL28" s="194" t="str">
        <f t="shared" ref="AL28:BA29" si="59">IF(AL$16="","",AK28)</f>
        <v/>
      </c>
      <c r="AM28" s="9" t="str">
        <f t="shared" si="59"/>
        <v/>
      </c>
      <c r="AN28" s="9" t="str">
        <f t="shared" si="59"/>
        <v/>
      </c>
      <c r="AO28" s="194" t="str">
        <f t="shared" si="59"/>
        <v/>
      </c>
      <c r="AP28" s="9" t="str">
        <f t="shared" si="59"/>
        <v/>
      </c>
      <c r="AQ28" s="9" t="str">
        <f t="shared" si="59"/>
        <v/>
      </c>
      <c r="AR28" s="9" t="str">
        <f t="shared" si="59"/>
        <v/>
      </c>
      <c r="AS28" s="9" t="str">
        <f t="shared" si="59"/>
        <v/>
      </c>
      <c r="AT28" s="9" t="str">
        <f t="shared" si="59"/>
        <v/>
      </c>
      <c r="AU28" s="9" t="str">
        <f t="shared" si="59"/>
        <v/>
      </c>
      <c r="AV28" s="9" t="str">
        <f t="shared" si="59"/>
        <v/>
      </c>
      <c r="AW28" s="9" t="str">
        <f t="shared" si="59"/>
        <v/>
      </c>
      <c r="AX28" s="9" t="str">
        <f t="shared" si="59"/>
        <v/>
      </c>
      <c r="AY28" s="9" t="str">
        <f t="shared" si="59"/>
        <v/>
      </c>
      <c r="AZ28" s="9" t="str">
        <f t="shared" si="59"/>
        <v/>
      </c>
      <c r="BA28" s="9" t="str">
        <f t="shared" si="59"/>
        <v/>
      </c>
      <c r="BB28" s="9" t="str">
        <f t="shared" ref="BB28:BC29" si="60">IF(BB$16="","",BA28)</f>
        <v/>
      </c>
      <c r="BC28" s="9" t="str">
        <f t="shared" si="60"/>
        <v/>
      </c>
    </row>
    <row r="29" spans="1:55" ht="11.25" customHeight="1" x14ac:dyDescent="0.2">
      <c r="A29" s="10" t="s">
        <v>19</v>
      </c>
      <c r="B29" s="11" t="s">
        <v>4</v>
      </c>
      <c r="C29" s="123">
        <v>965</v>
      </c>
      <c r="D29" s="124">
        <f t="shared" si="46"/>
        <v>965</v>
      </c>
      <c r="E29" s="124">
        <v>970</v>
      </c>
      <c r="F29" s="125">
        <f t="shared" si="47"/>
        <v>970</v>
      </c>
      <c r="G29" s="124">
        <f t="shared" si="47"/>
        <v>970</v>
      </c>
      <c r="H29" s="124">
        <f t="shared" si="48"/>
        <v>970</v>
      </c>
      <c r="I29" s="124">
        <v>975</v>
      </c>
      <c r="J29" s="125">
        <f t="shared" si="49"/>
        <v>975</v>
      </c>
      <c r="K29" s="124">
        <f t="shared" si="49"/>
        <v>975</v>
      </c>
      <c r="L29" s="124">
        <v>978</v>
      </c>
      <c r="M29" s="125">
        <f t="shared" si="50"/>
        <v>978</v>
      </c>
      <c r="N29" s="124">
        <f>IF(N$16="","",M29)</f>
        <v>978</v>
      </c>
      <c r="O29" s="124">
        <v>983</v>
      </c>
      <c r="P29" s="125">
        <f t="shared" si="51"/>
        <v>983</v>
      </c>
      <c r="Q29" s="124">
        <f t="shared" si="51"/>
        <v>983</v>
      </c>
      <c r="R29" s="124">
        <v>987</v>
      </c>
      <c r="S29" s="125">
        <f t="shared" si="52"/>
        <v>987</v>
      </c>
      <c r="T29" s="124">
        <v>988</v>
      </c>
      <c r="U29" s="125">
        <f>IF(U$16="","",T29)</f>
        <v>988</v>
      </c>
      <c r="V29" s="124">
        <f t="shared" si="53"/>
        <v>988</v>
      </c>
      <c r="W29" s="124">
        <v>989</v>
      </c>
      <c r="X29" s="125">
        <f t="shared" si="54"/>
        <v>989</v>
      </c>
      <c r="Y29" s="124">
        <f>IF(Y$16="","",X29)</f>
        <v>989</v>
      </c>
      <c r="Z29" s="124">
        <v>991</v>
      </c>
      <c r="AA29" s="125">
        <f t="shared" si="55"/>
        <v>991</v>
      </c>
      <c r="AB29" s="124">
        <f t="shared" si="55"/>
        <v>991</v>
      </c>
      <c r="AC29" s="124">
        <f t="shared" si="56"/>
        <v>991</v>
      </c>
      <c r="AD29" s="124">
        <v>993</v>
      </c>
      <c r="AE29" s="125">
        <f t="shared" si="57"/>
        <v>993</v>
      </c>
      <c r="AF29" s="124">
        <f>IF(AF$16="","",AE29)</f>
        <v>993</v>
      </c>
      <c r="AG29" s="124">
        <v>997</v>
      </c>
      <c r="AH29" s="123">
        <f>IF(AH$16="","",AG29)</f>
        <v>997</v>
      </c>
      <c r="AI29" s="12">
        <f t="shared" si="58"/>
        <v>997</v>
      </c>
      <c r="AJ29" s="12">
        <f t="shared" si="58"/>
        <v>997</v>
      </c>
      <c r="AK29" s="12">
        <f t="shared" si="58"/>
        <v>997</v>
      </c>
      <c r="AL29" s="195" t="str">
        <f t="shared" si="59"/>
        <v/>
      </c>
      <c r="AM29" s="12" t="str">
        <f t="shared" si="59"/>
        <v/>
      </c>
      <c r="AN29" s="12" t="str">
        <f t="shared" si="59"/>
        <v/>
      </c>
      <c r="AO29" s="195" t="str">
        <f t="shared" si="59"/>
        <v/>
      </c>
      <c r="AP29" s="12" t="str">
        <f t="shared" si="59"/>
        <v/>
      </c>
      <c r="AQ29" s="12" t="str">
        <f t="shared" si="59"/>
        <v/>
      </c>
      <c r="AR29" s="12" t="str">
        <f t="shared" si="59"/>
        <v/>
      </c>
      <c r="AS29" s="12" t="str">
        <f t="shared" si="59"/>
        <v/>
      </c>
      <c r="AT29" s="12" t="str">
        <f t="shared" si="59"/>
        <v/>
      </c>
      <c r="AU29" s="12" t="str">
        <f t="shared" si="59"/>
        <v/>
      </c>
      <c r="AV29" s="12" t="str">
        <f t="shared" si="59"/>
        <v/>
      </c>
      <c r="AW29" s="12" t="str">
        <f t="shared" si="59"/>
        <v/>
      </c>
      <c r="AX29" s="12" t="str">
        <f t="shared" si="59"/>
        <v/>
      </c>
      <c r="AY29" s="12" t="str">
        <f t="shared" si="59"/>
        <v/>
      </c>
      <c r="AZ29" s="12" t="str">
        <f t="shared" si="59"/>
        <v/>
      </c>
      <c r="BA29" s="12" t="str">
        <f t="shared" si="59"/>
        <v/>
      </c>
      <c r="BB29" s="12" t="str">
        <f t="shared" si="60"/>
        <v/>
      </c>
      <c r="BC29" s="12" t="str">
        <f t="shared" si="60"/>
        <v/>
      </c>
    </row>
    <row r="30" spans="1:55" ht="11.25" customHeight="1" x14ac:dyDescent="0.25">
      <c r="A30" s="24">
        <v>1</v>
      </c>
      <c r="B30" s="11" t="s">
        <v>5</v>
      </c>
      <c r="C30" s="123">
        <v>11</v>
      </c>
      <c r="D30" s="124">
        <f t="shared" ref="D30" si="61">IF(D28="","",(C30+C31))</f>
        <v>12</v>
      </c>
      <c r="E30" s="124">
        <v>9</v>
      </c>
      <c r="F30" s="125">
        <f t="shared" ref="F30:H30" si="62">IF(F28="","",(E30+E31))</f>
        <v>9</v>
      </c>
      <c r="G30" s="124">
        <f t="shared" si="62"/>
        <v>9</v>
      </c>
      <c r="H30" s="124">
        <f t="shared" si="62"/>
        <v>9</v>
      </c>
      <c r="I30" s="124">
        <v>7</v>
      </c>
      <c r="J30" s="125">
        <f t="shared" ref="J30:K30" si="63">IF(J28="","",(I30+I31))</f>
        <v>12</v>
      </c>
      <c r="K30" s="124">
        <f t="shared" si="63"/>
        <v>12</v>
      </c>
      <c r="L30" s="124">
        <v>10</v>
      </c>
      <c r="M30" s="125">
        <f t="shared" ref="M30" si="64">IF(M28="","",(L30+L31))</f>
        <v>14</v>
      </c>
      <c r="N30" s="124">
        <f>IF(N28="","",(M30+M31))</f>
        <v>14</v>
      </c>
      <c r="O30" s="124">
        <v>12</v>
      </c>
      <c r="P30" s="125">
        <f t="shared" ref="P30:Q30" si="65">IF(P28="","",(O30+O31))</f>
        <v>12</v>
      </c>
      <c r="Q30" s="124">
        <f t="shared" si="65"/>
        <v>12</v>
      </c>
      <c r="R30" s="124">
        <v>11</v>
      </c>
      <c r="S30" s="125">
        <f t="shared" ref="S30" si="66">IF(S28="","",(R30+R31))</f>
        <v>11</v>
      </c>
      <c r="T30" s="124">
        <v>10</v>
      </c>
      <c r="U30" s="125">
        <f>IF(U28="","",(T30+T31))</f>
        <v>12</v>
      </c>
      <c r="V30" s="124">
        <f t="shared" ref="V30:X30" si="67">IF(V28="","",(U30+U31))</f>
        <v>12</v>
      </c>
      <c r="W30" s="124">
        <f t="shared" si="67"/>
        <v>12</v>
      </c>
      <c r="X30" s="125">
        <f t="shared" si="67"/>
        <v>12</v>
      </c>
      <c r="Y30" s="124">
        <f>IF(Y28="","",(X30+X31))</f>
        <v>12</v>
      </c>
      <c r="Z30" s="124">
        <v>11</v>
      </c>
      <c r="AA30" s="125">
        <f t="shared" ref="AA30:AC30" si="68">IF(AA28="","",(Z30+Z31))</f>
        <v>11</v>
      </c>
      <c r="AB30" s="124">
        <f t="shared" si="68"/>
        <v>11</v>
      </c>
      <c r="AC30" s="124">
        <f t="shared" si="68"/>
        <v>11</v>
      </c>
      <c r="AD30" s="124">
        <v>9</v>
      </c>
      <c r="AE30" s="125">
        <f t="shared" ref="AE30" si="69">IF(AE28="","",(AD30+AD31))</f>
        <v>11</v>
      </c>
      <c r="AF30" s="124">
        <f>IF(AF28="","",(AE30+AE31))</f>
        <v>11</v>
      </c>
      <c r="AG30" s="124">
        <v>9</v>
      </c>
      <c r="AH30" s="123">
        <f>IF(AH28="","",(AG30+AG31))</f>
        <v>11</v>
      </c>
      <c r="AI30" s="12">
        <f t="shared" ref="AI30:BC30" si="70">IF(AI28="","",(AH30+AH31))</f>
        <v>11</v>
      </c>
      <c r="AJ30" s="12">
        <f t="shared" si="70"/>
        <v>11</v>
      </c>
      <c r="AK30" s="12">
        <f t="shared" si="70"/>
        <v>11</v>
      </c>
      <c r="AL30" s="195" t="str">
        <f t="shared" si="70"/>
        <v/>
      </c>
      <c r="AM30" s="12" t="str">
        <f t="shared" si="70"/>
        <v/>
      </c>
      <c r="AN30" s="12" t="str">
        <f t="shared" si="70"/>
        <v/>
      </c>
      <c r="AO30" s="195" t="str">
        <f t="shared" si="70"/>
        <v/>
      </c>
      <c r="AP30" s="12" t="str">
        <f t="shared" si="70"/>
        <v/>
      </c>
      <c r="AQ30" s="12" t="str">
        <f t="shared" si="70"/>
        <v/>
      </c>
      <c r="AR30" s="12" t="str">
        <f t="shared" si="70"/>
        <v/>
      </c>
      <c r="AS30" s="12" t="str">
        <f t="shared" si="70"/>
        <v/>
      </c>
      <c r="AT30" s="12" t="str">
        <f t="shared" si="70"/>
        <v/>
      </c>
      <c r="AU30" s="12" t="str">
        <f t="shared" si="70"/>
        <v/>
      </c>
      <c r="AV30" s="12" t="str">
        <f t="shared" si="70"/>
        <v/>
      </c>
      <c r="AW30" s="12" t="str">
        <f t="shared" si="70"/>
        <v/>
      </c>
      <c r="AX30" s="12" t="str">
        <f t="shared" si="70"/>
        <v/>
      </c>
      <c r="AY30" s="12" t="str">
        <f t="shared" si="70"/>
        <v/>
      </c>
      <c r="AZ30" s="12" t="str">
        <f t="shared" si="70"/>
        <v/>
      </c>
      <c r="BA30" s="12" t="str">
        <f t="shared" si="70"/>
        <v/>
      </c>
      <c r="BB30" s="12" t="str">
        <f t="shared" si="70"/>
        <v/>
      </c>
      <c r="BC30" s="12" t="str">
        <f t="shared" si="70"/>
        <v/>
      </c>
    </row>
    <row r="31" spans="1:55" ht="11.25" customHeight="1" x14ac:dyDescent="0.25">
      <c r="A31" s="25" t="s">
        <v>20</v>
      </c>
      <c r="B31" s="11" t="s">
        <v>6</v>
      </c>
      <c r="C31" s="123">
        <v>1</v>
      </c>
      <c r="D31" s="124"/>
      <c r="E31" s="124"/>
      <c r="F31" s="125"/>
      <c r="G31" s="124"/>
      <c r="H31" s="124"/>
      <c r="I31" s="124">
        <v>5</v>
      </c>
      <c r="J31" s="125"/>
      <c r="K31" s="124"/>
      <c r="L31" s="124">
        <v>4</v>
      </c>
      <c r="M31" s="125"/>
      <c r="N31" s="124"/>
      <c r="O31" s="124"/>
      <c r="P31" s="125"/>
      <c r="Q31" s="124"/>
      <c r="R31" s="124"/>
      <c r="S31" s="125"/>
      <c r="T31" s="124">
        <v>2</v>
      </c>
      <c r="U31" s="125"/>
      <c r="V31" s="124"/>
      <c r="W31" s="124"/>
      <c r="X31" s="125"/>
      <c r="Y31" s="124"/>
      <c r="Z31" s="124"/>
      <c r="AA31" s="125"/>
      <c r="AB31" s="124"/>
      <c r="AC31" s="124"/>
      <c r="AD31" s="124">
        <v>2</v>
      </c>
      <c r="AE31" s="125"/>
      <c r="AF31" s="124"/>
      <c r="AG31" s="124">
        <v>2</v>
      </c>
      <c r="AH31" s="123"/>
      <c r="AI31" s="12"/>
      <c r="AJ31" s="12"/>
      <c r="AK31" s="12"/>
      <c r="AL31" s="195"/>
      <c r="AM31" s="12"/>
      <c r="AN31" s="12"/>
      <c r="AO31" s="195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</row>
    <row r="32" spans="1:55" ht="11.25" customHeight="1" x14ac:dyDescent="0.25">
      <c r="A32" s="26">
        <f>+(A35+A47+A59+A71)*100</f>
        <v>551100</v>
      </c>
      <c r="B32" s="11" t="s">
        <v>8</v>
      </c>
      <c r="C32" s="129">
        <v>1100</v>
      </c>
      <c r="D32" s="130">
        <f t="shared" ref="D32:AB32" si="71">IF(D28="","",C32)</f>
        <v>1100</v>
      </c>
      <c r="E32" s="130">
        <f t="shared" si="71"/>
        <v>1100</v>
      </c>
      <c r="F32" s="131">
        <f t="shared" si="71"/>
        <v>1100</v>
      </c>
      <c r="G32" s="130">
        <f t="shared" si="71"/>
        <v>1100</v>
      </c>
      <c r="H32" s="130">
        <f t="shared" si="71"/>
        <v>1100</v>
      </c>
      <c r="I32" s="130">
        <f t="shared" si="71"/>
        <v>1100</v>
      </c>
      <c r="J32" s="131">
        <f t="shared" si="71"/>
        <v>1100</v>
      </c>
      <c r="K32" s="130">
        <f t="shared" si="71"/>
        <v>1100</v>
      </c>
      <c r="L32" s="130">
        <f t="shared" si="71"/>
        <v>1100</v>
      </c>
      <c r="M32" s="131">
        <f t="shared" si="71"/>
        <v>1100</v>
      </c>
      <c r="N32" s="130">
        <f t="shared" si="71"/>
        <v>1100</v>
      </c>
      <c r="O32" s="130">
        <f t="shared" si="71"/>
        <v>1100</v>
      </c>
      <c r="P32" s="131">
        <f t="shared" si="71"/>
        <v>1100</v>
      </c>
      <c r="Q32" s="130">
        <f t="shared" si="71"/>
        <v>1100</v>
      </c>
      <c r="R32" s="130">
        <f t="shared" si="71"/>
        <v>1100</v>
      </c>
      <c r="S32" s="131">
        <f t="shared" si="71"/>
        <v>1100</v>
      </c>
      <c r="T32" s="130">
        <f t="shared" si="71"/>
        <v>1100</v>
      </c>
      <c r="U32" s="131">
        <f t="shared" si="71"/>
        <v>1100</v>
      </c>
      <c r="V32" s="130">
        <f t="shared" si="71"/>
        <v>1100</v>
      </c>
      <c r="W32" s="130">
        <f t="shared" si="71"/>
        <v>1100</v>
      </c>
      <c r="X32" s="131">
        <f t="shared" si="71"/>
        <v>1100</v>
      </c>
      <c r="Y32" s="130">
        <f t="shared" si="71"/>
        <v>1100</v>
      </c>
      <c r="Z32" s="130">
        <f t="shared" si="71"/>
        <v>1100</v>
      </c>
      <c r="AA32" s="131">
        <f t="shared" si="71"/>
        <v>1100</v>
      </c>
      <c r="AB32" s="130">
        <f t="shared" si="71"/>
        <v>1100</v>
      </c>
      <c r="AC32" s="130">
        <f>IF(AC28="","",AB32)</f>
        <v>1100</v>
      </c>
      <c r="AD32" s="130">
        <f t="shared" ref="AD32:AG32" si="72">IF(AD28="","",AC32)</f>
        <v>1100</v>
      </c>
      <c r="AE32" s="131">
        <f t="shared" si="72"/>
        <v>1100</v>
      </c>
      <c r="AF32" s="130">
        <f t="shared" si="72"/>
        <v>1100</v>
      </c>
      <c r="AG32" s="130">
        <f t="shared" si="72"/>
        <v>1100</v>
      </c>
      <c r="AH32" s="129">
        <f>IF(AH28="","",AG32)</f>
        <v>1100</v>
      </c>
      <c r="AI32" s="16">
        <f t="shared" ref="AI32:BC32" si="73">IF(AI28="","",AH32)</f>
        <v>1100</v>
      </c>
      <c r="AJ32" s="16">
        <f t="shared" si="73"/>
        <v>1100</v>
      </c>
      <c r="AK32" s="16">
        <f t="shared" si="73"/>
        <v>1100</v>
      </c>
      <c r="AL32" s="196" t="str">
        <f t="shared" si="73"/>
        <v/>
      </c>
      <c r="AM32" s="16" t="str">
        <f t="shared" si="73"/>
        <v/>
      </c>
      <c r="AN32" s="16" t="str">
        <f t="shared" si="73"/>
        <v/>
      </c>
      <c r="AO32" s="196" t="str">
        <f t="shared" si="73"/>
        <v/>
      </c>
      <c r="AP32" s="16" t="str">
        <f t="shared" si="73"/>
        <v/>
      </c>
      <c r="AQ32" s="16" t="str">
        <f t="shared" si="73"/>
        <v/>
      </c>
      <c r="AR32" s="16" t="str">
        <f t="shared" si="73"/>
        <v/>
      </c>
      <c r="AS32" s="16" t="str">
        <f t="shared" si="73"/>
        <v/>
      </c>
      <c r="AT32" s="16" t="str">
        <f t="shared" si="73"/>
        <v/>
      </c>
      <c r="AU32" s="16" t="str">
        <f t="shared" si="73"/>
        <v/>
      </c>
      <c r="AV32" s="16" t="str">
        <f t="shared" si="73"/>
        <v/>
      </c>
      <c r="AW32" s="16" t="str">
        <f t="shared" si="73"/>
        <v/>
      </c>
      <c r="AX32" s="16" t="str">
        <f t="shared" si="73"/>
        <v/>
      </c>
      <c r="AY32" s="16" t="str">
        <f t="shared" si="73"/>
        <v/>
      </c>
      <c r="AZ32" s="16" t="str">
        <f t="shared" si="73"/>
        <v/>
      </c>
      <c r="BA32" s="16" t="str">
        <f t="shared" si="73"/>
        <v/>
      </c>
      <c r="BB32" s="16" t="str">
        <f t="shared" si="73"/>
        <v/>
      </c>
      <c r="BC32" s="16" t="str">
        <f t="shared" si="73"/>
        <v/>
      </c>
    </row>
    <row r="33" spans="1:55" ht="11.25" customHeight="1" x14ac:dyDescent="0.2">
      <c r="A33" s="14" t="s">
        <v>9</v>
      </c>
      <c r="B33" s="17" t="s">
        <v>10</v>
      </c>
      <c r="C33" s="133" t="s">
        <v>154</v>
      </c>
      <c r="D33" s="134" t="str">
        <f t="shared" ref="D33:AB33" si="74">IF(D28="","",C33)</f>
        <v>サンリオファン</v>
      </c>
      <c r="E33" s="134" t="str">
        <f t="shared" si="74"/>
        <v>サンリオファン</v>
      </c>
      <c r="F33" s="135" t="str">
        <f t="shared" si="74"/>
        <v>サンリオファン</v>
      </c>
      <c r="G33" s="134" t="str">
        <f t="shared" si="74"/>
        <v>サンリオファン</v>
      </c>
      <c r="H33" s="134" t="str">
        <f t="shared" si="74"/>
        <v>サンリオファン</v>
      </c>
      <c r="I33" s="134" t="str">
        <f t="shared" si="74"/>
        <v>サンリオファン</v>
      </c>
      <c r="J33" s="135" t="str">
        <f t="shared" si="74"/>
        <v>サンリオファン</v>
      </c>
      <c r="K33" s="134" t="str">
        <f t="shared" si="74"/>
        <v>サンリオファン</v>
      </c>
      <c r="L33" s="134" t="str">
        <f t="shared" si="74"/>
        <v>サンリオファン</v>
      </c>
      <c r="M33" s="135" t="str">
        <f t="shared" si="74"/>
        <v>サンリオファン</v>
      </c>
      <c r="N33" s="134" t="str">
        <f t="shared" si="74"/>
        <v>サンリオファン</v>
      </c>
      <c r="O33" s="134" t="str">
        <f t="shared" si="74"/>
        <v>サンリオファン</v>
      </c>
      <c r="P33" s="135" t="str">
        <f t="shared" si="74"/>
        <v>サンリオファン</v>
      </c>
      <c r="Q33" s="134" t="str">
        <f t="shared" si="74"/>
        <v>サンリオファン</v>
      </c>
      <c r="R33" s="134" t="str">
        <f t="shared" si="74"/>
        <v>サンリオファン</v>
      </c>
      <c r="S33" s="135" t="str">
        <f t="shared" si="74"/>
        <v>サンリオファン</v>
      </c>
      <c r="T33" s="134" t="str">
        <f t="shared" si="74"/>
        <v>サンリオファン</v>
      </c>
      <c r="U33" s="135" t="str">
        <f t="shared" si="74"/>
        <v>サンリオファン</v>
      </c>
      <c r="V33" s="134" t="str">
        <f t="shared" si="74"/>
        <v>サンリオファン</v>
      </c>
      <c r="W33" s="134" t="str">
        <f t="shared" si="74"/>
        <v>サンリオファン</v>
      </c>
      <c r="X33" s="135" t="str">
        <f t="shared" si="74"/>
        <v>サンリオファン</v>
      </c>
      <c r="Y33" s="134" t="str">
        <f t="shared" si="74"/>
        <v>サンリオファン</v>
      </c>
      <c r="Z33" s="134" t="str">
        <f t="shared" si="74"/>
        <v>サンリオファン</v>
      </c>
      <c r="AA33" s="135" t="str">
        <f t="shared" si="74"/>
        <v>サンリオファン</v>
      </c>
      <c r="AB33" s="134" t="str">
        <f t="shared" si="74"/>
        <v>サンリオファン</v>
      </c>
      <c r="AC33" s="134" t="str">
        <f>IF(AC28="","",AB33)</f>
        <v>サンリオファン</v>
      </c>
      <c r="AD33" s="134" t="str">
        <f t="shared" ref="AD33:AG33" si="75">IF(AD28="","",AC33)</f>
        <v>サンリオファン</v>
      </c>
      <c r="AE33" s="135" t="str">
        <f t="shared" si="75"/>
        <v>サンリオファン</v>
      </c>
      <c r="AF33" s="134" t="str">
        <f t="shared" si="75"/>
        <v>サンリオファン</v>
      </c>
      <c r="AG33" s="134" t="str">
        <f t="shared" si="75"/>
        <v>サンリオファン</v>
      </c>
      <c r="AH33" s="133" t="str">
        <f>IF(AH28="","",AG33)</f>
        <v>サンリオファン</v>
      </c>
      <c r="AI33" s="18" t="str">
        <f t="shared" ref="AI33:BC33" si="76">IF(AI28="","",AH33)</f>
        <v>サンリオファン</v>
      </c>
      <c r="AJ33" s="18" t="str">
        <f t="shared" si="76"/>
        <v>サンリオファン</v>
      </c>
      <c r="AK33" s="18" t="str">
        <f t="shared" si="76"/>
        <v>サンリオファン</v>
      </c>
      <c r="AL33" s="197" t="str">
        <f t="shared" si="76"/>
        <v/>
      </c>
      <c r="AM33" s="18" t="str">
        <f t="shared" si="76"/>
        <v/>
      </c>
      <c r="AN33" s="18" t="str">
        <f t="shared" si="76"/>
        <v/>
      </c>
      <c r="AO33" s="197" t="str">
        <f t="shared" si="76"/>
        <v/>
      </c>
      <c r="AP33" s="18" t="str">
        <f t="shared" si="76"/>
        <v/>
      </c>
      <c r="AQ33" s="18" t="str">
        <f t="shared" si="76"/>
        <v/>
      </c>
      <c r="AR33" s="18" t="str">
        <f t="shared" si="76"/>
        <v/>
      </c>
      <c r="AS33" s="18" t="str">
        <f t="shared" si="76"/>
        <v/>
      </c>
      <c r="AT33" s="18" t="str">
        <f t="shared" si="76"/>
        <v/>
      </c>
      <c r="AU33" s="18" t="str">
        <f t="shared" si="76"/>
        <v/>
      </c>
      <c r="AV33" s="18" t="str">
        <f t="shared" si="76"/>
        <v/>
      </c>
      <c r="AW33" s="18" t="str">
        <f t="shared" si="76"/>
        <v/>
      </c>
      <c r="AX33" s="18" t="str">
        <f t="shared" si="76"/>
        <v/>
      </c>
      <c r="AY33" s="18" t="str">
        <f t="shared" si="76"/>
        <v/>
      </c>
      <c r="AZ33" s="18" t="str">
        <f t="shared" si="76"/>
        <v/>
      </c>
      <c r="BA33" s="18" t="str">
        <f t="shared" si="76"/>
        <v/>
      </c>
      <c r="BB33" s="18" t="str">
        <f t="shared" si="76"/>
        <v/>
      </c>
      <c r="BC33" s="18" t="str">
        <f t="shared" si="76"/>
        <v/>
      </c>
    </row>
    <row r="34" spans="1:55" ht="11.25" customHeight="1" x14ac:dyDescent="0.2">
      <c r="A34" s="15">
        <f>AVERAGE(C35:AS35)*30*100</f>
        <v>91941.176470588238</v>
      </c>
      <c r="B34" s="11" t="s">
        <v>12</v>
      </c>
      <c r="C34" s="123"/>
      <c r="D34" s="124"/>
      <c r="E34" s="124"/>
      <c r="F34" s="125"/>
      <c r="G34" s="124"/>
      <c r="H34" s="124"/>
      <c r="I34" s="124"/>
      <c r="J34" s="125"/>
      <c r="K34" s="124"/>
      <c r="L34" s="124"/>
      <c r="M34" s="125"/>
      <c r="N34" s="124"/>
      <c r="O34" s="124"/>
      <c r="P34" s="125"/>
      <c r="Q34" s="124"/>
      <c r="R34" s="124"/>
      <c r="S34" s="125"/>
      <c r="T34" s="124"/>
      <c r="U34" s="125"/>
      <c r="V34" s="124"/>
      <c r="W34" s="124"/>
      <c r="X34" s="125"/>
      <c r="Y34" s="124"/>
      <c r="Z34" s="124"/>
      <c r="AA34" s="125"/>
      <c r="AB34" s="124"/>
      <c r="AC34" s="124"/>
      <c r="AD34" s="124"/>
      <c r="AE34" s="125"/>
      <c r="AF34" s="124"/>
      <c r="AG34" s="124"/>
      <c r="AH34" s="123"/>
      <c r="AI34" s="12"/>
      <c r="AJ34" s="12"/>
      <c r="AK34" s="12"/>
      <c r="AL34" s="195"/>
      <c r="AM34" s="12"/>
      <c r="AN34" s="12"/>
      <c r="AO34" s="195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</row>
    <row r="35" spans="1:55" ht="11.25" customHeight="1" x14ac:dyDescent="0.2">
      <c r="A35" s="15">
        <f t="shared" ref="A35:A38" si="77">SUM(C35:AS35)</f>
        <v>1042</v>
      </c>
      <c r="B35" s="19" t="s">
        <v>13</v>
      </c>
      <c r="C35" s="123"/>
      <c r="D35" s="137">
        <f t="shared" ref="D35:AG36" si="78">IF(D28="","",D28-C28)</f>
        <v>0</v>
      </c>
      <c r="E35" s="137">
        <f t="shared" si="78"/>
        <v>122</v>
      </c>
      <c r="F35" s="125">
        <f t="shared" si="78"/>
        <v>0</v>
      </c>
      <c r="G35" s="137">
        <f t="shared" si="78"/>
        <v>0</v>
      </c>
      <c r="H35" s="137">
        <f t="shared" si="78"/>
        <v>0</v>
      </c>
      <c r="I35" s="137">
        <f t="shared" si="78"/>
        <v>121</v>
      </c>
      <c r="J35" s="125">
        <f t="shared" si="78"/>
        <v>0</v>
      </c>
      <c r="K35" s="137">
        <f t="shared" si="78"/>
        <v>0</v>
      </c>
      <c r="L35" s="137">
        <f t="shared" si="78"/>
        <v>66</v>
      </c>
      <c r="M35" s="125">
        <f t="shared" si="78"/>
        <v>0</v>
      </c>
      <c r="N35" s="137">
        <f t="shared" si="78"/>
        <v>0</v>
      </c>
      <c r="O35" s="137">
        <f t="shared" si="78"/>
        <v>75</v>
      </c>
      <c r="P35" s="125">
        <f t="shared" si="78"/>
        <v>0</v>
      </c>
      <c r="Q35" s="137">
        <f t="shared" si="78"/>
        <v>0</v>
      </c>
      <c r="R35" s="124">
        <f t="shared" si="78"/>
        <v>82</v>
      </c>
      <c r="S35" s="125">
        <f t="shared" si="78"/>
        <v>0</v>
      </c>
      <c r="T35" s="137">
        <f t="shared" si="78"/>
        <v>185</v>
      </c>
      <c r="U35" s="125">
        <f t="shared" si="78"/>
        <v>0</v>
      </c>
      <c r="V35" s="137">
        <f t="shared" si="78"/>
        <v>0</v>
      </c>
      <c r="W35" s="137">
        <f t="shared" si="78"/>
        <v>50</v>
      </c>
      <c r="X35" s="125">
        <f t="shared" si="78"/>
        <v>0</v>
      </c>
      <c r="Y35" s="137">
        <f t="shared" si="78"/>
        <v>0</v>
      </c>
      <c r="Z35" s="137">
        <f t="shared" si="78"/>
        <v>60</v>
      </c>
      <c r="AA35" s="125">
        <f t="shared" si="78"/>
        <v>0</v>
      </c>
      <c r="AB35" s="137">
        <f t="shared" si="78"/>
        <v>0</v>
      </c>
      <c r="AC35" s="137">
        <f t="shared" si="78"/>
        <v>0</v>
      </c>
      <c r="AD35" s="137">
        <f t="shared" si="78"/>
        <v>124</v>
      </c>
      <c r="AE35" s="125">
        <f t="shared" si="78"/>
        <v>0</v>
      </c>
      <c r="AF35" s="137">
        <f t="shared" si="78"/>
        <v>0</v>
      </c>
      <c r="AG35" s="137">
        <f t="shared" si="78"/>
        <v>62</v>
      </c>
      <c r="AH35" s="123">
        <f>IF(AH28="","",AH28-AG28)</f>
        <v>0</v>
      </c>
      <c r="AI35" s="20">
        <f t="shared" ref="AI35:BC36" si="79">IF(AI28="","",AI28-AH28)</f>
        <v>0</v>
      </c>
      <c r="AJ35" s="20">
        <f t="shared" si="79"/>
        <v>0</v>
      </c>
      <c r="AK35" s="20">
        <f t="shared" si="79"/>
        <v>95</v>
      </c>
      <c r="AL35" s="195" t="str">
        <f t="shared" si="79"/>
        <v/>
      </c>
      <c r="AM35" s="20" t="str">
        <f t="shared" si="79"/>
        <v/>
      </c>
      <c r="AN35" s="20" t="str">
        <f t="shared" si="79"/>
        <v/>
      </c>
      <c r="AO35" s="195" t="str">
        <f t="shared" si="79"/>
        <v/>
      </c>
      <c r="AP35" s="20" t="str">
        <f t="shared" si="79"/>
        <v/>
      </c>
      <c r="AQ35" s="20" t="str">
        <f t="shared" si="79"/>
        <v/>
      </c>
      <c r="AR35" s="20" t="str">
        <f t="shared" si="79"/>
        <v/>
      </c>
      <c r="AS35" s="20" t="str">
        <f t="shared" si="79"/>
        <v/>
      </c>
      <c r="AT35" s="20" t="str">
        <f t="shared" si="79"/>
        <v/>
      </c>
      <c r="AU35" s="20" t="str">
        <f t="shared" si="79"/>
        <v/>
      </c>
      <c r="AV35" s="20" t="str">
        <f t="shared" si="79"/>
        <v/>
      </c>
      <c r="AW35" s="20" t="str">
        <f t="shared" si="79"/>
        <v/>
      </c>
      <c r="AX35" s="20" t="str">
        <f t="shared" si="79"/>
        <v/>
      </c>
      <c r="AY35" s="20" t="str">
        <f t="shared" si="79"/>
        <v/>
      </c>
      <c r="AZ35" s="20" t="str">
        <f t="shared" si="79"/>
        <v/>
      </c>
      <c r="BA35" s="20" t="str">
        <f t="shared" si="79"/>
        <v/>
      </c>
      <c r="BB35" s="20" t="str">
        <f t="shared" si="79"/>
        <v/>
      </c>
      <c r="BC35" s="20" t="str">
        <f t="shared" si="79"/>
        <v/>
      </c>
    </row>
    <row r="36" spans="1:55" ht="11.25" customHeight="1" x14ac:dyDescent="0.2">
      <c r="A36" s="15">
        <f t="shared" si="77"/>
        <v>35</v>
      </c>
      <c r="B36" s="19" t="s">
        <v>14</v>
      </c>
      <c r="C36" s="123">
        <v>3</v>
      </c>
      <c r="D36" s="137">
        <f t="shared" si="78"/>
        <v>0</v>
      </c>
      <c r="E36" s="137">
        <f t="shared" si="78"/>
        <v>5</v>
      </c>
      <c r="F36" s="125">
        <f t="shared" si="78"/>
        <v>0</v>
      </c>
      <c r="G36" s="137">
        <f t="shared" si="78"/>
        <v>0</v>
      </c>
      <c r="H36" s="137">
        <f t="shared" si="78"/>
        <v>0</v>
      </c>
      <c r="I36" s="137">
        <f t="shared" si="78"/>
        <v>5</v>
      </c>
      <c r="J36" s="125">
        <f t="shared" si="78"/>
        <v>0</v>
      </c>
      <c r="K36" s="137">
        <f t="shared" si="78"/>
        <v>0</v>
      </c>
      <c r="L36" s="137">
        <f t="shared" si="78"/>
        <v>3</v>
      </c>
      <c r="M36" s="125">
        <f t="shared" si="78"/>
        <v>0</v>
      </c>
      <c r="N36" s="137">
        <f t="shared" si="78"/>
        <v>0</v>
      </c>
      <c r="O36" s="137">
        <f t="shared" si="78"/>
        <v>5</v>
      </c>
      <c r="P36" s="125">
        <f t="shared" si="78"/>
        <v>0</v>
      </c>
      <c r="Q36" s="137">
        <f t="shared" si="78"/>
        <v>0</v>
      </c>
      <c r="R36" s="124">
        <f t="shared" si="78"/>
        <v>4</v>
      </c>
      <c r="S36" s="125">
        <f t="shared" si="78"/>
        <v>0</v>
      </c>
      <c r="T36" s="137">
        <f t="shared" si="78"/>
        <v>1</v>
      </c>
      <c r="U36" s="125">
        <f t="shared" si="78"/>
        <v>0</v>
      </c>
      <c r="V36" s="137">
        <f t="shared" si="78"/>
        <v>0</v>
      </c>
      <c r="W36" s="137">
        <f t="shared" si="78"/>
        <v>1</v>
      </c>
      <c r="X36" s="125">
        <f t="shared" si="78"/>
        <v>0</v>
      </c>
      <c r="Y36" s="137">
        <f t="shared" si="78"/>
        <v>0</v>
      </c>
      <c r="Z36" s="137">
        <f t="shared" si="78"/>
        <v>2</v>
      </c>
      <c r="AA36" s="125">
        <f t="shared" si="78"/>
        <v>0</v>
      </c>
      <c r="AB36" s="137">
        <f t="shared" si="78"/>
        <v>0</v>
      </c>
      <c r="AC36" s="137">
        <f t="shared" si="78"/>
        <v>0</v>
      </c>
      <c r="AD36" s="137">
        <f t="shared" si="78"/>
        <v>2</v>
      </c>
      <c r="AE36" s="125">
        <f t="shared" si="78"/>
        <v>0</v>
      </c>
      <c r="AF36" s="137">
        <f t="shared" si="78"/>
        <v>0</v>
      </c>
      <c r="AG36" s="137">
        <f t="shared" si="78"/>
        <v>4</v>
      </c>
      <c r="AH36" s="123">
        <f>IF(AH29="","",AH29-AG29)</f>
        <v>0</v>
      </c>
      <c r="AI36" s="20">
        <f t="shared" si="79"/>
        <v>0</v>
      </c>
      <c r="AJ36" s="20">
        <f t="shared" si="79"/>
        <v>0</v>
      </c>
      <c r="AK36" s="20">
        <f t="shared" si="79"/>
        <v>0</v>
      </c>
      <c r="AL36" s="195" t="str">
        <f t="shared" si="79"/>
        <v/>
      </c>
      <c r="AM36" s="20" t="str">
        <f t="shared" si="79"/>
        <v/>
      </c>
      <c r="AN36" s="20" t="str">
        <f t="shared" si="79"/>
        <v/>
      </c>
      <c r="AO36" s="195" t="str">
        <f t="shared" si="79"/>
        <v/>
      </c>
      <c r="AP36" s="20" t="str">
        <f t="shared" si="79"/>
        <v/>
      </c>
      <c r="AQ36" s="20" t="str">
        <f t="shared" si="79"/>
        <v/>
      </c>
      <c r="AR36" s="20" t="str">
        <f t="shared" si="79"/>
        <v/>
      </c>
      <c r="AS36" s="20" t="str">
        <f t="shared" si="79"/>
        <v/>
      </c>
      <c r="AT36" s="20" t="str">
        <f t="shared" si="79"/>
        <v/>
      </c>
      <c r="AU36" s="20" t="str">
        <f t="shared" si="79"/>
        <v/>
      </c>
      <c r="AV36" s="20" t="str">
        <f t="shared" si="79"/>
        <v/>
      </c>
      <c r="AW36" s="20" t="str">
        <f t="shared" si="79"/>
        <v/>
      </c>
      <c r="AX36" s="20" t="str">
        <f t="shared" si="79"/>
        <v/>
      </c>
      <c r="AY36" s="20" t="str">
        <f t="shared" si="79"/>
        <v/>
      </c>
      <c r="AZ36" s="20" t="str">
        <f t="shared" si="79"/>
        <v/>
      </c>
      <c r="BA36" s="20" t="str">
        <f t="shared" si="79"/>
        <v/>
      </c>
      <c r="BB36" s="20" t="str">
        <f t="shared" si="79"/>
        <v/>
      </c>
      <c r="BC36" s="20" t="str">
        <f t="shared" si="79"/>
        <v/>
      </c>
    </row>
    <row r="37" spans="1:55" ht="11.25" customHeight="1" x14ac:dyDescent="0.2">
      <c r="A37" s="15">
        <f t="shared" si="77"/>
        <v>17</v>
      </c>
      <c r="B37" s="19" t="s">
        <v>15</v>
      </c>
      <c r="C37" s="123">
        <v>1</v>
      </c>
      <c r="D37" s="137">
        <f t="shared" ref="D37:AG37" si="80">IF(D30="","",C30+C31-D30)</f>
        <v>0</v>
      </c>
      <c r="E37" s="137">
        <f t="shared" si="80"/>
        <v>3</v>
      </c>
      <c r="F37" s="125">
        <f t="shared" si="80"/>
        <v>0</v>
      </c>
      <c r="G37" s="137">
        <f t="shared" si="80"/>
        <v>0</v>
      </c>
      <c r="H37" s="137">
        <f t="shared" si="80"/>
        <v>0</v>
      </c>
      <c r="I37" s="137">
        <f t="shared" si="80"/>
        <v>2</v>
      </c>
      <c r="J37" s="125">
        <f t="shared" si="80"/>
        <v>0</v>
      </c>
      <c r="K37" s="137">
        <f t="shared" si="80"/>
        <v>0</v>
      </c>
      <c r="L37" s="137">
        <f t="shared" si="80"/>
        <v>2</v>
      </c>
      <c r="M37" s="125">
        <f t="shared" si="80"/>
        <v>0</v>
      </c>
      <c r="N37" s="137">
        <f t="shared" si="80"/>
        <v>0</v>
      </c>
      <c r="O37" s="137">
        <f t="shared" si="80"/>
        <v>2</v>
      </c>
      <c r="P37" s="125">
        <f t="shared" si="80"/>
        <v>0</v>
      </c>
      <c r="Q37" s="137">
        <f t="shared" si="80"/>
        <v>0</v>
      </c>
      <c r="R37" s="124">
        <f t="shared" si="80"/>
        <v>1</v>
      </c>
      <c r="S37" s="125">
        <f t="shared" si="80"/>
        <v>0</v>
      </c>
      <c r="T37" s="137">
        <f t="shared" si="80"/>
        <v>1</v>
      </c>
      <c r="U37" s="125">
        <f t="shared" si="80"/>
        <v>0</v>
      </c>
      <c r="V37" s="137">
        <f t="shared" si="80"/>
        <v>0</v>
      </c>
      <c r="W37" s="137">
        <f t="shared" si="80"/>
        <v>0</v>
      </c>
      <c r="X37" s="125">
        <f t="shared" si="80"/>
        <v>0</v>
      </c>
      <c r="Y37" s="137">
        <f t="shared" si="80"/>
        <v>0</v>
      </c>
      <c r="Z37" s="137">
        <f t="shared" si="80"/>
        <v>1</v>
      </c>
      <c r="AA37" s="125">
        <f t="shared" si="80"/>
        <v>0</v>
      </c>
      <c r="AB37" s="137">
        <f t="shared" si="80"/>
        <v>0</v>
      </c>
      <c r="AC37" s="137">
        <f t="shared" si="80"/>
        <v>0</v>
      </c>
      <c r="AD37" s="137">
        <f t="shared" si="80"/>
        <v>2</v>
      </c>
      <c r="AE37" s="125">
        <f t="shared" si="80"/>
        <v>0</v>
      </c>
      <c r="AF37" s="137">
        <f t="shared" si="80"/>
        <v>0</v>
      </c>
      <c r="AG37" s="137">
        <f t="shared" si="80"/>
        <v>2</v>
      </c>
      <c r="AH37" s="123">
        <f>IF(AH30="","",AG30+AG31-AH30)</f>
        <v>0</v>
      </c>
      <c r="AI37" s="20">
        <f t="shared" ref="AI37:BC37" si="81">IF(AI30="","",AH30+AH31-AI30)</f>
        <v>0</v>
      </c>
      <c r="AJ37" s="20">
        <f t="shared" si="81"/>
        <v>0</v>
      </c>
      <c r="AK37" s="20">
        <f t="shared" si="81"/>
        <v>0</v>
      </c>
      <c r="AL37" s="195" t="str">
        <f t="shared" si="81"/>
        <v/>
      </c>
      <c r="AM37" s="20" t="str">
        <f t="shared" si="81"/>
        <v/>
      </c>
      <c r="AN37" s="20" t="str">
        <f t="shared" si="81"/>
        <v/>
      </c>
      <c r="AO37" s="195" t="str">
        <f t="shared" si="81"/>
        <v/>
      </c>
      <c r="AP37" s="20" t="str">
        <f t="shared" si="81"/>
        <v/>
      </c>
      <c r="AQ37" s="20" t="str">
        <f t="shared" si="81"/>
        <v/>
      </c>
      <c r="AR37" s="20" t="str">
        <f t="shared" si="81"/>
        <v/>
      </c>
      <c r="AS37" s="20" t="str">
        <f t="shared" si="81"/>
        <v/>
      </c>
      <c r="AT37" s="20" t="str">
        <f t="shared" si="81"/>
        <v/>
      </c>
      <c r="AU37" s="20" t="str">
        <f t="shared" si="81"/>
        <v/>
      </c>
      <c r="AV37" s="20" t="str">
        <f t="shared" si="81"/>
        <v/>
      </c>
      <c r="AW37" s="20" t="str">
        <f t="shared" si="81"/>
        <v/>
      </c>
      <c r="AX37" s="20" t="str">
        <f t="shared" si="81"/>
        <v/>
      </c>
      <c r="AY37" s="20" t="str">
        <f t="shared" si="81"/>
        <v/>
      </c>
      <c r="AZ37" s="20" t="str">
        <f t="shared" si="81"/>
        <v/>
      </c>
      <c r="BA37" s="20" t="str">
        <f t="shared" si="81"/>
        <v/>
      </c>
      <c r="BB37" s="20" t="str">
        <f t="shared" si="81"/>
        <v/>
      </c>
      <c r="BC37" s="20" t="str">
        <f t="shared" si="81"/>
        <v/>
      </c>
    </row>
    <row r="38" spans="1:55" ht="11.25" customHeight="1" x14ac:dyDescent="0.2">
      <c r="A38" s="15">
        <f t="shared" si="77"/>
        <v>18700</v>
      </c>
      <c r="B38" s="19" t="s">
        <v>16</v>
      </c>
      <c r="C38" s="123">
        <v>1100</v>
      </c>
      <c r="D38" s="137">
        <f t="shared" ref="D38:BC38" si="82">IF(D28="","",D37*D32)</f>
        <v>0</v>
      </c>
      <c r="E38" s="137">
        <f t="shared" si="82"/>
        <v>3300</v>
      </c>
      <c r="F38" s="125">
        <f t="shared" si="82"/>
        <v>0</v>
      </c>
      <c r="G38" s="137">
        <f t="shared" si="82"/>
        <v>0</v>
      </c>
      <c r="H38" s="137">
        <f t="shared" si="82"/>
        <v>0</v>
      </c>
      <c r="I38" s="137">
        <f t="shared" si="82"/>
        <v>2200</v>
      </c>
      <c r="J38" s="125">
        <f t="shared" si="82"/>
        <v>0</v>
      </c>
      <c r="K38" s="137">
        <f t="shared" si="82"/>
        <v>0</v>
      </c>
      <c r="L38" s="137">
        <f t="shared" si="82"/>
        <v>2200</v>
      </c>
      <c r="M38" s="125">
        <f t="shared" si="82"/>
        <v>0</v>
      </c>
      <c r="N38" s="137">
        <f t="shared" si="82"/>
        <v>0</v>
      </c>
      <c r="O38" s="137">
        <f t="shared" si="82"/>
        <v>2200</v>
      </c>
      <c r="P38" s="125">
        <f t="shared" si="82"/>
        <v>0</v>
      </c>
      <c r="Q38" s="137">
        <f t="shared" si="82"/>
        <v>0</v>
      </c>
      <c r="R38" s="124">
        <f t="shared" si="82"/>
        <v>1100</v>
      </c>
      <c r="S38" s="125">
        <f t="shared" si="82"/>
        <v>0</v>
      </c>
      <c r="T38" s="137">
        <f t="shared" si="82"/>
        <v>1100</v>
      </c>
      <c r="U38" s="125">
        <f t="shared" si="82"/>
        <v>0</v>
      </c>
      <c r="V38" s="137">
        <f t="shared" si="82"/>
        <v>0</v>
      </c>
      <c r="W38" s="137">
        <f t="shared" si="82"/>
        <v>0</v>
      </c>
      <c r="X38" s="125">
        <f t="shared" si="82"/>
        <v>0</v>
      </c>
      <c r="Y38" s="137">
        <f t="shared" si="82"/>
        <v>0</v>
      </c>
      <c r="Z38" s="137">
        <f t="shared" si="82"/>
        <v>1100</v>
      </c>
      <c r="AA38" s="125">
        <f t="shared" si="82"/>
        <v>0</v>
      </c>
      <c r="AB38" s="137">
        <f t="shared" si="82"/>
        <v>0</v>
      </c>
      <c r="AC38" s="137">
        <f t="shared" si="82"/>
        <v>0</v>
      </c>
      <c r="AD38" s="137">
        <f t="shared" si="82"/>
        <v>2200</v>
      </c>
      <c r="AE38" s="125">
        <f t="shared" si="82"/>
        <v>0</v>
      </c>
      <c r="AF38" s="137">
        <f t="shared" si="82"/>
        <v>0</v>
      </c>
      <c r="AG38" s="137">
        <f t="shared" si="82"/>
        <v>2200</v>
      </c>
      <c r="AH38" s="123">
        <f>IF(AH28="","",AH37*AH32)</f>
        <v>0</v>
      </c>
      <c r="AI38" s="20">
        <f t="shared" si="82"/>
        <v>0</v>
      </c>
      <c r="AJ38" s="20">
        <f t="shared" si="82"/>
        <v>0</v>
      </c>
      <c r="AK38" s="20">
        <f t="shared" si="82"/>
        <v>0</v>
      </c>
      <c r="AL38" s="195" t="str">
        <f t="shared" si="82"/>
        <v/>
      </c>
      <c r="AM38" s="20" t="str">
        <f t="shared" si="82"/>
        <v/>
      </c>
      <c r="AN38" s="20" t="str">
        <f t="shared" si="82"/>
        <v/>
      </c>
      <c r="AO38" s="195" t="str">
        <f t="shared" si="82"/>
        <v/>
      </c>
      <c r="AP38" s="20" t="str">
        <f t="shared" si="82"/>
        <v/>
      </c>
      <c r="AQ38" s="20" t="str">
        <f t="shared" si="82"/>
        <v/>
      </c>
      <c r="AR38" s="20" t="str">
        <f t="shared" si="82"/>
        <v/>
      </c>
      <c r="AS38" s="20" t="str">
        <f t="shared" si="82"/>
        <v/>
      </c>
      <c r="AT38" s="20" t="str">
        <f t="shared" si="82"/>
        <v/>
      </c>
      <c r="AU38" s="20" t="str">
        <f t="shared" si="82"/>
        <v/>
      </c>
      <c r="AV38" s="20" t="str">
        <f t="shared" si="82"/>
        <v/>
      </c>
      <c r="AW38" s="20" t="str">
        <f t="shared" si="82"/>
        <v/>
      </c>
      <c r="AX38" s="20" t="str">
        <f t="shared" si="82"/>
        <v/>
      </c>
      <c r="AY38" s="20" t="str">
        <f t="shared" si="82"/>
        <v/>
      </c>
      <c r="AZ38" s="20" t="str">
        <f t="shared" si="82"/>
        <v/>
      </c>
      <c r="BA38" s="20" t="str">
        <f t="shared" si="82"/>
        <v/>
      </c>
      <c r="BB38" s="20" t="str">
        <f t="shared" si="82"/>
        <v/>
      </c>
      <c r="BC38" s="20" t="str">
        <f t="shared" si="82"/>
        <v/>
      </c>
    </row>
    <row r="39" spans="1:55" ht="11.25" customHeight="1" thickBot="1" x14ac:dyDescent="0.25">
      <c r="A39" s="21">
        <f>IF(A38="","",A38/(A35*100))</f>
        <v>0.17946257197696738</v>
      </c>
      <c r="B39" s="19" t="s">
        <v>17</v>
      </c>
      <c r="C39" s="146">
        <v>0.21153846153846154</v>
      </c>
      <c r="D39" s="147" t="str">
        <f t="shared" ref="D39:BC39" si="83">IF(D38="","",IF(D38=0,"",D38/(D35*100)))</f>
        <v/>
      </c>
      <c r="E39" s="147">
        <f t="shared" si="83"/>
        <v>0.27049180327868855</v>
      </c>
      <c r="F39" s="148" t="str">
        <f t="shared" si="83"/>
        <v/>
      </c>
      <c r="G39" s="147" t="str">
        <f t="shared" si="83"/>
        <v/>
      </c>
      <c r="H39" s="147" t="str">
        <f t="shared" si="83"/>
        <v/>
      </c>
      <c r="I39" s="147">
        <f t="shared" si="83"/>
        <v>0.18181818181818182</v>
      </c>
      <c r="J39" s="148" t="str">
        <f t="shared" si="83"/>
        <v/>
      </c>
      <c r="K39" s="147" t="str">
        <f t="shared" si="83"/>
        <v/>
      </c>
      <c r="L39" s="147">
        <f t="shared" si="83"/>
        <v>0.33333333333333331</v>
      </c>
      <c r="M39" s="148" t="str">
        <f t="shared" si="83"/>
        <v/>
      </c>
      <c r="N39" s="147" t="str">
        <f t="shared" si="83"/>
        <v/>
      </c>
      <c r="O39" s="147">
        <f t="shared" si="83"/>
        <v>0.29333333333333333</v>
      </c>
      <c r="P39" s="148" t="str">
        <f t="shared" si="83"/>
        <v/>
      </c>
      <c r="Q39" s="147" t="str">
        <f t="shared" si="83"/>
        <v/>
      </c>
      <c r="R39" s="193">
        <f t="shared" si="83"/>
        <v>0.13414634146341464</v>
      </c>
      <c r="S39" s="148" t="str">
        <f t="shared" si="83"/>
        <v/>
      </c>
      <c r="T39" s="147">
        <f t="shared" si="83"/>
        <v>5.9459459459459463E-2</v>
      </c>
      <c r="U39" s="148" t="str">
        <f t="shared" si="83"/>
        <v/>
      </c>
      <c r="V39" s="147" t="str">
        <f t="shared" si="83"/>
        <v/>
      </c>
      <c r="W39" s="147" t="str">
        <f t="shared" si="83"/>
        <v/>
      </c>
      <c r="X39" s="148" t="str">
        <f t="shared" si="83"/>
        <v/>
      </c>
      <c r="Y39" s="147" t="str">
        <f t="shared" si="83"/>
        <v/>
      </c>
      <c r="Z39" s="147">
        <f t="shared" si="83"/>
        <v>0.18333333333333332</v>
      </c>
      <c r="AA39" s="148" t="str">
        <f t="shared" si="83"/>
        <v/>
      </c>
      <c r="AB39" s="147" t="str">
        <f t="shared" si="83"/>
        <v/>
      </c>
      <c r="AC39" s="147" t="str">
        <f t="shared" si="83"/>
        <v/>
      </c>
      <c r="AD39" s="147">
        <f t="shared" si="83"/>
        <v>0.17741935483870969</v>
      </c>
      <c r="AE39" s="148" t="str">
        <f t="shared" si="83"/>
        <v/>
      </c>
      <c r="AF39" s="147" t="str">
        <f t="shared" si="83"/>
        <v/>
      </c>
      <c r="AG39" s="147">
        <f t="shared" si="83"/>
        <v>0.35483870967741937</v>
      </c>
      <c r="AH39" s="146" t="str">
        <f>IF(AH38="","",IF(AH38=0,"",AH38/(AH35*100)))</f>
        <v/>
      </c>
      <c r="AI39" s="27" t="str">
        <f t="shared" si="83"/>
        <v/>
      </c>
      <c r="AJ39" s="27" t="str">
        <f t="shared" si="83"/>
        <v/>
      </c>
      <c r="AK39" s="27" t="str">
        <f t="shared" si="83"/>
        <v/>
      </c>
      <c r="AL39" s="199" t="str">
        <f t="shared" si="83"/>
        <v/>
      </c>
      <c r="AM39" s="27" t="str">
        <f t="shared" si="83"/>
        <v/>
      </c>
      <c r="AN39" s="27" t="str">
        <f t="shared" si="83"/>
        <v/>
      </c>
      <c r="AO39" s="199" t="str">
        <f t="shared" si="83"/>
        <v/>
      </c>
      <c r="AP39" s="27" t="str">
        <f t="shared" si="83"/>
        <v/>
      </c>
      <c r="AQ39" s="27" t="str">
        <f t="shared" si="83"/>
        <v/>
      </c>
      <c r="AR39" s="27" t="str">
        <f t="shared" si="83"/>
        <v/>
      </c>
      <c r="AS39" s="27" t="str">
        <f t="shared" si="83"/>
        <v/>
      </c>
      <c r="AT39" s="27" t="str">
        <f t="shared" si="83"/>
        <v/>
      </c>
      <c r="AU39" s="27" t="str">
        <f t="shared" si="83"/>
        <v/>
      </c>
      <c r="AV39" s="27" t="str">
        <f t="shared" si="83"/>
        <v/>
      </c>
      <c r="AW39" s="27" t="str">
        <f t="shared" si="83"/>
        <v/>
      </c>
      <c r="AX39" s="27" t="str">
        <f t="shared" si="83"/>
        <v/>
      </c>
      <c r="AY39" s="27" t="str">
        <f t="shared" si="83"/>
        <v/>
      </c>
      <c r="AZ39" s="27" t="str">
        <f t="shared" si="83"/>
        <v/>
      </c>
      <c r="BA39" s="27" t="str">
        <f t="shared" si="83"/>
        <v/>
      </c>
      <c r="BB39" s="27" t="str">
        <f t="shared" si="83"/>
        <v/>
      </c>
      <c r="BC39" s="27" t="str">
        <f t="shared" si="83"/>
        <v/>
      </c>
    </row>
    <row r="40" spans="1:55" ht="11.25" customHeight="1" x14ac:dyDescent="0.2">
      <c r="A40" s="28" t="s">
        <v>1</v>
      </c>
      <c r="B40" s="29" t="s">
        <v>2</v>
      </c>
      <c r="C40" s="129">
        <v>20828</v>
      </c>
      <c r="D40" s="130">
        <f t="shared" ref="D40:D41" si="84">IF(D$16="","",C40)</f>
        <v>20828</v>
      </c>
      <c r="E40" s="130">
        <v>20925</v>
      </c>
      <c r="F40" s="131">
        <f t="shared" ref="F40:F41" si="85">IF(F$16="","",E40)</f>
        <v>20925</v>
      </c>
      <c r="G40" s="130">
        <f>IF(G$16="","",F40)</f>
        <v>20925</v>
      </c>
      <c r="H40" s="130">
        <f t="shared" ref="H40:H41" si="86">IF(H$16="","",G40)</f>
        <v>20925</v>
      </c>
      <c r="I40" s="130">
        <v>20982</v>
      </c>
      <c r="J40" s="131">
        <f t="shared" ref="J40:K41" si="87">IF(J$16="","",I40)</f>
        <v>20982</v>
      </c>
      <c r="K40" s="130">
        <f t="shared" si="87"/>
        <v>20982</v>
      </c>
      <c r="L40" s="130">
        <v>21172</v>
      </c>
      <c r="M40" s="131">
        <f t="shared" ref="M40:M41" si="88">IF(M$16="","",L40)</f>
        <v>21172</v>
      </c>
      <c r="N40" s="130">
        <f>IF(N$16="","",M40)</f>
        <v>21172</v>
      </c>
      <c r="O40" s="130">
        <v>21331</v>
      </c>
      <c r="P40" s="131">
        <f t="shared" ref="P40:Q41" si="89">IF(P$16="","",O40)</f>
        <v>21331</v>
      </c>
      <c r="Q40" s="130">
        <f t="shared" si="89"/>
        <v>21331</v>
      </c>
      <c r="R40" s="130">
        <v>21428</v>
      </c>
      <c r="S40" s="131">
        <f t="shared" ref="S40:S41" si="90">IF(S$16="","",R40)</f>
        <v>21428</v>
      </c>
      <c r="T40" s="130">
        <v>21500</v>
      </c>
      <c r="U40" s="131">
        <f>IF(U$16="","",T40)</f>
        <v>21500</v>
      </c>
      <c r="V40" s="130">
        <f t="shared" ref="V40:V41" si="91">IF(V$16="","",U40)</f>
        <v>21500</v>
      </c>
      <c r="W40" s="130">
        <v>21578</v>
      </c>
      <c r="X40" s="131">
        <f t="shared" ref="X40:X41" si="92">IF(X$16="","",W40)</f>
        <v>21578</v>
      </c>
      <c r="Y40" s="130">
        <f>IF(Y$16="","",X40)</f>
        <v>21578</v>
      </c>
      <c r="Z40" s="130">
        <v>21804</v>
      </c>
      <c r="AA40" s="131">
        <f t="shared" ref="AA40:AA41" si="93">IF(AA$16="","",Z40)</f>
        <v>21804</v>
      </c>
      <c r="AB40" s="130">
        <f>IF(AB$16="","",AA40)</f>
        <v>21804</v>
      </c>
      <c r="AC40" s="130">
        <f t="shared" ref="AC40:AC41" si="94">IF(AC$16="","",AB40)</f>
        <v>21804</v>
      </c>
      <c r="AD40" s="130">
        <v>21844</v>
      </c>
      <c r="AE40" s="131">
        <f t="shared" ref="AE40:AE41" si="95">IF(AE$16="","",AD40)</f>
        <v>21844</v>
      </c>
      <c r="AF40" s="130">
        <f>IF(AF$16="","",AE40)</f>
        <v>21844</v>
      </c>
      <c r="AG40" s="130">
        <v>21919</v>
      </c>
      <c r="AH40" s="129">
        <f>IF(AH$16="","",AG40)</f>
        <v>21919</v>
      </c>
      <c r="AI40" s="16">
        <f t="shared" ref="AI40:AJ41" si="96">IF(AI$16="","",AH40)</f>
        <v>21919</v>
      </c>
      <c r="AJ40" s="16">
        <f t="shared" si="96"/>
        <v>21919</v>
      </c>
      <c r="AK40" s="16">
        <v>22145</v>
      </c>
      <c r="AL40" s="196" t="str">
        <f t="shared" ref="AL40:BA41" si="97">IF(AL$16="","",AK40)</f>
        <v/>
      </c>
      <c r="AM40" s="16" t="str">
        <f t="shared" si="97"/>
        <v/>
      </c>
      <c r="AN40" s="16" t="str">
        <f t="shared" si="97"/>
        <v/>
      </c>
      <c r="AO40" s="196" t="str">
        <f t="shared" si="97"/>
        <v/>
      </c>
      <c r="AP40" s="16" t="str">
        <f t="shared" si="97"/>
        <v/>
      </c>
      <c r="AQ40" s="16" t="str">
        <f t="shared" si="97"/>
        <v/>
      </c>
      <c r="AR40" s="16" t="str">
        <f t="shared" si="97"/>
        <v/>
      </c>
      <c r="AS40" s="16" t="str">
        <f t="shared" si="97"/>
        <v/>
      </c>
      <c r="AT40" s="16" t="str">
        <f t="shared" si="97"/>
        <v/>
      </c>
      <c r="AU40" s="16" t="str">
        <f t="shared" si="97"/>
        <v/>
      </c>
      <c r="AV40" s="16" t="str">
        <f t="shared" si="97"/>
        <v/>
      </c>
      <c r="AW40" s="16" t="str">
        <f t="shared" si="97"/>
        <v/>
      </c>
      <c r="AX40" s="16" t="str">
        <f t="shared" si="97"/>
        <v/>
      </c>
      <c r="AY40" s="16" t="str">
        <f t="shared" si="97"/>
        <v/>
      </c>
      <c r="AZ40" s="16" t="str">
        <f t="shared" si="97"/>
        <v/>
      </c>
      <c r="BA40" s="16" t="str">
        <f t="shared" si="97"/>
        <v/>
      </c>
      <c r="BB40" s="16" t="str">
        <f t="shared" ref="BB40:BC41" si="98">IF(BB$16="","",BA40)</f>
        <v/>
      </c>
      <c r="BC40" s="16" t="str">
        <f t="shared" si="98"/>
        <v/>
      </c>
    </row>
    <row r="41" spans="1:55" ht="11.25" customHeight="1" x14ac:dyDescent="0.2">
      <c r="A41" s="10" t="s">
        <v>19</v>
      </c>
      <c r="B41" s="11" t="s">
        <v>4</v>
      </c>
      <c r="C41" s="123">
        <v>962</v>
      </c>
      <c r="D41" s="124">
        <f t="shared" si="84"/>
        <v>962</v>
      </c>
      <c r="E41" s="124">
        <v>965</v>
      </c>
      <c r="F41" s="125">
        <f t="shared" si="85"/>
        <v>965</v>
      </c>
      <c r="G41" s="124">
        <f>IF(G$16="","",F41)</f>
        <v>965</v>
      </c>
      <c r="H41" s="124">
        <f t="shared" si="86"/>
        <v>965</v>
      </c>
      <c r="I41" s="124">
        <v>969</v>
      </c>
      <c r="J41" s="125">
        <f t="shared" si="87"/>
        <v>969</v>
      </c>
      <c r="K41" s="124">
        <f t="shared" si="87"/>
        <v>969</v>
      </c>
      <c r="L41" s="124">
        <v>973</v>
      </c>
      <c r="M41" s="125">
        <f t="shared" si="88"/>
        <v>973</v>
      </c>
      <c r="N41" s="124">
        <f>IF(N$16="","",M41)</f>
        <v>973</v>
      </c>
      <c r="O41" s="124">
        <v>977</v>
      </c>
      <c r="P41" s="125">
        <f t="shared" si="89"/>
        <v>977</v>
      </c>
      <c r="Q41" s="124">
        <f t="shared" si="89"/>
        <v>977</v>
      </c>
      <c r="R41" s="124">
        <v>981</v>
      </c>
      <c r="S41" s="125">
        <f t="shared" si="90"/>
        <v>981</v>
      </c>
      <c r="T41" s="124">
        <v>983</v>
      </c>
      <c r="U41" s="125">
        <f>IF(U$16="","",T41)</f>
        <v>983</v>
      </c>
      <c r="V41" s="124">
        <f t="shared" si="91"/>
        <v>983</v>
      </c>
      <c r="W41" s="124">
        <v>985</v>
      </c>
      <c r="X41" s="125">
        <f t="shared" si="92"/>
        <v>985</v>
      </c>
      <c r="Y41" s="124">
        <f>IF(Y$16="","",X41)</f>
        <v>985</v>
      </c>
      <c r="Z41" s="124">
        <v>992</v>
      </c>
      <c r="AA41" s="125">
        <f t="shared" si="93"/>
        <v>992</v>
      </c>
      <c r="AB41" s="124">
        <f>IF(AB$16="","",AA41)</f>
        <v>992</v>
      </c>
      <c r="AC41" s="124">
        <f t="shared" si="94"/>
        <v>992</v>
      </c>
      <c r="AD41" s="124">
        <v>994</v>
      </c>
      <c r="AE41" s="125">
        <f t="shared" si="95"/>
        <v>994</v>
      </c>
      <c r="AF41" s="124">
        <f>IF(AF$16="","",AE41)</f>
        <v>994</v>
      </c>
      <c r="AG41" s="124">
        <v>1001</v>
      </c>
      <c r="AH41" s="123">
        <f>IF(AH$16="","",AG41)</f>
        <v>1001</v>
      </c>
      <c r="AI41" s="12">
        <f t="shared" si="96"/>
        <v>1001</v>
      </c>
      <c r="AJ41" s="12">
        <f t="shared" si="96"/>
        <v>1001</v>
      </c>
      <c r="AK41" s="12">
        <v>1011</v>
      </c>
      <c r="AL41" s="195" t="str">
        <f t="shared" si="97"/>
        <v/>
      </c>
      <c r="AM41" s="12" t="str">
        <f t="shared" si="97"/>
        <v/>
      </c>
      <c r="AN41" s="12" t="str">
        <f t="shared" si="97"/>
        <v/>
      </c>
      <c r="AO41" s="195" t="str">
        <f t="shared" si="97"/>
        <v/>
      </c>
      <c r="AP41" s="12" t="str">
        <f t="shared" si="97"/>
        <v/>
      </c>
      <c r="AQ41" s="12" t="str">
        <f t="shared" si="97"/>
        <v/>
      </c>
      <c r="AR41" s="12" t="str">
        <f t="shared" si="97"/>
        <v/>
      </c>
      <c r="AS41" s="12" t="str">
        <f t="shared" si="97"/>
        <v/>
      </c>
      <c r="AT41" s="12" t="str">
        <f t="shared" si="97"/>
        <v/>
      </c>
      <c r="AU41" s="12" t="str">
        <f t="shared" si="97"/>
        <v/>
      </c>
      <c r="AV41" s="12" t="str">
        <f t="shared" si="97"/>
        <v/>
      </c>
      <c r="AW41" s="12" t="str">
        <f t="shared" si="97"/>
        <v/>
      </c>
      <c r="AX41" s="12" t="str">
        <f t="shared" si="97"/>
        <v/>
      </c>
      <c r="AY41" s="12" t="str">
        <f t="shared" si="97"/>
        <v/>
      </c>
      <c r="AZ41" s="12" t="str">
        <f t="shared" si="97"/>
        <v/>
      </c>
      <c r="BA41" s="12" t="str">
        <f t="shared" si="97"/>
        <v/>
      </c>
      <c r="BB41" s="12" t="str">
        <f t="shared" si="98"/>
        <v/>
      </c>
      <c r="BC41" s="12" t="str">
        <f t="shared" si="98"/>
        <v/>
      </c>
    </row>
    <row r="42" spans="1:55" ht="11.25" customHeight="1" x14ac:dyDescent="0.25">
      <c r="A42" s="24">
        <v>2</v>
      </c>
      <c r="B42" s="11" t="s">
        <v>5</v>
      </c>
      <c r="C42" s="123">
        <v>7</v>
      </c>
      <c r="D42" s="124">
        <f t="shared" ref="D42" si="99">IF(D40="","",(C42+C43))</f>
        <v>7</v>
      </c>
      <c r="E42" s="124">
        <v>4</v>
      </c>
      <c r="F42" s="125">
        <f t="shared" ref="F42" si="100">IF(F40="","",(E42+E43))</f>
        <v>11</v>
      </c>
      <c r="G42" s="124">
        <f>IF(G40="","",(F42+F43))</f>
        <v>11</v>
      </c>
      <c r="H42" s="124">
        <f t="shared" ref="H42" si="101">IF(H40="","",(G42+G43))</f>
        <v>11</v>
      </c>
      <c r="I42" s="124">
        <v>9</v>
      </c>
      <c r="J42" s="125">
        <f t="shared" ref="J42:K42" si="102">IF(J40="","",(I42+I43))</f>
        <v>16</v>
      </c>
      <c r="K42" s="124">
        <f t="shared" si="102"/>
        <v>16</v>
      </c>
      <c r="L42" s="124">
        <v>12</v>
      </c>
      <c r="M42" s="125">
        <f t="shared" ref="M42" si="103">IF(M40="","",(L42+L43))</f>
        <v>15</v>
      </c>
      <c r="N42" s="124">
        <f>IF(N40="","",(M42+M43))</f>
        <v>15</v>
      </c>
      <c r="O42" s="124">
        <v>11</v>
      </c>
      <c r="P42" s="125">
        <f t="shared" ref="P42:Q42" si="104">IF(P40="","",(O42+O43))</f>
        <v>14</v>
      </c>
      <c r="Q42" s="124">
        <f t="shared" si="104"/>
        <v>14</v>
      </c>
      <c r="R42" s="124">
        <v>13</v>
      </c>
      <c r="S42" s="125">
        <f t="shared" ref="S42" si="105">IF(S40="","",(R42+R43))</f>
        <v>13</v>
      </c>
      <c r="T42" s="124">
        <v>11</v>
      </c>
      <c r="U42" s="125">
        <f>IF(U40="","",(T42+T43))</f>
        <v>11</v>
      </c>
      <c r="V42" s="124">
        <f t="shared" ref="V42" si="106">IF(V40="","",(U42+U43))</f>
        <v>11</v>
      </c>
      <c r="W42" s="124">
        <v>10</v>
      </c>
      <c r="X42" s="125">
        <f t="shared" ref="X42" si="107">IF(X40="","",(W42+W43))</f>
        <v>10</v>
      </c>
      <c r="Y42" s="124">
        <f>IF(Y40="","",(X42+X43))</f>
        <v>10</v>
      </c>
      <c r="Z42" s="124">
        <v>2</v>
      </c>
      <c r="AA42" s="125">
        <f t="shared" ref="AA42" si="108">IF(AA40="","",(Z42+Z43))</f>
        <v>2</v>
      </c>
      <c r="AB42" s="124">
        <f>IF(AB40="","",(AA42+AA43))</f>
        <v>2</v>
      </c>
      <c r="AC42" s="124">
        <f t="shared" ref="AC42" si="109">IF(AC40="","",(AB42+AB43))</f>
        <v>2</v>
      </c>
      <c r="AD42" s="124">
        <v>0</v>
      </c>
      <c r="AE42" s="125">
        <f t="shared" ref="AE42" si="110">IF(AE40="","",(AD42+AD43))</f>
        <v>22</v>
      </c>
      <c r="AF42" s="124">
        <f>IF(AF40="","",(AE42+AE43))</f>
        <v>22</v>
      </c>
      <c r="AG42" s="124">
        <v>18</v>
      </c>
      <c r="AH42" s="123">
        <f>IF(AH40="","",(AG42+AG43))</f>
        <v>18</v>
      </c>
      <c r="AI42" s="12">
        <f t="shared" ref="AI42:BC42" si="111">IF(AI40="","",(AH42+AH43))</f>
        <v>18</v>
      </c>
      <c r="AJ42" s="12">
        <f t="shared" si="111"/>
        <v>18</v>
      </c>
      <c r="AK42" s="12">
        <f t="shared" si="111"/>
        <v>18</v>
      </c>
      <c r="AL42" s="195" t="str">
        <f t="shared" si="111"/>
        <v/>
      </c>
      <c r="AM42" s="12" t="str">
        <f t="shared" si="111"/>
        <v/>
      </c>
      <c r="AN42" s="12" t="str">
        <f t="shared" si="111"/>
        <v/>
      </c>
      <c r="AO42" s="195" t="str">
        <f t="shared" si="111"/>
        <v/>
      </c>
      <c r="AP42" s="12" t="str">
        <f t="shared" si="111"/>
        <v/>
      </c>
      <c r="AQ42" s="12" t="str">
        <f t="shared" si="111"/>
        <v/>
      </c>
      <c r="AR42" s="12" t="str">
        <f t="shared" si="111"/>
        <v/>
      </c>
      <c r="AS42" s="12" t="str">
        <f t="shared" si="111"/>
        <v/>
      </c>
      <c r="AT42" s="12" t="str">
        <f t="shared" si="111"/>
        <v/>
      </c>
      <c r="AU42" s="12" t="str">
        <f t="shared" si="111"/>
        <v/>
      </c>
      <c r="AV42" s="12" t="str">
        <f t="shared" si="111"/>
        <v/>
      </c>
      <c r="AW42" s="12" t="str">
        <f t="shared" si="111"/>
        <v/>
      </c>
      <c r="AX42" s="12" t="str">
        <f t="shared" si="111"/>
        <v/>
      </c>
      <c r="AY42" s="12" t="str">
        <f t="shared" si="111"/>
        <v/>
      </c>
      <c r="AZ42" s="12" t="str">
        <f t="shared" si="111"/>
        <v/>
      </c>
      <c r="BA42" s="12" t="str">
        <f t="shared" si="111"/>
        <v/>
      </c>
      <c r="BB42" s="12" t="str">
        <f t="shared" si="111"/>
        <v/>
      </c>
      <c r="BC42" s="12" t="str">
        <f t="shared" si="111"/>
        <v/>
      </c>
    </row>
    <row r="43" spans="1:55" ht="11.25" customHeight="1" x14ac:dyDescent="0.2">
      <c r="A43" s="14"/>
      <c r="B43" s="11" t="s">
        <v>6</v>
      </c>
      <c r="C43" s="123"/>
      <c r="D43" s="124"/>
      <c r="E43" s="124">
        <v>7</v>
      </c>
      <c r="F43" s="125"/>
      <c r="G43" s="124"/>
      <c r="H43" s="124"/>
      <c r="I43" s="124">
        <v>7</v>
      </c>
      <c r="J43" s="125"/>
      <c r="K43" s="124"/>
      <c r="L43" s="124">
        <v>3</v>
      </c>
      <c r="M43" s="125"/>
      <c r="N43" s="124"/>
      <c r="O43" s="124">
        <v>3</v>
      </c>
      <c r="P43" s="125"/>
      <c r="Q43" s="124"/>
      <c r="R43" s="124"/>
      <c r="S43" s="125"/>
      <c r="T43" s="124"/>
      <c r="U43" s="125"/>
      <c r="V43" s="124"/>
      <c r="W43" s="124"/>
      <c r="X43" s="125"/>
      <c r="Y43" s="124"/>
      <c r="Z43" s="124"/>
      <c r="AA43" s="125"/>
      <c r="AB43" s="124"/>
      <c r="AC43" s="124"/>
      <c r="AD43" s="124">
        <v>22</v>
      </c>
      <c r="AE43" s="125"/>
      <c r="AF43" s="124"/>
      <c r="AG43" s="124"/>
      <c r="AH43" s="123"/>
      <c r="AI43" s="12"/>
      <c r="AJ43" s="12"/>
      <c r="AK43" s="12"/>
      <c r="AL43" s="195"/>
      <c r="AM43" s="12"/>
      <c r="AN43" s="12"/>
      <c r="AO43" s="195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</row>
    <row r="44" spans="1:55" ht="11.25" customHeight="1" x14ac:dyDescent="0.2">
      <c r="A44" s="15"/>
      <c r="B44" s="11" t="s">
        <v>8</v>
      </c>
      <c r="C44" s="129">
        <v>500</v>
      </c>
      <c r="D44" s="130">
        <f t="shared" ref="D44:AG44" si="112">IF(D40="","",C44)</f>
        <v>500</v>
      </c>
      <c r="E44" s="130">
        <f t="shared" si="112"/>
        <v>500</v>
      </c>
      <c r="F44" s="131">
        <f t="shared" si="112"/>
        <v>500</v>
      </c>
      <c r="G44" s="130">
        <f t="shared" si="112"/>
        <v>500</v>
      </c>
      <c r="H44" s="130">
        <f t="shared" si="112"/>
        <v>500</v>
      </c>
      <c r="I44" s="130">
        <f t="shared" si="112"/>
        <v>500</v>
      </c>
      <c r="J44" s="131">
        <f t="shared" si="112"/>
        <v>500</v>
      </c>
      <c r="K44" s="130">
        <f t="shared" si="112"/>
        <v>500</v>
      </c>
      <c r="L44" s="130">
        <f t="shared" si="112"/>
        <v>500</v>
      </c>
      <c r="M44" s="131">
        <f t="shared" si="112"/>
        <v>500</v>
      </c>
      <c r="N44" s="130">
        <f t="shared" si="112"/>
        <v>500</v>
      </c>
      <c r="O44" s="130">
        <f t="shared" si="112"/>
        <v>500</v>
      </c>
      <c r="P44" s="131">
        <f t="shared" si="112"/>
        <v>500</v>
      </c>
      <c r="Q44" s="130">
        <f t="shared" si="112"/>
        <v>500</v>
      </c>
      <c r="R44" s="130">
        <f t="shared" si="112"/>
        <v>500</v>
      </c>
      <c r="S44" s="131">
        <f t="shared" si="112"/>
        <v>500</v>
      </c>
      <c r="T44" s="130">
        <f t="shared" si="112"/>
        <v>500</v>
      </c>
      <c r="U44" s="131">
        <f t="shared" si="112"/>
        <v>500</v>
      </c>
      <c r="V44" s="130">
        <f t="shared" si="112"/>
        <v>500</v>
      </c>
      <c r="W44" s="130">
        <f t="shared" si="112"/>
        <v>500</v>
      </c>
      <c r="X44" s="131">
        <f t="shared" si="112"/>
        <v>500</v>
      </c>
      <c r="Y44" s="130">
        <f t="shared" si="112"/>
        <v>500</v>
      </c>
      <c r="Z44" s="130">
        <f t="shared" si="112"/>
        <v>500</v>
      </c>
      <c r="AA44" s="131">
        <f t="shared" si="112"/>
        <v>500</v>
      </c>
      <c r="AB44" s="130">
        <f t="shared" si="112"/>
        <v>500</v>
      </c>
      <c r="AC44" s="130">
        <f t="shared" si="112"/>
        <v>500</v>
      </c>
      <c r="AD44" s="130">
        <f t="shared" si="112"/>
        <v>500</v>
      </c>
      <c r="AE44" s="131">
        <f t="shared" si="112"/>
        <v>500</v>
      </c>
      <c r="AF44" s="130">
        <f t="shared" si="112"/>
        <v>500</v>
      </c>
      <c r="AG44" s="130">
        <f t="shared" si="112"/>
        <v>500</v>
      </c>
      <c r="AH44" s="129">
        <f>IF(AH40="","",AG44)</f>
        <v>500</v>
      </c>
      <c r="AI44" s="16">
        <f t="shared" ref="AI44:BC44" si="113">IF(AI40="","",AH44)</f>
        <v>500</v>
      </c>
      <c r="AJ44" s="16">
        <f t="shared" si="113"/>
        <v>500</v>
      </c>
      <c r="AK44" s="16">
        <f t="shared" si="113"/>
        <v>500</v>
      </c>
      <c r="AL44" s="196" t="str">
        <f t="shared" si="113"/>
        <v/>
      </c>
      <c r="AM44" s="16" t="str">
        <f t="shared" si="113"/>
        <v/>
      </c>
      <c r="AN44" s="16" t="str">
        <f t="shared" si="113"/>
        <v/>
      </c>
      <c r="AO44" s="196" t="str">
        <f t="shared" si="113"/>
        <v/>
      </c>
      <c r="AP44" s="16" t="str">
        <f t="shared" si="113"/>
        <v/>
      </c>
      <c r="AQ44" s="16" t="str">
        <f t="shared" si="113"/>
        <v/>
      </c>
      <c r="AR44" s="16" t="str">
        <f t="shared" si="113"/>
        <v/>
      </c>
      <c r="AS44" s="16" t="str">
        <f t="shared" si="113"/>
        <v/>
      </c>
      <c r="AT44" s="16" t="str">
        <f t="shared" si="113"/>
        <v/>
      </c>
      <c r="AU44" s="16" t="str">
        <f t="shared" si="113"/>
        <v/>
      </c>
      <c r="AV44" s="16" t="str">
        <f t="shared" si="113"/>
        <v/>
      </c>
      <c r="AW44" s="16" t="str">
        <f t="shared" si="113"/>
        <v/>
      </c>
      <c r="AX44" s="16" t="str">
        <f t="shared" si="113"/>
        <v/>
      </c>
      <c r="AY44" s="16" t="str">
        <f t="shared" si="113"/>
        <v/>
      </c>
      <c r="AZ44" s="16" t="str">
        <f t="shared" si="113"/>
        <v/>
      </c>
      <c r="BA44" s="16" t="str">
        <f t="shared" si="113"/>
        <v/>
      </c>
      <c r="BB44" s="16" t="str">
        <f t="shared" si="113"/>
        <v/>
      </c>
      <c r="BC44" s="16" t="str">
        <f t="shared" si="113"/>
        <v/>
      </c>
    </row>
    <row r="45" spans="1:55" ht="11.25" customHeight="1" x14ac:dyDescent="0.2">
      <c r="A45" s="14" t="s">
        <v>9</v>
      </c>
      <c r="B45" s="17" t="s">
        <v>10</v>
      </c>
      <c r="C45" s="133" t="s">
        <v>207</v>
      </c>
      <c r="D45" s="134" t="str">
        <f t="shared" ref="D45:AD45" si="114">IF(D40="","",C45)</f>
        <v>たまごっちチャーム</v>
      </c>
      <c r="E45" s="134" t="str">
        <f t="shared" si="114"/>
        <v>たまごっちチャーム</v>
      </c>
      <c r="F45" s="135" t="str">
        <f t="shared" si="114"/>
        <v>たまごっちチャーム</v>
      </c>
      <c r="G45" s="134" t="str">
        <f t="shared" si="114"/>
        <v>たまごっちチャーム</v>
      </c>
      <c r="H45" s="134" t="str">
        <f t="shared" si="114"/>
        <v>たまごっちチャーム</v>
      </c>
      <c r="I45" s="134" t="str">
        <f t="shared" si="114"/>
        <v>たまごっちチャーム</v>
      </c>
      <c r="J45" s="135" t="str">
        <f t="shared" si="114"/>
        <v>たまごっちチャーム</v>
      </c>
      <c r="K45" s="134" t="str">
        <f t="shared" si="114"/>
        <v>たまごっちチャーム</v>
      </c>
      <c r="L45" s="134" t="str">
        <f t="shared" si="114"/>
        <v>たまごっちチャーム</v>
      </c>
      <c r="M45" s="135" t="str">
        <f t="shared" si="114"/>
        <v>たまごっちチャーム</v>
      </c>
      <c r="N45" s="134" t="str">
        <f t="shared" si="114"/>
        <v>たまごっちチャーム</v>
      </c>
      <c r="O45" s="134" t="str">
        <f t="shared" si="114"/>
        <v>たまごっちチャーム</v>
      </c>
      <c r="P45" s="135" t="str">
        <f t="shared" si="114"/>
        <v>たまごっちチャーム</v>
      </c>
      <c r="Q45" s="134" t="str">
        <f t="shared" si="114"/>
        <v>たまごっちチャーム</v>
      </c>
      <c r="R45" s="134" t="str">
        <f t="shared" si="114"/>
        <v>たまごっちチャーム</v>
      </c>
      <c r="S45" s="135" t="str">
        <f t="shared" si="114"/>
        <v>たまごっちチャーム</v>
      </c>
      <c r="T45" s="134" t="str">
        <f t="shared" si="114"/>
        <v>たまごっちチャーム</v>
      </c>
      <c r="U45" s="135" t="str">
        <f t="shared" si="114"/>
        <v>たまごっちチャーム</v>
      </c>
      <c r="V45" s="134" t="str">
        <f t="shared" si="114"/>
        <v>たまごっちチャーム</v>
      </c>
      <c r="W45" s="134" t="str">
        <f t="shared" si="114"/>
        <v>たまごっちチャーム</v>
      </c>
      <c r="X45" s="135" t="str">
        <f t="shared" si="114"/>
        <v>たまごっちチャーム</v>
      </c>
      <c r="Y45" s="134" t="str">
        <f t="shared" si="114"/>
        <v>たまごっちチャーム</v>
      </c>
      <c r="Z45" s="134" t="str">
        <f t="shared" si="114"/>
        <v>たまごっちチャーム</v>
      </c>
      <c r="AA45" s="135" t="str">
        <f t="shared" si="114"/>
        <v>たまごっちチャーム</v>
      </c>
      <c r="AB45" s="134" t="str">
        <f t="shared" si="114"/>
        <v>たまごっちチャーム</v>
      </c>
      <c r="AC45" s="134" t="str">
        <f t="shared" si="114"/>
        <v>たまごっちチャーム</v>
      </c>
      <c r="AD45" s="134" t="str">
        <f t="shared" si="114"/>
        <v>たまごっちチャーム</v>
      </c>
      <c r="AE45" s="135" t="s">
        <v>260</v>
      </c>
      <c r="AF45" s="134" t="str">
        <f t="shared" ref="AF45:AG45" si="115">IF(AF40="","",AE45)</f>
        <v>サンリオデカぱっちん</v>
      </c>
      <c r="AG45" s="134" t="str">
        <f t="shared" si="115"/>
        <v>サンリオデカぱっちん</v>
      </c>
      <c r="AH45" s="133" t="str">
        <f>IF(AH40="","",AG45)</f>
        <v>サンリオデカぱっちん</v>
      </c>
      <c r="AI45" s="18" t="str">
        <f t="shared" ref="AI45:BC45" si="116">IF(AI40="","",AH45)</f>
        <v>サンリオデカぱっちん</v>
      </c>
      <c r="AJ45" s="18" t="str">
        <f t="shared" si="116"/>
        <v>サンリオデカぱっちん</v>
      </c>
      <c r="AK45" s="18" t="str">
        <f t="shared" si="116"/>
        <v>サンリオデカぱっちん</v>
      </c>
      <c r="AL45" s="197" t="str">
        <f t="shared" si="116"/>
        <v/>
      </c>
      <c r="AM45" s="18" t="str">
        <f t="shared" si="116"/>
        <v/>
      </c>
      <c r="AN45" s="18" t="str">
        <f t="shared" si="116"/>
        <v/>
      </c>
      <c r="AO45" s="197" t="str">
        <f t="shared" si="116"/>
        <v/>
      </c>
      <c r="AP45" s="18" t="str">
        <f t="shared" si="116"/>
        <v/>
      </c>
      <c r="AQ45" s="18" t="str">
        <f t="shared" si="116"/>
        <v/>
      </c>
      <c r="AR45" s="18" t="str">
        <f t="shared" si="116"/>
        <v/>
      </c>
      <c r="AS45" s="18" t="str">
        <f t="shared" si="116"/>
        <v/>
      </c>
      <c r="AT45" s="18" t="str">
        <f t="shared" si="116"/>
        <v/>
      </c>
      <c r="AU45" s="18" t="str">
        <f t="shared" si="116"/>
        <v/>
      </c>
      <c r="AV45" s="18" t="str">
        <f t="shared" si="116"/>
        <v/>
      </c>
      <c r="AW45" s="18" t="str">
        <f t="shared" si="116"/>
        <v/>
      </c>
      <c r="AX45" s="18" t="str">
        <f t="shared" si="116"/>
        <v/>
      </c>
      <c r="AY45" s="18" t="str">
        <f t="shared" si="116"/>
        <v/>
      </c>
      <c r="AZ45" s="18" t="str">
        <f t="shared" si="116"/>
        <v/>
      </c>
      <c r="BA45" s="18" t="str">
        <f t="shared" si="116"/>
        <v/>
      </c>
      <c r="BB45" s="18" t="str">
        <f t="shared" si="116"/>
        <v/>
      </c>
      <c r="BC45" s="18" t="str">
        <f t="shared" si="116"/>
        <v/>
      </c>
    </row>
    <row r="46" spans="1:55" ht="11.25" customHeight="1" x14ac:dyDescent="0.2">
      <c r="A46" s="15">
        <f>AVERAGE(C47:AS47)*30*100</f>
        <v>116205.88235294117</v>
      </c>
      <c r="B46" s="11" t="s">
        <v>12</v>
      </c>
      <c r="C46" s="123"/>
      <c r="D46" s="124"/>
      <c r="E46" s="124"/>
      <c r="F46" s="125"/>
      <c r="G46" s="124"/>
      <c r="H46" s="124"/>
      <c r="I46" s="124"/>
      <c r="J46" s="125"/>
      <c r="K46" s="124"/>
      <c r="L46" s="124"/>
      <c r="M46" s="125"/>
      <c r="N46" s="124"/>
      <c r="O46" s="124"/>
      <c r="P46" s="125"/>
      <c r="Q46" s="124"/>
      <c r="R46" s="124"/>
      <c r="S46" s="125"/>
      <c r="T46" s="124"/>
      <c r="U46" s="125"/>
      <c r="V46" s="124"/>
      <c r="W46" s="124"/>
      <c r="X46" s="125"/>
      <c r="Y46" s="124"/>
      <c r="Z46" s="124"/>
      <c r="AA46" s="125"/>
      <c r="AB46" s="124"/>
      <c r="AC46" s="124"/>
      <c r="AD46" s="124"/>
      <c r="AE46" s="125" t="s">
        <v>261</v>
      </c>
      <c r="AF46" s="124"/>
      <c r="AG46" s="124"/>
      <c r="AH46" s="123"/>
      <c r="AI46" s="12"/>
      <c r="AJ46" s="12"/>
      <c r="AK46" s="12"/>
      <c r="AL46" s="195"/>
      <c r="AM46" s="12"/>
      <c r="AN46" s="12"/>
      <c r="AO46" s="195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</row>
    <row r="47" spans="1:55" ht="11.25" customHeight="1" x14ac:dyDescent="0.2">
      <c r="A47" s="15">
        <f t="shared" ref="A47:A50" si="117">SUM(C47:AS47)</f>
        <v>1317</v>
      </c>
      <c r="B47" s="19" t="s">
        <v>13</v>
      </c>
      <c r="C47" s="123"/>
      <c r="D47" s="137">
        <f t="shared" ref="D47:AG48" si="118">IF(D40="","",D40-C40)</f>
        <v>0</v>
      </c>
      <c r="E47" s="137">
        <f t="shared" si="118"/>
        <v>97</v>
      </c>
      <c r="F47" s="125">
        <f t="shared" si="118"/>
        <v>0</v>
      </c>
      <c r="G47" s="137">
        <f t="shared" si="118"/>
        <v>0</v>
      </c>
      <c r="H47" s="137">
        <f t="shared" si="118"/>
        <v>0</v>
      </c>
      <c r="I47" s="137">
        <f t="shared" si="118"/>
        <v>57</v>
      </c>
      <c r="J47" s="125">
        <f t="shared" si="118"/>
        <v>0</v>
      </c>
      <c r="K47" s="137">
        <f t="shared" si="118"/>
        <v>0</v>
      </c>
      <c r="L47" s="137">
        <f t="shared" si="118"/>
        <v>190</v>
      </c>
      <c r="M47" s="125">
        <f t="shared" si="118"/>
        <v>0</v>
      </c>
      <c r="N47" s="137">
        <f t="shared" si="118"/>
        <v>0</v>
      </c>
      <c r="O47" s="137">
        <f t="shared" si="118"/>
        <v>159</v>
      </c>
      <c r="P47" s="125">
        <f t="shared" si="118"/>
        <v>0</v>
      </c>
      <c r="Q47" s="137">
        <f t="shared" si="118"/>
        <v>0</v>
      </c>
      <c r="R47" s="124">
        <f t="shared" si="118"/>
        <v>97</v>
      </c>
      <c r="S47" s="125">
        <f t="shared" si="118"/>
        <v>0</v>
      </c>
      <c r="T47" s="137">
        <f t="shared" si="118"/>
        <v>72</v>
      </c>
      <c r="U47" s="125">
        <f t="shared" si="118"/>
        <v>0</v>
      </c>
      <c r="V47" s="137">
        <f t="shared" si="118"/>
        <v>0</v>
      </c>
      <c r="W47" s="137">
        <f t="shared" si="118"/>
        <v>78</v>
      </c>
      <c r="X47" s="125">
        <f t="shared" si="118"/>
        <v>0</v>
      </c>
      <c r="Y47" s="137">
        <f t="shared" si="118"/>
        <v>0</v>
      </c>
      <c r="Z47" s="137">
        <f t="shared" si="118"/>
        <v>226</v>
      </c>
      <c r="AA47" s="125">
        <f t="shared" si="118"/>
        <v>0</v>
      </c>
      <c r="AB47" s="137">
        <f t="shared" si="118"/>
        <v>0</v>
      </c>
      <c r="AC47" s="137">
        <f t="shared" si="118"/>
        <v>0</v>
      </c>
      <c r="AD47" s="137">
        <f t="shared" si="118"/>
        <v>40</v>
      </c>
      <c r="AE47" s="125">
        <f t="shared" si="118"/>
        <v>0</v>
      </c>
      <c r="AF47" s="137">
        <f t="shared" si="118"/>
        <v>0</v>
      </c>
      <c r="AG47" s="137">
        <f t="shared" si="118"/>
        <v>75</v>
      </c>
      <c r="AH47" s="123">
        <f>IF(AH40="","",AH40-AG40)</f>
        <v>0</v>
      </c>
      <c r="AI47" s="20">
        <f t="shared" ref="AI47:BC48" si="119">IF(AI40="","",AI40-AH40)</f>
        <v>0</v>
      </c>
      <c r="AJ47" s="20">
        <f t="shared" si="119"/>
        <v>0</v>
      </c>
      <c r="AK47" s="20">
        <f t="shared" si="119"/>
        <v>226</v>
      </c>
      <c r="AL47" s="195" t="str">
        <f t="shared" si="119"/>
        <v/>
      </c>
      <c r="AM47" s="20" t="str">
        <f t="shared" si="119"/>
        <v/>
      </c>
      <c r="AN47" s="20" t="str">
        <f t="shared" si="119"/>
        <v/>
      </c>
      <c r="AO47" s="195" t="str">
        <f t="shared" si="119"/>
        <v/>
      </c>
      <c r="AP47" s="20" t="str">
        <f t="shared" si="119"/>
        <v/>
      </c>
      <c r="AQ47" s="20" t="str">
        <f t="shared" si="119"/>
        <v/>
      </c>
      <c r="AR47" s="20" t="str">
        <f t="shared" si="119"/>
        <v/>
      </c>
      <c r="AS47" s="20" t="str">
        <f t="shared" si="119"/>
        <v/>
      </c>
      <c r="AT47" s="20" t="str">
        <f t="shared" si="119"/>
        <v/>
      </c>
      <c r="AU47" s="20" t="str">
        <f t="shared" si="119"/>
        <v/>
      </c>
      <c r="AV47" s="20" t="str">
        <f t="shared" si="119"/>
        <v/>
      </c>
      <c r="AW47" s="20" t="str">
        <f t="shared" si="119"/>
        <v/>
      </c>
      <c r="AX47" s="20" t="str">
        <f t="shared" si="119"/>
        <v/>
      </c>
      <c r="AY47" s="20" t="str">
        <f t="shared" si="119"/>
        <v/>
      </c>
      <c r="AZ47" s="20" t="str">
        <f t="shared" si="119"/>
        <v/>
      </c>
      <c r="BA47" s="20" t="str">
        <f t="shared" si="119"/>
        <v/>
      </c>
      <c r="BB47" s="20" t="str">
        <f t="shared" si="119"/>
        <v/>
      </c>
      <c r="BC47" s="20" t="str">
        <f t="shared" si="119"/>
        <v/>
      </c>
    </row>
    <row r="48" spans="1:55" ht="11.25" customHeight="1" x14ac:dyDescent="0.2">
      <c r="A48" s="15">
        <f t="shared" si="117"/>
        <v>49</v>
      </c>
      <c r="B48" s="19" t="s">
        <v>14</v>
      </c>
      <c r="C48" s="123">
        <v>0</v>
      </c>
      <c r="D48" s="137">
        <f t="shared" si="118"/>
        <v>0</v>
      </c>
      <c r="E48" s="137">
        <f t="shared" si="118"/>
        <v>3</v>
      </c>
      <c r="F48" s="125">
        <f t="shared" si="118"/>
        <v>0</v>
      </c>
      <c r="G48" s="137">
        <f t="shared" si="118"/>
        <v>0</v>
      </c>
      <c r="H48" s="137">
        <f t="shared" si="118"/>
        <v>0</v>
      </c>
      <c r="I48" s="137">
        <f t="shared" si="118"/>
        <v>4</v>
      </c>
      <c r="J48" s="125">
        <f t="shared" si="118"/>
        <v>0</v>
      </c>
      <c r="K48" s="137">
        <f t="shared" si="118"/>
        <v>0</v>
      </c>
      <c r="L48" s="137">
        <f t="shared" si="118"/>
        <v>4</v>
      </c>
      <c r="M48" s="125">
        <f t="shared" si="118"/>
        <v>0</v>
      </c>
      <c r="N48" s="137">
        <f t="shared" si="118"/>
        <v>0</v>
      </c>
      <c r="O48" s="137">
        <f t="shared" si="118"/>
        <v>4</v>
      </c>
      <c r="P48" s="125">
        <f t="shared" si="118"/>
        <v>0</v>
      </c>
      <c r="Q48" s="137">
        <f t="shared" si="118"/>
        <v>0</v>
      </c>
      <c r="R48" s="124">
        <f t="shared" si="118"/>
        <v>4</v>
      </c>
      <c r="S48" s="125">
        <f t="shared" si="118"/>
        <v>0</v>
      </c>
      <c r="T48" s="137">
        <f t="shared" si="118"/>
        <v>2</v>
      </c>
      <c r="U48" s="125">
        <f t="shared" si="118"/>
        <v>0</v>
      </c>
      <c r="V48" s="137">
        <f t="shared" si="118"/>
        <v>0</v>
      </c>
      <c r="W48" s="137">
        <f t="shared" si="118"/>
        <v>2</v>
      </c>
      <c r="X48" s="125">
        <f t="shared" si="118"/>
        <v>0</v>
      </c>
      <c r="Y48" s="137">
        <f t="shared" si="118"/>
        <v>0</v>
      </c>
      <c r="Z48" s="137">
        <f t="shared" si="118"/>
        <v>7</v>
      </c>
      <c r="AA48" s="125">
        <f t="shared" si="118"/>
        <v>0</v>
      </c>
      <c r="AB48" s="137">
        <f t="shared" si="118"/>
        <v>0</v>
      </c>
      <c r="AC48" s="137">
        <f t="shared" si="118"/>
        <v>0</v>
      </c>
      <c r="AD48" s="137">
        <f t="shared" si="118"/>
        <v>2</v>
      </c>
      <c r="AE48" s="125">
        <f t="shared" si="118"/>
        <v>0</v>
      </c>
      <c r="AF48" s="137">
        <f t="shared" si="118"/>
        <v>0</v>
      </c>
      <c r="AG48" s="137">
        <f t="shared" si="118"/>
        <v>7</v>
      </c>
      <c r="AH48" s="123">
        <f>IF(AH41="","",AH41-AG41)</f>
        <v>0</v>
      </c>
      <c r="AI48" s="20">
        <f t="shared" si="119"/>
        <v>0</v>
      </c>
      <c r="AJ48" s="20">
        <f t="shared" si="119"/>
        <v>0</v>
      </c>
      <c r="AK48" s="20">
        <f t="shared" si="119"/>
        <v>10</v>
      </c>
      <c r="AL48" s="195" t="str">
        <f t="shared" si="119"/>
        <v/>
      </c>
      <c r="AM48" s="20" t="str">
        <f t="shared" si="119"/>
        <v/>
      </c>
      <c r="AN48" s="20" t="str">
        <f t="shared" si="119"/>
        <v/>
      </c>
      <c r="AO48" s="195" t="str">
        <f t="shared" si="119"/>
        <v/>
      </c>
      <c r="AP48" s="20" t="str">
        <f t="shared" si="119"/>
        <v/>
      </c>
      <c r="AQ48" s="20" t="str">
        <f t="shared" si="119"/>
        <v/>
      </c>
      <c r="AR48" s="20" t="str">
        <f t="shared" si="119"/>
        <v/>
      </c>
      <c r="AS48" s="20" t="str">
        <f t="shared" si="119"/>
        <v/>
      </c>
      <c r="AT48" s="20" t="str">
        <f t="shared" si="119"/>
        <v/>
      </c>
      <c r="AU48" s="20" t="str">
        <f t="shared" si="119"/>
        <v/>
      </c>
      <c r="AV48" s="20" t="str">
        <f t="shared" si="119"/>
        <v/>
      </c>
      <c r="AW48" s="20" t="str">
        <f t="shared" si="119"/>
        <v/>
      </c>
      <c r="AX48" s="20" t="str">
        <f t="shared" si="119"/>
        <v/>
      </c>
      <c r="AY48" s="20" t="str">
        <f t="shared" si="119"/>
        <v/>
      </c>
      <c r="AZ48" s="20" t="str">
        <f t="shared" si="119"/>
        <v/>
      </c>
      <c r="BA48" s="20" t="str">
        <f t="shared" si="119"/>
        <v/>
      </c>
      <c r="BB48" s="20" t="str">
        <f t="shared" si="119"/>
        <v/>
      </c>
      <c r="BC48" s="20" t="str">
        <f t="shared" si="119"/>
        <v/>
      </c>
    </row>
    <row r="49" spans="1:55" ht="11.25" customHeight="1" x14ac:dyDescent="0.2">
      <c r="A49" s="15">
        <f t="shared" si="117"/>
        <v>31</v>
      </c>
      <c r="B49" s="19" t="s">
        <v>15</v>
      </c>
      <c r="C49" s="123">
        <v>0</v>
      </c>
      <c r="D49" s="137">
        <f t="shared" ref="D49:AG49" si="120">IF(D42="","",C42+C43-D42)</f>
        <v>0</v>
      </c>
      <c r="E49" s="137">
        <f t="shared" si="120"/>
        <v>3</v>
      </c>
      <c r="F49" s="125">
        <f t="shared" si="120"/>
        <v>0</v>
      </c>
      <c r="G49" s="137">
        <f t="shared" si="120"/>
        <v>0</v>
      </c>
      <c r="H49" s="137">
        <f t="shared" si="120"/>
        <v>0</v>
      </c>
      <c r="I49" s="137">
        <f t="shared" si="120"/>
        <v>2</v>
      </c>
      <c r="J49" s="125">
        <f t="shared" si="120"/>
        <v>0</v>
      </c>
      <c r="K49" s="137">
        <f t="shared" si="120"/>
        <v>0</v>
      </c>
      <c r="L49" s="137">
        <f t="shared" si="120"/>
        <v>4</v>
      </c>
      <c r="M49" s="125">
        <f t="shared" si="120"/>
        <v>0</v>
      </c>
      <c r="N49" s="137">
        <f t="shared" si="120"/>
        <v>0</v>
      </c>
      <c r="O49" s="137">
        <f t="shared" si="120"/>
        <v>4</v>
      </c>
      <c r="P49" s="125">
        <f t="shared" si="120"/>
        <v>0</v>
      </c>
      <c r="Q49" s="137">
        <f t="shared" si="120"/>
        <v>0</v>
      </c>
      <c r="R49" s="124">
        <f t="shared" si="120"/>
        <v>1</v>
      </c>
      <c r="S49" s="125">
        <f t="shared" si="120"/>
        <v>0</v>
      </c>
      <c r="T49" s="137">
        <f t="shared" si="120"/>
        <v>2</v>
      </c>
      <c r="U49" s="125">
        <f t="shared" si="120"/>
        <v>0</v>
      </c>
      <c r="V49" s="137">
        <f t="shared" si="120"/>
        <v>0</v>
      </c>
      <c r="W49" s="137">
        <f t="shared" si="120"/>
        <v>1</v>
      </c>
      <c r="X49" s="125">
        <f t="shared" si="120"/>
        <v>0</v>
      </c>
      <c r="Y49" s="137">
        <f t="shared" si="120"/>
        <v>0</v>
      </c>
      <c r="Z49" s="137">
        <f t="shared" si="120"/>
        <v>8</v>
      </c>
      <c r="AA49" s="125">
        <f t="shared" si="120"/>
        <v>0</v>
      </c>
      <c r="AB49" s="137">
        <f t="shared" si="120"/>
        <v>0</v>
      </c>
      <c r="AC49" s="137">
        <f t="shared" si="120"/>
        <v>0</v>
      </c>
      <c r="AD49" s="137">
        <f t="shared" si="120"/>
        <v>2</v>
      </c>
      <c r="AE49" s="125">
        <f t="shared" si="120"/>
        <v>0</v>
      </c>
      <c r="AF49" s="137">
        <f t="shared" si="120"/>
        <v>0</v>
      </c>
      <c r="AG49" s="137">
        <f t="shared" si="120"/>
        <v>4</v>
      </c>
      <c r="AH49" s="123">
        <f>IF(AH42="","",AG42+AG43-AH42)</f>
        <v>0</v>
      </c>
      <c r="AI49" s="20">
        <f t="shared" ref="AI49:BC49" si="121">IF(AI42="","",AH42+AH43-AI42)</f>
        <v>0</v>
      </c>
      <c r="AJ49" s="20">
        <f t="shared" si="121"/>
        <v>0</v>
      </c>
      <c r="AK49" s="20">
        <f t="shared" si="121"/>
        <v>0</v>
      </c>
      <c r="AL49" s="195" t="str">
        <f t="shared" si="121"/>
        <v/>
      </c>
      <c r="AM49" s="20" t="str">
        <f t="shared" si="121"/>
        <v/>
      </c>
      <c r="AN49" s="20" t="str">
        <f t="shared" si="121"/>
        <v/>
      </c>
      <c r="AO49" s="195" t="str">
        <f t="shared" si="121"/>
        <v/>
      </c>
      <c r="AP49" s="20" t="str">
        <f t="shared" si="121"/>
        <v/>
      </c>
      <c r="AQ49" s="20" t="str">
        <f t="shared" si="121"/>
        <v/>
      </c>
      <c r="AR49" s="20" t="str">
        <f t="shared" si="121"/>
        <v/>
      </c>
      <c r="AS49" s="20" t="str">
        <f t="shared" si="121"/>
        <v/>
      </c>
      <c r="AT49" s="20" t="str">
        <f t="shared" si="121"/>
        <v/>
      </c>
      <c r="AU49" s="20" t="str">
        <f t="shared" si="121"/>
        <v/>
      </c>
      <c r="AV49" s="20" t="str">
        <f t="shared" si="121"/>
        <v/>
      </c>
      <c r="AW49" s="20" t="str">
        <f t="shared" si="121"/>
        <v/>
      </c>
      <c r="AX49" s="20" t="str">
        <f t="shared" si="121"/>
        <v/>
      </c>
      <c r="AY49" s="20" t="str">
        <f t="shared" si="121"/>
        <v/>
      </c>
      <c r="AZ49" s="20" t="str">
        <f t="shared" si="121"/>
        <v/>
      </c>
      <c r="BA49" s="20" t="str">
        <f t="shared" si="121"/>
        <v/>
      </c>
      <c r="BB49" s="20" t="str">
        <f t="shared" si="121"/>
        <v/>
      </c>
      <c r="BC49" s="20" t="str">
        <f t="shared" si="121"/>
        <v/>
      </c>
    </row>
    <row r="50" spans="1:55" ht="11.25" customHeight="1" x14ac:dyDescent="0.2">
      <c r="A50" s="15">
        <f t="shared" si="117"/>
        <v>15500</v>
      </c>
      <c r="B50" s="19" t="s">
        <v>16</v>
      </c>
      <c r="C50" s="123">
        <v>0</v>
      </c>
      <c r="D50" s="137">
        <f t="shared" ref="D50:BC50" si="122">IF(D40="","",D49*D44)</f>
        <v>0</v>
      </c>
      <c r="E50" s="137">
        <f t="shared" si="122"/>
        <v>1500</v>
      </c>
      <c r="F50" s="125">
        <f t="shared" si="122"/>
        <v>0</v>
      </c>
      <c r="G50" s="137">
        <f t="shared" si="122"/>
        <v>0</v>
      </c>
      <c r="H50" s="137">
        <f t="shared" si="122"/>
        <v>0</v>
      </c>
      <c r="I50" s="137">
        <f t="shared" si="122"/>
        <v>1000</v>
      </c>
      <c r="J50" s="125">
        <f t="shared" si="122"/>
        <v>0</v>
      </c>
      <c r="K50" s="137">
        <f t="shared" si="122"/>
        <v>0</v>
      </c>
      <c r="L50" s="137">
        <f t="shared" si="122"/>
        <v>2000</v>
      </c>
      <c r="M50" s="125">
        <f t="shared" si="122"/>
        <v>0</v>
      </c>
      <c r="N50" s="137">
        <f t="shared" si="122"/>
        <v>0</v>
      </c>
      <c r="O50" s="137">
        <f t="shared" si="122"/>
        <v>2000</v>
      </c>
      <c r="P50" s="125">
        <f t="shared" si="122"/>
        <v>0</v>
      </c>
      <c r="Q50" s="137">
        <f t="shared" si="122"/>
        <v>0</v>
      </c>
      <c r="R50" s="124">
        <f t="shared" si="122"/>
        <v>500</v>
      </c>
      <c r="S50" s="125">
        <f t="shared" si="122"/>
        <v>0</v>
      </c>
      <c r="T50" s="137">
        <f t="shared" si="122"/>
        <v>1000</v>
      </c>
      <c r="U50" s="125">
        <f t="shared" si="122"/>
        <v>0</v>
      </c>
      <c r="V50" s="137">
        <f t="shared" si="122"/>
        <v>0</v>
      </c>
      <c r="W50" s="137">
        <f t="shared" si="122"/>
        <v>500</v>
      </c>
      <c r="X50" s="125">
        <f t="shared" si="122"/>
        <v>0</v>
      </c>
      <c r="Y50" s="137">
        <f t="shared" si="122"/>
        <v>0</v>
      </c>
      <c r="Z50" s="137">
        <f t="shared" si="122"/>
        <v>4000</v>
      </c>
      <c r="AA50" s="125">
        <f t="shared" si="122"/>
        <v>0</v>
      </c>
      <c r="AB50" s="137">
        <f t="shared" si="122"/>
        <v>0</v>
      </c>
      <c r="AC50" s="137">
        <f t="shared" si="122"/>
        <v>0</v>
      </c>
      <c r="AD50" s="137">
        <f t="shared" si="122"/>
        <v>1000</v>
      </c>
      <c r="AE50" s="125">
        <f t="shared" si="122"/>
        <v>0</v>
      </c>
      <c r="AF50" s="137">
        <f t="shared" si="122"/>
        <v>0</v>
      </c>
      <c r="AG50" s="137">
        <f t="shared" si="122"/>
        <v>2000</v>
      </c>
      <c r="AH50" s="123">
        <f>IF(AH40="","",AH49*AH44)</f>
        <v>0</v>
      </c>
      <c r="AI50" s="20">
        <f t="shared" si="122"/>
        <v>0</v>
      </c>
      <c r="AJ50" s="20">
        <f t="shared" si="122"/>
        <v>0</v>
      </c>
      <c r="AK50" s="20">
        <f t="shared" si="122"/>
        <v>0</v>
      </c>
      <c r="AL50" s="195" t="str">
        <f t="shared" si="122"/>
        <v/>
      </c>
      <c r="AM50" s="20" t="str">
        <f t="shared" si="122"/>
        <v/>
      </c>
      <c r="AN50" s="20" t="str">
        <f t="shared" si="122"/>
        <v/>
      </c>
      <c r="AO50" s="195" t="str">
        <f t="shared" si="122"/>
        <v/>
      </c>
      <c r="AP50" s="20" t="str">
        <f t="shared" si="122"/>
        <v/>
      </c>
      <c r="AQ50" s="20" t="str">
        <f t="shared" si="122"/>
        <v/>
      </c>
      <c r="AR50" s="20" t="str">
        <f t="shared" si="122"/>
        <v/>
      </c>
      <c r="AS50" s="20" t="str">
        <f t="shared" si="122"/>
        <v/>
      </c>
      <c r="AT50" s="20" t="str">
        <f t="shared" si="122"/>
        <v/>
      </c>
      <c r="AU50" s="20" t="str">
        <f t="shared" si="122"/>
        <v/>
      </c>
      <c r="AV50" s="20" t="str">
        <f t="shared" si="122"/>
        <v/>
      </c>
      <c r="AW50" s="20" t="str">
        <f t="shared" si="122"/>
        <v/>
      </c>
      <c r="AX50" s="20" t="str">
        <f t="shared" si="122"/>
        <v/>
      </c>
      <c r="AY50" s="20" t="str">
        <f t="shared" si="122"/>
        <v/>
      </c>
      <c r="AZ50" s="20" t="str">
        <f t="shared" si="122"/>
        <v/>
      </c>
      <c r="BA50" s="20" t="str">
        <f t="shared" si="122"/>
        <v/>
      </c>
      <c r="BB50" s="20" t="str">
        <f t="shared" si="122"/>
        <v/>
      </c>
      <c r="BC50" s="20" t="str">
        <f t="shared" si="122"/>
        <v/>
      </c>
    </row>
    <row r="51" spans="1:55" ht="11.25" customHeight="1" thickBot="1" x14ac:dyDescent="0.25">
      <c r="A51" s="21">
        <f>IF(A50="","",A50/(A47*100))</f>
        <v>0.11769172361427487</v>
      </c>
      <c r="B51" s="19" t="s">
        <v>17</v>
      </c>
      <c r="C51" s="146" t="s">
        <v>18</v>
      </c>
      <c r="D51" s="147" t="str">
        <f t="shared" ref="D51:BC51" si="123">IF(D50="","",IF(D50=0,"",D50/(D47*100)))</f>
        <v/>
      </c>
      <c r="E51" s="147">
        <f t="shared" si="123"/>
        <v>0.15463917525773196</v>
      </c>
      <c r="F51" s="148" t="str">
        <f t="shared" si="123"/>
        <v/>
      </c>
      <c r="G51" s="147" t="str">
        <f t="shared" si="123"/>
        <v/>
      </c>
      <c r="H51" s="147" t="str">
        <f t="shared" si="123"/>
        <v/>
      </c>
      <c r="I51" s="147">
        <f t="shared" si="123"/>
        <v>0.17543859649122806</v>
      </c>
      <c r="J51" s="148" t="str">
        <f t="shared" si="123"/>
        <v/>
      </c>
      <c r="K51" s="147" t="str">
        <f t="shared" si="123"/>
        <v/>
      </c>
      <c r="L51" s="147">
        <f t="shared" si="123"/>
        <v>0.10526315789473684</v>
      </c>
      <c r="M51" s="148" t="str">
        <f t="shared" si="123"/>
        <v/>
      </c>
      <c r="N51" s="147" t="str">
        <f t="shared" si="123"/>
        <v/>
      </c>
      <c r="O51" s="147">
        <f t="shared" si="123"/>
        <v>0.12578616352201258</v>
      </c>
      <c r="P51" s="148" t="str">
        <f t="shared" si="123"/>
        <v/>
      </c>
      <c r="Q51" s="147" t="str">
        <f t="shared" si="123"/>
        <v/>
      </c>
      <c r="R51" s="193">
        <f t="shared" si="123"/>
        <v>5.1546391752577317E-2</v>
      </c>
      <c r="S51" s="148" t="str">
        <f t="shared" si="123"/>
        <v/>
      </c>
      <c r="T51" s="147">
        <f t="shared" si="123"/>
        <v>0.1388888888888889</v>
      </c>
      <c r="U51" s="148" t="str">
        <f t="shared" si="123"/>
        <v/>
      </c>
      <c r="V51" s="147" t="str">
        <f t="shared" si="123"/>
        <v/>
      </c>
      <c r="W51" s="147">
        <f t="shared" si="123"/>
        <v>6.4102564102564097E-2</v>
      </c>
      <c r="X51" s="148" t="str">
        <f t="shared" si="123"/>
        <v/>
      </c>
      <c r="Y51" s="147" t="str">
        <f t="shared" si="123"/>
        <v/>
      </c>
      <c r="Z51" s="147">
        <f t="shared" si="123"/>
        <v>0.17699115044247787</v>
      </c>
      <c r="AA51" s="148" t="str">
        <f t="shared" si="123"/>
        <v/>
      </c>
      <c r="AB51" s="147" t="str">
        <f t="shared" si="123"/>
        <v/>
      </c>
      <c r="AC51" s="147" t="str">
        <f t="shared" si="123"/>
        <v/>
      </c>
      <c r="AD51" s="147">
        <f t="shared" si="123"/>
        <v>0.25</v>
      </c>
      <c r="AE51" s="148" t="str">
        <f t="shared" si="123"/>
        <v/>
      </c>
      <c r="AF51" s="147" t="str">
        <f t="shared" si="123"/>
        <v/>
      </c>
      <c r="AG51" s="147">
        <f t="shared" si="123"/>
        <v>0.26666666666666666</v>
      </c>
      <c r="AH51" s="146" t="str">
        <f>IF(AH50="","",IF(AH50=0,"",AH50/(AH47*100)))</f>
        <v/>
      </c>
      <c r="AI51" s="27" t="str">
        <f t="shared" si="123"/>
        <v/>
      </c>
      <c r="AJ51" s="27" t="str">
        <f t="shared" si="123"/>
        <v/>
      </c>
      <c r="AK51" s="27" t="str">
        <f t="shared" si="123"/>
        <v/>
      </c>
      <c r="AL51" s="199" t="str">
        <f t="shared" si="123"/>
        <v/>
      </c>
      <c r="AM51" s="27" t="str">
        <f t="shared" si="123"/>
        <v/>
      </c>
      <c r="AN51" s="27" t="str">
        <f t="shared" si="123"/>
        <v/>
      </c>
      <c r="AO51" s="199" t="str">
        <f t="shared" si="123"/>
        <v/>
      </c>
      <c r="AP51" s="27" t="str">
        <f t="shared" si="123"/>
        <v/>
      </c>
      <c r="AQ51" s="27" t="str">
        <f t="shared" si="123"/>
        <v/>
      </c>
      <c r="AR51" s="27" t="str">
        <f t="shared" si="123"/>
        <v/>
      </c>
      <c r="AS51" s="27" t="str">
        <f t="shared" si="123"/>
        <v/>
      </c>
      <c r="AT51" s="27" t="str">
        <f t="shared" si="123"/>
        <v/>
      </c>
      <c r="AU51" s="27" t="str">
        <f t="shared" si="123"/>
        <v/>
      </c>
      <c r="AV51" s="27" t="str">
        <f t="shared" si="123"/>
        <v/>
      </c>
      <c r="AW51" s="27" t="str">
        <f t="shared" si="123"/>
        <v/>
      </c>
      <c r="AX51" s="27" t="str">
        <f t="shared" si="123"/>
        <v/>
      </c>
      <c r="AY51" s="27" t="str">
        <f t="shared" si="123"/>
        <v/>
      </c>
      <c r="AZ51" s="27" t="str">
        <f t="shared" si="123"/>
        <v/>
      </c>
      <c r="BA51" s="27" t="str">
        <f t="shared" si="123"/>
        <v/>
      </c>
      <c r="BB51" s="27" t="str">
        <f t="shared" si="123"/>
        <v/>
      </c>
      <c r="BC51" s="27" t="str">
        <f t="shared" si="123"/>
        <v/>
      </c>
    </row>
    <row r="52" spans="1:55" ht="11.25" customHeight="1" x14ac:dyDescent="0.2">
      <c r="A52" s="28" t="s">
        <v>1</v>
      </c>
      <c r="B52" s="29" t="s">
        <v>2</v>
      </c>
      <c r="C52" s="129">
        <v>19946</v>
      </c>
      <c r="D52" s="130">
        <f t="shared" ref="D52:D53" si="124">IF(D$16="","",C52)</f>
        <v>19946</v>
      </c>
      <c r="E52" s="130">
        <v>20258</v>
      </c>
      <c r="F52" s="131">
        <f t="shared" ref="F52:F53" si="125">IF(F$16="","",E52)</f>
        <v>20258</v>
      </c>
      <c r="G52" s="130">
        <f>IF(G$16="","",F52)</f>
        <v>20258</v>
      </c>
      <c r="H52" s="130">
        <f t="shared" ref="H52:H53" si="126">IF(H$16="","",G52)</f>
        <v>20258</v>
      </c>
      <c r="I52" s="130">
        <v>20371</v>
      </c>
      <c r="J52" s="131">
        <f t="shared" ref="J52:K53" si="127">IF(J$16="","",I52)</f>
        <v>20371</v>
      </c>
      <c r="K52" s="130">
        <f t="shared" si="127"/>
        <v>20371</v>
      </c>
      <c r="L52" s="130">
        <v>20673</v>
      </c>
      <c r="M52" s="131">
        <f t="shared" ref="M52:M53" si="128">IF(M$16="","",L52)</f>
        <v>20673</v>
      </c>
      <c r="N52" s="130">
        <f>IF(N$16="","",M52)</f>
        <v>20673</v>
      </c>
      <c r="O52" s="130">
        <v>20895</v>
      </c>
      <c r="P52" s="131">
        <f t="shared" ref="P52:Q53" si="129">IF(P$16="","",O52)</f>
        <v>20895</v>
      </c>
      <c r="Q52" s="130">
        <f t="shared" si="129"/>
        <v>20895</v>
      </c>
      <c r="R52" s="130">
        <v>21178</v>
      </c>
      <c r="S52" s="131">
        <f t="shared" ref="S52:S53" si="130">IF(S$16="","",R52)</f>
        <v>21178</v>
      </c>
      <c r="T52" s="130">
        <v>21390</v>
      </c>
      <c r="U52" s="131">
        <f>IF(U$16="","",T52)</f>
        <v>21390</v>
      </c>
      <c r="V52" s="130">
        <f t="shared" ref="V52:V53" si="131">IF(V$16="","",U52)</f>
        <v>21390</v>
      </c>
      <c r="W52" s="130">
        <v>21533</v>
      </c>
      <c r="X52" s="131">
        <f t="shared" ref="X52:X53" si="132">IF(X$16="","",W52)</f>
        <v>21533</v>
      </c>
      <c r="Y52" s="130">
        <f>IF(Y$16="","",X52)</f>
        <v>21533</v>
      </c>
      <c r="Z52" s="130">
        <v>21772</v>
      </c>
      <c r="AA52" s="131">
        <f t="shared" ref="AA52:AA53" si="133">IF(AA$16="","",Z52)</f>
        <v>21772</v>
      </c>
      <c r="AB52" s="130">
        <f>IF(AB$16="","",AA52)</f>
        <v>21772</v>
      </c>
      <c r="AC52" s="130">
        <f t="shared" ref="AC52:AC53" si="134">IF(AC$16="","",AB52)</f>
        <v>21772</v>
      </c>
      <c r="AD52" s="130">
        <v>21985</v>
      </c>
      <c r="AE52" s="131">
        <f t="shared" ref="AE52:AE53" si="135">IF(AE$16="","",AD52)</f>
        <v>21985</v>
      </c>
      <c r="AF52" s="130">
        <f>IF(AF$16="","",AE52)</f>
        <v>21985</v>
      </c>
      <c r="AG52" s="130">
        <v>22220</v>
      </c>
      <c r="AH52" s="129">
        <f>IF(AH$16="","",AG52)</f>
        <v>22220</v>
      </c>
      <c r="AI52" s="16">
        <f t="shared" ref="AI52:AJ53" si="136">IF(AI$16="","",AH52)</f>
        <v>22220</v>
      </c>
      <c r="AJ52" s="16">
        <f t="shared" si="136"/>
        <v>22220</v>
      </c>
      <c r="AK52" s="16">
        <v>22301</v>
      </c>
      <c r="AL52" s="196" t="str">
        <f t="shared" ref="AL52:BA53" si="137">IF(AL$16="","",AK52)</f>
        <v/>
      </c>
      <c r="AM52" s="16" t="str">
        <f t="shared" si="137"/>
        <v/>
      </c>
      <c r="AN52" s="16" t="str">
        <f t="shared" si="137"/>
        <v/>
      </c>
      <c r="AO52" s="196" t="str">
        <f t="shared" si="137"/>
        <v/>
      </c>
      <c r="AP52" s="16" t="str">
        <f t="shared" si="137"/>
        <v/>
      </c>
      <c r="AQ52" s="16" t="str">
        <f t="shared" si="137"/>
        <v/>
      </c>
      <c r="AR52" s="16" t="str">
        <f t="shared" si="137"/>
        <v/>
      </c>
      <c r="AS52" s="16" t="str">
        <f t="shared" si="137"/>
        <v/>
      </c>
      <c r="AT52" s="16" t="str">
        <f t="shared" si="137"/>
        <v/>
      </c>
      <c r="AU52" s="16" t="str">
        <f t="shared" si="137"/>
        <v/>
      </c>
      <c r="AV52" s="16" t="str">
        <f t="shared" si="137"/>
        <v/>
      </c>
      <c r="AW52" s="16" t="str">
        <f t="shared" si="137"/>
        <v/>
      </c>
      <c r="AX52" s="16" t="str">
        <f t="shared" si="137"/>
        <v/>
      </c>
      <c r="AY52" s="16" t="str">
        <f t="shared" si="137"/>
        <v/>
      </c>
      <c r="AZ52" s="16" t="str">
        <f t="shared" si="137"/>
        <v/>
      </c>
      <c r="BA52" s="16" t="str">
        <f t="shared" si="137"/>
        <v/>
      </c>
      <c r="BB52" s="16" t="str">
        <f t="shared" ref="BB52:BC53" si="138">IF(BB$16="","",BA52)</f>
        <v/>
      </c>
      <c r="BC52" s="16" t="str">
        <f t="shared" si="138"/>
        <v/>
      </c>
    </row>
    <row r="53" spans="1:55" ht="11.25" customHeight="1" x14ac:dyDescent="0.2">
      <c r="A53" s="10" t="s">
        <v>19</v>
      </c>
      <c r="B53" s="11" t="s">
        <v>4</v>
      </c>
      <c r="C53" s="123">
        <v>947</v>
      </c>
      <c r="D53" s="124">
        <f t="shared" si="124"/>
        <v>947</v>
      </c>
      <c r="E53" s="124">
        <v>961</v>
      </c>
      <c r="F53" s="125">
        <f t="shared" si="125"/>
        <v>961</v>
      </c>
      <c r="G53" s="124">
        <f>IF(G$16="","",F53)</f>
        <v>961</v>
      </c>
      <c r="H53" s="124">
        <f t="shared" si="126"/>
        <v>961</v>
      </c>
      <c r="I53" s="124">
        <v>964</v>
      </c>
      <c r="J53" s="125">
        <f t="shared" si="127"/>
        <v>964</v>
      </c>
      <c r="K53" s="124">
        <f t="shared" si="127"/>
        <v>964</v>
      </c>
      <c r="L53" s="124">
        <v>979</v>
      </c>
      <c r="M53" s="125">
        <f t="shared" si="128"/>
        <v>979</v>
      </c>
      <c r="N53" s="124">
        <f>IF(N$16="","",M53)</f>
        <v>979</v>
      </c>
      <c r="O53" s="124">
        <v>990</v>
      </c>
      <c r="P53" s="125">
        <f t="shared" si="129"/>
        <v>990</v>
      </c>
      <c r="Q53" s="124">
        <f t="shared" si="129"/>
        <v>990</v>
      </c>
      <c r="R53" s="124">
        <v>999</v>
      </c>
      <c r="S53" s="125">
        <f t="shared" si="130"/>
        <v>999</v>
      </c>
      <c r="T53" s="124">
        <v>1005</v>
      </c>
      <c r="U53" s="125">
        <f>IF(U$16="","",T53)</f>
        <v>1005</v>
      </c>
      <c r="V53" s="124">
        <f t="shared" si="131"/>
        <v>1005</v>
      </c>
      <c r="W53" s="124">
        <v>1012</v>
      </c>
      <c r="X53" s="125">
        <f t="shared" si="132"/>
        <v>1012</v>
      </c>
      <c r="Y53" s="124">
        <f>IF(Y$16="","",X53)</f>
        <v>1012</v>
      </c>
      <c r="Z53" s="124">
        <v>1022</v>
      </c>
      <c r="AA53" s="125">
        <f t="shared" si="133"/>
        <v>1022</v>
      </c>
      <c r="AB53" s="124">
        <f>IF(AB$16="","",AA53)</f>
        <v>1022</v>
      </c>
      <c r="AC53" s="124">
        <f t="shared" si="134"/>
        <v>1022</v>
      </c>
      <c r="AD53" s="124">
        <v>1032</v>
      </c>
      <c r="AE53" s="125">
        <f t="shared" si="135"/>
        <v>1032</v>
      </c>
      <c r="AF53" s="124">
        <f>IF(AF$16="","",AE53)</f>
        <v>1032</v>
      </c>
      <c r="AG53" s="124">
        <v>1045</v>
      </c>
      <c r="AH53" s="123">
        <f>IF(AH$16="","",AG53)</f>
        <v>1045</v>
      </c>
      <c r="AI53" s="12">
        <f t="shared" si="136"/>
        <v>1045</v>
      </c>
      <c r="AJ53" s="12">
        <f t="shared" si="136"/>
        <v>1045</v>
      </c>
      <c r="AK53" s="12">
        <v>1052</v>
      </c>
      <c r="AL53" s="195" t="str">
        <f t="shared" si="137"/>
        <v/>
      </c>
      <c r="AM53" s="12" t="str">
        <f t="shared" si="137"/>
        <v/>
      </c>
      <c r="AN53" s="12" t="str">
        <f t="shared" si="137"/>
        <v/>
      </c>
      <c r="AO53" s="195" t="str">
        <f t="shared" si="137"/>
        <v/>
      </c>
      <c r="AP53" s="12" t="str">
        <f t="shared" si="137"/>
        <v/>
      </c>
      <c r="AQ53" s="12" t="str">
        <f t="shared" si="137"/>
        <v/>
      </c>
      <c r="AR53" s="12" t="str">
        <f t="shared" si="137"/>
        <v/>
      </c>
      <c r="AS53" s="12" t="str">
        <f t="shared" si="137"/>
        <v/>
      </c>
      <c r="AT53" s="12" t="str">
        <f t="shared" si="137"/>
        <v/>
      </c>
      <c r="AU53" s="12" t="str">
        <f t="shared" si="137"/>
        <v/>
      </c>
      <c r="AV53" s="12" t="str">
        <f t="shared" si="137"/>
        <v/>
      </c>
      <c r="AW53" s="12" t="str">
        <f t="shared" si="137"/>
        <v/>
      </c>
      <c r="AX53" s="12" t="str">
        <f t="shared" si="137"/>
        <v/>
      </c>
      <c r="AY53" s="12" t="str">
        <f t="shared" si="137"/>
        <v/>
      </c>
      <c r="AZ53" s="12" t="str">
        <f t="shared" si="137"/>
        <v/>
      </c>
      <c r="BA53" s="12" t="str">
        <f t="shared" si="137"/>
        <v/>
      </c>
      <c r="BB53" s="12" t="str">
        <f t="shared" si="138"/>
        <v/>
      </c>
      <c r="BC53" s="12" t="str">
        <f t="shared" si="138"/>
        <v/>
      </c>
    </row>
    <row r="54" spans="1:55" ht="11.25" customHeight="1" x14ac:dyDescent="0.25">
      <c r="A54" s="24">
        <v>3</v>
      </c>
      <c r="B54" s="11" t="s">
        <v>5</v>
      </c>
      <c r="C54" s="123">
        <v>32</v>
      </c>
      <c r="D54" s="124">
        <f t="shared" ref="D54" si="139">IF(D52="","",(C54+C55))</f>
        <v>32</v>
      </c>
      <c r="E54" s="124">
        <f>IF(E52="","",(D54+D55))</f>
        <v>32</v>
      </c>
      <c r="F54" s="125">
        <f t="shared" ref="F54" si="140">IF(F52="","",(E54+E55))</f>
        <v>52</v>
      </c>
      <c r="G54" s="124">
        <f>IF(G52="","",(F54+F55))</f>
        <v>52</v>
      </c>
      <c r="H54" s="124">
        <f t="shared" ref="H54" si="141">IF(H52="","",(G54+G55))</f>
        <v>52</v>
      </c>
      <c r="I54" s="124">
        <v>49</v>
      </c>
      <c r="J54" s="125">
        <f t="shared" ref="J54:K54" si="142">IF(J52="","",(I54+I55))</f>
        <v>79</v>
      </c>
      <c r="K54" s="124">
        <f t="shared" si="142"/>
        <v>79</v>
      </c>
      <c r="L54" s="124">
        <v>64</v>
      </c>
      <c r="M54" s="125">
        <f t="shared" ref="M54" si="143">IF(M52="","",(L54+L55))</f>
        <v>79</v>
      </c>
      <c r="N54" s="124">
        <f>IF(N52="","",(M54+M55))</f>
        <v>79</v>
      </c>
      <c r="O54" s="124">
        <v>68</v>
      </c>
      <c r="P54" s="125">
        <f t="shared" ref="P54:Q54" si="144">IF(P52="","",(O54+O55))</f>
        <v>68</v>
      </c>
      <c r="Q54" s="124">
        <f t="shared" si="144"/>
        <v>68</v>
      </c>
      <c r="R54" s="124">
        <v>59</v>
      </c>
      <c r="S54" s="125">
        <f t="shared" ref="S54" si="145">IF(S52="","",(R54+R55))</f>
        <v>59</v>
      </c>
      <c r="T54" s="124">
        <v>53</v>
      </c>
      <c r="U54" s="125">
        <f>IF(U52="","",(T54+T55))</f>
        <v>73</v>
      </c>
      <c r="V54" s="124">
        <f t="shared" ref="V54" si="146">IF(V52="","",(U54+U55))</f>
        <v>73</v>
      </c>
      <c r="W54" s="124">
        <v>66</v>
      </c>
      <c r="X54" s="125">
        <f t="shared" ref="X54" si="147">IF(X52="","",(W54+W55))</f>
        <v>66</v>
      </c>
      <c r="Y54" s="124">
        <f>IF(Y52="","",(X54+X55))</f>
        <v>66</v>
      </c>
      <c r="Z54" s="124">
        <v>56</v>
      </c>
      <c r="AA54" s="125">
        <f t="shared" ref="AA54:AC54" si="148">IF(AA52="","",(Z54+Z55))</f>
        <v>66</v>
      </c>
      <c r="AB54" s="124">
        <f t="shared" si="148"/>
        <v>66</v>
      </c>
      <c r="AC54" s="124">
        <f t="shared" si="148"/>
        <v>66</v>
      </c>
      <c r="AD54" s="124">
        <v>56</v>
      </c>
      <c r="AE54" s="125">
        <f t="shared" ref="AE54" si="149">IF(AE52="","",(AD54+AD55))</f>
        <v>68</v>
      </c>
      <c r="AF54" s="124">
        <f>IF(AF52="","",(AE54+AE55))</f>
        <v>68</v>
      </c>
      <c r="AG54" s="124">
        <v>55</v>
      </c>
      <c r="AH54" s="123">
        <f>IF(AH52="","",(AG54+AG55))</f>
        <v>67</v>
      </c>
      <c r="AI54" s="12">
        <f t="shared" ref="AI54:AJ54" si="150">IF(AI52="","",(AH54+AH55))</f>
        <v>67</v>
      </c>
      <c r="AJ54" s="12">
        <f t="shared" si="150"/>
        <v>67</v>
      </c>
      <c r="AK54" s="12">
        <v>60</v>
      </c>
      <c r="AL54" s="195" t="str">
        <f t="shared" ref="AL54:BC54" si="151">IF(AL52="","",(AK54+AK55))</f>
        <v/>
      </c>
      <c r="AM54" s="12" t="str">
        <f t="shared" si="151"/>
        <v/>
      </c>
      <c r="AN54" s="12" t="str">
        <f t="shared" si="151"/>
        <v/>
      </c>
      <c r="AO54" s="195" t="str">
        <f t="shared" si="151"/>
        <v/>
      </c>
      <c r="AP54" s="12" t="str">
        <f t="shared" si="151"/>
        <v/>
      </c>
      <c r="AQ54" s="12" t="str">
        <f t="shared" si="151"/>
        <v/>
      </c>
      <c r="AR54" s="12" t="str">
        <f t="shared" si="151"/>
        <v/>
      </c>
      <c r="AS54" s="12" t="str">
        <f t="shared" si="151"/>
        <v/>
      </c>
      <c r="AT54" s="12" t="str">
        <f t="shared" si="151"/>
        <v/>
      </c>
      <c r="AU54" s="12" t="str">
        <f t="shared" si="151"/>
        <v/>
      </c>
      <c r="AV54" s="12" t="str">
        <f t="shared" si="151"/>
        <v/>
      </c>
      <c r="AW54" s="12" t="str">
        <f t="shared" si="151"/>
        <v/>
      </c>
      <c r="AX54" s="12" t="str">
        <f t="shared" si="151"/>
        <v/>
      </c>
      <c r="AY54" s="12" t="str">
        <f t="shared" si="151"/>
        <v/>
      </c>
      <c r="AZ54" s="12" t="str">
        <f t="shared" si="151"/>
        <v/>
      </c>
      <c r="BA54" s="12" t="str">
        <f t="shared" si="151"/>
        <v/>
      </c>
      <c r="BB54" s="12" t="str">
        <f t="shared" si="151"/>
        <v/>
      </c>
      <c r="BC54" s="12" t="str">
        <f t="shared" si="151"/>
        <v/>
      </c>
    </row>
    <row r="55" spans="1:55" ht="11.25" customHeight="1" x14ac:dyDescent="0.2">
      <c r="A55" s="14"/>
      <c r="B55" s="11" t="s">
        <v>6</v>
      </c>
      <c r="C55" s="123"/>
      <c r="D55" s="124"/>
      <c r="E55" s="124">
        <v>20</v>
      </c>
      <c r="F55" s="125"/>
      <c r="G55" s="124"/>
      <c r="H55" s="124"/>
      <c r="I55" s="124">
        <v>30</v>
      </c>
      <c r="J55" s="125"/>
      <c r="K55" s="124"/>
      <c r="L55" s="124">
        <v>15</v>
      </c>
      <c r="M55" s="125"/>
      <c r="N55" s="124"/>
      <c r="O55" s="124"/>
      <c r="P55" s="125"/>
      <c r="Q55" s="124"/>
      <c r="R55" s="124"/>
      <c r="S55" s="125"/>
      <c r="T55" s="124">
        <v>20</v>
      </c>
      <c r="U55" s="125"/>
      <c r="V55" s="124"/>
      <c r="W55" s="124"/>
      <c r="X55" s="125"/>
      <c r="Y55" s="124"/>
      <c r="Z55" s="124">
        <v>10</v>
      </c>
      <c r="AA55" s="125"/>
      <c r="AB55" s="124"/>
      <c r="AC55" s="124"/>
      <c r="AD55" s="124">
        <v>12</v>
      </c>
      <c r="AE55" s="125"/>
      <c r="AF55" s="124"/>
      <c r="AG55" s="124">
        <v>12</v>
      </c>
      <c r="AH55" s="123"/>
      <c r="AI55" s="12"/>
      <c r="AJ55" s="12"/>
      <c r="AK55" s="12"/>
      <c r="AL55" s="195"/>
      <c r="AM55" s="12"/>
      <c r="AN55" s="12"/>
      <c r="AO55" s="195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</row>
    <row r="56" spans="1:55" ht="11.25" customHeight="1" x14ac:dyDescent="0.2">
      <c r="A56" s="15"/>
      <c r="B56" s="11" t="s">
        <v>8</v>
      </c>
      <c r="C56" s="129">
        <v>240</v>
      </c>
      <c r="D56" s="130">
        <f t="shared" ref="D56:AA56" si="152">IF(D52="","",C56)</f>
        <v>240</v>
      </c>
      <c r="E56" s="130">
        <f t="shared" si="152"/>
        <v>240</v>
      </c>
      <c r="F56" s="131">
        <f t="shared" si="152"/>
        <v>240</v>
      </c>
      <c r="G56" s="130">
        <f t="shared" si="152"/>
        <v>240</v>
      </c>
      <c r="H56" s="130">
        <f t="shared" si="152"/>
        <v>240</v>
      </c>
      <c r="I56" s="130">
        <f t="shared" si="152"/>
        <v>240</v>
      </c>
      <c r="J56" s="131">
        <f t="shared" si="152"/>
        <v>240</v>
      </c>
      <c r="K56" s="130">
        <f t="shared" si="152"/>
        <v>240</v>
      </c>
      <c r="L56" s="130">
        <f t="shared" si="152"/>
        <v>240</v>
      </c>
      <c r="M56" s="131">
        <f t="shared" si="152"/>
        <v>240</v>
      </c>
      <c r="N56" s="130">
        <f t="shared" si="152"/>
        <v>240</v>
      </c>
      <c r="O56" s="130">
        <f t="shared" si="152"/>
        <v>240</v>
      </c>
      <c r="P56" s="131">
        <f t="shared" si="152"/>
        <v>240</v>
      </c>
      <c r="Q56" s="130">
        <f t="shared" si="152"/>
        <v>240</v>
      </c>
      <c r="R56" s="130">
        <f t="shared" si="152"/>
        <v>240</v>
      </c>
      <c r="S56" s="131">
        <f t="shared" si="152"/>
        <v>240</v>
      </c>
      <c r="T56" s="130">
        <f t="shared" si="152"/>
        <v>240</v>
      </c>
      <c r="U56" s="131">
        <f t="shared" si="152"/>
        <v>240</v>
      </c>
      <c r="V56" s="130">
        <f t="shared" si="152"/>
        <v>240</v>
      </c>
      <c r="W56" s="130">
        <f t="shared" si="152"/>
        <v>240</v>
      </c>
      <c r="X56" s="131">
        <f t="shared" si="152"/>
        <v>240</v>
      </c>
      <c r="Y56" s="130">
        <f t="shared" si="152"/>
        <v>240</v>
      </c>
      <c r="Z56" s="130">
        <f t="shared" si="152"/>
        <v>240</v>
      </c>
      <c r="AA56" s="131">
        <f t="shared" si="152"/>
        <v>240</v>
      </c>
      <c r="AB56" s="130">
        <f>IF(AB52="","",AA56)</f>
        <v>240</v>
      </c>
      <c r="AC56" s="130">
        <f>IF(AC52="","",AB56)</f>
        <v>240</v>
      </c>
      <c r="AD56" s="130">
        <f t="shared" ref="AD56:AG56" si="153">IF(AD52="","",AC56)</f>
        <v>240</v>
      </c>
      <c r="AE56" s="131">
        <f t="shared" si="153"/>
        <v>240</v>
      </c>
      <c r="AF56" s="130">
        <f t="shared" si="153"/>
        <v>240</v>
      </c>
      <c r="AG56" s="130">
        <f t="shared" si="153"/>
        <v>240</v>
      </c>
      <c r="AH56" s="129">
        <f>IF(AH52="","",AG56)</f>
        <v>240</v>
      </c>
      <c r="AI56" s="16">
        <f t="shared" ref="AI56:BC56" si="154">IF(AI52="","",AH56)</f>
        <v>240</v>
      </c>
      <c r="AJ56" s="16">
        <f t="shared" si="154"/>
        <v>240</v>
      </c>
      <c r="AK56" s="16">
        <f t="shared" si="154"/>
        <v>240</v>
      </c>
      <c r="AL56" s="196" t="str">
        <f t="shared" si="154"/>
        <v/>
      </c>
      <c r="AM56" s="16" t="str">
        <f t="shared" si="154"/>
        <v/>
      </c>
      <c r="AN56" s="16" t="str">
        <f t="shared" si="154"/>
        <v/>
      </c>
      <c r="AO56" s="196" t="str">
        <f t="shared" si="154"/>
        <v/>
      </c>
      <c r="AP56" s="16" t="str">
        <f t="shared" si="154"/>
        <v/>
      </c>
      <c r="AQ56" s="16" t="str">
        <f t="shared" si="154"/>
        <v/>
      </c>
      <c r="AR56" s="16" t="str">
        <f t="shared" si="154"/>
        <v/>
      </c>
      <c r="AS56" s="16" t="str">
        <f t="shared" si="154"/>
        <v/>
      </c>
      <c r="AT56" s="16" t="str">
        <f t="shared" si="154"/>
        <v/>
      </c>
      <c r="AU56" s="16" t="str">
        <f t="shared" si="154"/>
        <v/>
      </c>
      <c r="AV56" s="16" t="str">
        <f t="shared" si="154"/>
        <v/>
      </c>
      <c r="AW56" s="16" t="str">
        <f t="shared" si="154"/>
        <v/>
      </c>
      <c r="AX56" s="16" t="str">
        <f t="shared" si="154"/>
        <v/>
      </c>
      <c r="AY56" s="16" t="str">
        <f t="shared" si="154"/>
        <v/>
      </c>
      <c r="AZ56" s="16" t="str">
        <f t="shared" si="154"/>
        <v/>
      </c>
      <c r="BA56" s="16" t="str">
        <f t="shared" si="154"/>
        <v/>
      </c>
      <c r="BB56" s="16" t="str">
        <f t="shared" si="154"/>
        <v/>
      </c>
      <c r="BC56" s="16" t="str">
        <f t="shared" si="154"/>
        <v/>
      </c>
    </row>
    <row r="57" spans="1:55" ht="11.25" customHeight="1" x14ac:dyDescent="0.2">
      <c r="A57" s="14" t="s">
        <v>9</v>
      </c>
      <c r="B57" s="17" t="s">
        <v>10</v>
      </c>
      <c r="C57" s="133" t="s">
        <v>231</v>
      </c>
      <c r="D57" s="134" t="str">
        <f t="shared" ref="D57:L57" si="155">IF(D52="","",C57)</f>
        <v>トロミスクイーズ</v>
      </c>
      <c r="E57" s="134" t="str">
        <f t="shared" si="155"/>
        <v>トロミスクイーズ</v>
      </c>
      <c r="F57" s="135" t="str">
        <f t="shared" si="155"/>
        <v>トロミスクイーズ</v>
      </c>
      <c r="G57" s="134" t="str">
        <f t="shared" si="155"/>
        <v>トロミスクイーズ</v>
      </c>
      <c r="H57" s="134" t="str">
        <f t="shared" si="155"/>
        <v>トロミスクイーズ</v>
      </c>
      <c r="I57" s="134" t="str">
        <f t="shared" si="155"/>
        <v>トロミスクイーズ</v>
      </c>
      <c r="J57" s="135" t="str">
        <f t="shared" si="155"/>
        <v>トロミスクイーズ</v>
      </c>
      <c r="K57" s="134" t="str">
        <f t="shared" si="155"/>
        <v>トロミスクイーズ</v>
      </c>
      <c r="L57" s="134" t="str">
        <f t="shared" si="155"/>
        <v>トロミスクイーズ</v>
      </c>
      <c r="M57" s="135" t="str">
        <f>IF(M52="","",L57)</f>
        <v>トロミスクイーズ</v>
      </c>
      <c r="N57" s="134" t="str">
        <f t="shared" ref="N57:AB57" si="156">IF(N52="","",M57)</f>
        <v>トロミスクイーズ</v>
      </c>
      <c r="O57" s="134" t="str">
        <f t="shared" si="156"/>
        <v>トロミスクイーズ</v>
      </c>
      <c r="P57" s="135" t="str">
        <f t="shared" si="156"/>
        <v>トロミスクイーズ</v>
      </c>
      <c r="Q57" s="134" t="str">
        <f t="shared" si="156"/>
        <v>トロミスクイーズ</v>
      </c>
      <c r="R57" s="134" t="str">
        <f t="shared" si="156"/>
        <v>トロミスクイーズ</v>
      </c>
      <c r="S57" s="135" t="str">
        <f t="shared" si="156"/>
        <v>トロミスクイーズ</v>
      </c>
      <c r="T57" s="134" t="str">
        <f t="shared" si="156"/>
        <v>トロミスクイーズ</v>
      </c>
      <c r="U57" s="135" t="str">
        <f t="shared" si="156"/>
        <v>トロミスクイーズ</v>
      </c>
      <c r="V57" s="134" t="str">
        <f t="shared" si="156"/>
        <v>トロミスクイーズ</v>
      </c>
      <c r="W57" s="134" t="str">
        <f t="shared" si="156"/>
        <v>トロミスクイーズ</v>
      </c>
      <c r="X57" s="135" t="str">
        <f t="shared" si="156"/>
        <v>トロミスクイーズ</v>
      </c>
      <c r="Y57" s="134" t="str">
        <f t="shared" si="156"/>
        <v>トロミスクイーズ</v>
      </c>
      <c r="Z57" s="134" t="str">
        <f t="shared" si="156"/>
        <v>トロミスクイーズ</v>
      </c>
      <c r="AA57" s="135" t="str">
        <f t="shared" si="156"/>
        <v>トロミスクイーズ</v>
      </c>
      <c r="AB57" s="134" t="str">
        <f t="shared" si="156"/>
        <v>トロミスクイーズ</v>
      </c>
      <c r="AC57" s="134" t="str">
        <f>IF(AC52="","",AB57)</f>
        <v>トロミスクイーズ</v>
      </c>
      <c r="AD57" s="134" t="str">
        <f t="shared" ref="AD57:AG57" si="157">IF(AD52="","",AC57)</f>
        <v>トロミスクイーズ</v>
      </c>
      <c r="AE57" s="135" t="str">
        <f t="shared" si="157"/>
        <v>トロミスクイーズ</v>
      </c>
      <c r="AF57" s="134" t="str">
        <f t="shared" si="157"/>
        <v>トロミスクイーズ</v>
      </c>
      <c r="AG57" s="134" t="str">
        <f t="shared" si="157"/>
        <v>トロミスクイーズ</v>
      </c>
      <c r="AH57" s="133" t="str">
        <f>IF(AH52="","",AG57)</f>
        <v>トロミスクイーズ</v>
      </c>
      <c r="AI57" s="18" t="str">
        <f t="shared" ref="AI57:BC57" si="158">IF(AI52="","",AH57)</f>
        <v>トロミスクイーズ</v>
      </c>
      <c r="AJ57" s="18" t="str">
        <f t="shared" si="158"/>
        <v>トロミスクイーズ</v>
      </c>
      <c r="AK57" s="18" t="str">
        <f t="shared" si="158"/>
        <v>トロミスクイーズ</v>
      </c>
      <c r="AL57" s="197" t="str">
        <f t="shared" si="158"/>
        <v/>
      </c>
      <c r="AM57" s="18" t="str">
        <f t="shared" si="158"/>
        <v/>
      </c>
      <c r="AN57" s="18" t="str">
        <f t="shared" si="158"/>
        <v/>
      </c>
      <c r="AO57" s="197" t="str">
        <f t="shared" si="158"/>
        <v/>
      </c>
      <c r="AP57" s="18" t="str">
        <f t="shared" si="158"/>
        <v/>
      </c>
      <c r="AQ57" s="18" t="str">
        <f t="shared" si="158"/>
        <v/>
      </c>
      <c r="AR57" s="18" t="str">
        <f t="shared" si="158"/>
        <v/>
      </c>
      <c r="AS57" s="18" t="str">
        <f t="shared" si="158"/>
        <v/>
      </c>
      <c r="AT57" s="18" t="str">
        <f t="shared" si="158"/>
        <v/>
      </c>
      <c r="AU57" s="18" t="str">
        <f t="shared" si="158"/>
        <v/>
      </c>
      <c r="AV57" s="18" t="str">
        <f t="shared" si="158"/>
        <v/>
      </c>
      <c r="AW57" s="18" t="str">
        <f t="shared" si="158"/>
        <v/>
      </c>
      <c r="AX57" s="18" t="str">
        <f t="shared" si="158"/>
        <v/>
      </c>
      <c r="AY57" s="18" t="str">
        <f t="shared" si="158"/>
        <v/>
      </c>
      <c r="AZ57" s="18" t="str">
        <f t="shared" si="158"/>
        <v/>
      </c>
      <c r="BA57" s="18" t="str">
        <f t="shared" si="158"/>
        <v/>
      </c>
      <c r="BB57" s="18" t="str">
        <f t="shared" si="158"/>
        <v/>
      </c>
      <c r="BC57" s="18" t="str">
        <f t="shared" si="158"/>
        <v/>
      </c>
    </row>
    <row r="58" spans="1:55" ht="11.25" customHeight="1" x14ac:dyDescent="0.2">
      <c r="A58" s="15">
        <f>AVERAGE(C59:AS59)*30*100</f>
        <v>207794.11764705883</v>
      </c>
      <c r="B58" s="11" t="s">
        <v>12</v>
      </c>
      <c r="C58" s="123"/>
      <c r="D58" s="124"/>
      <c r="E58" s="124"/>
      <c r="F58" s="125"/>
      <c r="G58" s="124"/>
      <c r="H58" s="124"/>
      <c r="I58" s="124"/>
      <c r="J58" s="125"/>
      <c r="K58" s="124"/>
      <c r="L58" s="124"/>
      <c r="M58" s="125"/>
      <c r="N58" s="124"/>
      <c r="O58" s="124"/>
      <c r="P58" s="125"/>
      <c r="Q58" s="124"/>
      <c r="R58" s="124"/>
      <c r="S58" s="125"/>
      <c r="T58" s="124"/>
      <c r="U58" s="125"/>
      <c r="V58" s="124"/>
      <c r="W58" s="124"/>
      <c r="X58" s="125"/>
      <c r="Y58" s="124"/>
      <c r="Z58" s="124"/>
      <c r="AA58" s="125"/>
      <c r="AB58" s="124"/>
      <c r="AC58" s="124"/>
      <c r="AD58" s="124"/>
      <c r="AE58" s="125"/>
      <c r="AF58" s="124"/>
      <c r="AG58" s="124"/>
      <c r="AH58" s="123"/>
      <c r="AI58" s="12"/>
      <c r="AJ58" s="12"/>
      <c r="AK58" s="12"/>
      <c r="AL58" s="195"/>
      <c r="AM58" s="12"/>
      <c r="AN58" s="12"/>
      <c r="AO58" s="195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</row>
    <row r="59" spans="1:55" ht="11.25" customHeight="1" x14ac:dyDescent="0.2">
      <c r="A59" s="15">
        <f t="shared" ref="A59:A62" si="159">SUM(C59:AS59)</f>
        <v>2355</v>
      </c>
      <c r="B59" s="19" t="s">
        <v>13</v>
      </c>
      <c r="C59" s="123"/>
      <c r="D59" s="137">
        <f t="shared" ref="D59:AG60" si="160">IF(D52="","",D52-C52)</f>
        <v>0</v>
      </c>
      <c r="E59" s="137">
        <f t="shared" si="160"/>
        <v>312</v>
      </c>
      <c r="F59" s="125">
        <f t="shared" si="160"/>
        <v>0</v>
      </c>
      <c r="G59" s="137">
        <f t="shared" si="160"/>
        <v>0</v>
      </c>
      <c r="H59" s="137">
        <f t="shared" si="160"/>
        <v>0</v>
      </c>
      <c r="I59" s="137">
        <f t="shared" si="160"/>
        <v>113</v>
      </c>
      <c r="J59" s="125">
        <f t="shared" si="160"/>
        <v>0</v>
      </c>
      <c r="K59" s="137">
        <f t="shared" si="160"/>
        <v>0</v>
      </c>
      <c r="L59" s="137">
        <f t="shared" si="160"/>
        <v>302</v>
      </c>
      <c r="M59" s="125">
        <f t="shared" si="160"/>
        <v>0</v>
      </c>
      <c r="N59" s="137">
        <f t="shared" si="160"/>
        <v>0</v>
      </c>
      <c r="O59" s="137">
        <f t="shared" si="160"/>
        <v>222</v>
      </c>
      <c r="P59" s="125">
        <f t="shared" si="160"/>
        <v>0</v>
      </c>
      <c r="Q59" s="137">
        <f t="shared" si="160"/>
        <v>0</v>
      </c>
      <c r="R59" s="124">
        <f t="shared" si="160"/>
        <v>283</v>
      </c>
      <c r="S59" s="125">
        <f t="shared" si="160"/>
        <v>0</v>
      </c>
      <c r="T59" s="137">
        <f t="shared" si="160"/>
        <v>212</v>
      </c>
      <c r="U59" s="125">
        <f t="shared" si="160"/>
        <v>0</v>
      </c>
      <c r="V59" s="137">
        <f t="shared" si="160"/>
        <v>0</v>
      </c>
      <c r="W59" s="137">
        <f t="shared" si="160"/>
        <v>143</v>
      </c>
      <c r="X59" s="125">
        <f t="shared" si="160"/>
        <v>0</v>
      </c>
      <c r="Y59" s="137">
        <f t="shared" si="160"/>
        <v>0</v>
      </c>
      <c r="Z59" s="137">
        <f t="shared" si="160"/>
        <v>239</v>
      </c>
      <c r="AA59" s="125">
        <f t="shared" si="160"/>
        <v>0</v>
      </c>
      <c r="AB59" s="137">
        <f t="shared" si="160"/>
        <v>0</v>
      </c>
      <c r="AC59" s="137">
        <f t="shared" si="160"/>
        <v>0</v>
      </c>
      <c r="AD59" s="137">
        <f t="shared" si="160"/>
        <v>213</v>
      </c>
      <c r="AE59" s="125">
        <f t="shared" si="160"/>
        <v>0</v>
      </c>
      <c r="AF59" s="137">
        <f t="shared" si="160"/>
        <v>0</v>
      </c>
      <c r="AG59" s="137">
        <f t="shared" si="160"/>
        <v>235</v>
      </c>
      <c r="AH59" s="123">
        <f>IF(AH52="","",AH52-AG52)</f>
        <v>0</v>
      </c>
      <c r="AI59" s="20">
        <f t="shared" ref="AI59:BC60" si="161">IF(AI52="","",AI52-AH52)</f>
        <v>0</v>
      </c>
      <c r="AJ59" s="20">
        <f t="shared" si="161"/>
        <v>0</v>
      </c>
      <c r="AK59" s="20">
        <f t="shared" si="161"/>
        <v>81</v>
      </c>
      <c r="AL59" s="195" t="str">
        <f t="shared" si="161"/>
        <v/>
      </c>
      <c r="AM59" s="20" t="str">
        <f t="shared" si="161"/>
        <v/>
      </c>
      <c r="AN59" s="20" t="str">
        <f t="shared" si="161"/>
        <v/>
      </c>
      <c r="AO59" s="195" t="str">
        <f t="shared" si="161"/>
        <v/>
      </c>
      <c r="AP59" s="20" t="str">
        <f t="shared" si="161"/>
        <v/>
      </c>
      <c r="AQ59" s="20" t="str">
        <f t="shared" si="161"/>
        <v/>
      </c>
      <c r="AR59" s="20" t="str">
        <f t="shared" si="161"/>
        <v/>
      </c>
      <c r="AS59" s="20" t="str">
        <f t="shared" si="161"/>
        <v/>
      </c>
      <c r="AT59" s="20" t="str">
        <f t="shared" si="161"/>
        <v/>
      </c>
      <c r="AU59" s="20" t="str">
        <f t="shared" si="161"/>
        <v/>
      </c>
      <c r="AV59" s="20" t="str">
        <f t="shared" si="161"/>
        <v/>
      </c>
      <c r="AW59" s="20" t="str">
        <f t="shared" si="161"/>
        <v/>
      </c>
      <c r="AX59" s="20" t="str">
        <f t="shared" si="161"/>
        <v/>
      </c>
      <c r="AY59" s="20" t="str">
        <f t="shared" si="161"/>
        <v/>
      </c>
      <c r="AZ59" s="20" t="str">
        <f t="shared" si="161"/>
        <v/>
      </c>
      <c r="BA59" s="20" t="str">
        <f t="shared" si="161"/>
        <v/>
      </c>
      <c r="BB59" s="20" t="str">
        <f t="shared" si="161"/>
        <v/>
      </c>
      <c r="BC59" s="20" t="str">
        <f t="shared" si="161"/>
        <v/>
      </c>
    </row>
    <row r="60" spans="1:55" ht="11.25" customHeight="1" x14ac:dyDescent="0.2">
      <c r="A60" s="15">
        <f t="shared" si="159"/>
        <v>106</v>
      </c>
      <c r="B60" s="19" t="s">
        <v>14</v>
      </c>
      <c r="C60" s="123">
        <v>1</v>
      </c>
      <c r="D60" s="137">
        <f t="shared" si="160"/>
        <v>0</v>
      </c>
      <c r="E60" s="137">
        <f t="shared" si="160"/>
        <v>14</v>
      </c>
      <c r="F60" s="125">
        <f t="shared" si="160"/>
        <v>0</v>
      </c>
      <c r="G60" s="137">
        <f t="shared" si="160"/>
        <v>0</v>
      </c>
      <c r="H60" s="137">
        <f t="shared" si="160"/>
        <v>0</v>
      </c>
      <c r="I60" s="137">
        <f t="shared" si="160"/>
        <v>3</v>
      </c>
      <c r="J60" s="125">
        <f t="shared" si="160"/>
        <v>0</v>
      </c>
      <c r="K60" s="137">
        <f t="shared" si="160"/>
        <v>0</v>
      </c>
      <c r="L60" s="137">
        <f t="shared" si="160"/>
        <v>15</v>
      </c>
      <c r="M60" s="125">
        <f t="shared" si="160"/>
        <v>0</v>
      </c>
      <c r="N60" s="137">
        <f t="shared" si="160"/>
        <v>0</v>
      </c>
      <c r="O60" s="137">
        <f t="shared" si="160"/>
        <v>11</v>
      </c>
      <c r="P60" s="125">
        <f t="shared" si="160"/>
        <v>0</v>
      </c>
      <c r="Q60" s="137">
        <f t="shared" si="160"/>
        <v>0</v>
      </c>
      <c r="R60" s="124">
        <f t="shared" si="160"/>
        <v>9</v>
      </c>
      <c r="S60" s="125">
        <f t="shared" si="160"/>
        <v>0</v>
      </c>
      <c r="T60" s="137">
        <f t="shared" si="160"/>
        <v>6</v>
      </c>
      <c r="U60" s="125">
        <f t="shared" si="160"/>
        <v>0</v>
      </c>
      <c r="V60" s="137">
        <f t="shared" si="160"/>
        <v>0</v>
      </c>
      <c r="W60" s="137">
        <f t="shared" si="160"/>
        <v>7</v>
      </c>
      <c r="X60" s="125">
        <f t="shared" si="160"/>
        <v>0</v>
      </c>
      <c r="Y60" s="137">
        <f t="shared" si="160"/>
        <v>0</v>
      </c>
      <c r="Z60" s="137">
        <f t="shared" si="160"/>
        <v>10</v>
      </c>
      <c r="AA60" s="125">
        <f t="shared" si="160"/>
        <v>0</v>
      </c>
      <c r="AB60" s="137">
        <f t="shared" si="160"/>
        <v>0</v>
      </c>
      <c r="AC60" s="137">
        <f t="shared" si="160"/>
        <v>0</v>
      </c>
      <c r="AD60" s="137">
        <f t="shared" si="160"/>
        <v>10</v>
      </c>
      <c r="AE60" s="125">
        <f t="shared" si="160"/>
        <v>0</v>
      </c>
      <c r="AF60" s="137">
        <f t="shared" si="160"/>
        <v>0</v>
      </c>
      <c r="AG60" s="137">
        <f t="shared" si="160"/>
        <v>13</v>
      </c>
      <c r="AH60" s="123">
        <f>IF(AH53="","",AH53-AG53)</f>
        <v>0</v>
      </c>
      <c r="AI60" s="20">
        <f t="shared" si="161"/>
        <v>0</v>
      </c>
      <c r="AJ60" s="20">
        <f t="shared" si="161"/>
        <v>0</v>
      </c>
      <c r="AK60" s="20">
        <f t="shared" si="161"/>
        <v>7</v>
      </c>
      <c r="AL60" s="195" t="str">
        <f t="shared" si="161"/>
        <v/>
      </c>
      <c r="AM60" s="20" t="str">
        <f t="shared" si="161"/>
        <v/>
      </c>
      <c r="AN60" s="20" t="str">
        <f t="shared" si="161"/>
        <v/>
      </c>
      <c r="AO60" s="195" t="str">
        <f t="shared" si="161"/>
        <v/>
      </c>
      <c r="AP60" s="20" t="str">
        <f t="shared" si="161"/>
        <v/>
      </c>
      <c r="AQ60" s="20" t="str">
        <f t="shared" si="161"/>
        <v/>
      </c>
      <c r="AR60" s="20" t="str">
        <f t="shared" si="161"/>
        <v/>
      </c>
      <c r="AS60" s="20" t="str">
        <f t="shared" si="161"/>
        <v/>
      </c>
      <c r="AT60" s="20" t="str">
        <f t="shared" si="161"/>
        <v/>
      </c>
      <c r="AU60" s="20" t="str">
        <f t="shared" si="161"/>
        <v/>
      </c>
      <c r="AV60" s="20" t="str">
        <f t="shared" si="161"/>
        <v/>
      </c>
      <c r="AW60" s="20" t="str">
        <f t="shared" si="161"/>
        <v/>
      </c>
      <c r="AX60" s="20" t="str">
        <f t="shared" si="161"/>
        <v/>
      </c>
      <c r="AY60" s="20" t="str">
        <f t="shared" si="161"/>
        <v/>
      </c>
      <c r="AZ60" s="20" t="str">
        <f t="shared" si="161"/>
        <v/>
      </c>
      <c r="BA60" s="20" t="str">
        <f t="shared" si="161"/>
        <v/>
      </c>
      <c r="BB60" s="20" t="str">
        <f t="shared" si="161"/>
        <v/>
      </c>
      <c r="BC60" s="20" t="str">
        <f t="shared" si="161"/>
        <v/>
      </c>
    </row>
    <row r="61" spans="1:55" ht="11.25" customHeight="1" x14ac:dyDescent="0.2">
      <c r="A61" s="15">
        <f t="shared" si="159"/>
        <v>91</v>
      </c>
      <c r="B61" s="19" t="s">
        <v>15</v>
      </c>
      <c r="C61" s="123">
        <v>0</v>
      </c>
      <c r="D61" s="137">
        <f t="shared" ref="D61:AG61" si="162">IF(D54="","",C54+C55-D54)</f>
        <v>0</v>
      </c>
      <c r="E61" s="137">
        <f t="shared" si="162"/>
        <v>0</v>
      </c>
      <c r="F61" s="125">
        <f t="shared" si="162"/>
        <v>0</v>
      </c>
      <c r="G61" s="137">
        <f t="shared" si="162"/>
        <v>0</v>
      </c>
      <c r="H61" s="137">
        <f t="shared" si="162"/>
        <v>0</v>
      </c>
      <c r="I61" s="137">
        <f t="shared" si="162"/>
        <v>3</v>
      </c>
      <c r="J61" s="125">
        <f t="shared" si="162"/>
        <v>0</v>
      </c>
      <c r="K61" s="137">
        <f t="shared" si="162"/>
        <v>0</v>
      </c>
      <c r="L61" s="137">
        <f t="shared" si="162"/>
        <v>15</v>
      </c>
      <c r="M61" s="125">
        <f t="shared" si="162"/>
        <v>0</v>
      </c>
      <c r="N61" s="137">
        <f t="shared" si="162"/>
        <v>0</v>
      </c>
      <c r="O61" s="137">
        <f t="shared" si="162"/>
        <v>11</v>
      </c>
      <c r="P61" s="125">
        <f t="shared" si="162"/>
        <v>0</v>
      </c>
      <c r="Q61" s="137">
        <f t="shared" si="162"/>
        <v>0</v>
      </c>
      <c r="R61" s="124">
        <f t="shared" si="162"/>
        <v>9</v>
      </c>
      <c r="S61" s="125">
        <f t="shared" si="162"/>
        <v>0</v>
      </c>
      <c r="T61" s="137">
        <f t="shared" si="162"/>
        <v>6</v>
      </c>
      <c r="U61" s="125">
        <f t="shared" si="162"/>
        <v>0</v>
      </c>
      <c r="V61" s="137">
        <f t="shared" si="162"/>
        <v>0</v>
      </c>
      <c r="W61" s="137">
        <f t="shared" si="162"/>
        <v>7</v>
      </c>
      <c r="X61" s="125">
        <f t="shared" si="162"/>
        <v>0</v>
      </c>
      <c r="Y61" s="137">
        <f t="shared" si="162"/>
        <v>0</v>
      </c>
      <c r="Z61" s="137">
        <f t="shared" si="162"/>
        <v>10</v>
      </c>
      <c r="AA61" s="125">
        <f t="shared" si="162"/>
        <v>0</v>
      </c>
      <c r="AB61" s="137">
        <f t="shared" si="162"/>
        <v>0</v>
      </c>
      <c r="AC61" s="137">
        <f t="shared" si="162"/>
        <v>0</v>
      </c>
      <c r="AD61" s="137">
        <f t="shared" si="162"/>
        <v>10</v>
      </c>
      <c r="AE61" s="125">
        <f t="shared" si="162"/>
        <v>0</v>
      </c>
      <c r="AF61" s="137">
        <f t="shared" si="162"/>
        <v>0</v>
      </c>
      <c r="AG61" s="137">
        <f t="shared" si="162"/>
        <v>13</v>
      </c>
      <c r="AH61" s="123">
        <f>IF(AH54="","",AG54+AG55-AH54)</f>
        <v>0</v>
      </c>
      <c r="AI61" s="20">
        <f t="shared" ref="AI61:BC61" si="163">IF(AI54="","",AH54+AH55-AI54)</f>
        <v>0</v>
      </c>
      <c r="AJ61" s="20">
        <f t="shared" si="163"/>
        <v>0</v>
      </c>
      <c r="AK61" s="20">
        <f t="shared" si="163"/>
        <v>7</v>
      </c>
      <c r="AL61" s="195" t="str">
        <f t="shared" si="163"/>
        <v/>
      </c>
      <c r="AM61" s="20" t="str">
        <f t="shared" si="163"/>
        <v/>
      </c>
      <c r="AN61" s="20" t="str">
        <f t="shared" si="163"/>
        <v/>
      </c>
      <c r="AO61" s="195" t="str">
        <f t="shared" si="163"/>
        <v/>
      </c>
      <c r="AP61" s="20" t="str">
        <f t="shared" si="163"/>
        <v/>
      </c>
      <c r="AQ61" s="20" t="str">
        <f t="shared" si="163"/>
        <v/>
      </c>
      <c r="AR61" s="20" t="str">
        <f t="shared" si="163"/>
        <v/>
      </c>
      <c r="AS61" s="20" t="str">
        <f t="shared" si="163"/>
        <v/>
      </c>
      <c r="AT61" s="20" t="str">
        <f t="shared" si="163"/>
        <v/>
      </c>
      <c r="AU61" s="20" t="str">
        <f t="shared" si="163"/>
        <v/>
      </c>
      <c r="AV61" s="20" t="str">
        <f t="shared" si="163"/>
        <v/>
      </c>
      <c r="AW61" s="20" t="str">
        <f t="shared" si="163"/>
        <v/>
      </c>
      <c r="AX61" s="20" t="str">
        <f t="shared" si="163"/>
        <v/>
      </c>
      <c r="AY61" s="20" t="str">
        <f t="shared" si="163"/>
        <v/>
      </c>
      <c r="AZ61" s="20" t="str">
        <f t="shared" si="163"/>
        <v/>
      </c>
      <c r="BA61" s="20" t="str">
        <f t="shared" si="163"/>
        <v/>
      </c>
      <c r="BB61" s="20" t="str">
        <f t="shared" si="163"/>
        <v/>
      </c>
      <c r="BC61" s="20" t="str">
        <f t="shared" si="163"/>
        <v/>
      </c>
    </row>
    <row r="62" spans="1:55" ht="11.25" customHeight="1" x14ac:dyDescent="0.2">
      <c r="A62" s="15">
        <f t="shared" si="159"/>
        <v>21840</v>
      </c>
      <c r="B62" s="19" t="s">
        <v>16</v>
      </c>
      <c r="C62" s="123">
        <v>0</v>
      </c>
      <c r="D62" s="137">
        <f t="shared" ref="D62:BC62" si="164">IF(D52="","",D61*D56)</f>
        <v>0</v>
      </c>
      <c r="E62" s="137">
        <f t="shared" si="164"/>
        <v>0</v>
      </c>
      <c r="F62" s="125">
        <f t="shared" si="164"/>
        <v>0</v>
      </c>
      <c r="G62" s="137">
        <f t="shared" si="164"/>
        <v>0</v>
      </c>
      <c r="H62" s="137">
        <f t="shared" si="164"/>
        <v>0</v>
      </c>
      <c r="I62" s="137">
        <f t="shared" si="164"/>
        <v>720</v>
      </c>
      <c r="J62" s="125">
        <f t="shared" si="164"/>
        <v>0</v>
      </c>
      <c r="K62" s="137">
        <f t="shared" si="164"/>
        <v>0</v>
      </c>
      <c r="L62" s="137">
        <f t="shared" si="164"/>
        <v>3600</v>
      </c>
      <c r="M62" s="125">
        <f t="shared" si="164"/>
        <v>0</v>
      </c>
      <c r="N62" s="137">
        <f t="shared" si="164"/>
        <v>0</v>
      </c>
      <c r="O62" s="137">
        <f t="shared" si="164"/>
        <v>2640</v>
      </c>
      <c r="P62" s="125">
        <f t="shared" si="164"/>
        <v>0</v>
      </c>
      <c r="Q62" s="137">
        <f t="shared" si="164"/>
        <v>0</v>
      </c>
      <c r="R62" s="124">
        <f t="shared" si="164"/>
        <v>2160</v>
      </c>
      <c r="S62" s="125">
        <f t="shared" si="164"/>
        <v>0</v>
      </c>
      <c r="T62" s="137">
        <f t="shared" si="164"/>
        <v>1440</v>
      </c>
      <c r="U62" s="125">
        <f t="shared" si="164"/>
        <v>0</v>
      </c>
      <c r="V62" s="137">
        <f t="shared" si="164"/>
        <v>0</v>
      </c>
      <c r="W62" s="137">
        <f t="shared" si="164"/>
        <v>1680</v>
      </c>
      <c r="X62" s="125">
        <f t="shared" si="164"/>
        <v>0</v>
      </c>
      <c r="Y62" s="137">
        <f t="shared" si="164"/>
        <v>0</v>
      </c>
      <c r="Z62" s="137">
        <f t="shared" si="164"/>
        <v>2400</v>
      </c>
      <c r="AA62" s="125">
        <f t="shared" si="164"/>
        <v>0</v>
      </c>
      <c r="AB62" s="137">
        <f t="shared" si="164"/>
        <v>0</v>
      </c>
      <c r="AC62" s="137">
        <f t="shared" si="164"/>
        <v>0</v>
      </c>
      <c r="AD62" s="137">
        <f t="shared" si="164"/>
        <v>2400</v>
      </c>
      <c r="AE62" s="125">
        <f t="shared" si="164"/>
        <v>0</v>
      </c>
      <c r="AF62" s="137">
        <f t="shared" si="164"/>
        <v>0</v>
      </c>
      <c r="AG62" s="137">
        <f t="shared" si="164"/>
        <v>3120</v>
      </c>
      <c r="AH62" s="123">
        <f>IF(AH52="","",AH61*AH56)</f>
        <v>0</v>
      </c>
      <c r="AI62" s="20">
        <f t="shared" si="164"/>
        <v>0</v>
      </c>
      <c r="AJ62" s="20">
        <f t="shared" si="164"/>
        <v>0</v>
      </c>
      <c r="AK62" s="20">
        <f t="shared" si="164"/>
        <v>1680</v>
      </c>
      <c r="AL62" s="195" t="str">
        <f t="shared" si="164"/>
        <v/>
      </c>
      <c r="AM62" s="20" t="str">
        <f t="shared" si="164"/>
        <v/>
      </c>
      <c r="AN62" s="20" t="str">
        <f t="shared" si="164"/>
        <v/>
      </c>
      <c r="AO62" s="195" t="str">
        <f t="shared" si="164"/>
        <v/>
      </c>
      <c r="AP62" s="20" t="str">
        <f t="shared" si="164"/>
        <v/>
      </c>
      <c r="AQ62" s="20" t="str">
        <f t="shared" si="164"/>
        <v/>
      </c>
      <c r="AR62" s="20" t="str">
        <f t="shared" si="164"/>
        <v/>
      </c>
      <c r="AS62" s="20" t="str">
        <f t="shared" si="164"/>
        <v/>
      </c>
      <c r="AT62" s="20" t="str">
        <f t="shared" si="164"/>
        <v/>
      </c>
      <c r="AU62" s="20" t="str">
        <f t="shared" si="164"/>
        <v/>
      </c>
      <c r="AV62" s="20" t="str">
        <f t="shared" si="164"/>
        <v/>
      </c>
      <c r="AW62" s="20" t="str">
        <f t="shared" si="164"/>
        <v/>
      </c>
      <c r="AX62" s="20" t="str">
        <f t="shared" si="164"/>
        <v/>
      </c>
      <c r="AY62" s="20" t="str">
        <f t="shared" si="164"/>
        <v/>
      </c>
      <c r="AZ62" s="20" t="str">
        <f t="shared" si="164"/>
        <v/>
      </c>
      <c r="BA62" s="20" t="str">
        <f t="shared" si="164"/>
        <v/>
      </c>
      <c r="BB62" s="20" t="str">
        <f t="shared" si="164"/>
        <v/>
      </c>
      <c r="BC62" s="20" t="str">
        <f t="shared" si="164"/>
        <v/>
      </c>
    </row>
    <row r="63" spans="1:55" ht="11.25" customHeight="1" thickBot="1" x14ac:dyDescent="0.25">
      <c r="A63" s="21">
        <f>IF(A62="","",A62/(A59*100))</f>
        <v>9.2738853503184712E-2</v>
      </c>
      <c r="B63" s="19" t="s">
        <v>17</v>
      </c>
      <c r="C63" s="146" t="s">
        <v>18</v>
      </c>
      <c r="D63" s="147" t="str">
        <f t="shared" ref="D63:BC63" si="165">IF(D62="","",IF(D62=0,"",D62/(D59*100)))</f>
        <v/>
      </c>
      <c r="E63" s="147" t="str">
        <f t="shared" si="165"/>
        <v/>
      </c>
      <c r="F63" s="148" t="str">
        <f t="shared" si="165"/>
        <v/>
      </c>
      <c r="G63" s="147" t="str">
        <f t="shared" si="165"/>
        <v/>
      </c>
      <c r="H63" s="147" t="str">
        <f t="shared" si="165"/>
        <v/>
      </c>
      <c r="I63" s="147">
        <f t="shared" si="165"/>
        <v>6.3716814159292035E-2</v>
      </c>
      <c r="J63" s="148" t="str">
        <f t="shared" si="165"/>
        <v/>
      </c>
      <c r="K63" s="147" t="str">
        <f t="shared" si="165"/>
        <v/>
      </c>
      <c r="L63" s="147">
        <f t="shared" si="165"/>
        <v>0.11920529801324503</v>
      </c>
      <c r="M63" s="148" t="str">
        <f t="shared" si="165"/>
        <v/>
      </c>
      <c r="N63" s="147" t="str">
        <f t="shared" si="165"/>
        <v/>
      </c>
      <c r="O63" s="147">
        <f t="shared" si="165"/>
        <v>0.11891891891891893</v>
      </c>
      <c r="P63" s="148" t="str">
        <f t="shared" si="165"/>
        <v/>
      </c>
      <c r="Q63" s="147" t="str">
        <f t="shared" si="165"/>
        <v/>
      </c>
      <c r="R63" s="193">
        <f t="shared" si="165"/>
        <v>7.6325088339222621E-2</v>
      </c>
      <c r="S63" s="148" t="str">
        <f t="shared" si="165"/>
        <v/>
      </c>
      <c r="T63" s="147">
        <f t="shared" si="165"/>
        <v>6.7924528301886791E-2</v>
      </c>
      <c r="U63" s="148" t="str">
        <f t="shared" si="165"/>
        <v/>
      </c>
      <c r="V63" s="147" t="str">
        <f t="shared" si="165"/>
        <v/>
      </c>
      <c r="W63" s="147">
        <f t="shared" si="165"/>
        <v>0.11748251748251748</v>
      </c>
      <c r="X63" s="148" t="str">
        <f t="shared" si="165"/>
        <v/>
      </c>
      <c r="Y63" s="147" t="str">
        <f t="shared" si="165"/>
        <v/>
      </c>
      <c r="Z63" s="147">
        <f t="shared" si="165"/>
        <v>0.100418410041841</v>
      </c>
      <c r="AA63" s="148" t="str">
        <f t="shared" si="165"/>
        <v/>
      </c>
      <c r="AB63" s="147" t="str">
        <f t="shared" si="165"/>
        <v/>
      </c>
      <c r="AC63" s="147" t="str">
        <f t="shared" si="165"/>
        <v/>
      </c>
      <c r="AD63" s="147">
        <f t="shared" si="165"/>
        <v>0.11267605633802817</v>
      </c>
      <c r="AE63" s="148" t="str">
        <f t="shared" si="165"/>
        <v/>
      </c>
      <c r="AF63" s="147" t="str">
        <f t="shared" si="165"/>
        <v/>
      </c>
      <c r="AG63" s="147">
        <f t="shared" si="165"/>
        <v>0.1327659574468085</v>
      </c>
      <c r="AH63" s="146" t="str">
        <f>IF(AH62="","",IF(AH62=0,"",AH62/(AH59*100)))</f>
        <v/>
      </c>
      <c r="AI63" s="27" t="str">
        <f t="shared" si="165"/>
        <v/>
      </c>
      <c r="AJ63" s="27" t="str">
        <f t="shared" si="165"/>
        <v/>
      </c>
      <c r="AK63" s="27">
        <f t="shared" si="165"/>
        <v>0.2074074074074074</v>
      </c>
      <c r="AL63" s="199" t="str">
        <f t="shared" si="165"/>
        <v/>
      </c>
      <c r="AM63" s="27" t="str">
        <f t="shared" si="165"/>
        <v/>
      </c>
      <c r="AN63" s="27" t="str">
        <f t="shared" si="165"/>
        <v/>
      </c>
      <c r="AO63" s="199" t="str">
        <f t="shared" si="165"/>
        <v/>
      </c>
      <c r="AP63" s="27" t="str">
        <f t="shared" si="165"/>
        <v/>
      </c>
      <c r="AQ63" s="27" t="str">
        <f t="shared" si="165"/>
        <v/>
      </c>
      <c r="AR63" s="27" t="str">
        <f t="shared" si="165"/>
        <v/>
      </c>
      <c r="AS63" s="27" t="str">
        <f t="shared" si="165"/>
        <v/>
      </c>
      <c r="AT63" s="27" t="str">
        <f t="shared" si="165"/>
        <v/>
      </c>
      <c r="AU63" s="27" t="str">
        <f t="shared" si="165"/>
        <v/>
      </c>
      <c r="AV63" s="27" t="str">
        <f t="shared" si="165"/>
        <v/>
      </c>
      <c r="AW63" s="27" t="str">
        <f t="shared" si="165"/>
        <v/>
      </c>
      <c r="AX63" s="27" t="str">
        <f t="shared" si="165"/>
        <v/>
      </c>
      <c r="AY63" s="27" t="str">
        <f t="shared" si="165"/>
        <v/>
      </c>
      <c r="AZ63" s="27" t="str">
        <f t="shared" si="165"/>
        <v/>
      </c>
      <c r="BA63" s="27" t="str">
        <f t="shared" si="165"/>
        <v/>
      </c>
      <c r="BB63" s="27" t="str">
        <f t="shared" si="165"/>
        <v/>
      </c>
      <c r="BC63" s="27" t="str">
        <f t="shared" si="165"/>
        <v/>
      </c>
    </row>
    <row r="64" spans="1:55" ht="11.25" customHeight="1" x14ac:dyDescent="0.2">
      <c r="A64" s="28" t="s">
        <v>1</v>
      </c>
      <c r="B64" s="29" t="s">
        <v>2</v>
      </c>
      <c r="C64" s="129">
        <v>18066</v>
      </c>
      <c r="D64" s="130">
        <f t="shared" ref="D64:D65" si="166">IF(D$16="","",C64)</f>
        <v>18066</v>
      </c>
      <c r="E64" s="130">
        <v>18107</v>
      </c>
      <c r="F64" s="131">
        <f t="shared" ref="F64:F65" si="167">IF(F$16="","",E64)</f>
        <v>18107</v>
      </c>
      <c r="G64" s="130">
        <f>IF(G$16="","",F64)</f>
        <v>18107</v>
      </c>
      <c r="H64" s="130">
        <f t="shared" ref="H64:I65" si="168">IF(H$16="","",G64)</f>
        <v>18107</v>
      </c>
      <c r="I64" s="130">
        <v>18162</v>
      </c>
      <c r="J64" s="131">
        <f t="shared" ref="J64:K65" si="169">IF(J$16="","",I64)</f>
        <v>18162</v>
      </c>
      <c r="K64" s="130">
        <f t="shared" si="169"/>
        <v>18162</v>
      </c>
      <c r="L64" s="130">
        <v>18177</v>
      </c>
      <c r="M64" s="131">
        <f t="shared" ref="M64:M65" si="170">IF(M$16="","",L64)</f>
        <v>18177</v>
      </c>
      <c r="N64" s="130">
        <f>IF(N$16="","",M64)</f>
        <v>18177</v>
      </c>
      <c r="O64" s="130">
        <v>18443</v>
      </c>
      <c r="P64" s="131">
        <f t="shared" ref="P64:Q65" si="171">IF(P$16="","",O64)</f>
        <v>18443</v>
      </c>
      <c r="Q64" s="130">
        <f t="shared" si="171"/>
        <v>18443</v>
      </c>
      <c r="R64" s="130">
        <v>18467</v>
      </c>
      <c r="S64" s="131">
        <f t="shared" ref="S64:S65" si="172">IF(S$16="","",R64)</f>
        <v>18467</v>
      </c>
      <c r="T64" s="130">
        <v>18510</v>
      </c>
      <c r="U64" s="131">
        <f>IF(U$16="","",T64)</f>
        <v>18510</v>
      </c>
      <c r="V64" s="130">
        <f t="shared" ref="V64:V65" si="173">IF(V$16="","",U64)</f>
        <v>18510</v>
      </c>
      <c r="W64" s="130">
        <v>18524</v>
      </c>
      <c r="X64" s="131">
        <f t="shared" ref="X64:X65" si="174">IF(X$16="","",W64)</f>
        <v>18524</v>
      </c>
      <c r="Y64" s="130">
        <f>IF(Y$16="","",X64)</f>
        <v>18524</v>
      </c>
      <c r="Z64" s="130">
        <v>18593</v>
      </c>
      <c r="AA64" s="131">
        <f t="shared" ref="AA64:AA65" si="175">IF(AA$16="","",Z64)</f>
        <v>18593</v>
      </c>
      <c r="AB64" s="130">
        <f>IF(AB$16="","",AA64)</f>
        <v>18593</v>
      </c>
      <c r="AC64" s="130">
        <f t="shared" ref="AC64:AC65" si="176">IF(AC$16="","",AB64)</f>
        <v>18593</v>
      </c>
      <c r="AD64" s="130">
        <v>18728</v>
      </c>
      <c r="AE64" s="131">
        <f t="shared" ref="AE64:AE65" si="177">IF(AE$16="","",AD64)</f>
        <v>18728</v>
      </c>
      <c r="AF64" s="130">
        <f>IF(AF$16="","",AE64)</f>
        <v>18728</v>
      </c>
      <c r="AG64" s="130">
        <v>18777</v>
      </c>
      <c r="AH64" s="129">
        <f>IF(AH$16="","",AG64)</f>
        <v>18777</v>
      </c>
      <c r="AI64" s="16">
        <f t="shared" ref="AI64:AJ65" si="178">IF(AI$16="","",AH64)</f>
        <v>18777</v>
      </c>
      <c r="AJ64" s="16">
        <f t="shared" si="178"/>
        <v>18777</v>
      </c>
      <c r="AK64" s="16">
        <v>18863</v>
      </c>
      <c r="AL64" s="196" t="str">
        <f t="shared" ref="AL64:BA65" si="179">IF(AL$16="","",AK64)</f>
        <v/>
      </c>
      <c r="AM64" s="16" t="str">
        <f t="shared" si="179"/>
        <v/>
      </c>
      <c r="AN64" s="16" t="str">
        <f t="shared" si="179"/>
        <v/>
      </c>
      <c r="AO64" s="196" t="str">
        <f t="shared" si="179"/>
        <v/>
      </c>
      <c r="AP64" s="16" t="str">
        <f t="shared" si="179"/>
        <v/>
      </c>
      <c r="AQ64" s="16" t="str">
        <f t="shared" si="179"/>
        <v/>
      </c>
      <c r="AR64" s="16" t="str">
        <f t="shared" si="179"/>
        <v/>
      </c>
      <c r="AS64" s="16" t="str">
        <f t="shared" si="179"/>
        <v/>
      </c>
      <c r="AT64" s="16" t="str">
        <f t="shared" si="179"/>
        <v/>
      </c>
      <c r="AU64" s="16" t="str">
        <f t="shared" si="179"/>
        <v/>
      </c>
      <c r="AV64" s="16" t="str">
        <f t="shared" si="179"/>
        <v/>
      </c>
      <c r="AW64" s="16" t="str">
        <f t="shared" si="179"/>
        <v/>
      </c>
      <c r="AX64" s="16" t="str">
        <f t="shared" si="179"/>
        <v/>
      </c>
      <c r="AY64" s="16" t="str">
        <f t="shared" si="179"/>
        <v/>
      </c>
      <c r="AZ64" s="16" t="str">
        <f t="shared" si="179"/>
        <v/>
      </c>
      <c r="BA64" s="16" t="str">
        <f t="shared" si="179"/>
        <v/>
      </c>
      <c r="BB64" s="16" t="str">
        <f t="shared" ref="BB64:BC65" si="180">IF(BB$16="","",BA64)</f>
        <v/>
      </c>
      <c r="BC64" s="16" t="str">
        <f t="shared" si="180"/>
        <v/>
      </c>
    </row>
    <row r="65" spans="1:55" ht="11.25" customHeight="1" x14ac:dyDescent="0.2">
      <c r="A65" s="10" t="s">
        <v>19</v>
      </c>
      <c r="B65" s="11" t="s">
        <v>4</v>
      </c>
      <c r="C65" s="123">
        <v>1643</v>
      </c>
      <c r="D65" s="124">
        <f t="shared" si="166"/>
        <v>1643</v>
      </c>
      <c r="E65" s="124">
        <v>1646</v>
      </c>
      <c r="F65" s="125">
        <f t="shared" si="167"/>
        <v>1646</v>
      </c>
      <c r="G65" s="124">
        <f>IF(G$16="","",F65)</f>
        <v>1646</v>
      </c>
      <c r="H65" s="124">
        <f t="shared" si="168"/>
        <v>1646</v>
      </c>
      <c r="I65" s="124">
        <f t="shared" si="168"/>
        <v>1646</v>
      </c>
      <c r="J65" s="125">
        <f t="shared" si="169"/>
        <v>1646</v>
      </c>
      <c r="K65" s="124">
        <f t="shared" si="169"/>
        <v>1646</v>
      </c>
      <c r="L65" s="124">
        <v>1648</v>
      </c>
      <c r="M65" s="125">
        <f t="shared" si="170"/>
        <v>1648</v>
      </c>
      <c r="N65" s="124">
        <f>IF(N$16="","",M65)</f>
        <v>1648</v>
      </c>
      <c r="O65" s="124">
        <v>1652</v>
      </c>
      <c r="P65" s="125">
        <f t="shared" si="171"/>
        <v>1652</v>
      </c>
      <c r="Q65" s="124">
        <f t="shared" si="171"/>
        <v>1652</v>
      </c>
      <c r="R65" s="124">
        <v>1653</v>
      </c>
      <c r="S65" s="125">
        <f t="shared" si="172"/>
        <v>1653</v>
      </c>
      <c r="T65" s="124">
        <v>1654</v>
      </c>
      <c r="U65" s="125">
        <f>IF(U$16="","",T65)</f>
        <v>1654</v>
      </c>
      <c r="V65" s="124">
        <f t="shared" si="173"/>
        <v>1654</v>
      </c>
      <c r="W65" s="124">
        <v>1655</v>
      </c>
      <c r="X65" s="125">
        <f t="shared" si="174"/>
        <v>1655</v>
      </c>
      <c r="Y65" s="124">
        <f>IF(Y$16="","",X65)</f>
        <v>1655</v>
      </c>
      <c r="Z65" s="124">
        <v>1669</v>
      </c>
      <c r="AA65" s="125">
        <f t="shared" si="175"/>
        <v>1669</v>
      </c>
      <c r="AB65" s="124">
        <f>IF(AB$16="","",AA65)</f>
        <v>1669</v>
      </c>
      <c r="AC65" s="124">
        <f t="shared" si="176"/>
        <v>1669</v>
      </c>
      <c r="AD65" s="124">
        <v>1681</v>
      </c>
      <c r="AE65" s="125">
        <f t="shared" si="177"/>
        <v>1681</v>
      </c>
      <c r="AF65" s="124">
        <f>IF(AF$16="","",AE65)</f>
        <v>1681</v>
      </c>
      <c r="AG65" s="124">
        <v>1685</v>
      </c>
      <c r="AH65" s="123">
        <f>IF(AH$16="","",AG65)</f>
        <v>1685</v>
      </c>
      <c r="AI65" s="12">
        <f t="shared" si="178"/>
        <v>1685</v>
      </c>
      <c r="AJ65" s="12">
        <f t="shared" si="178"/>
        <v>1685</v>
      </c>
      <c r="AK65" s="12">
        <v>1689</v>
      </c>
      <c r="AL65" s="195" t="str">
        <f t="shared" si="179"/>
        <v/>
      </c>
      <c r="AM65" s="12" t="str">
        <f t="shared" si="179"/>
        <v/>
      </c>
      <c r="AN65" s="12" t="str">
        <f t="shared" si="179"/>
        <v/>
      </c>
      <c r="AO65" s="195" t="str">
        <f t="shared" si="179"/>
        <v/>
      </c>
      <c r="AP65" s="12" t="str">
        <f t="shared" si="179"/>
        <v/>
      </c>
      <c r="AQ65" s="12" t="str">
        <f t="shared" si="179"/>
        <v/>
      </c>
      <c r="AR65" s="12" t="str">
        <f t="shared" si="179"/>
        <v/>
      </c>
      <c r="AS65" s="12" t="str">
        <f t="shared" si="179"/>
        <v/>
      </c>
      <c r="AT65" s="12" t="str">
        <f t="shared" si="179"/>
        <v/>
      </c>
      <c r="AU65" s="12" t="str">
        <f t="shared" si="179"/>
        <v/>
      </c>
      <c r="AV65" s="12" t="str">
        <f t="shared" si="179"/>
        <v/>
      </c>
      <c r="AW65" s="12" t="str">
        <f t="shared" si="179"/>
        <v/>
      </c>
      <c r="AX65" s="12" t="str">
        <f t="shared" si="179"/>
        <v/>
      </c>
      <c r="AY65" s="12" t="str">
        <f t="shared" si="179"/>
        <v/>
      </c>
      <c r="AZ65" s="12" t="str">
        <f t="shared" si="179"/>
        <v/>
      </c>
      <c r="BA65" s="12" t="str">
        <f t="shared" si="179"/>
        <v/>
      </c>
      <c r="BB65" s="12" t="str">
        <f t="shared" si="180"/>
        <v/>
      </c>
      <c r="BC65" s="12" t="str">
        <f t="shared" si="180"/>
        <v/>
      </c>
    </row>
    <row r="66" spans="1:55" ht="11.25" customHeight="1" x14ac:dyDescent="0.25">
      <c r="A66" s="24">
        <v>4</v>
      </c>
      <c r="B66" s="11" t="s">
        <v>5</v>
      </c>
      <c r="C66" s="123">
        <v>11</v>
      </c>
      <c r="D66" s="124">
        <f t="shared" ref="D66" si="181">IF(D64="","",(C66+C67))</f>
        <v>11</v>
      </c>
      <c r="E66" s="124">
        <v>8</v>
      </c>
      <c r="F66" s="125">
        <f t="shared" ref="F66" si="182">IF(F64="","",(E66+E67))</f>
        <v>8</v>
      </c>
      <c r="G66" s="124">
        <f>IF(G64="","",(F66+F67))</f>
        <v>8</v>
      </c>
      <c r="H66" s="124">
        <f t="shared" ref="H66:K66" si="183">IF(H64="","",(G66+G67))</f>
        <v>8</v>
      </c>
      <c r="I66" s="124">
        <f t="shared" si="183"/>
        <v>8</v>
      </c>
      <c r="J66" s="125">
        <f t="shared" si="183"/>
        <v>8</v>
      </c>
      <c r="K66" s="124">
        <f t="shared" si="183"/>
        <v>8</v>
      </c>
      <c r="L66" s="124">
        <f>IF(L64="","",(K66+K67))</f>
        <v>8</v>
      </c>
      <c r="M66" s="125">
        <f t="shared" ref="M66" si="184">IF(M64="","",(L66+L67))</f>
        <v>8</v>
      </c>
      <c r="N66" s="124">
        <f>IF(N64="","",(M66+M67))</f>
        <v>8</v>
      </c>
      <c r="O66" s="124">
        <v>4</v>
      </c>
      <c r="P66" s="125">
        <f t="shared" ref="P66:Q66" si="185">IF(P64="","",(O66+O67))</f>
        <v>6</v>
      </c>
      <c r="Q66" s="124">
        <f t="shared" si="185"/>
        <v>6</v>
      </c>
      <c r="R66" s="124">
        <v>5</v>
      </c>
      <c r="S66" s="125">
        <f t="shared" ref="S66" si="186">IF(S64="","",(R66+R67))</f>
        <v>12</v>
      </c>
      <c r="T66" s="124">
        <v>11</v>
      </c>
      <c r="U66" s="125">
        <f>IF(U64="","",(T66+T67))</f>
        <v>11</v>
      </c>
      <c r="V66" s="124">
        <f t="shared" ref="V66:X66" si="187">IF(V64="","",(U66+U67))</f>
        <v>11</v>
      </c>
      <c r="W66" s="124">
        <f t="shared" si="187"/>
        <v>11</v>
      </c>
      <c r="X66" s="125">
        <f t="shared" si="187"/>
        <v>16</v>
      </c>
      <c r="Y66" s="124">
        <f>IF(Y64="","",(X66+X67))</f>
        <v>16</v>
      </c>
      <c r="Z66" s="124">
        <v>13</v>
      </c>
      <c r="AA66" s="125">
        <f t="shared" ref="AA66" si="188">IF(AA64="","",(Z66+Z67))</f>
        <v>15</v>
      </c>
      <c r="AB66" s="124">
        <f>IF(AB64="","",(AA66+AA67))</f>
        <v>15</v>
      </c>
      <c r="AC66" s="124">
        <f t="shared" ref="AC66" si="189">IF(AC64="","",(AB66+AB67))</f>
        <v>15</v>
      </c>
      <c r="AD66" s="124">
        <v>10</v>
      </c>
      <c r="AE66" s="125">
        <f t="shared" ref="AE66:AF66" si="190">IF(AE64="","",(AD66+AD67))</f>
        <v>25</v>
      </c>
      <c r="AF66" s="124">
        <f t="shared" si="190"/>
        <v>25</v>
      </c>
      <c r="AG66" s="124">
        <v>21</v>
      </c>
      <c r="AH66" s="123">
        <f>IF(AH64="","",(AG66+AG67))</f>
        <v>21</v>
      </c>
      <c r="AI66" s="12">
        <f t="shared" ref="AI66:AJ66" si="191">IF(AI64="","",(AH66+AH67))</f>
        <v>21</v>
      </c>
      <c r="AJ66" s="12">
        <f t="shared" si="191"/>
        <v>21</v>
      </c>
      <c r="AK66" s="12">
        <v>17</v>
      </c>
      <c r="AL66" s="195" t="str">
        <f t="shared" ref="AL66:BC66" si="192">IF(AL64="","",(AK66+AK67))</f>
        <v/>
      </c>
      <c r="AM66" s="12" t="str">
        <f t="shared" si="192"/>
        <v/>
      </c>
      <c r="AN66" s="12" t="str">
        <f t="shared" si="192"/>
        <v/>
      </c>
      <c r="AO66" s="195" t="str">
        <f t="shared" si="192"/>
        <v/>
      </c>
      <c r="AP66" s="12" t="str">
        <f t="shared" si="192"/>
        <v/>
      </c>
      <c r="AQ66" s="12" t="str">
        <f t="shared" si="192"/>
        <v/>
      </c>
      <c r="AR66" s="12" t="str">
        <f t="shared" si="192"/>
        <v/>
      </c>
      <c r="AS66" s="12" t="str">
        <f t="shared" si="192"/>
        <v/>
      </c>
      <c r="AT66" s="12" t="str">
        <f t="shared" si="192"/>
        <v/>
      </c>
      <c r="AU66" s="12" t="str">
        <f t="shared" si="192"/>
        <v/>
      </c>
      <c r="AV66" s="12" t="str">
        <f t="shared" si="192"/>
        <v/>
      </c>
      <c r="AW66" s="12" t="str">
        <f t="shared" si="192"/>
        <v/>
      </c>
      <c r="AX66" s="12" t="str">
        <f t="shared" si="192"/>
        <v/>
      </c>
      <c r="AY66" s="12" t="str">
        <f t="shared" si="192"/>
        <v/>
      </c>
      <c r="AZ66" s="12" t="str">
        <f t="shared" si="192"/>
        <v/>
      </c>
      <c r="BA66" s="12" t="str">
        <f t="shared" si="192"/>
        <v/>
      </c>
      <c r="BB66" s="12" t="str">
        <f t="shared" si="192"/>
        <v/>
      </c>
      <c r="BC66" s="12" t="str">
        <f t="shared" si="192"/>
        <v/>
      </c>
    </row>
    <row r="67" spans="1:55" ht="11.25" customHeight="1" x14ac:dyDescent="0.2">
      <c r="A67" s="14"/>
      <c r="B67" s="11" t="s">
        <v>6</v>
      </c>
      <c r="C67" s="123"/>
      <c r="D67" s="124"/>
      <c r="E67" s="124"/>
      <c r="F67" s="125"/>
      <c r="G67" s="124"/>
      <c r="H67" s="124"/>
      <c r="I67" s="124"/>
      <c r="J67" s="125"/>
      <c r="K67" s="124"/>
      <c r="L67" s="124"/>
      <c r="M67" s="125"/>
      <c r="N67" s="124"/>
      <c r="O67" s="124">
        <v>2</v>
      </c>
      <c r="P67" s="125"/>
      <c r="Q67" s="124"/>
      <c r="R67" s="124">
        <v>7</v>
      </c>
      <c r="S67" s="125"/>
      <c r="T67" s="124"/>
      <c r="U67" s="125"/>
      <c r="V67" s="124"/>
      <c r="W67" s="124">
        <v>5</v>
      </c>
      <c r="X67" s="125"/>
      <c r="Y67" s="124"/>
      <c r="Z67" s="124">
        <v>2</v>
      </c>
      <c r="AA67" s="125"/>
      <c r="AB67" s="124"/>
      <c r="AC67" s="124"/>
      <c r="AD67" s="124">
        <v>15</v>
      </c>
      <c r="AE67" s="125"/>
      <c r="AF67" s="124"/>
      <c r="AG67" s="124"/>
      <c r="AH67" s="123"/>
      <c r="AI67" s="12"/>
      <c r="AJ67" s="12"/>
      <c r="AK67" s="12"/>
      <c r="AL67" s="195"/>
      <c r="AM67" s="12"/>
      <c r="AN67" s="12"/>
      <c r="AO67" s="195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</row>
    <row r="68" spans="1:55" ht="11.25" customHeight="1" x14ac:dyDescent="0.2">
      <c r="A68" s="15"/>
      <c r="B68" s="11" t="s">
        <v>8</v>
      </c>
      <c r="C68" s="129">
        <v>560</v>
      </c>
      <c r="D68" s="130">
        <f t="shared" ref="D68:W68" si="193">IF(D64="","",C68)</f>
        <v>560</v>
      </c>
      <c r="E68" s="130">
        <f t="shared" si="193"/>
        <v>560</v>
      </c>
      <c r="F68" s="131">
        <f t="shared" si="193"/>
        <v>560</v>
      </c>
      <c r="G68" s="130">
        <f t="shared" si="193"/>
        <v>560</v>
      </c>
      <c r="H68" s="130">
        <f t="shared" si="193"/>
        <v>560</v>
      </c>
      <c r="I68" s="130">
        <f t="shared" si="193"/>
        <v>560</v>
      </c>
      <c r="J68" s="131">
        <f t="shared" si="193"/>
        <v>560</v>
      </c>
      <c r="K68" s="130">
        <f t="shared" si="193"/>
        <v>560</v>
      </c>
      <c r="L68" s="130">
        <f t="shared" si="193"/>
        <v>560</v>
      </c>
      <c r="M68" s="131">
        <f t="shared" si="193"/>
        <v>560</v>
      </c>
      <c r="N68" s="130">
        <f t="shared" si="193"/>
        <v>560</v>
      </c>
      <c r="O68" s="130">
        <f t="shared" si="193"/>
        <v>560</v>
      </c>
      <c r="P68" s="131">
        <f t="shared" si="193"/>
        <v>560</v>
      </c>
      <c r="Q68" s="130">
        <f t="shared" si="193"/>
        <v>560</v>
      </c>
      <c r="R68" s="130">
        <f t="shared" si="193"/>
        <v>560</v>
      </c>
      <c r="S68" s="131">
        <f t="shared" si="193"/>
        <v>560</v>
      </c>
      <c r="T68" s="130">
        <f t="shared" si="193"/>
        <v>560</v>
      </c>
      <c r="U68" s="131">
        <f t="shared" si="193"/>
        <v>560</v>
      </c>
      <c r="V68" s="130">
        <f t="shared" si="193"/>
        <v>560</v>
      </c>
      <c r="W68" s="130">
        <f t="shared" si="193"/>
        <v>560</v>
      </c>
      <c r="X68" s="131">
        <v>800</v>
      </c>
      <c r="Y68" s="130">
        <f t="shared" ref="Y68:AD68" si="194">IF(Y64="","",X68)</f>
        <v>800</v>
      </c>
      <c r="Z68" s="130">
        <f t="shared" si="194"/>
        <v>800</v>
      </c>
      <c r="AA68" s="131">
        <f t="shared" si="194"/>
        <v>800</v>
      </c>
      <c r="AB68" s="130">
        <f t="shared" si="194"/>
        <v>800</v>
      </c>
      <c r="AC68" s="130">
        <f t="shared" si="194"/>
        <v>800</v>
      </c>
      <c r="AD68" s="130">
        <f t="shared" si="194"/>
        <v>800</v>
      </c>
      <c r="AE68" s="131">
        <v>240</v>
      </c>
      <c r="AF68" s="130">
        <f t="shared" ref="AF68" si="195">IF(AF64="","",AE68)</f>
        <v>240</v>
      </c>
      <c r="AG68" s="130">
        <f>IF(AG64="","",AF68)</f>
        <v>240</v>
      </c>
      <c r="AH68" s="129">
        <f>IF(AH64="","",AG68)</f>
        <v>240</v>
      </c>
      <c r="AI68" s="16">
        <f t="shared" ref="AI68:BC68" si="196">IF(AI64="","",AH68)</f>
        <v>240</v>
      </c>
      <c r="AJ68" s="16">
        <f t="shared" si="196"/>
        <v>240</v>
      </c>
      <c r="AK68" s="16">
        <f t="shared" si="196"/>
        <v>240</v>
      </c>
      <c r="AL68" s="196" t="str">
        <f t="shared" si="196"/>
        <v/>
      </c>
      <c r="AM68" s="16" t="str">
        <f t="shared" si="196"/>
        <v/>
      </c>
      <c r="AN68" s="16" t="str">
        <f t="shared" si="196"/>
        <v/>
      </c>
      <c r="AO68" s="196" t="str">
        <f t="shared" si="196"/>
        <v/>
      </c>
      <c r="AP68" s="16" t="str">
        <f t="shared" si="196"/>
        <v/>
      </c>
      <c r="AQ68" s="16" t="str">
        <f t="shared" si="196"/>
        <v/>
      </c>
      <c r="AR68" s="16" t="str">
        <f t="shared" si="196"/>
        <v/>
      </c>
      <c r="AS68" s="16" t="str">
        <f t="shared" si="196"/>
        <v/>
      </c>
      <c r="AT68" s="16" t="str">
        <f t="shared" si="196"/>
        <v/>
      </c>
      <c r="AU68" s="16" t="str">
        <f t="shared" si="196"/>
        <v/>
      </c>
      <c r="AV68" s="16" t="str">
        <f t="shared" si="196"/>
        <v/>
      </c>
      <c r="AW68" s="16" t="str">
        <f t="shared" si="196"/>
        <v/>
      </c>
      <c r="AX68" s="16" t="str">
        <f t="shared" si="196"/>
        <v/>
      </c>
      <c r="AY68" s="16" t="str">
        <f t="shared" si="196"/>
        <v/>
      </c>
      <c r="AZ68" s="16" t="str">
        <f t="shared" si="196"/>
        <v/>
      </c>
      <c r="BA68" s="16" t="str">
        <f t="shared" si="196"/>
        <v/>
      </c>
      <c r="BB68" s="16" t="str">
        <f t="shared" si="196"/>
        <v/>
      </c>
      <c r="BC68" s="16" t="str">
        <f t="shared" si="196"/>
        <v/>
      </c>
    </row>
    <row r="69" spans="1:55" ht="11.25" customHeight="1" x14ac:dyDescent="0.2">
      <c r="A69" s="14" t="s">
        <v>9</v>
      </c>
      <c r="B69" s="17" t="s">
        <v>10</v>
      </c>
      <c r="C69" s="133" t="s">
        <v>235</v>
      </c>
      <c r="D69" s="134" t="str">
        <f t="shared" ref="D69:W69" si="197">IF(D64="","",C69)</f>
        <v>たまもりシール</v>
      </c>
      <c r="E69" s="134" t="str">
        <f t="shared" si="197"/>
        <v>たまもりシール</v>
      </c>
      <c r="F69" s="135" t="str">
        <f t="shared" si="197"/>
        <v>たまもりシール</v>
      </c>
      <c r="G69" s="134" t="str">
        <f t="shared" si="197"/>
        <v>たまもりシール</v>
      </c>
      <c r="H69" s="134" t="str">
        <f t="shared" si="197"/>
        <v>たまもりシール</v>
      </c>
      <c r="I69" s="134" t="str">
        <f t="shared" si="197"/>
        <v>たまもりシール</v>
      </c>
      <c r="J69" s="135" t="str">
        <f t="shared" si="197"/>
        <v>たまもりシール</v>
      </c>
      <c r="K69" s="134" t="str">
        <f t="shared" si="197"/>
        <v>たまもりシール</v>
      </c>
      <c r="L69" s="134" t="str">
        <f t="shared" si="197"/>
        <v>たまもりシール</v>
      </c>
      <c r="M69" s="135" t="str">
        <f t="shared" si="197"/>
        <v>たまもりシール</v>
      </c>
      <c r="N69" s="134" t="str">
        <f t="shared" si="197"/>
        <v>たまもりシール</v>
      </c>
      <c r="O69" s="134" t="str">
        <f t="shared" si="197"/>
        <v>たまもりシール</v>
      </c>
      <c r="P69" s="135" t="str">
        <f t="shared" si="197"/>
        <v>たまもりシール</v>
      </c>
      <c r="Q69" s="134" t="str">
        <f t="shared" si="197"/>
        <v>たまもりシール</v>
      </c>
      <c r="R69" s="134" t="str">
        <f t="shared" si="197"/>
        <v>たまもりシール</v>
      </c>
      <c r="S69" s="135" t="str">
        <f t="shared" si="197"/>
        <v>たまもりシール</v>
      </c>
      <c r="T69" s="134" t="str">
        <f t="shared" si="197"/>
        <v>たまもりシール</v>
      </c>
      <c r="U69" s="135" t="str">
        <f t="shared" si="197"/>
        <v>たまもりシール</v>
      </c>
      <c r="V69" s="134" t="str">
        <f t="shared" si="197"/>
        <v>たまもりシール</v>
      </c>
      <c r="W69" s="134" t="str">
        <f t="shared" si="197"/>
        <v>たまもりシール</v>
      </c>
      <c r="X69" s="135" t="s">
        <v>254</v>
      </c>
      <c r="Y69" s="134" t="str">
        <f t="shared" ref="Y69" si="198">IF(Y64="","",X69)</f>
        <v>キティドデカぱっちん</v>
      </c>
      <c r="Z69" s="134" t="str">
        <f>IF(Z64="","",Y69)</f>
        <v>キティドデカぱっちん</v>
      </c>
      <c r="AA69" s="135" t="str">
        <f t="shared" ref="AA69:AD69" si="199">IF(AA64="","",Z69)</f>
        <v>キティドデカぱっちん</v>
      </c>
      <c r="AB69" s="134" t="str">
        <f t="shared" si="199"/>
        <v>キティドデカぱっちん</v>
      </c>
      <c r="AC69" s="134" t="str">
        <f t="shared" si="199"/>
        <v>キティドデカぱっちん</v>
      </c>
      <c r="AD69" s="134" t="str">
        <f t="shared" si="199"/>
        <v>キティドデカぱっちん</v>
      </c>
      <c r="AE69" s="135" t="s">
        <v>262</v>
      </c>
      <c r="AF69" s="134" t="str">
        <f t="shared" ref="AF69" si="200">IF(AF64="","",AE69)</f>
        <v>レインボーバター</v>
      </c>
      <c r="AG69" s="134" t="str">
        <f>IF(AG64="","",AF69)</f>
        <v>レインボーバター</v>
      </c>
      <c r="AH69" s="133" t="str">
        <f>IF(AH64="","",AG69)</f>
        <v>レインボーバター</v>
      </c>
      <c r="AI69" s="18" t="str">
        <f t="shared" ref="AI69:BC69" si="201">IF(AI64="","",AH69)</f>
        <v>レインボーバター</v>
      </c>
      <c r="AJ69" s="18" t="str">
        <f t="shared" si="201"/>
        <v>レインボーバター</v>
      </c>
      <c r="AK69" s="18" t="str">
        <f t="shared" si="201"/>
        <v>レインボーバター</v>
      </c>
      <c r="AL69" s="197" t="str">
        <f t="shared" si="201"/>
        <v/>
      </c>
      <c r="AM69" s="18" t="str">
        <f t="shared" si="201"/>
        <v/>
      </c>
      <c r="AN69" s="18" t="str">
        <f t="shared" si="201"/>
        <v/>
      </c>
      <c r="AO69" s="197" t="str">
        <f t="shared" si="201"/>
        <v/>
      </c>
      <c r="AP69" s="18" t="str">
        <f t="shared" si="201"/>
        <v/>
      </c>
      <c r="AQ69" s="18" t="str">
        <f t="shared" si="201"/>
        <v/>
      </c>
      <c r="AR69" s="18" t="str">
        <f t="shared" si="201"/>
        <v/>
      </c>
      <c r="AS69" s="18" t="str">
        <f t="shared" si="201"/>
        <v/>
      </c>
      <c r="AT69" s="18" t="str">
        <f t="shared" si="201"/>
        <v/>
      </c>
      <c r="AU69" s="18" t="str">
        <f t="shared" si="201"/>
        <v/>
      </c>
      <c r="AV69" s="18" t="str">
        <f t="shared" si="201"/>
        <v/>
      </c>
      <c r="AW69" s="18" t="str">
        <f t="shared" si="201"/>
        <v/>
      </c>
      <c r="AX69" s="18" t="str">
        <f t="shared" si="201"/>
        <v/>
      </c>
      <c r="AY69" s="18" t="str">
        <f t="shared" si="201"/>
        <v/>
      </c>
      <c r="AZ69" s="18" t="str">
        <f t="shared" si="201"/>
        <v/>
      </c>
      <c r="BA69" s="18" t="str">
        <f t="shared" si="201"/>
        <v/>
      </c>
      <c r="BB69" s="18" t="str">
        <f t="shared" si="201"/>
        <v/>
      </c>
      <c r="BC69" s="18" t="str">
        <f t="shared" si="201"/>
        <v/>
      </c>
    </row>
    <row r="70" spans="1:55" ht="11.25" customHeight="1" x14ac:dyDescent="0.2">
      <c r="A70" s="15">
        <f>AVERAGE(C71:AS71)*30*100</f>
        <v>70323.529411764714</v>
      </c>
      <c r="B70" s="11" t="s">
        <v>12</v>
      </c>
      <c r="C70" s="123" t="s">
        <v>236</v>
      </c>
      <c r="D70" s="124"/>
      <c r="E70" s="124"/>
      <c r="F70" s="125"/>
      <c r="G70" s="124"/>
      <c r="H70" s="124"/>
      <c r="I70" s="124"/>
      <c r="J70" s="125"/>
      <c r="K70" s="124"/>
      <c r="L70" s="124"/>
      <c r="M70" s="125"/>
      <c r="N70" s="124"/>
      <c r="O70" s="124"/>
      <c r="P70" s="125"/>
      <c r="Q70" s="124"/>
      <c r="R70" s="124"/>
      <c r="S70" s="125"/>
      <c r="T70" s="124"/>
      <c r="U70" s="125"/>
      <c r="V70" s="124"/>
      <c r="W70" s="124"/>
      <c r="X70" s="125"/>
      <c r="Y70" s="124"/>
      <c r="Z70" s="124"/>
      <c r="AA70" s="125"/>
      <c r="AB70" s="124"/>
      <c r="AC70" s="124"/>
      <c r="AD70" s="124"/>
      <c r="AE70" s="125" t="s">
        <v>104</v>
      </c>
      <c r="AF70" s="124"/>
      <c r="AG70" s="124"/>
      <c r="AH70" s="123"/>
      <c r="AI70" s="12"/>
      <c r="AJ70" s="12"/>
      <c r="AK70" s="12"/>
      <c r="AL70" s="195"/>
      <c r="AM70" s="12"/>
      <c r="AN70" s="12"/>
      <c r="AO70" s="195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</row>
    <row r="71" spans="1:55" ht="11.25" customHeight="1" x14ac:dyDescent="0.2">
      <c r="A71" s="15">
        <f t="shared" ref="A71:A74" si="202">SUM(C71:AS71)</f>
        <v>797</v>
      </c>
      <c r="B71" s="19" t="s">
        <v>13</v>
      </c>
      <c r="C71" s="123"/>
      <c r="D71" s="137">
        <f t="shared" ref="D71:AG72" si="203">IF(D64="","",D64-C64)</f>
        <v>0</v>
      </c>
      <c r="E71" s="137">
        <f t="shared" si="203"/>
        <v>41</v>
      </c>
      <c r="F71" s="125">
        <f t="shared" si="203"/>
        <v>0</v>
      </c>
      <c r="G71" s="137">
        <f t="shared" si="203"/>
        <v>0</v>
      </c>
      <c r="H71" s="137">
        <f t="shared" si="203"/>
        <v>0</v>
      </c>
      <c r="I71" s="137">
        <f t="shared" si="203"/>
        <v>55</v>
      </c>
      <c r="J71" s="125">
        <f t="shared" si="203"/>
        <v>0</v>
      </c>
      <c r="K71" s="137">
        <f t="shared" si="203"/>
        <v>0</v>
      </c>
      <c r="L71" s="137">
        <f t="shared" si="203"/>
        <v>15</v>
      </c>
      <c r="M71" s="125">
        <f t="shared" si="203"/>
        <v>0</v>
      </c>
      <c r="N71" s="137">
        <f t="shared" si="203"/>
        <v>0</v>
      </c>
      <c r="O71" s="137">
        <f t="shared" si="203"/>
        <v>266</v>
      </c>
      <c r="P71" s="125">
        <f t="shared" si="203"/>
        <v>0</v>
      </c>
      <c r="Q71" s="137">
        <f t="shared" si="203"/>
        <v>0</v>
      </c>
      <c r="R71" s="124">
        <f t="shared" si="203"/>
        <v>24</v>
      </c>
      <c r="S71" s="125">
        <f t="shared" si="203"/>
        <v>0</v>
      </c>
      <c r="T71" s="137">
        <f t="shared" si="203"/>
        <v>43</v>
      </c>
      <c r="U71" s="125">
        <f t="shared" si="203"/>
        <v>0</v>
      </c>
      <c r="V71" s="137">
        <f t="shared" si="203"/>
        <v>0</v>
      </c>
      <c r="W71" s="137">
        <f t="shared" si="203"/>
        <v>14</v>
      </c>
      <c r="X71" s="125">
        <f t="shared" si="203"/>
        <v>0</v>
      </c>
      <c r="Y71" s="137">
        <f t="shared" si="203"/>
        <v>0</v>
      </c>
      <c r="Z71" s="137">
        <f t="shared" si="203"/>
        <v>69</v>
      </c>
      <c r="AA71" s="125">
        <f t="shared" si="203"/>
        <v>0</v>
      </c>
      <c r="AB71" s="137">
        <f t="shared" si="203"/>
        <v>0</v>
      </c>
      <c r="AC71" s="137">
        <f t="shared" si="203"/>
        <v>0</v>
      </c>
      <c r="AD71" s="137">
        <f t="shared" si="203"/>
        <v>135</v>
      </c>
      <c r="AE71" s="125">
        <f t="shared" si="203"/>
        <v>0</v>
      </c>
      <c r="AF71" s="137">
        <f t="shared" si="203"/>
        <v>0</v>
      </c>
      <c r="AG71" s="137">
        <f t="shared" si="203"/>
        <v>49</v>
      </c>
      <c r="AH71" s="123">
        <f>IF(AH64="","",AH64-AG64)</f>
        <v>0</v>
      </c>
      <c r="AI71" s="20">
        <f t="shared" ref="AI71:BC72" si="204">IF(AI64="","",AI64-AH64)</f>
        <v>0</v>
      </c>
      <c r="AJ71" s="20">
        <f t="shared" si="204"/>
        <v>0</v>
      </c>
      <c r="AK71" s="20">
        <f t="shared" si="204"/>
        <v>86</v>
      </c>
      <c r="AL71" s="195" t="str">
        <f t="shared" si="204"/>
        <v/>
      </c>
      <c r="AM71" s="20" t="str">
        <f t="shared" si="204"/>
        <v/>
      </c>
      <c r="AN71" s="20" t="str">
        <f t="shared" si="204"/>
        <v/>
      </c>
      <c r="AO71" s="195" t="str">
        <f t="shared" si="204"/>
        <v/>
      </c>
      <c r="AP71" s="20" t="str">
        <f t="shared" si="204"/>
        <v/>
      </c>
      <c r="AQ71" s="20" t="str">
        <f t="shared" si="204"/>
        <v/>
      </c>
      <c r="AR71" s="20" t="str">
        <f t="shared" si="204"/>
        <v/>
      </c>
      <c r="AS71" s="20" t="str">
        <f t="shared" si="204"/>
        <v/>
      </c>
      <c r="AT71" s="20" t="str">
        <f t="shared" si="204"/>
        <v/>
      </c>
      <c r="AU71" s="20" t="str">
        <f t="shared" si="204"/>
        <v/>
      </c>
      <c r="AV71" s="20" t="str">
        <f t="shared" si="204"/>
        <v/>
      </c>
      <c r="AW71" s="20" t="str">
        <f t="shared" si="204"/>
        <v/>
      </c>
      <c r="AX71" s="20" t="str">
        <f t="shared" si="204"/>
        <v/>
      </c>
      <c r="AY71" s="20" t="str">
        <f t="shared" si="204"/>
        <v/>
      </c>
      <c r="AZ71" s="20" t="str">
        <f t="shared" si="204"/>
        <v/>
      </c>
      <c r="BA71" s="20" t="str">
        <f t="shared" si="204"/>
        <v/>
      </c>
      <c r="BB71" s="20" t="str">
        <f t="shared" si="204"/>
        <v/>
      </c>
      <c r="BC71" s="20" t="str">
        <f t="shared" si="204"/>
        <v/>
      </c>
    </row>
    <row r="72" spans="1:55" ht="11.25" customHeight="1" x14ac:dyDescent="0.2">
      <c r="A72" s="15">
        <f t="shared" si="202"/>
        <v>46</v>
      </c>
      <c r="B72" s="19" t="s">
        <v>14</v>
      </c>
      <c r="C72" s="123">
        <v>0</v>
      </c>
      <c r="D72" s="137">
        <f t="shared" si="203"/>
        <v>0</v>
      </c>
      <c r="E72" s="137">
        <f t="shared" si="203"/>
        <v>3</v>
      </c>
      <c r="F72" s="125">
        <f t="shared" si="203"/>
        <v>0</v>
      </c>
      <c r="G72" s="137">
        <f t="shared" si="203"/>
        <v>0</v>
      </c>
      <c r="H72" s="137">
        <f t="shared" si="203"/>
        <v>0</v>
      </c>
      <c r="I72" s="137">
        <f t="shared" si="203"/>
        <v>0</v>
      </c>
      <c r="J72" s="125">
        <f t="shared" si="203"/>
        <v>0</v>
      </c>
      <c r="K72" s="137">
        <f t="shared" si="203"/>
        <v>0</v>
      </c>
      <c r="L72" s="137">
        <f t="shared" si="203"/>
        <v>2</v>
      </c>
      <c r="M72" s="125">
        <f t="shared" si="203"/>
        <v>0</v>
      </c>
      <c r="N72" s="137">
        <f t="shared" si="203"/>
        <v>0</v>
      </c>
      <c r="O72" s="137">
        <f t="shared" si="203"/>
        <v>4</v>
      </c>
      <c r="P72" s="125">
        <f t="shared" si="203"/>
        <v>0</v>
      </c>
      <c r="Q72" s="137">
        <f t="shared" si="203"/>
        <v>0</v>
      </c>
      <c r="R72" s="124">
        <f t="shared" si="203"/>
        <v>1</v>
      </c>
      <c r="S72" s="125">
        <f t="shared" si="203"/>
        <v>0</v>
      </c>
      <c r="T72" s="137">
        <f t="shared" si="203"/>
        <v>1</v>
      </c>
      <c r="U72" s="125">
        <f t="shared" si="203"/>
        <v>0</v>
      </c>
      <c r="V72" s="137">
        <f t="shared" si="203"/>
        <v>0</v>
      </c>
      <c r="W72" s="137">
        <f t="shared" si="203"/>
        <v>1</v>
      </c>
      <c r="X72" s="125">
        <f t="shared" si="203"/>
        <v>0</v>
      </c>
      <c r="Y72" s="137">
        <f t="shared" si="203"/>
        <v>0</v>
      </c>
      <c r="Z72" s="137">
        <f t="shared" si="203"/>
        <v>14</v>
      </c>
      <c r="AA72" s="125">
        <f t="shared" si="203"/>
        <v>0</v>
      </c>
      <c r="AB72" s="137">
        <f t="shared" si="203"/>
        <v>0</v>
      </c>
      <c r="AC72" s="137">
        <f t="shared" si="203"/>
        <v>0</v>
      </c>
      <c r="AD72" s="137">
        <f t="shared" si="203"/>
        <v>12</v>
      </c>
      <c r="AE72" s="125">
        <f t="shared" si="203"/>
        <v>0</v>
      </c>
      <c r="AF72" s="137">
        <f t="shared" si="203"/>
        <v>0</v>
      </c>
      <c r="AG72" s="137">
        <f t="shared" si="203"/>
        <v>4</v>
      </c>
      <c r="AH72" s="123">
        <f>IF(AH65="","",AH65-AG65)</f>
        <v>0</v>
      </c>
      <c r="AI72" s="20">
        <f t="shared" si="204"/>
        <v>0</v>
      </c>
      <c r="AJ72" s="20">
        <f t="shared" si="204"/>
        <v>0</v>
      </c>
      <c r="AK72" s="20">
        <f t="shared" si="204"/>
        <v>4</v>
      </c>
      <c r="AL72" s="195" t="str">
        <f t="shared" si="204"/>
        <v/>
      </c>
      <c r="AM72" s="20" t="str">
        <f t="shared" si="204"/>
        <v/>
      </c>
      <c r="AN72" s="20" t="str">
        <f t="shared" si="204"/>
        <v/>
      </c>
      <c r="AO72" s="195" t="str">
        <f t="shared" si="204"/>
        <v/>
      </c>
      <c r="AP72" s="20" t="str">
        <f t="shared" si="204"/>
        <v/>
      </c>
      <c r="AQ72" s="20" t="str">
        <f t="shared" si="204"/>
        <v/>
      </c>
      <c r="AR72" s="20" t="str">
        <f t="shared" si="204"/>
        <v/>
      </c>
      <c r="AS72" s="20" t="str">
        <f t="shared" si="204"/>
        <v/>
      </c>
      <c r="AT72" s="20" t="str">
        <f t="shared" si="204"/>
        <v/>
      </c>
      <c r="AU72" s="20" t="str">
        <f t="shared" si="204"/>
        <v/>
      </c>
      <c r="AV72" s="20" t="str">
        <f t="shared" si="204"/>
        <v/>
      </c>
      <c r="AW72" s="20" t="str">
        <f t="shared" si="204"/>
        <v/>
      </c>
      <c r="AX72" s="20" t="str">
        <f t="shared" si="204"/>
        <v/>
      </c>
      <c r="AY72" s="20" t="str">
        <f t="shared" si="204"/>
        <v/>
      </c>
      <c r="AZ72" s="20" t="str">
        <f t="shared" si="204"/>
        <v/>
      </c>
      <c r="BA72" s="20" t="str">
        <f t="shared" si="204"/>
        <v/>
      </c>
      <c r="BB72" s="20" t="str">
        <f t="shared" si="204"/>
        <v/>
      </c>
      <c r="BC72" s="20" t="str">
        <f t="shared" si="204"/>
        <v/>
      </c>
    </row>
    <row r="73" spans="1:55" ht="11.25" customHeight="1" x14ac:dyDescent="0.2">
      <c r="A73" s="15">
        <f t="shared" si="202"/>
        <v>25</v>
      </c>
      <c r="B73" s="19" t="s">
        <v>15</v>
      </c>
      <c r="C73" s="123">
        <v>0</v>
      </c>
      <c r="D73" s="137">
        <f t="shared" ref="D73:AG73" si="205">IF(D66="","",C66+C67-D66)</f>
        <v>0</v>
      </c>
      <c r="E73" s="137">
        <f t="shared" si="205"/>
        <v>3</v>
      </c>
      <c r="F73" s="125">
        <f t="shared" si="205"/>
        <v>0</v>
      </c>
      <c r="G73" s="137">
        <f t="shared" si="205"/>
        <v>0</v>
      </c>
      <c r="H73" s="137">
        <f t="shared" si="205"/>
        <v>0</v>
      </c>
      <c r="I73" s="137">
        <f t="shared" si="205"/>
        <v>0</v>
      </c>
      <c r="J73" s="125">
        <f t="shared" si="205"/>
        <v>0</v>
      </c>
      <c r="K73" s="137">
        <f t="shared" si="205"/>
        <v>0</v>
      </c>
      <c r="L73" s="137">
        <f t="shared" si="205"/>
        <v>0</v>
      </c>
      <c r="M73" s="125">
        <f t="shared" si="205"/>
        <v>0</v>
      </c>
      <c r="N73" s="137">
        <f t="shared" si="205"/>
        <v>0</v>
      </c>
      <c r="O73" s="137">
        <f t="shared" si="205"/>
        <v>4</v>
      </c>
      <c r="P73" s="125">
        <f t="shared" si="205"/>
        <v>0</v>
      </c>
      <c r="Q73" s="137">
        <f t="shared" si="205"/>
        <v>0</v>
      </c>
      <c r="R73" s="124">
        <f t="shared" si="205"/>
        <v>1</v>
      </c>
      <c r="S73" s="125">
        <f t="shared" si="205"/>
        <v>0</v>
      </c>
      <c r="T73" s="137">
        <f t="shared" si="205"/>
        <v>1</v>
      </c>
      <c r="U73" s="125">
        <f t="shared" si="205"/>
        <v>0</v>
      </c>
      <c r="V73" s="137">
        <f t="shared" si="205"/>
        <v>0</v>
      </c>
      <c r="W73" s="137">
        <f t="shared" si="205"/>
        <v>0</v>
      </c>
      <c r="X73" s="125">
        <f t="shared" si="205"/>
        <v>0</v>
      </c>
      <c r="Y73" s="137">
        <f t="shared" si="205"/>
        <v>0</v>
      </c>
      <c r="Z73" s="137">
        <f t="shared" si="205"/>
        <v>3</v>
      </c>
      <c r="AA73" s="125">
        <f t="shared" si="205"/>
        <v>0</v>
      </c>
      <c r="AB73" s="137">
        <f t="shared" si="205"/>
        <v>0</v>
      </c>
      <c r="AC73" s="137">
        <f t="shared" si="205"/>
        <v>0</v>
      </c>
      <c r="AD73" s="137">
        <f t="shared" si="205"/>
        <v>5</v>
      </c>
      <c r="AE73" s="125">
        <f t="shared" si="205"/>
        <v>0</v>
      </c>
      <c r="AF73" s="137">
        <f t="shared" si="205"/>
        <v>0</v>
      </c>
      <c r="AG73" s="137">
        <f t="shared" si="205"/>
        <v>4</v>
      </c>
      <c r="AH73" s="123">
        <f>IF(AH66="","",AG66+AG67-AH66)</f>
        <v>0</v>
      </c>
      <c r="AI73" s="20">
        <f t="shared" ref="AI73:BC73" si="206">IF(AI66="","",AH66+AH67-AI66)</f>
        <v>0</v>
      </c>
      <c r="AJ73" s="20">
        <f t="shared" si="206"/>
        <v>0</v>
      </c>
      <c r="AK73" s="20">
        <f t="shared" si="206"/>
        <v>4</v>
      </c>
      <c r="AL73" s="195" t="str">
        <f t="shared" si="206"/>
        <v/>
      </c>
      <c r="AM73" s="20" t="str">
        <f t="shared" si="206"/>
        <v/>
      </c>
      <c r="AN73" s="20" t="str">
        <f t="shared" si="206"/>
        <v/>
      </c>
      <c r="AO73" s="195" t="str">
        <f t="shared" si="206"/>
        <v/>
      </c>
      <c r="AP73" s="20" t="str">
        <f t="shared" si="206"/>
        <v/>
      </c>
      <c r="AQ73" s="20" t="str">
        <f t="shared" si="206"/>
        <v/>
      </c>
      <c r="AR73" s="20" t="str">
        <f t="shared" si="206"/>
        <v/>
      </c>
      <c r="AS73" s="20" t="str">
        <f t="shared" si="206"/>
        <v/>
      </c>
      <c r="AT73" s="20" t="str">
        <f t="shared" si="206"/>
        <v/>
      </c>
      <c r="AU73" s="20" t="str">
        <f t="shared" si="206"/>
        <v/>
      </c>
      <c r="AV73" s="20" t="str">
        <f t="shared" si="206"/>
        <v/>
      </c>
      <c r="AW73" s="20" t="str">
        <f t="shared" si="206"/>
        <v/>
      </c>
      <c r="AX73" s="20" t="str">
        <f t="shared" si="206"/>
        <v/>
      </c>
      <c r="AY73" s="20" t="str">
        <f t="shared" si="206"/>
        <v/>
      </c>
      <c r="AZ73" s="20" t="str">
        <f t="shared" si="206"/>
        <v/>
      </c>
      <c r="BA73" s="20" t="str">
        <f t="shared" si="206"/>
        <v/>
      </c>
      <c r="BB73" s="20" t="str">
        <f t="shared" si="206"/>
        <v/>
      </c>
      <c r="BC73" s="20" t="str">
        <f t="shared" si="206"/>
        <v/>
      </c>
    </row>
    <row r="74" spans="1:55" ht="11.25" customHeight="1" x14ac:dyDescent="0.2">
      <c r="A74" s="15">
        <f t="shared" si="202"/>
        <v>13360</v>
      </c>
      <c r="B74" s="19" t="s">
        <v>16</v>
      </c>
      <c r="C74" s="123">
        <v>0</v>
      </c>
      <c r="D74" s="137">
        <f t="shared" ref="D74:BC74" si="207">IF(D64="","",D73*D68)</f>
        <v>0</v>
      </c>
      <c r="E74" s="137">
        <f t="shared" si="207"/>
        <v>1680</v>
      </c>
      <c r="F74" s="125">
        <f t="shared" si="207"/>
        <v>0</v>
      </c>
      <c r="G74" s="137">
        <f t="shared" si="207"/>
        <v>0</v>
      </c>
      <c r="H74" s="137">
        <f t="shared" si="207"/>
        <v>0</v>
      </c>
      <c r="I74" s="137">
        <f t="shared" si="207"/>
        <v>0</v>
      </c>
      <c r="J74" s="125">
        <f t="shared" si="207"/>
        <v>0</v>
      </c>
      <c r="K74" s="137">
        <f t="shared" si="207"/>
        <v>0</v>
      </c>
      <c r="L74" s="137">
        <f t="shared" si="207"/>
        <v>0</v>
      </c>
      <c r="M74" s="125">
        <f t="shared" si="207"/>
        <v>0</v>
      </c>
      <c r="N74" s="137">
        <f t="shared" si="207"/>
        <v>0</v>
      </c>
      <c r="O74" s="137">
        <f t="shared" si="207"/>
        <v>2240</v>
      </c>
      <c r="P74" s="125">
        <f t="shared" si="207"/>
        <v>0</v>
      </c>
      <c r="Q74" s="137">
        <f t="shared" si="207"/>
        <v>0</v>
      </c>
      <c r="R74" s="124">
        <f t="shared" si="207"/>
        <v>560</v>
      </c>
      <c r="S74" s="125">
        <f t="shared" si="207"/>
        <v>0</v>
      </c>
      <c r="T74" s="137">
        <f t="shared" si="207"/>
        <v>560</v>
      </c>
      <c r="U74" s="125">
        <f t="shared" si="207"/>
        <v>0</v>
      </c>
      <c r="V74" s="137">
        <f t="shared" si="207"/>
        <v>0</v>
      </c>
      <c r="W74" s="137">
        <f t="shared" si="207"/>
        <v>0</v>
      </c>
      <c r="X74" s="125">
        <f t="shared" si="207"/>
        <v>0</v>
      </c>
      <c r="Y74" s="137">
        <f t="shared" si="207"/>
        <v>0</v>
      </c>
      <c r="Z74" s="137">
        <f t="shared" si="207"/>
        <v>2400</v>
      </c>
      <c r="AA74" s="125">
        <f t="shared" si="207"/>
        <v>0</v>
      </c>
      <c r="AB74" s="137">
        <f t="shared" si="207"/>
        <v>0</v>
      </c>
      <c r="AC74" s="137">
        <f t="shared" si="207"/>
        <v>0</v>
      </c>
      <c r="AD74" s="137">
        <f t="shared" si="207"/>
        <v>4000</v>
      </c>
      <c r="AE74" s="125">
        <f t="shared" si="207"/>
        <v>0</v>
      </c>
      <c r="AF74" s="137">
        <f t="shared" si="207"/>
        <v>0</v>
      </c>
      <c r="AG74" s="137">
        <f t="shared" si="207"/>
        <v>960</v>
      </c>
      <c r="AH74" s="123">
        <f>IF(AH64="","",AH73*AH68)</f>
        <v>0</v>
      </c>
      <c r="AI74" s="20">
        <f t="shared" si="207"/>
        <v>0</v>
      </c>
      <c r="AJ74" s="20">
        <f t="shared" si="207"/>
        <v>0</v>
      </c>
      <c r="AK74" s="20">
        <f t="shared" si="207"/>
        <v>960</v>
      </c>
      <c r="AL74" s="195" t="str">
        <f t="shared" si="207"/>
        <v/>
      </c>
      <c r="AM74" s="20" t="str">
        <f t="shared" si="207"/>
        <v/>
      </c>
      <c r="AN74" s="20" t="str">
        <f t="shared" si="207"/>
        <v/>
      </c>
      <c r="AO74" s="195" t="str">
        <f t="shared" si="207"/>
        <v/>
      </c>
      <c r="AP74" s="20" t="str">
        <f t="shared" si="207"/>
        <v/>
      </c>
      <c r="AQ74" s="20" t="str">
        <f t="shared" si="207"/>
        <v/>
      </c>
      <c r="AR74" s="20" t="str">
        <f t="shared" si="207"/>
        <v/>
      </c>
      <c r="AS74" s="20" t="str">
        <f t="shared" si="207"/>
        <v/>
      </c>
      <c r="AT74" s="20" t="str">
        <f t="shared" si="207"/>
        <v/>
      </c>
      <c r="AU74" s="20" t="str">
        <f t="shared" si="207"/>
        <v/>
      </c>
      <c r="AV74" s="20" t="str">
        <f t="shared" si="207"/>
        <v/>
      </c>
      <c r="AW74" s="20" t="str">
        <f t="shared" si="207"/>
        <v/>
      </c>
      <c r="AX74" s="20" t="str">
        <f t="shared" si="207"/>
        <v/>
      </c>
      <c r="AY74" s="20" t="str">
        <f t="shared" si="207"/>
        <v/>
      </c>
      <c r="AZ74" s="20" t="str">
        <f t="shared" si="207"/>
        <v/>
      </c>
      <c r="BA74" s="20" t="str">
        <f t="shared" si="207"/>
        <v/>
      </c>
      <c r="BB74" s="20" t="str">
        <f t="shared" si="207"/>
        <v/>
      </c>
      <c r="BC74" s="20" t="str">
        <f t="shared" si="207"/>
        <v/>
      </c>
    </row>
    <row r="75" spans="1:55" ht="11.25" customHeight="1" thickBot="1" x14ac:dyDescent="0.25">
      <c r="A75" s="21">
        <f>IF(A74="","",A74/(A71*100))</f>
        <v>0.16762860727728984</v>
      </c>
      <c r="B75" s="22" t="s">
        <v>17</v>
      </c>
      <c r="C75" s="140" t="s">
        <v>18</v>
      </c>
      <c r="D75" s="141" t="str">
        <f t="shared" ref="D75:BC75" si="208">IF(D74="","",IF(D74=0,"",D74/(D71*100)))</f>
        <v/>
      </c>
      <c r="E75" s="141">
        <f t="shared" si="208"/>
        <v>0.40975609756097559</v>
      </c>
      <c r="F75" s="142" t="str">
        <f t="shared" si="208"/>
        <v/>
      </c>
      <c r="G75" s="141" t="str">
        <f t="shared" si="208"/>
        <v/>
      </c>
      <c r="H75" s="141" t="str">
        <f t="shared" si="208"/>
        <v/>
      </c>
      <c r="I75" s="141" t="str">
        <f t="shared" si="208"/>
        <v/>
      </c>
      <c r="J75" s="142" t="str">
        <f t="shared" si="208"/>
        <v/>
      </c>
      <c r="K75" s="141" t="str">
        <f t="shared" si="208"/>
        <v/>
      </c>
      <c r="L75" s="141" t="str">
        <f t="shared" si="208"/>
        <v/>
      </c>
      <c r="M75" s="142" t="str">
        <f t="shared" si="208"/>
        <v/>
      </c>
      <c r="N75" s="141" t="str">
        <f t="shared" si="208"/>
        <v/>
      </c>
      <c r="O75" s="141">
        <f t="shared" si="208"/>
        <v>8.4210526315789472E-2</v>
      </c>
      <c r="P75" s="142" t="str">
        <f t="shared" si="208"/>
        <v/>
      </c>
      <c r="Q75" s="141" t="str">
        <f t="shared" si="208"/>
        <v/>
      </c>
      <c r="R75" s="192">
        <f t="shared" si="208"/>
        <v>0.23333333333333334</v>
      </c>
      <c r="S75" s="142" t="str">
        <f t="shared" si="208"/>
        <v/>
      </c>
      <c r="T75" s="141">
        <f t="shared" si="208"/>
        <v>0.13023255813953488</v>
      </c>
      <c r="U75" s="142" t="str">
        <f t="shared" si="208"/>
        <v/>
      </c>
      <c r="V75" s="141" t="str">
        <f t="shared" si="208"/>
        <v/>
      </c>
      <c r="W75" s="141" t="str">
        <f t="shared" si="208"/>
        <v/>
      </c>
      <c r="X75" s="142" t="str">
        <f t="shared" si="208"/>
        <v/>
      </c>
      <c r="Y75" s="141" t="str">
        <f t="shared" si="208"/>
        <v/>
      </c>
      <c r="Z75" s="141">
        <f t="shared" si="208"/>
        <v>0.34782608695652173</v>
      </c>
      <c r="AA75" s="142" t="str">
        <f t="shared" si="208"/>
        <v/>
      </c>
      <c r="AB75" s="141" t="str">
        <f t="shared" si="208"/>
        <v/>
      </c>
      <c r="AC75" s="141" t="str">
        <f t="shared" si="208"/>
        <v/>
      </c>
      <c r="AD75" s="141">
        <f t="shared" si="208"/>
        <v>0.29629629629629628</v>
      </c>
      <c r="AE75" s="142" t="str">
        <f t="shared" si="208"/>
        <v/>
      </c>
      <c r="AF75" s="141" t="str">
        <f t="shared" si="208"/>
        <v/>
      </c>
      <c r="AG75" s="141">
        <f t="shared" si="208"/>
        <v>0.19591836734693877</v>
      </c>
      <c r="AH75" s="140" t="str">
        <f>IF(AH74="","",IF(AH74=0,"",AH74/(AH71*100)))</f>
        <v/>
      </c>
      <c r="AI75" s="23" t="str">
        <f t="shared" si="208"/>
        <v/>
      </c>
      <c r="AJ75" s="23" t="str">
        <f t="shared" si="208"/>
        <v/>
      </c>
      <c r="AK75" s="23">
        <f t="shared" si="208"/>
        <v>0.11162790697674418</v>
      </c>
      <c r="AL75" s="198" t="str">
        <f t="shared" si="208"/>
        <v/>
      </c>
      <c r="AM75" s="23" t="str">
        <f t="shared" si="208"/>
        <v/>
      </c>
      <c r="AN75" s="23" t="str">
        <f t="shared" si="208"/>
        <v/>
      </c>
      <c r="AO75" s="198" t="str">
        <f t="shared" si="208"/>
        <v/>
      </c>
      <c r="AP75" s="23" t="str">
        <f t="shared" si="208"/>
        <v/>
      </c>
      <c r="AQ75" s="23" t="str">
        <f t="shared" si="208"/>
        <v/>
      </c>
      <c r="AR75" s="23" t="str">
        <f t="shared" si="208"/>
        <v/>
      </c>
      <c r="AS75" s="23" t="str">
        <f t="shared" si="208"/>
        <v/>
      </c>
      <c r="AT75" s="23" t="str">
        <f t="shared" si="208"/>
        <v/>
      </c>
      <c r="AU75" s="23" t="str">
        <f t="shared" si="208"/>
        <v/>
      </c>
      <c r="AV75" s="23" t="str">
        <f t="shared" si="208"/>
        <v/>
      </c>
      <c r="AW75" s="23" t="str">
        <f t="shared" si="208"/>
        <v/>
      </c>
      <c r="AX75" s="23" t="str">
        <f t="shared" si="208"/>
        <v/>
      </c>
      <c r="AY75" s="23" t="str">
        <f t="shared" si="208"/>
        <v/>
      </c>
      <c r="AZ75" s="23" t="str">
        <f t="shared" si="208"/>
        <v/>
      </c>
      <c r="BA75" s="23" t="str">
        <f t="shared" si="208"/>
        <v/>
      </c>
      <c r="BB75" s="23" t="str">
        <f t="shared" si="208"/>
        <v/>
      </c>
      <c r="BC75" s="23" t="str">
        <f t="shared" si="208"/>
        <v/>
      </c>
    </row>
    <row r="76" spans="1:55" ht="11.25" customHeight="1" x14ac:dyDescent="0.2">
      <c r="A76" s="7" t="s">
        <v>1</v>
      </c>
      <c r="B76" s="8" t="s">
        <v>2</v>
      </c>
      <c r="C76" s="118">
        <v>23254</v>
      </c>
      <c r="D76" s="119">
        <f t="shared" ref="D76:D77" si="209">IF(D$16="","",C76)</f>
        <v>23254</v>
      </c>
      <c r="E76" s="119">
        <v>23395</v>
      </c>
      <c r="F76" s="120">
        <f t="shared" ref="F76:F77" si="210">IF(F$16="","",E76)</f>
        <v>23395</v>
      </c>
      <c r="G76" s="119">
        <f>IF(G$16="","",F76)</f>
        <v>23395</v>
      </c>
      <c r="H76" s="119">
        <f t="shared" ref="H76:H77" si="211">IF(H$16="","",G76)</f>
        <v>23395</v>
      </c>
      <c r="I76" s="119">
        <v>23491</v>
      </c>
      <c r="J76" s="120">
        <f t="shared" ref="J76:K77" si="212">IF(J$16="","",I76)</f>
        <v>23491</v>
      </c>
      <c r="K76" s="119">
        <f t="shared" si="212"/>
        <v>23491</v>
      </c>
      <c r="L76" s="119">
        <v>23585</v>
      </c>
      <c r="M76" s="120">
        <f t="shared" ref="M76:N77" si="213">IF(M$16="","",L76)</f>
        <v>23585</v>
      </c>
      <c r="N76" s="119">
        <f>IF(N$16="","",M76)</f>
        <v>23585</v>
      </c>
      <c r="O76" s="119">
        <v>23646</v>
      </c>
      <c r="P76" s="120">
        <f t="shared" ref="P76:Q77" si="214">IF(P$16="","",O76)</f>
        <v>23646</v>
      </c>
      <c r="Q76" s="119">
        <f t="shared" si="214"/>
        <v>23646</v>
      </c>
      <c r="R76" s="119">
        <v>23734</v>
      </c>
      <c r="S76" s="120">
        <f t="shared" ref="S76:S77" si="215">IF(S$16="","",R76)</f>
        <v>23734</v>
      </c>
      <c r="T76" s="119">
        <v>23801</v>
      </c>
      <c r="U76" s="120">
        <f>IF(U$16="","",T76)</f>
        <v>23801</v>
      </c>
      <c r="V76" s="119">
        <f t="shared" ref="V76:W77" si="216">IF(V$16="","",U76)</f>
        <v>23801</v>
      </c>
      <c r="W76" s="119">
        <v>23992</v>
      </c>
      <c r="X76" s="120">
        <f t="shared" ref="X76:X77" si="217">IF(X$16="","",W76)</f>
        <v>23992</v>
      </c>
      <c r="Y76" s="119">
        <f>IF(Y$16="","",X76)</f>
        <v>23992</v>
      </c>
      <c r="Z76" s="119">
        <v>24158</v>
      </c>
      <c r="AA76" s="120">
        <f t="shared" ref="AA76:AA77" si="218">IF(AA$16="","",Z76)</f>
        <v>24158</v>
      </c>
      <c r="AB76" s="119">
        <f>IF(AB$16="","",AA76)</f>
        <v>24158</v>
      </c>
      <c r="AC76" s="119">
        <f t="shared" ref="AC76:AC77" si="219">IF(AC$16="","",AB76)</f>
        <v>24158</v>
      </c>
      <c r="AD76" s="119">
        <v>24284</v>
      </c>
      <c r="AE76" s="120">
        <f t="shared" ref="AE76:AE77" si="220">IF(AE$16="","",AD76)</f>
        <v>24284</v>
      </c>
      <c r="AF76" s="119">
        <f>IF(AF$16="","",AE76)</f>
        <v>24284</v>
      </c>
      <c r="AG76" s="119">
        <v>24397</v>
      </c>
      <c r="AH76" s="118">
        <f>IF(AH$16="","",AG76)</f>
        <v>24397</v>
      </c>
      <c r="AI76" s="9">
        <f t="shared" ref="AI76:AJ77" si="221">IF(AI$16="","",AH76)</f>
        <v>24397</v>
      </c>
      <c r="AJ76" s="9">
        <f t="shared" si="221"/>
        <v>24397</v>
      </c>
      <c r="AK76" s="9">
        <v>24432</v>
      </c>
      <c r="AL76" s="194" t="str">
        <f t="shared" ref="AL76:BA77" si="222">IF(AL$16="","",AK76)</f>
        <v/>
      </c>
      <c r="AM76" s="9" t="str">
        <f t="shared" si="222"/>
        <v/>
      </c>
      <c r="AN76" s="9" t="str">
        <f t="shared" si="222"/>
        <v/>
      </c>
      <c r="AO76" s="194" t="str">
        <f t="shared" si="222"/>
        <v/>
      </c>
      <c r="AP76" s="9" t="str">
        <f t="shared" si="222"/>
        <v/>
      </c>
      <c r="AQ76" s="9" t="str">
        <f t="shared" si="222"/>
        <v/>
      </c>
      <c r="AR76" s="9" t="str">
        <f t="shared" si="222"/>
        <v/>
      </c>
      <c r="AS76" s="9" t="str">
        <f t="shared" si="222"/>
        <v/>
      </c>
      <c r="AT76" s="9" t="str">
        <f t="shared" si="222"/>
        <v/>
      </c>
      <c r="AU76" s="9" t="str">
        <f t="shared" si="222"/>
        <v/>
      </c>
      <c r="AV76" s="9" t="str">
        <f t="shared" si="222"/>
        <v/>
      </c>
      <c r="AW76" s="9" t="str">
        <f t="shared" si="222"/>
        <v/>
      </c>
      <c r="AX76" s="9" t="str">
        <f t="shared" si="222"/>
        <v/>
      </c>
      <c r="AY76" s="9" t="str">
        <f t="shared" si="222"/>
        <v/>
      </c>
      <c r="AZ76" s="9" t="str">
        <f t="shared" si="222"/>
        <v/>
      </c>
      <c r="BA76" s="9" t="str">
        <f t="shared" si="222"/>
        <v/>
      </c>
      <c r="BB76" s="9" t="str">
        <f t="shared" ref="BB76:BC77" si="223">IF(BB$16="","",BA76)</f>
        <v/>
      </c>
      <c r="BC76" s="9" t="str">
        <f t="shared" si="223"/>
        <v/>
      </c>
    </row>
    <row r="77" spans="1:55" ht="11.25" customHeight="1" x14ac:dyDescent="0.2">
      <c r="A77" s="10" t="s">
        <v>29</v>
      </c>
      <c r="B77" s="11" t="s">
        <v>4</v>
      </c>
      <c r="C77" s="123">
        <v>1227</v>
      </c>
      <c r="D77" s="124">
        <f t="shared" si="209"/>
        <v>1227</v>
      </c>
      <c r="E77" s="124">
        <v>1230</v>
      </c>
      <c r="F77" s="125">
        <f t="shared" si="210"/>
        <v>1230</v>
      </c>
      <c r="G77" s="124">
        <f>IF(G$16="","",F77)</f>
        <v>1230</v>
      </c>
      <c r="H77" s="124">
        <f t="shared" si="211"/>
        <v>1230</v>
      </c>
      <c r="I77" s="124">
        <v>1234</v>
      </c>
      <c r="J77" s="125">
        <f t="shared" si="212"/>
        <v>1234</v>
      </c>
      <c r="K77" s="124">
        <f t="shared" si="212"/>
        <v>1234</v>
      </c>
      <c r="L77" s="124">
        <v>1235</v>
      </c>
      <c r="M77" s="125">
        <f t="shared" si="213"/>
        <v>1235</v>
      </c>
      <c r="N77" s="124">
        <f t="shared" si="213"/>
        <v>1235</v>
      </c>
      <c r="O77" s="124">
        <v>1236</v>
      </c>
      <c r="P77" s="125">
        <f t="shared" si="214"/>
        <v>1236</v>
      </c>
      <c r="Q77" s="124">
        <f t="shared" si="214"/>
        <v>1236</v>
      </c>
      <c r="R77" s="124">
        <v>1251</v>
      </c>
      <c r="S77" s="125">
        <f t="shared" si="215"/>
        <v>1251</v>
      </c>
      <c r="T77" s="124">
        <v>1257</v>
      </c>
      <c r="U77" s="125">
        <f>IF(U$16="","",T77)</f>
        <v>1257</v>
      </c>
      <c r="V77" s="124">
        <f t="shared" si="216"/>
        <v>1257</v>
      </c>
      <c r="W77" s="124">
        <f t="shared" si="216"/>
        <v>1257</v>
      </c>
      <c r="X77" s="125">
        <f t="shared" si="217"/>
        <v>1257</v>
      </c>
      <c r="Y77" s="124">
        <f>IF(Y$16="","",X77)</f>
        <v>1257</v>
      </c>
      <c r="Z77" s="124">
        <v>1261</v>
      </c>
      <c r="AA77" s="125">
        <f t="shared" si="218"/>
        <v>1261</v>
      </c>
      <c r="AB77" s="124">
        <f>IF(AB$16="","",AA77)</f>
        <v>1261</v>
      </c>
      <c r="AC77" s="124">
        <f t="shared" si="219"/>
        <v>1261</v>
      </c>
      <c r="AD77" s="124">
        <v>1264</v>
      </c>
      <c r="AE77" s="125">
        <f t="shared" si="220"/>
        <v>1264</v>
      </c>
      <c r="AF77" s="124">
        <f>IF(AF$16="","",AE77)</f>
        <v>1264</v>
      </c>
      <c r="AG77" s="124">
        <v>1268</v>
      </c>
      <c r="AH77" s="123">
        <f>IF(AH$16="","",AG77)</f>
        <v>1268</v>
      </c>
      <c r="AI77" s="12">
        <f t="shared" si="221"/>
        <v>1268</v>
      </c>
      <c r="AJ77" s="12">
        <f t="shared" si="221"/>
        <v>1268</v>
      </c>
      <c r="AK77" s="12">
        <v>1276</v>
      </c>
      <c r="AL77" s="195" t="str">
        <f t="shared" si="222"/>
        <v/>
      </c>
      <c r="AM77" s="12" t="str">
        <f t="shared" si="222"/>
        <v/>
      </c>
      <c r="AN77" s="12" t="str">
        <f t="shared" si="222"/>
        <v/>
      </c>
      <c r="AO77" s="195" t="str">
        <f t="shared" si="222"/>
        <v/>
      </c>
      <c r="AP77" s="12" t="str">
        <f t="shared" si="222"/>
        <v/>
      </c>
      <c r="AQ77" s="12" t="str">
        <f t="shared" si="222"/>
        <v/>
      </c>
      <c r="AR77" s="12" t="str">
        <f t="shared" si="222"/>
        <v/>
      </c>
      <c r="AS77" s="12" t="str">
        <f t="shared" si="222"/>
        <v/>
      </c>
      <c r="AT77" s="12" t="str">
        <f t="shared" si="222"/>
        <v/>
      </c>
      <c r="AU77" s="12" t="str">
        <f t="shared" si="222"/>
        <v/>
      </c>
      <c r="AV77" s="12" t="str">
        <f t="shared" si="222"/>
        <v/>
      </c>
      <c r="AW77" s="12" t="str">
        <f t="shared" si="222"/>
        <v/>
      </c>
      <c r="AX77" s="12" t="str">
        <f t="shared" si="222"/>
        <v/>
      </c>
      <c r="AY77" s="12" t="str">
        <f t="shared" si="222"/>
        <v/>
      </c>
      <c r="AZ77" s="12" t="str">
        <f t="shared" si="222"/>
        <v/>
      </c>
      <c r="BA77" s="12" t="str">
        <f t="shared" si="222"/>
        <v/>
      </c>
      <c r="BB77" s="12" t="str">
        <f t="shared" si="223"/>
        <v/>
      </c>
      <c r="BC77" s="12" t="str">
        <f t="shared" si="223"/>
        <v/>
      </c>
    </row>
    <row r="78" spans="1:55" ht="11.25" customHeight="1" x14ac:dyDescent="0.25">
      <c r="A78" s="24">
        <v>1</v>
      </c>
      <c r="B78" s="11" t="s">
        <v>5</v>
      </c>
      <c r="C78" s="123">
        <v>13</v>
      </c>
      <c r="D78" s="124">
        <f t="shared" ref="D78" si="224">IF(D76="","",(C78+C79))</f>
        <v>13</v>
      </c>
      <c r="E78" s="124">
        <v>10</v>
      </c>
      <c r="F78" s="125">
        <f t="shared" ref="F78" si="225">IF(F76="","",(E78+E79))</f>
        <v>10</v>
      </c>
      <c r="G78" s="124">
        <f>IF(G76="","",(F78+F79))</f>
        <v>10</v>
      </c>
      <c r="H78" s="124">
        <f t="shared" ref="H78" si="226">IF(H76="","",(G78+G79))</f>
        <v>10</v>
      </c>
      <c r="I78" s="124">
        <v>6</v>
      </c>
      <c r="J78" s="125">
        <f t="shared" ref="J78:K78" si="227">IF(J76="","",(I78+I79))</f>
        <v>6</v>
      </c>
      <c r="K78" s="124">
        <f t="shared" si="227"/>
        <v>6</v>
      </c>
      <c r="L78" s="124">
        <v>4</v>
      </c>
      <c r="M78" s="125">
        <f t="shared" ref="M78:N78" si="228">IF(M76="","",(L78+L79))</f>
        <v>4</v>
      </c>
      <c r="N78" s="124">
        <f t="shared" si="228"/>
        <v>4</v>
      </c>
      <c r="O78" s="124">
        <v>3</v>
      </c>
      <c r="P78" s="125">
        <f t="shared" ref="P78:Q78" si="229">IF(P76="","",(O78+O79))</f>
        <v>15</v>
      </c>
      <c r="Q78" s="124">
        <f t="shared" si="229"/>
        <v>15</v>
      </c>
      <c r="R78" s="124">
        <f>IF(R76="","",(Q78+Q79))</f>
        <v>15</v>
      </c>
      <c r="S78" s="125">
        <f t="shared" ref="S78" si="230">IF(S76="","",(R78+R79))</f>
        <v>4</v>
      </c>
      <c r="T78" s="124">
        <v>1</v>
      </c>
      <c r="U78" s="125">
        <f>IF(U76="","",(T78+T79))</f>
        <v>5</v>
      </c>
      <c r="V78" s="124">
        <f t="shared" ref="V78:X78" si="231">IF(V76="","",(U78+U79))</f>
        <v>5</v>
      </c>
      <c r="W78" s="124">
        <f t="shared" si="231"/>
        <v>5</v>
      </c>
      <c r="X78" s="125">
        <f t="shared" si="231"/>
        <v>5</v>
      </c>
      <c r="Y78" s="124">
        <f>IF(Y76="","",(X78+X79))</f>
        <v>5</v>
      </c>
      <c r="Z78" s="124">
        <v>1</v>
      </c>
      <c r="AA78" s="125">
        <f t="shared" ref="AA78" si="232">IF(AA76="","",(Z78+Z79))</f>
        <v>7</v>
      </c>
      <c r="AB78" s="124">
        <f>IF(AB76="","",(AA78+AA79))</f>
        <v>7</v>
      </c>
      <c r="AC78" s="124">
        <f t="shared" ref="AC78" si="233">IF(AC76="","",(AB78+AB79))</f>
        <v>7</v>
      </c>
      <c r="AD78" s="124">
        <v>4</v>
      </c>
      <c r="AE78" s="125">
        <f t="shared" ref="AE78" si="234">IF(AE76="","",(AD78+AD79))</f>
        <v>4</v>
      </c>
      <c r="AF78" s="124">
        <f>IF(AF76="","",(AE78+AE79))</f>
        <v>4</v>
      </c>
      <c r="AG78" s="124">
        <v>0</v>
      </c>
      <c r="AH78" s="123">
        <f>IF(AH76="","",(AG78+AG79))</f>
        <v>18</v>
      </c>
      <c r="AI78" s="12">
        <f t="shared" ref="AI78:AJ78" si="235">IF(AI76="","",(AH78+AH79))</f>
        <v>18</v>
      </c>
      <c r="AJ78" s="12">
        <f t="shared" si="235"/>
        <v>18</v>
      </c>
      <c r="AK78" s="12">
        <v>10</v>
      </c>
      <c r="AL78" s="195" t="str">
        <f t="shared" ref="AL78:BC78" si="236">IF(AL76="","",(AK78+AK79))</f>
        <v/>
      </c>
      <c r="AM78" s="12" t="str">
        <f t="shared" si="236"/>
        <v/>
      </c>
      <c r="AN78" s="12" t="str">
        <f t="shared" si="236"/>
        <v/>
      </c>
      <c r="AO78" s="195" t="str">
        <f t="shared" si="236"/>
        <v/>
      </c>
      <c r="AP78" s="12" t="str">
        <f t="shared" si="236"/>
        <v/>
      </c>
      <c r="AQ78" s="12" t="str">
        <f t="shared" si="236"/>
        <v/>
      </c>
      <c r="AR78" s="12" t="str">
        <f t="shared" si="236"/>
        <v/>
      </c>
      <c r="AS78" s="12" t="str">
        <f t="shared" si="236"/>
        <v/>
      </c>
      <c r="AT78" s="12" t="str">
        <f t="shared" si="236"/>
        <v/>
      </c>
      <c r="AU78" s="12" t="str">
        <f t="shared" si="236"/>
        <v/>
      </c>
      <c r="AV78" s="12" t="str">
        <f t="shared" si="236"/>
        <v/>
      </c>
      <c r="AW78" s="12" t="str">
        <f t="shared" si="236"/>
        <v/>
      </c>
      <c r="AX78" s="12" t="str">
        <f t="shared" si="236"/>
        <v/>
      </c>
      <c r="AY78" s="12" t="str">
        <f t="shared" si="236"/>
        <v/>
      </c>
      <c r="AZ78" s="12" t="str">
        <f t="shared" si="236"/>
        <v/>
      </c>
      <c r="BA78" s="12" t="str">
        <f t="shared" si="236"/>
        <v/>
      </c>
      <c r="BB78" s="12" t="str">
        <f t="shared" si="236"/>
        <v/>
      </c>
      <c r="BC78" s="12" t="str">
        <f t="shared" si="236"/>
        <v/>
      </c>
    </row>
    <row r="79" spans="1:55" ht="11.25" customHeight="1" x14ac:dyDescent="0.25">
      <c r="A79" s="25" t="s">
        <v>20</v>
      </c>
      <c r="B79" s="11" t="s">
        <v>6</v>
      </c>
      <c r="C79" s="123"/>
      <c r="D79" s="124"/>
      <c r="E79" s="124"/>
      <c r="F79" s="125"/>
      <c r="G79" s="124"/>
      <c r="H79" s="124"/>
      <c r="I79" s="124"/>
      <c r="J79" s="125"/>
      <c r="K79" s="124"/>
      <c r="L79" s="124"/>
      <c r="M79" s="125"/>
      <c r="N79" s="124"/>
      <c r="O79" s="124">
        <v>12</v>
      </c>
      <c r="P79" s="125"/>
      <c r="Q79" s="124"/>
      <c r="R79" s="124">
        <v>-11</v>
      </c>
      <c r="S79" s="125"/>
      <c r="T79" s="124">
        <v>4</v>
      </c>
      <c r="U79" s="125"/>
      <c r="V79" s="124"/>
      <c r="W79" s="124"/>
      <c r="X79" s="125"/>
      <c r="Y79" s="124"/>
      <c r="Z79" s="124">
        <v>6</v>
      </c>
      <c r="AA79" s="125"/>
      <c r="AB79" s="124"/>
      <c r="AC79" s="124"/>
      <c r="AD79" s="124"/>
      <c r="AE79" s="125"/>
      <c r="AF79" s="124"/>
      <c r="AG79" s="124">
        <v>18</v>
      </c>
      <c r="AH79" s="123"/>
      <c r="AI79" s="12"/>
      <c r="AJ79" s="12"/>
      <c r="AK79" s="12"/>
      <c r="AL79" s="195"/>
      <c r="AM79" s="12"/>
      <c r="AN79" s="12"/>
      <c r="AO79" s="195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</row>
    <row r="80" spans="1:55" ht="11.25" customHeight="1" x14ac:dyDescent="0.25">
      <c r="A80" s="26">
        <f>+(A83+A95+A107+A119)*100</f>
        <v>305600</v>
      </c>
      <c r="B80" s="11" t="s">
        <v>8</v>
      </c>
      <c r="C80" s="129">
        <v>500</v>
      </c>
      <c r="D80" s="130">
        <f t="shared" ref="D80:O80" si="237">IF(D76="","",C80)</f>
        <v>500</v>
      </c>
      <c r="E80" s="130">
        <f t="shared" si="237"/>
        <v>500</v>
      </c>
      <c r="F80" s="131">
        <f t="shared" si="237"/>
        <v>500</v>
      </c>
      <c r="G80" s="130">
        <f t="shared" si="237"/>
        <v>500</v>
      </c>
      <c r="H80" s="130">
        <f t="shared" si="237"/>
        <v>500</v>
      </c>
      <c r="I80" s="130">
        <f t="shared" si="237"/>
        <v>500</v>
      </c>
      <c r="J80" s="131">
        <f t="shared" si="237"/>
        <v>500</v>
      </c>
      <c r="K80" s="130">
        <f t="shared" si="237"/>
        <v>500</v>
      </c>
      <c r="L80" s="130">
        <f t="shared" si="237"/>
        <v>500</v>
      </c>
      <c r="M80" s="131">
        <f t="shared" si="237"/>
        <v>500</v>
      </c>
      <c r="N80" s="130">
        <f t="shared" si="237"/>
        <v>500</v>
      </c>
      <c r="O80" s="130">
        <f t="shared" si="237"/>
        <v>500</v>
      </c>
      <c r="P80" s="131">
        <v>560</v>
      </c>
      <c r="Q80" s="130">
        <f t="shared" ref="Q80:AG80" si="238">IF(Q76="","",P80)</f>
        <v>560</v>
      </c>
      <c r="R80" s="130">
        <f t="shared" si="238"/>
        <v>560</v>
      </c>
      <c r="S80" s="131">
        <f t="shared" si="238"/>
        <v>560</v>
      </c>
      <c r="T80" s="130">
        <f t="shared" si="238"/>
        <v>560</v>
      </c>
      <c r="U80" s="131">
        <f t="shared" si="238"/>
        <v>560</v>
      </c>
      <c r="V80" s="130">
        <f t="shared" si="238"/>
        <v>560</v>
      </c>
      <c r="W80" s="130">
        <f t="shared" si="238"/>
        <v>560</v>
      </c>
      <c r="X80" s="131">
        <f t="shared" si="238"/>
        <v>560</v>
      </c>
      <c r="Y80" s="130">
        <f t="shared" si="238"/>
        <v>560</v>
      </c>
      <c r="Z80" s="130">
        <f t="shared" si="238"/>
        <v>560</v>
      </c>
      <c r="AA80" s="131">
        <f t="shared" si="238"/>
        <v>560</v>
      </c>
      <c r="AB80" s="130">
        <f t="shared" si="238"/>
        <v>560</v>
      </c>
      <c r="AC80" s="130">
        <f t="shared" si="238"/>
        <v>560</v>
      </c>
      <c r="AD80" s="130">
        <f t="shared" si="238"/>
        <v>560</v>
      </c>
      <c r="AE80" s="131">
        <f t="shared" si="238"/>
        <v>560</v>
      </c>
      <c r="AF80" s="130">
        <f t="shared" si="238"/>
        <v>560</v>
      </c>
      <c r="AG80" s="130">
        <f t="shared" si="238"/>
        <v>560</v>
      </c>
      <c r="AH80" s="129">
        <f>IF(AH76="","",AG80)</f>
        <v>560</v>
      </c>
      <c r="AI80" s="16">
        <f t="shared" ref="AI80:BC80" si="239">IF(AI76="","",AH80)</f>
        <v>560</v>
      </c>
      <c r="AJ80" s="16">
        <f t="shared" si="239"/>
        <v>560</v>
      </c>
      <c r="AK80" s="16">
        <f t="shared" si="239"/>
        <v>560</v>
      </c>
      <c r="AL80" s="196" t="str">
        <f t="shared" si="239"/>
        <v/>
      </c>
      <c r="AM80" s="16" t="str">
        <f t="shared" si="239"/>
        <v/>
      </c>
      <c r="AN80" s="16" t="str">
        <f t="shared" si="239"/>
        <v/>
      </c>
      <c r="AO80" s="196" t="str">
        <f t="shared" si="239"/>
        <v/>
      </c>
      <c r="AP80" s="16" t="str">
        <f t="shared" si="239"/>
        <v/>
      </c>
      <c r="AQ80" s="16" t="str">
        <f t="shared" si="239"/>
        <v/>
      </c>
      <c r="AR80" s="16" t="str">
        <f t="shared" si="239"/>
        <v/>
      </c>
      <c r="AS80" s="16" t="str">
        <f t="shared" si="239"/>
        <v/>
      </c>
      <c r="AT80" s="16" t="str">
        <f t="shared" si="239"/>
        <v/>
      </c>
      <c r="AU80" s="16" t="str">
        <f t="shared" si="239"/>
        <v/>
      </c>
      <c r="AV80" s="16" t="str">
        <f t="shared" si="239"/>
        <v/>
      </c>
      <c r="AW80" s="16" t="str">
        <f t="shared" si="239"/>
        <v/>
      </c>
      <c r="AX80" s="16" t="str">
        <f t="shared" si="239"/>
        <v/>
      </c>
      <c r="AY80" s="16" t="str">
        <f t="shared" si="239"/>
        <v/>
      </c>
      <c r="AZ80" s="16" t="str">
        <f t="shared" si="239"/>
        <v/>
      </c>
      <c r="BA80" s="16" t="str">
        <f t="shared" si="239"/>
        <v/>
      </c>
      <c r="BB80" s="16" t="str">
        <f t="shared" si="239"/>
        <v/>
      </c>
      <c r="BC80" s="16" t="str">
        <f t="shared" si="239"/>
        <v/>
      </c>
    </row>
    <row r="81" spans="1:55" ht="11.25" customHeight="1" x14ac:dyDescent="0.2">
      <c r="A81" s="14" t="s">
        <v>9</v>
      </c>
      <c r="B81" s="17" t="s">
        <v>10</v>
      </c>
      <c r="C81" s="133" t="s">
        <v>31</v>
      </c>
      <c r="D81" s="134" t="str">
        <f t="shared" ref="D81:O81" si="240">IF(D76="","",C81)</f>
        <v>たまごっちシール</v>
      </c>
      <c r="E81" s="134" t="str">
        <f t="shared" si="240"/>
        <v>たまごっちシール</v>
      </c>
      <c r="F81" s="135" t="str">
        <f t="shared" si="240"/>
        <v>たまごっちシール</v>
      </c>
      <c r="G81" s="134" t="str">
        <f t="shared" si="240"/>
        <v>たまごっちシール</v>
      </c>
      <c r="H81" s="134" t="str">
        <f t="shared" si="240"/>
        <v>たまごっちシール</v>
      </c>
      <c r="I81" s="134" t="str">
        <f t="shared" si="240"/>
        <v>たまごっちシール</v>
      </c>
      <c r="J81" s="135" t="str">
        <f t="shared" si="240"/>
        <v>たまごっちシール</v>
      </c>
      <c r="K81" s="134" t="str">
        <f t="shared" si="240"/>
        <v>たまごっちシール</v>
      </c>
      <c r="L81" s="134" t="str">
        <f t="shared" si="240"/>
        <v>たまごっちシール</v>
      </c>
      <c r="M81" s="135" t="str">
        <f t="shared" si="240"/>
        <v>たまごっちシール</v>
      </c>
      <c r="N81" s="134" t="str">
        <f t="shared" si="240"/>
        <v>たまごっちシール</v>
      </c>
      <c r="O81" s="134" t="str">
        <f t="shared" si="240"/>
        <v>たまごっちシール</v>
      </c>
      <c r="P81" s="135" t="s">
        <v>245</v>
      </c>
      <c r="Q81" s="134" t="str">
        <f t="shared" ref="Q81:AG81" si="241">IF(Q76="","",P81)</f>
        <v>たまごっちカスタムキーリング</v>
      </c>
      <c r="R81" s="134" t="str">
        <f t="shared" si="241"/>
        <v>たまごっちカスタムキーリング</v>
      </c>
      <c r="S81" s="135" t="str">
        <f t="shared" si="241"/>
        <v>たまごっちカスタムキーリング</v>
      </c>
      <c r="T81" s="134" t="str">
        <f t="shared" si="241"/>
        <v>たまごっちカスタムキーリング</v>
      </c>
      <c r="U81" s="135" t="str">
        <f t="shared" si="241"/>
        <v>たまごっちカスタムキーリング</v>
      </c>
      <c r="V81" s="134" t="str">
        <f t="shared" si="241"/>
        <v>たまごっちカスタムキーリング</v>
      </c>
      <c r="W81" s="134" t="str">
        <f t="shared" si="241"/>
        <v>たまごっちカスタムキーリング</v>
      </c>
      <c r="X81" s="135" t="str">
        <f t="shared" si="241"/>
        <v>たまごっちカスタムキーリング</v>
      </c>
      <c r="Y81" s="134" t="str">
        <f t="shared" si="241"/>
        <v>たまごっちカスタムキーリング</v>
      </c>
      <c r="Z81" s="134" t="str">
        <f t="shared" si="241"/>
        <v>たまごっちカスタムキーリング</v>
      </c>
      <c r="AA81" s="135" t="str">
        <f t="shared" si="241"/>
        <v>たまごっちカスタムキーリング</v>
      </c>
      <c r="AB81" s="134" t="str">
        <f t="shared" si="241"/>
        <v>たまごっちカスタムキーリング</v>
      </c>
      <c r="AC81" s="134" t="str">
        <f t="shared" si="241"/>
        <v>たまごっちカスタムキーリング</v>
      </c>
      <c r="AD81" s="134" t="str">
        <f t="shared" si="241"/>
        <v>たまごっちカスタムキーリング</v>
      </c>
      <c r="AE81" s="135" t="str">
        <f t="shared" si="241"/>
        <v>たまごっちカスタムキーリング</v>
      </c>
      <c r="AF81" s="134" t="str">
        <f t="shared" si="241"/>
        <v>たまごっちカスタムキーリング</v>
      </c>
      <c r="AG81" s="134" t="str">
        <f t="shared" si="241"/>
        <v>たまごっちカスタムキーリング</v>
      </c>
      <c r="AH81" s="133" t="s">
        <v>265</v>
      </c>
      <c r="AI81" s="18" t="str">
        <f t="shared" ref="AI81:BC81" si="242">IF(AI76="","",AH81)</f>
        <v>おかしなたまごっち</v>
      </c>
      <c r="AJ81" s="18" t="str">
        <f t="shared" si="242"/>
        <v>おかしなたまごっち</v>
      </c>
      <c r="AK81" s="18" t="str">
        <f t="shared" si="242"/>
        <v>おかしなたまごっち</v>
      </c>
      <c r="AL81" s="197" t="str">
        <f t="shared" si="242"/>
        <v/>
      </c>
      <c r="AM81" s="18" t="str">
        <f t="shared" si="242"/>
        <v/>
      </c>
      <c r="AN81" s="18" t="str">
        <f t="shared" si="242"/>
        <v/>
      </c>
      <c r="AO81" s="197" t="str">
        <f t="shared" si="242"/>
        <v/>
      </c>
      <c r="AP81" s="18" t="str">
        <f t="shared" si="242"/>
        <v/>
      </c>
      <c r="AQ81" s="18" t="str">
        <f t="shared" si="242"/>
        <v/>
      </c>
      <c r="AR81" s="18" t="str">
        <f t="shared" si="242"/>
        <v/>
      </c>
      <c r="AS81" s="18" t="str">
        <f t="shared" si="242"/>
        <v/>
      </c>
      <c r="AT81" s="18" t="str">
        <f t="shared" si="242"/>
        <v/>
      </c>
      <c r="AU81" s="18" t="str">
        <f t="shared" si="242"/>
        <v/>
      </c>
      <c r="AV81" s="18" t="str">
        <f t="shared" si="242"/>
        <v/>
      </c>
      <c r="AW81" s="18" t="str">
        <f t="shared" si="242"/>
        <v/>
      </c>
      <c r="AX81" s="18" t="str">
        <f t="shared" si="242"/>
        <v/>
      </c>
      <c r="AY81" s="18" t="str">
        <f t="shared" si="242"/>
        <v/>
      </c>
      <c r="AZ81" s="18" t="str">
        <f t="shared" si="242"/>
        <v/>
      </c>
      <c r="BA81" s="18" t="str">
        <f t="shared" si="242"/>
        <v/>
      </c>
      <c r="BB81" s="18" t="str">
        <f t="shared" si="242"/>
        <v/>
      </c>
      <c r="BC81" s="18" t="str">
        <f t="shared" si="242"/>
        <v/>
      </c>
    </row>
    <row r="82" spans="1:55" ht="11.25" customHeight="1" x14ac:dyDescent="0.2">
      <c r="A82" s="15">
        <f>AVERAGE(C83:AS83)*30*100</f>
        <v>103941.17647058824</v>
      </c>
      <c r="B82" s="11" t="s">
        <v>12</v>
      </c>
      <c r="C82" s="123"/>
      <c r="D82" s="124"/>
      <c r="E82" s="124"/>
      <c r="F82" s="125"/>
      <c r="G82" s="124"/>
      <c r="H82" s="124"/>
      <c r="I82" s="124"/>
      <c r="J82" s="125"/>
      <c r="K82" s="124"/>
      <c r="L82" s="124"/>
      <c r="M82" s="125"/>
      <c r="N82" s="124"/>
      <c r="O82" s="124"/>
      <c r="P82" s="125" t="s">
        <v>140</v>
      </c>
      <c r="Q82" s="124"/>
      <c r="R82" s="124"/>
      <c r="S82" s="125"/>
      <c r="T82" s="124"/>
      <c r="U82" s="125" t="s">
        <v>251</v>
      </c>
      <c r="V82" s="124"/>
      <c r="W82" s="124"/>
      <c r="X82" s="125"/>
      <c r="Y82" s="124"/>
      <c r="Z82" s="124"/>
      <c r="AA82" s="125"/>
      <c r="AB82" s="124"/>
      <c r="AC82" s="124"/>
      <c r="AD82" s="124"/>
      <c r="AE82" s="125"/>
      <c r="AF82" s="124"/>
      <c r="AG82" s="124"/>
      <c r="AH82" s="123" t="s">
        <v>261</v>
      </c>
      <c r="AI82" s="12"/>
      <c r="AJ82" s="12"/>
      <c r="AK82" s="12"/>
      <c r="AL82" s="195" t="s">
        <v>209</v>
      </c>
      <c r="AM82" s="12"/>
      <c r="AN82" s="12"/>
      <c r="AO82" s="195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</row>
    <row r="83" spans="1:55" ht="11.25" customHeight="1" x14ac:dyDescent="0.2">
      <c r="A83" s="15">
        <f t="shared" ref="A83:A86" si="243">SUM(C83:AS83)</f>
        <v>1178</v>
      </c>
      <c r="B83" s="19" t="s">
        <v>13</v>
      </c>
      <c r="C83" s="123"/>
      <c r="D83" s="137">
        <f t="shared" ref="D83:AG84" si="244">IF(D76="","",D76-C76)</f>
        <v>0</v>
      </c>
      <c r="E83" s="137">
        <f t="shared" si="244"/>
        <v>141</v>
      </c>
      <c r="F83" s="125">
        <f t="shared" si="244"/>
        <v>0</v>
      </c>
      <c r="G83" s="137">
        <f t="shared" si="244"/>
        <v>0</v>
      </c>
      <c r="H83" s="137">
        <f t="shared" si="244"/>
        <v>0</v>
      </c>
      <c r="I83" s="137">
        <f t="shared" si="244"/>
        <v>96</v>
      </c>
      <c r="J83" s="125">
        <f t="shared" si="244"/>
        <v>0</v>
      </c>
      <c r="K83" s="137">
        <f t="shared" si="244"/>
        <v>0</v>
      </c>
      <c r="L83" s="137">
        <f t="shared" si="244"/>
        <v>94</v>
      </c>
      <c r="M83" s="125">
        <f t="shared" si="244"/>
        <v>0</v>
      </c>
      <c r="N83" s="137">
        <f t="shared" si="244"/>
        <v>0</v>
      </c>
      <c r="O83" s="137">
        <f t="shared" si="244"/>
        <v>61</v>
      </c>
      <c r="P83" s="125">
        <f t="shared" si="244"/>
        <v>0</v>
      </c>
      <c r="Q83" s="137">
        <f t="shared" si="244"/>
        <v>0</v>
      </c>
      <c r="R83" s="124">
        <f t="shared" si="244"/>
        <v>88</v>
      </c>
      <c r="S83" s="125">
        <f t="shared" si="244"/>
        <v>0</v>
      </c>
      <c r="T83" s="137">
        <f t="shared" si="244"/>
        <v>67</v>
      </c>
      <c r="U83" s="125">
        <f t="shared" si="244"/>
        <v>0</v>
      </c>
      <c r="V83" s="137">
        <f t="shared" si="244"/>
        <v>0</v>
      </c>
      <c r="W83" s="137">
        <f t="shared" si="244"/>
        <v>191</v>
      </c>
      <c r="X83" s="125">
        <f t="shared" si="244"/>
        <v>0</v>
      </c>
      <c r="Y83" s="137">
        <f t="shared" si="244"/>
        <v>0</v>
      </c>
      <c r="Z83" s="137">
        <f t="shared" si="244"/>
        <v>166</v>
      </c>
      <c r="AA83" s="125">
        <f t="shared" si="244"/>
        <v>0</v>
      </c>
      <c r="AB83" s="137">
        <f t="shared" si="244"/>
        <v>0</v>
      </c>
      <c r="AC83" s="137">
        <f t="shared" si="244"/>
        <v>0</v>
      </c>
      <c r="AD83" s="137">
        <f t="shared" si="244"/>
        <v>126</v>
      </c>
      <c r="AE83" s="125">
        <f t="shared" si="244"/>
        <v>0</v>
      </c>
      <c r="AF83" s="137">
        <f t="shared" si="244"/>
        <v>0</v>
      </c>
      <c r="AG83" s="137">
        <f t="shared" si="244"/>
        <v>113</v>
      </c>
      <c r="AH83" s="123">
        <f>IF(AH76="","",AH76-AG76)</f>
        <v>0</v>
      </c>
      <c r="AI83" s="20">
        <f t="shared" ref="AI83:BC84" si="245">IF(AI76="","",AI76-AH76)</f>
        <v>0</v>
      </c>
      <c r="AJ83" s="20">
        <f t="shared" si="245"/>
        <v>0</v>
      </c>
      <c r="AK83" s="20">
        <f t="shared" si="245"/>
        <v>35</v>
      </c>
      <c r="AL83" s="195" t="str">
        <f t="shared" si="245"/>
        <v/>
      </c>
      <c r="AM83" s="20" t="str">
        <f t="shared" si="245"/>
        <v/>
      </c>
      <c r="AN83" s="20" t="str">
        <f t="shared" si="245"/>
        <v/>
      </c>
      <c r="AO83" s="195" t="str">
        <f t="shared" si="245"/>
        <v/>
      </c>
      <c r="AP83" s="20" t="str">
        <f t="shared" si="245"/>
        <v/>
      </c>
      <c r="AQ83" s="20" t="str">
        <f t="shared" si="245"/>
        <v/>
      </c>
      <c r="AR83" s="20" t="str">
        <f t="shared" si="245"/>
        <v/>
      </c>
      <c r="AS83" s="20" t="str">
        <f t="shared" si="245"/>
        <v/>
      </c>
      <c r="AT83" s="20" t="str">
        <f t="shared" si="245"/>
        <v/>
      </c>
      <c r="AU83" s="20" t="str">
        <f t="shared" si="245"/>
        <v/>
      </c>
      <c r="AV83" s="20" t="str">
        <f t="shared" si="245"/>
        <v/>
      </c>
      <c r="AW83" s="20" t="str">
        <f t="shared" si="245"/>
        <v/>
      </c>
      <c r="AX83" s="20" t="str">
        <f t="shared" si="245"/>
        <v/>
      </c>
      <c r="AY83" s="20" t="str">
        <f t="shared" si="245"/>
        <v/>
      </c>
      <c r="AZ83" s="20" t="str">
        <f t="shared" si="245"/>
        <v/>
      </c>
      <c r="BA83" s="20" t="str">
        <f t="shared" si="245"/>
        <v/>
      </c>
      <c r="BB83" s="20" t="str">
        <f t="shared" si="245"/>
        <v/>
      </c>
      <c r="BC83" s="20" t="str">
        <f t="shared" si="245"/>
        <v/>
      </c>
    </row>
    <row r="84" spans="1:55" ht="11.25" customHeight="1" x14ac:dyDescent="0.2">
      <c r="A84" s="15">
        <f t="shared" si="243"/>
        <v>51</v>
      </c>
      <c r="B84" s="19" t="s">
        <v>14</v>
      </c>
      <c r="C84" s="123">
        <v>2</v>
      </c>
      <c r="D84" s="137">
        <f t="shared" si="244"/>
        <v>0</v>
      </c>
      <c r="E84" s="137">
        <f t="shared" si="244"/>
        <v>3</v>
      </c>
      <c r="F84" s="125">
        <f t="shared" si="244"/>
        <v>0</v>
      </c>
      <c r="G84" s="137">
        <f t="shared" si="244"/>
        <v>0</v>
      </c>
      <c r="H84" s="137">
        <f t="shared" si="244"/>
        <v>0</v>
      </c>
      <c r="I84" s="137">
        <f t="shared" si="244"/>
        <v>4</v>
      </c>
      <c r="J84" s="125">
        <f t="shared" si="244"/>
        <v>0</v>
      </c>
      <c r="K84" s="137">
        <f t="shared" si="244"/>
        <v>0</v>
      </c>
      <c r="L84" s="137">
        <f t="shared" si="244"/>
        <v>1</v>
      </c>
      <c r="M84" s="125">
        <f t="shared" si="244"/>
        <v>0</v>
      </c>
      <c r="N84" s="137">
        <f t="shared" si="244"/>
        <v>0</v>
      </c>
      <c r="O84" s="137">
        <f t="shared" si="244"/>
        <v>1</v>
      </c>
      <c r="P84" s="125">
        <f t="shared" si="244"/>
        <v>0</v>
      </c>
      <c r="Q84" s="137">
        <f t="shared" si="244"/>
        <v>0</v>
      </c>
      <c r="R84" s="124">
        <f t="shared" si="244"/>
        <v>15</v>
      </c>
      <c r="S84" s="125">
        <f t="shared" si="244"/>
        <v>0</v>
      </c>
      <c r="T84" s="137">
        <f t="shared" si="244"/>
        <v>6</v>
      </c>
      <c r="U84" s="125">
        <f t="shared" si="244"/>
        <v>0</v>
      </c>
      <c r="V84" s="137">
        <f t="shared" si="244"/>
        <v>0</v>
      </c>
      <c r="W84" s="137">
        <f t="shared" si="244"/>
        <v>0</v>
      </c>
      <c r="X84" s="125">
        <f t="shared" si="244"/>
        <v>0</v>
      </c>
      <c r="Y84" s="137">
        <f t="shared" si="244"/>
        <v>0</v>
      </c>
      <c r="Z84" s="137">
        <f t="shared" si="244"/>
        <v>4</v>
      </c>
      <c r="AA84" s="125">
        <f t="shared" si="244"/>
        <v>0</v>
      </c>
      <c r="AB84" s="137">
        <f t="shared" si="244"/>
        <v>0</v>
      </c>
      <c r="AC84" s="137">
        <f t="shared" si="244"/>
        <v>0</v>
      </c>
      <c r="AD84" s="137">
        <f t="shared" si="244"/>
        <v>3</v>
      </c>
      <c r="AE84" s="125">
        <f t="shared" si="244"/>
        <v>0</v>
      </c>
      <c r="AF84" s="137">
        <f t="shared" si="244"/>
        <v>0</v>
      </c>
      <c r="AG84" s="137">
        <f t="shared" si="244"/>
        <v>4</v>
      </c>
      <c r="AH84" s="123">
        <f>IF(AH77="","",AH77-AG77)</f>
        <v>0</v>
      </c>
      <c r="AI84" s="20">
        <f t="shared" si="245"/>
        <v>0</v>
      </c>
      <c r="AJ84" s="20">
        <f t="shared" si="245"/>
        <v>0</v>
      </c>
      <c r="AK84" s="20">
        <f t="shared" si="245"/>
        <v>8</v>
      </c>
      <c r="AL84" s="195" t="str">
        <f t="shared" si="245"/>
        <v/>
      </c>
      <c r="AM84" s="20" t="str">
        <f t="shared" si="245"/>
        <v/>
      </c>
      <c r="AN84" s="20" t="str">
        <f t="shared" si="245"/>
        <v/>
      </c>
      <c r="AO84" s="195" t="str">
        <f t="shared" si="245"/>
        <v/>
      </c>
      <c r="AP84" s="20" t="str">
        <f t="shared" si="245"/>
        <v/>
      </c>
      <c r="AQ84" s="20" t="str">
        <f t="shared" si="245"/>
        <v/>
      </c>
      <c r="AR84" s="20" t="str">
        <f t="shared" si="245"/>
        <v/>
      </c>
      <c r="AS84" s="20" t="str">
        <f t="shared" si="245"/>
        <v/>
      </c>
      <c r="AT84" s="20" t="str">
        <f t="shared" si="245"/>
        <v/>
      </c>
      <c r="AU84" s="20" t="str">
        <f t="shared" si="245"/>
        <v/>
      </c>
      <c r="AV84" s="20" t="str">
        <f t="shared" si="245"/>
        <v/>
      </c>
      <c r="AW84" s="20" t="str">
        <f t="shared" si="245"/>
        <v/>
      </c>
      <c r="AX84" s="20" t="str">
        <f t="shared" si="245"/>
        <v/>
      </c>
      <c r="AY84" s="20" t="str">
        <f t="shared" si="245"/>
        <v/>
      </c>
      <c r="AZ84" s="20" t="str">
        <f t="shared" si="245"/>
        <v/>
      </c>
      <c r="BA84" s="20" t="str">
        <f t="shared" si="245"/>
        <v/>
      </c>
      <c r="BB84" s="20" t="str">
        <f t="shared" si="245"/>
        <v/>
      </c>
      <c r="BC84" s="20" t="str">
        <f t="shared" si="245"/>
        <v/>
      </c>
    </row>
    <row r="85" spans="1:55" ht="11.25" customHeight="1" x14ac:dyDescent="0.2">
      <c r="A85" s="15">
        <f t="shared" si="243"/>
        <v>34</v>
      </c>
      <c r="B85" s="19" t="s">
        <v>15</v>
      </c>
      <c r="C85" s="123">
        <v>2</v>
      </c>
      <c r="D85" s="137">
        <f t="shared" ref="D85:AG85" si="246">IF(D78="","",C78+C79-D78)</f>
        <v>0</v>
      </c>
      <c r="E85" s="137">
        <f t="shared" si="246"/>
        <v>3</v>
      </c>
      <c r="F85" s="125">
        <f t="shared" si="246"/>
        <v>0</v>
      </c>
      <c r="G85" s="137">
        <f t="shared" si="246"/>
        <v>0</v>
      </c>
      <c r="H85" s="137">
        <f t="shared" si="246"/>
        <v>0</v>
      </c>
      <c r="I85" s="137">
        <f t="shared" si="246"/>
        <v>4</v>
      </c>
      <c r="J85" s="125">
        <f t="shared" si="246"/>
        <v>0</v>
      </c>
      <c r="K85" s="137">
        <f t="shared" si="246"/>
        <v>0</v>
      </c>
      <c r="L85" s="137">
        <f t="shared" si="246"/>
        <v>2</v>
      </c>
      <c r="M85" s="125">
        <f t="shared" si="246"/>
        <v>0</v>
      </c>
      <c r="N85" s="137">
        <f t="shared" si="246"/>
        <v>0</v>
      </c>
      <c r="O85" s="137">
        <f t="shared" si="246"/>
        <v>1</v>
      </c>
      <c r="P85" s="125">
        <f t="shared" si="246"/>
        <v>0</v>
      </c>
      <c r="Q85" s="137">
        <f t="shared" si="246"/>
        <v>0</v>
      </c>
      <c r="R85" s="124">
        <f t="shared" si="246"/>
        <v>0</v>
      </c>
      <c r="S85" s="125">
        <f t="shared" si="246"/>
        <v>0</v>
      </c>
      <c r="T85" s="137">
        <f t="shared" si="246"/>
        <v>3</v>
      </c>
      <c r="U85" s="125">
        <f t="shared" si="246"/>
        <v>0</v>
      </c>
      <c r="V85" s="137">
        <f t="shared" si="246"/>
        <v>0</v>
      </c>
      <c r="W85" s="137">
        <f t="shared" si="246"/>
        <v>0</v>
      </c>
      <c r="X85" s="125">
        <f t="shared" si="246"/>
        <v>0</v>
      </c>
      <c r="Y85" s="137">
        <f t="shared" si="246"/>
        <v>0</v>
      </c>
      <c r="Z85" s="137">
        <f t="shared" si="246"/>
        <v>4</v>
      </c>
      <c r="AA85" s="125">
        <f t="shared" si="246"/>
        <v>0</v>
      </c>
      <c r="AB85" s="137">
        <f t="shared" si="246"/>
        <v>0</v>
      </c>
      <c r="AC85" s="137">
        <f t="shared" si="246"/>
        <v>0</v>
      </c>
      <c r="AD85" s="137">
        <f t="shared" si="246"/>
        <v>3</v>
      </c>
      <c r="AE85" s="125">
        <f t="shared" si="246"/>
        <v>0</v>
      </c>
      <c r="AF85" s="137">
        <f t="shared" si="246"/>
        <v>0</v>
      </c>
      <c r="AG85" s="137">
        <f t="shared" si="246"/>
        <v>4</v>
      </c>
      <c r="AH85" s="123">
        <f>IF(AH78="","",AG78+AG79-AH78)</f>
        <v>0</v>
      </c>
      <c r="AI85" s="20">
        <f t="shared" ref="AI85:BC85" si="247">IF(AI78="","",AH78+AH79-AI78)</f>
        <v>0</v>
      </c>
      <c r="AJ85" s="20">
        <f t="shared" si="247"/>
        <v>0</v>
      </c>
      <c r="AK85" s="20">
        <f t="shared" si="247"/>
        <v>8</v>
      </c>
      <c r="AL85" s="195" t="str">
        <f t="shared" si="247"/>
        <v/>
      </c>
      <c r="AM85" s="20" t="str">
        <f t="shared" si="247"/>
        <v/>
      </c>
      <c r="AN85" s="20" t="str">
        <f t="shared" si="247"/>
        <v/>
      </c>
      <c r="AO85" s="195" t="str">
        <f t="shared" si="247"/>
        <v/>
      </c>
      <c r="AP85" s="20" t="str">
        <f t="shared" si="247"/>
        <v/>
      </c>
      <c r="AQ85" s="20" t="str">
        <f t="shared" si="247"/>
        <v/>
      </c>
      <c r="AR85" s="20" t="str">
        <f t="shared" si="247"/>
        <v/>
      </c>
      <c r="AS85" s="20" t="str">
        <f t="shared" si="247"/>
        <v/>
      </c>
      <c r="AT85" s="20" t="str">
        <f t="shared" si="247"/>
        <v/>
      </c>
      <c r="AU85" s="20" t="str">
        <f t="shared" si="247"/>
        <v/>
      </c>
      <c r="AV85" s="20" t="str">
        <f t="shared" si="247"/>
        <v/>
      </c>
      <c r="AW85" s="20" t="str">
        <f t="shared" si="247"/>
        <v/>
      </c>
      <c r="AX85" s="20" t="str">
        <f t="shared" si="247"/>
        <v/>
      </c>
      <c r="AY85" s="20" t="str">
        <f t="shared" si="247"/>
        <v/>
      </c>
      <c r="AZ85" s="20" t="str">
        <f t="shared" si="247"/>
        <v/>
      </c>
      <c r="BA85" s="20" t="str">
        <f t="shared" si="247"/>
        <v/>
      </c>
      <c r="BB85" s="20" t="str">
        <f t="shared" si="247"/>
        <v/>
      </c>
      <c r="BC85" s="20" t="str">
        <f t="shared" si="247"/>
        <v/>
      </c>
    </row>
    <row r="86" spans="1:55" ht="11.25" customHeight="1" x14ac:dyDescent="0.2">
      <c r="A86" s="15">
        <f t="shared" si="243"/>
        <v>18320</v>
      </c>
      <c r="B86" s="19" t="s">
        <v>16</v>
      </c>
      <c r="C86" s="123">
        <v>1000</v>
      </c>
      <c r="D86" s="137">
        <f t="shared" ref="D86:BC86" si="248">IF(D76="","",D85*D80)</f>
        <v>0</v>
      </c>
      <c r="E86" s="137">
        <f t="shared" si="248"/>
        <v>1500</v>
      </c>
      <c r="F86" s="125">
        <f t="shared" si="248"/>
        <v>0</v>
      </c>
      <c r="G86" s="137">
        <f t="shared" si="248"/>
        <v>0</v>
      </c>
      <c r="H86" s="137">
        <f t="shared" si="248"/>
        <v>0</v>
      </c>
      <c r="I86" s="137">
        <f t="shared" si="248"/>
        <v>2000</v>
      </c>
      <c r="J86" s="125">
        <f t="shared" si="248"/>
        <v>0</v>
      </c>
      <c r="K86" s="137">
        <f t="shared" si="248"/>
        <v>0</v>
      </c>
      <c r="L86" s="137">
        <f t="shared" si="248"/>
        <v>1000</v>
      </c>
      <c r="M86" s="125">
        <f t="shared" si="248"/>
        <v>0</v>
      </c>
      <c r="N86" s="137">
        <f t="shared" si="248"/>
        <v>0</v>
      </c>
      <c r="O86" s="137">
        <f t="shared" si="248"/>
        <v>500</v>
      </c>
      <c r="P86" s="125">
        <f t="shared" si="248"/>
        <v>0</v>
      </c>
      <c r="Q86" s="137">
        <f t="shared" si="248"/>
        <v>0</v>
      </c>
      <c r="R86" s="124">
        <f t="shared" si="248"/>
        <v>0</v>
      </c>
      <c r="S86" s="125">
        <f t="shared" si="248"/>
        <v>0</v>
      </c>
      <c r="T86" s="137">
        <f t="shared" si="248"/>
        <v>1680</v>
      </c>
      <c r="U86" s="125">
        <f t="shared" si="248"/>
        <v>0</v>
      </c>
      <c r="V86" s="137">
        <f t="shared" si="248"/>
        <v>0</v>
      </c>
      <c r="W86" s="137">
        <f t="shared" si="248"/>
        <v>0</v>
      </c>
      <c r="X86" s="125">
        <f t="shared" si="248"/>
        <v>0</v>
      </c>
      <c r="Y86" s="137">
        <f t="shared" si="248"/>
        <v>0</v>
      </c>
      <c r="Z86" s="137">
        <f t="shared" si="248"/>
        <v>2240</v>
      </c>
      <c r="AA86" s="125">
        <f t="shared" si="248"/>
        <v>0</v>
      </c>
      <c r="AB86" s="137">
        <f t="shared" si="248"/>
        <v>0</v>
      </c>
      <c r="AC86" s="137">
        <f t="shared" si="248"/>
        <v>0</v>
      </c>
      <c r="AD86" s="137">
        <f t="shared" si="248"/>
        <v>1680</v>
      </c>
      <c r="AE86" s="125">
        <f t="shared" si="248"/>
        <v>0</v>
      </c>
      <c r="AF86" s="137">
        <f t="shared" si="248"/>
        <v>0</v>
      </c>
      <c r="AG86" s="137">
        <f t="shared" si="248"/>
        <v>2240</v>
      </c>
      <c r="AH86" s="123">
        <f>IF(AH76="","",AH85*AH80)</f>
        <v>0</v>
      </c>
      <c r="AI86" s="20">
        <f t="shared" si="248"/>
        <v>0</v>
      </c>
      <c r="AJ86" s="20">
        <f t="shared" si="248"/>
        <v>0</v>
      </c>
      <c r="AK86" s="20">
        <f t="shared" si="248"/>
        <v>4480</v>
      </c>
      <c r="AL86" s="195" t="str">
        <f t="shared" si="248"/>
        <v/>
      </c>
      <c r="AM86" s="20" t="str">
        <f t="shared" si="248"/>
        <v/>
      </c>
      <c r="AN86" s="20" t="str">
        <f t="shared" si="248"/>
        <v/>
      </c>
      <c r="AO86" s="195" t="str">
        <f t="shared" si="248"/>
        <v/>
      </c>
      <c r="AP86" s="20" t="str">
        <f t="shared" si="248"/>
        <v/>
      </c>
      <c r="AQ86" s="20" t="str">
        <f t="shared" si="248"/>
        <v/>
      </c>
      <c r="AR86" s="20" t="str">
        <f t="shared" si="248"/>
        <v/>
      </c>
      <c r="AS86" s="20" t="str">
        <f t="shared" si="248"/>
        <v/>
      </c>
      <c r="AT86" s="20" t="str">
        <f t="shared" si="248"/>
        <v/>
      </c>
      <c r="AU86" s="20" t="str">
        <f t="shared" si="248"/>
        <v/>
      </c>
      <c r="AV86" s="20" t="str">
        <f t="shared" si="248"/>
        <v/>
      </c>
      <c r="AW86" s="20" t="str">
        <f t="shared" si="248"/>
        <v/>
      </c>
      <c r="AX86" s="20" t="str">
        <f t="shared" si="248"/>
        <v/>
      </c>
      <c r="AY86" s="20" t="str">
        <f t="shared" si="248"/>
        <v/>
      </c>
      <c r="AZ86" s="20" t="str">
        <f t="shared" si="248"/>
        <v/>
      </c>
      <c r="BA86" s="20" t="str">
        <f t="shared" si="248"/>
        <v/>
      </c>
      <c r="BB86" s="20" t="str">
        <f t="shared" si="248"/>
        <v/>
      </c>
      <c r="BC86" s="20" t="str">
        <f t="shared" si="248"/>
        <v/>
      </c>
    </row>
    <row r="87" spans="1:55" ht="11.25" customHeight="1" thickBot="1" x14ac:dyDescent="0.25">
      <c r="A87" s="21">
        <f>IF(A86="","",A86/(A83*100))</f>
        <v>0.15551782682512733</v>
      </c>
      <c r="B87" s="19" t="s">
        <v>17</v>
      </c>
      <c r="C87" s="146">
        <v>0.20833333333333334</v>
      </c>
      <c r="D87" s="147" t="str">
        <f t="shared" ref="D87:BC87" si="249">IF(D86="","",IF(D86=0,"",D86/(D83*100)))</f>
        <v/>
      </c>
      <c r="E87" s="147">
        <f t="shared" si="249"/>
        <v>0.10638297872340426</v>
      </c>
      <c r="F87" s="148" t="str">
        <f t="shared" si="249"/>
        <v/>
      </c>
      <c r="G87" s="147" t="str">
        <f t="shared" si="249"/>
        <v/>
      </c>
      <c r="H87" s="147" t="str">
        <f t="shared" si="249"/>
        <v/>
      </c>
      <c r="I87" s="147">
        <f t="shared" si="249"/>
        <v>0.20833333333333334</v>
      </c>
      <c r="J87" s="148" t="str">
        <f t="shared" si="249"/>
        <v/>
      </c>
      <c r="K87" s="147" t="str">
        <f t="shared" si="249"/>
        <v/>
      </c>
      <c r="L87" s="147">
        <f t="shared" si="249"/>
        <v>0.10638297872340426</v>
      </c>
      <c r="M87" s="148" t="str">
        <f t="shared" si="249"/>
        <v/>
      </c>
      <c r="N87" s="147" t="str">
        <f t="shared" si="249"/>
        <v/>
      </c>
      <c r="O87" s="147">
        <f t="shared" si="249"/>
        <v>8.1967213114754092E-2</v>
      </c>
      <c r="P87" s="148" t="str">
        <f t="shared" si="249"/>
        <v/>
      </c>
      <c r="Q87" s="147" t="str">
        <f t="shared" si="249"/>
        <v/>
      </c>
      <c r="R87" s="193" t="str">
        <f t="shared" si="249"/>
        <v/>
      </c>
      <c r="S87" s="148" t="str">
        <f t="shared" si="249"/>
        <v/>
      </c>
      <c r="T87" s="147">
        <f t="shared" si="249"/>
        <v>0.2507462686567164</v>
      </c>
      <c r="U87" s="148" t="str">
        <f t="shared" si="249"/>
        <v/>
      </c>
      <c r="V87" s="147" t="str">
        <f t="shared" si="249"/>
        <v/>
      </c>
      <c r="W87" s="147" t="str">
        <f t="shared" si="249"/>
        <v/>
      </c>
      <c r="X87" s="148" t="str">
        <f t="shared" si="249"/>
        <v/>
      </c>
      <c r="Y87" s="147" t="str">
        <f t="shared" si="249"/>
        <v/>
      </c>
      <c r="Z87" s="147">
        <f t="shared" si="249"/>
        <v>0.13493975903614458</v>
      </c>
      <c r="AA87" s="148" t="str">
        <f t="shared" si="249"/>
        <v/>
      </c>
      <c r="AB87" s="147" t="str">
        <f t="shared" si="249"/>
        <v/>
      </c>
      <c r="AC87" s="147" t="str">
        <f t="shared" si="249"/>
        <v/>
      </c>
      <c r="AD87" s="147">
        <f t="shared" si="249"/>
        <v>0.13333333333333333</v>
      </c>
      <c r="AE87" s="148" t="str">
        <f t="shared" si="249"/>
        <v/>
      </c>
      <c r="AF87" s="147" t="str">
        <f t="shared" si="249"/>
        <v/>
      </c>
      <c r="AG87" s="147">
        <f t="shared" si="249"/>
        <v>0.19823008849557522</v>
      </c>
      <c r="AH87" s="146" t="str">
        <f>IF(AH86="","",IF(AH86=0,"",AH86/(AH83*100)))</f>
        <v/>
      </c>
      <c r="AI87" s="27" t="str">
        <f t="shared" si="249"/>
        <v/>
      </c>
      <c r="AJ87" s="27" t="str">
        <f t="shared" si="249"/>
        <v/>
      </c>
      <c r="AK87" s="27">
        <f t="shared" si="249"/>
        <v>1.28</v>
      </c>
      <c r="AL87" s="199" t="str">
        <f t="shared" si="249"/>
        <v/>
      </c>
      <c r="AM87" s="27" t="str">
        <f t="shared" si="249"/>
        <v/>
      </c>
      <c r="AN87" s="27" t="str">
        <f t="shared" si="249"/>
        <v/>
      </c>
      <c r="AO87" s="199" t="str">
        <f t="shared" si="249"/>
        <v/>
      </c>
      <c r="AP87" s="27" t="str">
        <f t="shared" si="249"/>
        <v/>
      </c>
      <c r="AQ87" s="27" t="str">
        <f t="shared" si="249"/>
        <v/>
      </c>
      <c r="AR87" s="27" t="str">
        <f t="shared" si="249"/>
        <v/>
      </c>
      <c r="AS87" s="27" t="str">
        <f t="shared" si="249"/>
        <v/>
      </c>
      <c r="AT87" s="27" t="str">
        <f t="shared" si="249"/>
        <v/>
      </c>
      <c r="AU87" s="27" t="str">
        <f t="shared" si="249"/>
        <v/>
      </c>
      <c r="AV87" s="27" t="str">
        <f t="shared" si="249"/>
        <v/>
      </c>
      <c r="AW87" s="27" t="str">
        <f t="shared" si="249"/>
        <v/>
      </c>
      <c r="AX87" s="27" t="str">
        <f t="shared" si="249"/>
        <v/>
      </c>
      <c r="AY87" s="27" t="str">
        <f t="shared" si="249"/>
        <v/>
      </c>
      <c r="AZ87" s="27" t="str">
        <f t="shared" si="249"/>
        <v/>
      </c>
      <c r="BA87" s="27" t="str">
        <f t="shared" si="249"/>
        <v/>
      </c>
      <c r="BB87" s="27" t="str">
        <f t="shared" si="249"/>
        <v/>
      </c>
      <c r="BC87" s="27" t="str">
        <f t="shared" si="249"/>
        <v/>
      </c>
    </row>
    <row r="88" spans="1:55" ht="11.25" customHeight="1" x14ac:dyDescent="0.2">
      <c r="A88" s="28" t="s">
        <v>1</v>
      </c>
      <c r="B88" s="29" t="s">
        <v>2</v>
      </c>
      <c r="C88" s="129">
        <v>18856</v>
      </c>
      <c r="D88" s="130">
        <f t="shared" ref="D88:D89" si="250">IF(D$16="","",C88)</f>
        <v>18856</v>
      </c>
      <c r="E88" s="130">
        <v>18981</v>
      </c>
      <c r="F88" s="131">
        <f t="shared" ref="F88:F89" si="251">IF(F$16="","",E88)</f>
        <v>18981</v>
      </c>
      <c r="G88" s="130">
        <f>IF(G$16="","",F88)</f>
        <v>18981</v>
      </c>
      <c r="H88" s="130">
        <f t="shared" ref="H88:I89" si="252">IF(H$16="","",G88)</f>
        <v>18981</v>
      </c>
      <c r="I88" s="130">
        <v>19015</v>
      </c>
      <c r="J88" s="131">
        <f t="shared" ref="J88:K89" si="253">IF(J$16="","",I88)</f>
        <v>19015</v>
      </c>
      <c r="K88" s="130">
        <f t="shared" si="253"/>
        <v>19015</v>
      </c>
      <c r="L88" s="130">
        <v>19098</v>
      </c>
      <c r="M88" s="131">
        <f t="shared" ref="M88:M89" si="254">IF(M$16="","",L88)</f>
        <v>19098</v>
      </c>
      <c r="N88" s="130">
        <f>IF(N$16="","",M88)</f>
        <v>19098</v>
      </c>
      <c r="O88" s="130">
        <v>19142</v>
      </c>
      <c r="P88" s="131">
        <f t="shared" ref="P88:Q89" si="255">IF(P$16="","",O88)</f>
        <v>19142</v>
      </c>
      <c r="Q88" s="130">
        <f t="shared" si="255"/>
        <v>19142</v>
      </c>
      <c r="R88" s="130">
        <v>19239</v>
      </c>
      <c r="S88" s="131">
        <f t="shared" ref="S88:S89" si="256">IF(S$16="","",R88)</f>
        <v>19239</v>
      </c>
      <c r="T88" s="130">
        <v>19287</v>
      </c>
      <c r="U88" s="131">
        <f>IF(U$16="","",T88)</f>
        <v>19287</v>
      </c>
      <c r="V88" s="130">
        <f t="shared" ref="V88:V89" si="257">IF(V$16="","",U88)</f>
        <v>19287</v>
      </c>
      <c r="W88" s="130">
        <v>19348</v>
      </c>
      <c r="X88" s="131">
        <f t="shared" ref="X88:X89" si="258">IF(X$16="","",W88)</f>
        <v>19348</v>
      </c>
      <c r="Y88" s="130">
        <f>IF(Y$16="","",X88)</f>
        <v>19348</v>
      </c>
      <c r="Z88" s="130">
        <v>19433</v>
      </c>
      <c r="AA88" s="131">
        <f t="shared" ref="AA88:AA89" si="259">IF(AA$16="","",Z88)</f>
        <v>19433</v>
      </c>
      <c r="AB88" s="130">
        <f>IF(AB$16="","",AA88)</f>
        <v>19433</v>
      </c>
      <c r="AC88" s="130">
        <f t="shared" ref="AC88:AC89" si="260">IF(AC$16="","",AB88)</f>
        <v>19433</v>
      </c>
      <c r="AD88" s="130">
        <v>19505</v>
      </c>
      <c r="AE88" s="131">
        <f t="shared" ref="AE88:AE89" si="261">IF(AE$16="","",AD88)</f>
        <v>19505</v>
      </c>
      <c r="AF88" s="130">
        <f>IF(AF$16="","",AE88)</f>
        <v>19505</v>
      </c>
      <c r="AG88" s="130">
        <v>19552</v>
      </c>
      <c r="AH88" s="129">
        <f>IF(AH$16="","",AG88)</f>
        <v>19552</v>
      </c>
      <c r="AI88" s="16">
        <f t="shared" ref="AI88:AJ89" si="262">IF(AI$16="","",AH88)</f>
        <v>19552</v>
      </c>
      <c r="AJ88" s="16">
        <f t="shared" si="262"/>
        <v>19552</v>
      </c>
      <c r="AK88" s="16">
        <v>19684</v>
      </c>
      <c r="AL88" s="196" t="str">
        <f t="shared" ref="AL88:BA89" si="263">IF(AL$16="","",AK88)</f>
        <v/>
      </c>
      <c r="AM88" s="16" t="str">
        <f t="shared" si="263"/>
        <v/>
      </c>
      <c r="AN88" s="16" t="str">
        <f t="shared" si="263"/>
        <v/>
      </c>
      <c r="AO88" s="196" t="str">
        <f t="shared" si="263"/>
        <v/>
      </c>
      <c r="AP88" s="16" t="str">
        <f t="shared" si="263"/>
        <v/>
      </c>
      <c r="AQ88" s="16" t="str">
        <f t="shared" si="263"/>
        <v/>
      </c>
      <c r="AR88" s="16" t="str">
        <f t="shared" si="263"/>
        <v/>
      </c>
      <c r="AS88" s="16" t="str">
        <f t="shared" si="263"/>
        <v/>
      </c>
      <c r="AT88" s="16" t="str">
        <f t="shared" si="263"/>
        <v/>
      </c>
      <c r="AU88" s="16" t="str">
        <f t="shared" si="263"/>
        <v/>
      </c>
      <c r="AV88" s="16" t="str">
        <f t="shared" si="263"/>
        <v/>
      </c>
      <c r="AW88" s="16" t="str">
        <f t="shared" si="263"/>
        <v/>
      </c>
      <c r="AX88" s="16" t="str">
        <f t="shared" si="263"/>
        <v/>
      </c>
      <c r="AY88" s="16" t="str">
        <f t="shared" si="263"/>
        <v/>
      </c>
      <c r="AZ88" s="16" t="str">
        <f t="shared" si="263"/>
        <v/>
      </c>
      <c r="BA88" s="16" t="str">
        <f t="shared" si="263"/>
        <v/>
      </c>
      <c r="BB88" s="16" t="str">
        <f t="shared" ref="BB88:BC89" si="264">IF(BB$16="","",BA88)</f>
        <v/>
      </c>
      <c r="BC88" s="16" t="str">
        <f t="shared" si="264"/>
        <v/>
      </c>
    </row>
    <row r="89" spans="1:55" ht="11.25" customHeight="1" x14ac:dyDescent="0.2">
      <c r="A89" s="10" t="s">
        <v>29</v>
      </c>
      <c r="B89" s="11" t="s">
        <v>4</v>
      </c>
      <c r="C89" s="123">
        <v>1196</v>
      </c>
      <c r="D89" s="124">
        <f t="shared" si="250"/>
        <v>1196</v>
      </c>
      <c r="E89" s="124">
        <v>1198</v>
      </c>
      <c r="F89" s="125">
        <f t="shared" si="251"/>
        <v>1198</v>
      </c>
      <c r="G89" s="124">
        <f>IF(G$16="","",F89)</f>
        <v>1198</v>
      </c>
      <c r="H89" s="124">
        <f t="shared" si="252"/>
        <v>1198</v>
      </c>
      <c r="I89" s="124">
        <f t="shared" si="252"/>
        <v>1198</v>
      </c>
      <c r="J89" s="125">
        <f t="shared" si="253"/>
        <v>1198</v>
      </c>
      <c r="K89" s="124">
        <f t="shared" si="253"/>
        <v>1198</v>
      </c>
      <c r="L89" s="124">
        <f>IF(L$16="","",K89)</f>
        <v>1198</v>
      </c>
      <c r="M89" s="125">
        <f t="shared" si="254"/>
        <v>1198</v>
      </c>
      <c r="N89" s="124">
        <f>IF(N$16="","",M89)</f>
        <v>1198</v>
      </c>
      <c r="O89" s="124">
        <v>1219</v>
      </c>
      <c r="P89" s="125">
        <f t="shared" si="255"/>
        <v>1219</v>
      </c>
      <c r="Q89" s="124">
        <f t="shared" si="255"/>
        <v>1219</v>
      </c>
      <c r="R89" s="124">
        <v>1221</v>
      </c>
      <c r="S89" s="125">
        <f t="shared" si="256"/>
        <v>1221</v>
      </c>
      <c r="T89" s="124">
        <v>1223</v>
      </c>
      <c r="U89" s="125">
        <f>IF(U$16="","",T89)</f>
        <v>1223</v>
      </c>
      <c r="V89" s="124">
        <f t="shared" si="257"/>
        <v>1223</v>
      </c>
      <c r="W89" s="124">
        <v>1225</v>
      </c>
      <c r="X89" s="125">
        <f t="shared" si="258"/>
        <v>1225</v>
      </c>
      <c r="Y89" s="124">
        <f>IF(Y$16="","",X89)</f>
        <v>1225</v>
      </c>
      <c r="Z89" s="124">
        <v>1227</v>
      </c>
      <c r="AA89" s="125">
        <f t="shared" si="259"/>
        <v>1227</v>
      </c>
      <c r="AB89" s="124">
        <f>IF(AB$16="","",AA89)</f>
        <v>1227</v>
      </c>
      <c r="AC89" s="124">
        <f t="shared" si="260"/>
        <v>1227</v>
      </c>
      <c r="AD89" s="124">
        <v>1232</v>
      </c>
      <c r="AE89" s="125">
        <f t="shared" si="261"/>
        <v>1232</v>
      </c>
      <c r="AF89" s="124">
        <f>IF(AF$16="","",AE89)</f>
        <v>1232</v>
      </c>
      <c r="AG89" s="124">
        <v>1240</v>
      </c>
      <c r="AH89" s="123">
        <f>IF(AH$16="","",AG89)</f>
        <v>1240</v>
      </c>
      <c r="AI89" s="12">
        <f t="shared" si="262"/>
        <v>1240</v>
      </c>
      <c r="AJ89" s="12">
        <f t="shared" si="262"/>
        <v>1240</v>
      </c>
      <c r="AK89" s="12">
        <v>1248</v>
      </c>
      <c r="AL89" s="195" t="str">
        <f t="shared" si="263"/>
        <v/>
      </c>
      <c r="AM89" s="12" t="str">
        <f t="shared" si="263"/>
        <v/>
      </c>
      <c r="AN89" s="12" t="str">
        <f t="shared" si="263"/>
        <v/>
      </c>
      <c r="AO89" s="195" t="str">
        <f t="shared" si="263"/>
        <v/>
      </c>
      <c r="AP89" s="12" t="str">
        <f t="shared" si="263"/>
        <v/>
      </c>
      <c r="AQ89" s="12" t="str">
        <f t="shared" si="263"/>
        <v/>
      </c>
      <c r="AR89" s="12" t="str">
        <f t="shared" si="263"/>
        <v/>
      </c>
      <c r="AS89" s="12" t="str">
        <f t="shared" si="263"/>
        <v/>
      </c>
      <c r="AT89" s="12" t="str">
        <f t="shared" si="263"/>
        <v/>
      </c>
      <c r="AU89" s="12" t="str">
        <f t="shared" si="263"/>
        <v/>
      </c>
      <c r="AV89" s="12" t="str">
        <f t="shared" si="263"/>
        <v/>
      </c>
      <c r="AW89" s="12" t="str">
        <f t="shared" si="263"/>
        <v/>
      </c>
      <c r="AX89" s="12" t="str">
        <f t="shared" si="263"/>
        <v/>
      </c>
      <c r="AY89" s="12" t="str">
        <f t="shared" si="263"/>
        <v/>
      </c>
      <c r="AZ89" s="12" t="str">
        <f t="shared" si="263"/>
        <v/>
      </c>
      <c r="BA89" s="12" t="str">
        <f t="shared" si="263"/>
        <v/>
      </c>
      <c r="BB89" s="12" t="str">
        <f t="shared" si="264"/>
        <v/>
      </c>
      <c r="BC89" s="12" t="str">
        <f t="shared" si="264"/>
        <v/>
      </c>
    </row>
    <row r="90" spans="1:55" ht="11.25" customHeight="1" x14ac:dyDescent="0.25">
      <c r="A90" s="24">
        <v>2</v>
      </c>
      <c r="B90" s="11" t="s">
        <v>5</v>
      </c>
      <c r="C90" s="123">
        <v>22</v>
      </c>
      <c r="D90" s="124">
        <f t="shared" ref="D90" si="265">IF(D88="","",(C90+C91))</f>
        <v>22</v>
      </c>
      <c r="E90" s="124">
        <v>20</v>
      </c>
      <c r="F90" s="125">
        <f t="shared" ref="F90" si="266">IF(F88="","",(E90+E91))</f>
        <v>20</v>
      </c>
      <c r="G90" s="124">
        <f>IF(G88="","",(F90+F91))</f>
        <v>20</v>
      </c>
      <c r="H90" s="124">
        <f t="shared" ref="H90:K90" si="267">IF(H88="","",(G90+G91))</f>
        <v>20</v>
      </c>
      <c r="I90" s="124">
        <f t="shared" si="267"/>
        <v>20</v>
      </c>
      <c r="J90" s="125">
        <f t="shared" si="267"/>
        <v>30</v>
      </c>
      <c r="K90" s="124">
        <f t="shared" si="267"/>
        <v>30</v>
      </c>
      <c r="L90" s="124">
        <v>4</v>
      </c>
      <c r="M90" s="125">
        <f t="shared" ref="M90" si="268">IF(M88="","",(L90+L91))</f>
        <v>18</v>
      </c>
      <c r="N90" s="124">
        <f>IF(N88="","",(M90+M91))</f>
        <v>18</v>
      </c>
      <c r="O90" s="124">
        <f t="shared" ref="O90:Q90" si="269">IF(O88="","",(N90+N91))</f>
        <v>18</v>
      </c>
      <c r="P90" s="125">
        <f t="shared" si="269"/>
        <v>18</v>
      </c>
      <c r="Q90" s="124">
        <f t="shared" si="269"/>
        <v>18</v>
      </c>
      <c r="R90" s="124">
        <v>17</v>
      </c>
      <c r="S90" s="125">
        <f t="shared" ref="S90:T90" si="270">IF(S88="","",(R90+R91))</f>
        <v>20</v>
      </c>
      <c r="T90" s="124">
        <f t="shared" si="270"/>
        <v>20</v>
      </c>
      <c r="U90" s="125">
        <f>IF(U88="","",(T90+T91))</f>
        <v>20</v>
      </c>
      <c r="V90" s="124">
        <f t="shared" ref="V90:X90" si="271">IF(V88="","",(U90+U91))</f>
        <v>20</v>
      </c>
      <c r="W90" s="124">
        <f t="shared" si="271"/>
        <v>20</v>
      </c>
      <c r="X90" s="125">
        <f t="shared" si="271"/>
        <v>20</v>
      </c>
      <c r="Y90" s="124">
        <f>IF(Y88="","",(X90+X91))</f>
        <v>20</v>
      </c>
      <c r="Z90" s="124">
        <v>17</v>
      </c>
      <c r="AA90" s="125">
        <f t="shared" ref="AA90:AC90" si="272">IF(AA88="","",(Z90+Z91))</f>
        <v>20</v>
      </c>
      <c r="AB90" s="124">
        <f t="shared" si="272"/>
        <v>20</v>
      </c>
      <c r="AC90" s="124">
        <f t="shared" si="272"/>
        <v>20</v>
      </c>
      <c r="AD90" s="124">
        <v>18</v>
      </c>
      <c r="AE90" s="125">
        <f t="shared" ref="AE90" si="273">IF(AE88="","",(AD90+AD91))</f>
        <v>20</v>
      </c>
      <c r="AF90" s="124">
        <f>IF(AF88="","",(AE90+AE91))</f>
        <v>20</v>
      </c>
      <c r="AG90" s="124">
        <v>19</v>
      </c>
      <c r="AH90" s="123">
        <f>IF(AH88="","",(AG90+AG91))</f>
        <v>19</v>
      </c>
      <c r="AI90" s="12">
        <f t="shared" ref="AI90:AJ90" si="274">IF(AI88="","",(AH90+AH91))</f>
        <v>19</v>
      </c>
      <c r="AJ90" s="12">
        <f t="shared" si="274"/>
        <v>19</v>
      </c>
      <c r="AK90" s="12">
        <v>16</v>
      </c>
      <c r="AL90" s="195" t="str">
        <f t="shared" ref="AL90:BC90" si="275">IF(AL88="","",(AK90+AK91))</f>
        <v/>
      </c>
      <c r="AM90" s="12" t="str">
        <f t="shared" si="275"/>
        <v/>
      </c>
      <c r="AN90" s="12" t="str">
        <f t="shared" si="275"/>
        <v/>
      </c>
      <c r="AO90" s="195" t="str">
        <f t="shared" si="275"/>
        <v/>
      </c>
      <c r="AP90" s="12" t="str">
        <f t="shared" si="275"/>
        <v/>
      </c>
      <c r="AQ90" s="12" t="str">
        <f t="shared" si="275"/>
        <v/>
      </c>
      <c r="AR90" s="12" t="str">
        <f t="shared" si="275"/>
        <v/>
      </c>
      <c r="AS90" s="12" t="str">
        <f t="shared" si="275"/>
        <v/>
      </c>
      <c r="AT90" s="12" t="str">
        <f t="shared" si="275"/>
        <v/>
      </c>
      <c r="AU90" s="12" t="str">
        <f t="shared" si="275"/>
        <v/>
      </c>
      <c r="AV90" s="12" t="str">
        <f t="shared" si="275"/>
        <v/>
      </c>
      <c r="AW90" s="12" t="str">
        <f t="shared" si="275"/>
        <v/>
      </c>
      <c r="AX90" s="12" t="str">
        <f t="shared" si="275"/>
        <v/>
      </c>
      <c r="AY90" s="12" t="str">
        <f t="shared" si="275"/>
        <v/>
      </c>
      <c r="AZ90" s="12" t="str">
        <f t="shared" si="275"/>
        <v/>
      </c>
      <c r="BA90" s="12" t="str">
        <f t="shared" si="275"/>
        <v/>
      </c>
      <c r="BB90" s="12" t="str">
        <f t="shared" si="275"/>
        <v/>
      </c>
      <c r="BC90" s="12" t="str">
        <f t="shared" si="275"/>
        <v/>
      </c>
    </row>
    <row r="91" spans="1:55" ht="11.25" customHeight="1" x14ac:dyDescent="0.2">
      <c r="A91" s="14"/>
      <c r="B91" s="11" t="s">
        <v>6</v>
      </c>
      <c r="C91" s="123"/>
      <c r="D91" s="124"/>
      <c r="E91" s="124"/>
      <c r="F91" s="125"/>
      <c r="G91" s="124"/>
      <c r="H91" s="124"/>
      <c r="I91" s="124">
        <v>10</v>
      </c>
      <c r="J91" s="125"/>
      <c r="K91" s="124"/>
      <c r="L91" s="124">
        <v>14</v>
      </c>
      <c r="M91" s="125"/>
      <c r="N91" s="124"/>
      <c r="O91" s="124"/>
      <c r="P91" s="125"/>
      <c r="Q91" s="124"/>
      <c r="R91" s="124">
        <v>3</v>
      </c>
      <c r="S91" s="125"/>
      <c r="T91" s="124"/>
      <c r="U91" s="125"/>
      <c r="V91" s="124"/>
      <c r="W91" s="124"/>
      <c r="X91" s="125"/>
      <c r="Y91" s="124"/>
      <c r="Z91" s="124">
        <v>3</v>
      </c>
      <c r="AA91" s="125"/>
      <c r="AB91" s="124"/>
      <c r="AC91" s="124"/>
      <c r="AD91" s="124">
        <v>2</v>
      </c>
      <c r="AE91" s="125"/>
      <c r="AF91" s="124"/>
      <c r="AG91" s="124"/>
      <c r="AH91" s="123"/>
      <c r="AI91" s="12"/>
      <c r="AJ91" s="12"/>
      <c r="AK91" s="12">
        <v>3</v>
      </c>
      <c r="AL91" s="195"/>
      <c r="AM91" s="12"/>
      <c r="AN91" s="12"/>
      <c r="AO91" s="195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</row>
    <row r="92" spans="1:55" ht="11.25" customHeight="1" x14ac:dyDescent="0.2">
      <c r="A92" s="15"/>
      <c r="B92" s="11" t="s">
        <v>8</v>
      </c>
      <c r="C92" s="129">
        <v>340</v>
      </c>
      <c r="D92" s="130">
        <f t="shared" ref="D92:I92" si="276">IF(D88="","",C92)</f>
        <v>340</v>
      </c>
      <c r="E92" s="130">
        <f t="shared" si="276"/>
        <v>340</v>
      </c>
      <c r="F92" s="131">
        <f t="shared" si="276"/>
        <v>340</v>
      </c>
      <c r="G92" s="130">
        <f t="shared" si="276"/>
        <v>340</v>
      </c>
      <c r="H92" s="130">
        <f t="shared" si="276"/>
        <v>340</v>
      </c>
      <c r="I92" s="130">
        <f t="shared" si="276"/>
        <v>340</v>
      </c>
      <c r="J92" s="131">
        <v>300</v>
      </c>
      <c r="K92" s="130">
        <f t="shared" ref="K92" si="277">IF(K88="","",J92)</f>
        <v>300</v>
      </c>
      <c r="L92" s="130">
        <v>880</v>
      </c>
      <c r="M92" s="131">
        <f t="shared" ref="M92:AG92" si="278">IF(M88="","",L92)</f>
        <v>880</v>
      </c>
      <c r="N92" s="130">
        <f t="shared" si="278"/>
        <v>880</v>
      </c>
      <c r="O92" s="130">
        <f t="shared" si="278"/>
        <v>880</v>
      </c>
      <c r="P92" s="131">
        <f t="shared" si="278"/>
        <v>880</v>
      </c>
      <c r="Q92" s="130">
        <f t="shared" si="278"/>
        <v>880</v>
      </c>
      <c r="R92" s="130">
        <f t="shared" si="278"/>
        <v>880</v>
      </c>
      <c r="S92" s="131">
        <f t="shared" si="278"/>
        <v>880</v>
      </c>
      <c r="T92" s="130">
        <f t="shared" si="278"/>
        <v>880</v>
      </c>
      <c r="U92" s="131">
        <f t="shared" si="278"/>
        <v>880</v>
      </c>
      <c r="V92" s="130">
        <f t="shared" si="278"/>
        <v>880</v>
      </c>
      <c r="W92" s="130">
        <f t="shared" si="278"/>
        <v>880</v>
      </c>
      <c r="X92" s="131">
        <f t="shared" si="278"/>
        <v>880</v>
      </c>
      <c r="Y92" s="130">
        <f t="shared" si="278"/>
        <v>880</v>
      </c>
      <c r="Z92" s="130">
        <f t="shared" si="278"/>
        <v>880</v>
      </c>
      <c r="AA92" s="131">
        <f t="shared" si="278"/>
        <v>880</v>
      </c>
      <c r="AB92" s="130">
        <f t="shared" si="278"/>
        <v>880</v>
      </c>
      <c r="AC92" s="130">
        <f t="shared" si="278"/>
        <v>880</v>
      </c>
      <c r="AD92" s="130">
        <f t="shared" si="278"/>
        <v>880</v>
      </c>
      <c r="AE92" s="131">
        <f t="shared" si="278"/>
        <v>880</v>
      </c>
      <c r="AF92" s="130">
        <f t="shared" si="278"/>
        <v>880</v>
      </c>
      <c r="AG92" s="130">
        <f t="shared" si="278"/>
        <v>880</v>
      </c>
      <c r="AH92" s="129">
        <f>IF(AH88="","",AG92)</f>
        <v>880</v>
      </c>
      <c r="AI92" s="16">
        <f t="shared" ref="AI92:BC92" si="279">IF(AI88="","",AH92)</f>
        <v>880</v>
      </c>
      <c r="AJ92" s="16">
        <f t="shared" si="279"/>
        <v>880</v>
      </c>
      <c r="AK92" s="16">
        <f t="shared" si="279"/>
        <v>880</v>
      </c>
      <c r="AL92" s="196" t="str">
        <f t="shared" si="279"/>
        <v/>
      </c>
      <c r="AM92" s="16" t="str">
        <f t="shared" si="279"/>
        <v/>
      </c>
      <c r="AN92" s="16" t="str">
        <f t="shared" si="279"/>
        <v/>
      </c>
      <c r="AO92" s="196" t="str">
        <f t="shared" si="279"/>
        <v/>
      </c>
      <c r="AP92" s="16" t="str">
        <f t="shared" si="279"/>
        <v/>
      </c>
      <c r="AQ92" s="16" t="str">
        <f t="shared" si="279"/>
        <v/>
      </c>
      <c r="AR92" s="16" t="str">
        <f t="shared" si="279"/>
        <v/>
      </c>
      <c r="AS92" s="16" t="str">
        <f t="shared" si="279"/>
        <v/>
      </c>
      <c r="AT92" s="16" t="str">
        <f t="shared" si="279"/>
        <v/>
      </c>
      <c r="AU92" s="16" t="str">
        <f t="shared" si="279"/>
        <v/>
      </c>
      <c r="AV92" s="16" t="str">
        <f t="shared" si="279"/>
        <v/>
      </c>
      <c r="AW92" s="16" t="str">
        <f t="shared" si="279"/>
        <v/>
      </c>
      <c r="AX92" s="16" t="str">
        <f t="shared" si="279"/>
        <v/>
      </c>
      <c r="AY92" s="16" t="str">
        <f t="shared" si="279"/>
        <v/>
      </c>
      <c r="AZ92" s="16" t="str">
        <f t="shared" si="279"/>
        <v/>
      </c>
      <c r="BA92" s="16" t="str">
        <f t="shared" si="279"/>
        <v/>
      </c>
      <c r="BB92" s="16" t="str">
        <f t="shared" si="279"/>
        <v/>
      </c>
      <c r="BC92" s="16" t="str">
        <f t="shared" si="279"/>
        <v/>
      </c>
    </row>
    <row r="93" spans="1:55" ht="11.25" customHeight="1" x14ac:dyDescent="0.2">
      <c r="A93" s="14" t="s">
        <v>9</v>
      </c>
      <c r="B93" s="17" t="s">
        <v>10</v>
      </c>
      <c r="C93" s="133" t="s">
        <v>35</v>
      </c>
      <c r="D93" s="134" t="str">
        <f t="shared" ref="D93:I93" si="280">IF(D88="","",C93)</f>
        <v>バタースクイーズ</v>
      </c>
      <c r="E93" s="134" t="str">
        <f t="shared" si="280"/>
        <v>バタースクイーズ</v>
      </c>
      <c r="F93" s="135" t="str">
        <f t="shared" si="280"/>
        <v>バタースクイーズ</v>
      </c>
      <c r="G93" s="134" t="str">
        <f t="shared" si="280"/>
        <v>バタースクイーズ</v>
      </c>
      <c r="H93" s="134" t="str">
        <f t="shared" si="280"/>
        <v>バタースクイーズ</v>
      </c>
      <c r="I93" s="134" t="str">
        <f t="shared" si="280"/>
        <v>バタースクイーズ</v>
      </c>
      <c r="J93" s="135" t="s">
        <v>241</v>
      </c>
      <c r="K93" s="134" t="str">
        <f t="shared" ref="K93:L93" si="281">IF(K88="","",J93)</f>
        <v>ご当地もけけ</v>
      </c>
      <c r="L93" s="134" t="str">
        <f t="shared" si="281"/>
        <v>ご当地もけけ</v>
      </c>
      <c r="M93" s="135" t="s">
        <v>228</v>
      </c>
      <c r="N93" s="134" t="str">
        <f t="shared" ref="N93:AG93" si="282">IF(N88="","",M93)</f>
        <v>ベアブリック</v>
      </c>
      <c r="O93" s="134" t="str">
        <f t="shared" si="282"/>
        <v>ベアブリック</v>
      </c>
      <c r="P93" s="135" t="str">
        <f t="shared" si="282"/>
        <v>ベアブリック</v>
      </c>
      <c r="Q93" s="134" t="str">
        <f t="shared" si="282"/>
        <v>ベアブリック</v>
      </c>
      <c r="R93" s="134" t="str">
        <f t="shared" si="282"/>
        <v>ベアブリック</v>
      </c>
      <c r="S93" s="135" t="str">
        <f t="shared" si="282"/>
        <v>ベアブリック</v>
      </c>
      <c r="T93" s="134" t="str">
        <f t="shared" si="282"/>
        <v>ベアブリック</v>
      </c>
      <c r="U93" s="135" t="str">
        <f t="shared" si="282"/>
        <v>ベアブリック</v>
      </c>
      <c r="V93" s="134" t="str">
        <f t="shared" si="282"/>
        <v>ベアブリック</v>
      </c>
      <c r="W93" s="134" t="str">
        <f t="shared" si="282"/>
        <v>ベアブリック</v>
      </c>
      <c r="X93" s="135" t="str">
        <f t="shared" si="282"/>
        <v>ベアブリック</v>
      </c>
      <c r="Y93" s="134" t="str">
        <f t="shared" si="282"/>
        <v>ベアブリック</v>
      </c>
      <c r="Z93" s="134" t="str">
        <f t="shared" si="282"/>
        <v>ベアブリック</v>
      </c>
      <c r="AA93" s="135" t="str">
        <f t="shared" si="282"/>
        <v>ベアブリック</v>
      </c>
      <c r="AB93" s="134" t="str">
        <f t="shared" si="282"/>
        <v>ベアブリック</v>
      </c>
      <c r="AC93" s="134" t="str">
        <f t="shared" si="282"/>
        <v>ベアブリック</v>
      </c>
      <c r="AD93" s="134" t="str">
        <f t="shared" si="282"/>
        <v>ベアブリック</v>
      </c>
      <c r="AE93" s="135" t="str">
        <f t="shared" si="282"/>
        <v>ベアブリック</v>
      </c>
      <c r="AF93" s="134" t="str">
        <f t="shared" si="282"/>
        <v>ベアブリック</v>
      </c>
      <c r="AG93" s="134" t="str">
        <f t="shared" si="282"/>
        <v>ベアブリック</v>
      </c>
      <c r="AH93" s="133" t="str">
        <f>IF(AH88="","",AG93)</f>
        <v>ベアブリック</v>
      </c>
      <c r="AI93" s="18" t="str">
        <f t="shared" ref="AI93:BC93" si="283">IF(AI88="","",AH93)</f>
        <v>ベアブリック</v>
      </c>
      <c r="AJ93" s="18" t="str">
        <f t="shared" si="283"/>
        <v>ベアブリック</v>
      </c>
      <c r="AK93" s="18" t="str">
        <f t="shared" si="283"/>
        <v>ベアブリック</v>
      </c>
      <c r="AL93" s="197" t="str">
        <f t="shared" si="283"/>
        <v/>
      </c>
      <c r="AM93" s="18" t="str">
        <f t="shared" si="283"/>
        <v/>
      </c>
      <c r="AN93" s="18" t="str">
        <f t="shared" si="283"/>
        <v/>
      </c>
      <c r="AO93" s="197" t="str">
        <f t="shared" si="283"/>
        <v/>
      </c>
      <c r="AP93" s="18" t="str">
        <f t="shared" si="283"/>
        <v/>
      </c>
      <c r="AQ93" s="18" t="str">
        <f t="shared" si="283"/>
        <v/>
      </c>
      <c r="AR93" s="18" t="str">
        <f t="shared" si="283"/>
        <v/>
      </c>
      <c r="AS93" s="18" t="str">
        <f t="shared" si="283"/>
        <v/>
      </c>
      <c r="AT93" s="18" t="str">
        <f t="shared" si="283"/>
        <v/>
      </c>
      <c r="AU93" s="18" t="str">
        <f t="shared" si="283"/>
        <v/>
      </c>
      <c r="AV93" s="18" t="str">
        <f t="shared" si="283"/>
        <v/>
      </c>
      <c r="AW93" s="18" t="str">
        <f t="shared" si="283"/>
        <v/>
      </c>
      <c r="AX93" s="18" t="str">
        <f t="shared" si="283"/>
        <v/>
      </c>
      <c r="AY93" s="18" t="str">
        <f t="shared" si="283"/>
        <v/>
      </c>
      <c r="AZ93" s="18" t="str">
        <f t="shared" si="283"/>
        <v/>
      </c>
      <c r="BA93" s="18" t="str">
        <f t="shared" si="283"/>
        <v/>
      </c>
      <c r="BB93" s="18" t="str">
        <f t="shared" si="283"/>
        <v/>
      </c>
      <c r="BC93" s="18" t="str">
        <f t="shared" si="283"/>
        <v/>
      </c>
    </row>
    <row r="94" spans="1:55" ht="11.25" customHeight="1" x14ac:dyDescent="0.2">
      <c r="A94" s="15">
        <f>AVERAGE(C95:AS95)*30*100</f>
        <v>73058.823529411762</v>
      </c>
      <c r="B94" s="11" t="s">
        <v>12</v>
      </c>
      <c r="C94" s="123"/>
      <c r="D94" s="124"/>
      <c r="E94" s="124"/>
      <c r="F94" s="125"/>
      <c r="G94" s="124"/>
      <c r="H94" s="124"/>
      <c r="I94" s="124"/>
      <c r="J94" s="125" t="s">
        <v>124</v>
      </c>
      <c r="K94" s="124"/>
      <c r="L94" s="124"/>
      <c r="M94" s="125" t="s">
        <v>244</v>
      </c>
      <c r="N94" s="124"/>
      <c r="O94" s="124"/>
      <c r="P94" s="125"/>
      <c r="Q94" s="124"/>
      <c r="R94" s="124"/>
      <c r="S94" s="125"/>
      <c r="T94" s="124"/>
      <c r="U94" s="125"/>
      <c r="V94" s="124"/>
      <c r="W94" s="124"/>
      <c r="X94" s="125"/>
      <c r="Y94" s="124"/>
      <c r="Z94" s="124"/>
      <c r="AA94" s="125"/>
      <c r="AB94" s="124"/>
      <c r="AC94" s="124"/>
      <c r="AD94" s="124"/>
      <c r="AE94" s="125"/>
      <c r="AF94" s="124"/>
      <c r="AG94" s="124"/>
      <c r="AH94" s="123"/>
      <c r="AI94" s="12"/>
      <c r="AJ94" s="12"/>
      <c r="AK94" s="12"/>
      <c r="AL94" s="195"/>
      <c r="AM94" s="12"/>
      <c r="AN94" s="12"/>
      <c r="AO94" s="195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</row>
    <row r="95" spans="1:55" ht="11.25" customHeight="1" x14ac:dyDescent="0.2">
      <c r="A95" s="15">
        <f t="shared" ref="A95:A98" si="284">SUM(C95:AS95)</f>
        <v>828</v>
      </c>
      <c r="B95" s="19" t="s">
        <v>13</v>
      </c>
      <c r="C95" s="123"/>
      <c r="D95" s="137">
        <f t="shared" ref="D95:AG96" si="285">IF(D88="","",D88-C88)</f>
        <v>0</v>
      </c>
      <c r="E95" s="137">
        <f t="shared" si="285"/>
        <v>125</v>
      </c>
      <c r="F95" s="125">
        <f t="shared" si="285"/>
        <v>0</v>
      </c>
      <c r="G95" s="137">
        <f t="shared" si="285"/>
        <v>0</v>
      </c>
      <c r="H95" s="137">
        <f t="shared" si="285"/>
        <v>0</v>
      </c>
      <c r="I95" s="137">
        <f t="shared" si="285"/>
        <v>34</v>
      </c>
      <c r="J95" s="125">
        <f t="shared" si="285"/>
        <v>0</v>
      </c>
      <c r="K95" s="137">
        <f t="shared" si="285"/>
        <v>0</v>
      </c>
      <c r="L95" s="137">
        <f t="shared" si="285"/>
        <v>83</v>
      </c>
      <c r="M95" s="125">
        <f t="shared" si="285"/>
        <v>0</v>
      </c>
      <c r="N95" s="137">
        <f t="shared" si="285"/>
        <v>0</v>
      </c>
      <c r="O95" s="137">
        <f t="shared" si="285"/>
        <v>44</v>
      </c>
      <c r="P95" s="125">
        <f t="shared" si="285"/>
        <v>0</v>
      </c>
      <c r="Q95" s="137">
        <f t="shared" si="285"/>
        <v>0</v>
      </c>
      <c r="R95" s="124">
        <f t="shared" si="285"/>
        <v>97</v>
      </c>
      <c r="S95" s="125">
        <f t="shared" si="285"/>
        <v>0</v>
      </c>
      <c r="T95" s="137">
        <f t="shared" si="285"/>
        <v>48</v>
      </c>
      <c r="U95" s="125">
        <f t="shared" si="285"/>
        <v>0</v>
      </c>
      <c r="V95" s="137">
        <f t="shared" si="285"/>
        <v>0</v>
      </c>
      <c r="W95" s="137">
        <f t="shared" si="285"/>
        <v>61</v>
      </c>
      <c r="X95" s="125">
        <f t="shared" si="285"/>
        <v>0</v>
      </c>
      <c r="Y95" s="137">
        <f t="shared" si="285"/>
        <v>0</v>
      </c>
      <c r="Z95" s="137">
        <f t="shared" si="285"/>
        <v>85</v>
      </c>
      <c r="AA95" s="125">
        <f t="shared" si="285"/>
        <v>0</v>
      </c>
      <c r="AB95" s="137">
        <f t="shared" si="285"/>
        <v>0</v>
      </c>
      <c r="AC95" s="137">
        <f t="shared" si="285"/>
        <v>0</v>
      </c>
      <c r="AD95" s="137">
        <f t="shared" si="285"/>
        <v>72</v>
      </c>
      <c r="AE95" s="125">
        <f t="shared" si="285"/>
        <v>0</v>
      </c>
      <c r="AF95" s="137">
        <f t="shared" si="285"/>
        <v>0</v>
      </c>
      <c r="AG95" s="137">
        <f t="shared" si="285"/>
        <v>47</v>
      </c>
      <c r="AH95" s="123">
        <f>IF(AH88="","",AH88-AG88)</f>
        <v>0</v>
      </c>
      <c r="AI95" s="20">
        <f t="shared" ref="AI95:BC96" si="286">IF(AI88="","",AI88-AH88)</f>
        <v>0</v>
      </c>
      <c r="AJ95" s="20">
        <f t="shared" si="286"/>
        <v>0</v>
      </c>
      <c r="AK95" s="20">
        <f t="shared" si="286"/>
        <v>132</v>
      </c>
      <c r="AL95" s="195" t="str">
        <f t="shared" si="286"/>
        <v/>
      </c>
      <c r="AM95" s="20" t="str">
        <f t="shared" si="286"/>
        <v/>
      </c>
      <c r="AN95" s="20" t="str">
        <f t="shared" si="286"/>
        <v/>
      </c>
      <c r="AO95" s="195" t="str">
        <f t="shared" si="286"/>
        <v/>
      </c>
      <c r="AP95" s="20" t="str">
        <f t="shared" si="286"/>
        <v/>
      </c>
      <c r="AQ95" s="20" t="str">
        <f t="shared" si="286"/>
        <v/>
      </c>
      <c r="AR95" s="20" t="str">
        <f t="shared" si="286"/>
        <v/>
      </c>
      <c r="AS95" s="20" t="str">
        <f t="shared" si="286"/>
        <v/>
      </c>
      <c r="AT95" s="20" t="str">
        <f t="shared" si="286"/>
        <v/>
      </c>
      <c r="AU95" s="20" t="str">
        <f t="shared" si="286"/>
        <v/>
      </c>
      <c r="AV95" s="20" t="str">
        <f t="shared" si="286"/>
        <v/>
      </c>
      <c r="AW95" s="20" t="str">
        <f t="shared" si="286"/>
        <v/>
      </c>
      <c r="AX95" s="20" t="str">
        <f t="shared" si="286"/>
        <v/>
      </c>
      <c r="AY95" s="20" t="str">
        <f t="shared" si="286"/>
        <v/>
      </c>
      <c r="AZ95" s="20" t="str">
        <f t="shared" si="286"/>
        <v/>
      </c>
      <c r="BA95" s="20" t="str">
        <f t="shared" si="286"/>
        <v/>
      </c>
      <c r="BB95" s="20" t="str">
        <f t="shared" si="286"/>
        <v/>
      </c>
      <c r="BC95" s="20" t="str">
        <f t="shared" si="286"/>
        <v/>
      </c>
    </row>
    <row r="96" spans="1:55" ht="11.25" customHeight="1" x14ac:dyDescent="0.2">
      <c r="A96" s="15">
        <f t="shared" si="284"/>
        <v>53</v>
      </c>
      <c r="B96" s="19" t="s">
        <v>14</v>
      </c>
      <c r="C96" s="123">
        <v>1</v>
      </c>
      <c r="D96" s="137">
        <f t="shared" si="285"/>
        <v>0</v>
      </c>
      <c r="E96" s="137">
        <f t="shared" si="285"/>
        <v>2</v>
      </c>
      <c r="F96" s="125">
        <f t="shared" si="285"/>
        <v>0</v>
      </c>
      <c r="G96" s="137">
        <f t="shared" si="285"/>
        <v>0</v>
      </c>
      <c r="H96" s="137">
        <f t="shared" si="285"/>
        <v>0</v>
      </c>
      <c r="I96" s="137">
        <f t="shared" si="285"/>
        <v>0</v>
      </c>
      <c r="J96" s="125">
        <f t="shared" si="285"/>
        <v>0</v>
      </c>
      <c r="K96" s="137">
        <f t="shared" si="285"/>
        <v>0</v>
      </c>
      <c r="L96" s="137">
        <f t="shared" si="285"/>
        <v>0</v>
      </c>
      <c r="M96" s="125">
        <f t="shared" si="285"/>
        <v>0</v>
      </c>
      <c r="N96" s="137">
        <f t="shared" si="285"/>
        <v>0</v>
      </c>
      <c r="O96" s="137">
        <f t="shared" si="285"/>
        <v>21</v>
      </c>
      <c r="P96" s="125">
        <f t="shared" si="285"/>
        <v>0</v>
      </c>
      <c r="Q96" s="137">
        <f t="shared" si="285"/>
        <v>0</v>
      </c>
      <c r="R96" s="124">
        <f t="shared" si="285"/>
        <v>2</v>
      </c>
      <c r="S96" s="125">
        <f t="shared" si="285"/>
        <v>0</v>
      </c>
      <c r="T96" s="137">
        <f t="shared" si="285"/>
        <v>2</v>
      </c>
      <c r="U96" s="125">
        <f t="shared" si="285"/>
        <v>0</v>
      </c>
      <c r="V96" s="137">
        <f t="shared" si="285"/>
        <v>0</v>
      </c>
      <c r="W96" s="137">
        <f t="shared" si="285"/>
        <v>2</v>
      </c>
      <c r="X96" s="125">
        <f t="shared" si="285"/>
        <v>0</v>
      </c>
      <c r="Y96" s="137">
        <f t="shared" si="285"/>
        <v>0</v>
      </c>
      <c r="Z96" s="137">
        <f t="shared" si="285"/>
        <v>2</v>
      </c>
      <c r="AA96" s="125">
        <f t="shared" si="285"/>
        <v>0</v>
      </c>
      <c r="AB96" s="137">
        <f t="shared" si="285"/>
        <v>0</v>
      </c>
      <c r="AC96" s="137">
        <f t="shared" si="285"/>
        <v>0</v>
      </c>
      <c r="AD96" s="137">
        <f t="shared" si="285"/>
        <v>5</v>
      </c>
      <c r="AE96" s="125">
        <f t="shared" si="285"/>
        <v>0</v>
      </c>
      <c r="AF96" s="137">
        <f t="shared" si="285"/>
        <v>0</v>
      </c>
      <c r="AG96" s="137">
        <f t="shared" si="285"/>
        <v>8</v>
      </c>
      <c r="AH96" s="123">
        <f>IF(AH89="","",AH89-AG89)</f>
        <v>0</v>
      </c>
      <c r="AI96" s="20">
        <f t="shared" si="286"/>
        <v>0</v>
      </c>
      <c r="AJ96" s="20">
        <f t="shared" si="286"/>
        <v>0</v>
      </c>
      <c r="AK96" s="20">
        <f t="shared" si="286"/>
        <v>8</v>
      </c>
      <c r="AL96" s="195" t="str">
        <f t="shared" si="286"/>
        <v/>
      </c>
      <c r="AM96" s="20" t="str">
        <f t="shared" si="286"/>
        <v/>
      </c>
      <c r="AN96" s="20" t="str">
        <f t="shared" si="286"/>
        <v/>
      </c>
      <c r="AO96" s="195" t="str">
        <f t="shared" si="286"/>
        <v/>
      </c>
      <c r="AP96" s="20" t="str">
        <f t="shared" si="286"/>
        <v/>
      </c>
      <c r="AQ96" s="20" t="str">
        <f t="shared" si="286"/>
        <v/>
      </c>
      <c r="AR96" s="20" t="str">
        <f t="shared" si="286"/>
        <v/>
      </c>
      <c r="AS96" s="20" t="str">
        <f t="shared" si="286"/>
        <v/>
      </c>
      <c r="AT96" s="20" t="str">
        <f t="shared" si="286"/>
        <v/>
      </c>
      <c r="AU96" s="20" t="str">
        <f t="shared" si="286"/>
        <v/>
      </c>
      <c r="AV96" s="20" t="str">
        <f t="shared" si="286"/>
        <v/>
      </c>
      <c r="AW96" s="20" t="str">
        <f t="shared" si="286"/>
        <v/>
      </c>
      <c r="AX96" s="20" t="str">
        <f t="shared" si="286"/>
        <v/>
      </c>
      <c r="AY96" s="20" t="str">
        <f t="shared" si="286"/>
        <v/>
      </c>
      <c r="AZ96" s="20" t="str">
        <f t="shared" si="286"/>
        <v/>
      </c>
      <c r="BA96" s="20" t="str">
        <f t="shared" si="286"/>
        <v/>
      </c>
      <c r="BB96" s="20" t="str">
        <f t="shared" si="286"/>
        <v/>
      </c>
      <c r="BC96" s="20" t="str">
        <f t="shared" si="286"/>
        <v/>
      </c>
    </row>
    <row r="97" spans="1:55" ht="11.25" customHeight="1" x14ac:dyDescent="0.2">
      <c r="A97" s="15">
        <f t="shared" si="284"/>
        <v>39</v>
      </c>
      <c r="B97" s="19" t="s">
        <v>15</v>
      </c>
      <c r="C97" s="123">
        <v>1</v>
      </c>
      <c r="D97" s="137">
        <f t="shared" ref="D97:AG97" si="287">IF(D90="","",C90+C91-D90)</f>
        <v>0</v>
      </c>
      <c r="E97" s="137">
        <f t="shared" si="287"/>
        <v>2</v>
      </c>
      <c r="F97" s="125">
        <f t="shared" si="287"/>
        <v>0</v>
      </c>
      <c r="G97" s="137">
        <f t="shared" si="287"/>
        <v>0</v>
      </c>
      <c r="H97" s="137">
        <f t="shared" si="287"/>
        <v>0</v>
      </c>
      <c r="I97" s="137">
        <f t="shared" si="287"/>
        <v>0</v>
      </c>
      <c r="J97" s="125">
        <f t="shared" si="287"/>
        <v>0</v>
      </c>
      <c r="K97" s="137">
        <f t="shared" si="287"/>
        <v>0</v>
      </c>
      <c r="L97" s="137">
        <f t="shared" si="287"/>
        <v>26</v>
      </c>
      <c r="M97" s="125">
        <f t="shared" si="287"/>
        <v>0</v>
      </c>
      <c r="N97" s="137">
        <f t="shared" si="287"/>
        <v>0</v>
      </c>
      <c r="O97" s="137">
        <f t="shared" si="287"/>
        <v>0</v>
      </c>
      <c r="P97" s="125">
        <f t="shared" si="287"/>
        <v>0</v>
      </c>
      <c r="Q97" s="137">
        <f t="shared" si="287"/>
        <v>0</v>
      </c>
      <c r="R97" s="124">
        <f t="shared" si="287"/>
        <v>1</v>
      </c>
      <c r="S97" s="125">
        <f t="shared" si="287"/>
        <v>0</v>
      </c>
      <c r="T97" s="137">
        <f t="shared" si="287"/>
        <v>0</v>
      </c>
      <c r="U97" s="125">
        <f t="shared" si="287"/>
        <v>0</v>
      </c>
      <c r="V97" s="137">
        <f t="shared" si="287"/>
        <v>0</v>
      </c>
      <c r="W97" s="137">
        <f t="shared" si="287"/>
        <v>0</v>
      </c>
      <c r="X97" s="125">
        <f t="shared" si="287"/>
        <v>0</v>
      </c>
      <c r="Y97" s="137">
        <f t="shared" si="287"/>
        <v>0</v>
      </c>
      <c r="Z97" s="137">
        <f t="shared" si="287"/>
        <v>3</v>
      </c>
      <c r="AA97" s="125">
        <f t="shared" si="287"/>
        <v>0</v>
      </c>
      <c r="AB97" s="137">
        <f t="shared" si="287"/>
        <v>0</v>
      </c>
      <c r="AC97" s="137">
        <f t="shared" si="287"/>
        <v>0</v>
      </c>
      <c r="AD97" s="137">
        <f t="shared" si="287"/>
        <v>2</v>
      </c>
      <c r="AE97" s="125">
        <f t="shared" si="287"/>
        <v>0</v>
      </c>
      <c r="AF97" s="137">
        <f t="shared" si="287"/>
        <v>0</v>
      </c>
      <c r="AG97" s="137">
        <f t="shared" si="287"/>
        <v>1</v>
      </c>
      <c r="AH97" s="123">
        <f>IF(AH90="","",AG90+AG91-AH90)</f>
        <v>0</v>
      </c>
      <c r="AI97" s="20">
        <f t="shared" ref="AI97:BC97" si="288">IF(AI90="","",AH90+AH91-AI90)</f>
        <v>0</v>
      </c>
      <c r="AJ97" s="20">
        <f t="shared" si="288"/>
        <v>0</v>
      </c>
      <c r="AK97" s="20">
        <f t="shared" si="288"/>
        <v>3</v>
      </c>
      <c r="AL97" s="195" t="str">
        <f t="shared" si="288"/>
        <v/>
      </c>
      <c r="AM97" s="20" t="str">
        <f t="shared" si="288"/>
        <v/>
      </c>
      <c r="AN97" s="20" t="str">
        <f t="shared" si="288"/>
        <v/>
      </c>
      <c r="AO97" s="195" t="str">
        <f t="shared" si="288"/>
        <v/>
      </c>
      <c r="AP97" s="20" t="str">
        <f t="shared" si="288"/>
        <v/>
      </c>
      <c r="AQ97" s="20" t="str">
        <f t="shared" si="288"/>
        <v/>
      </c>
      <c r="AR97" s="20" t="str">
        <f t="shared" si="288"/>
        <v/>
      </c>
      <c r="AS97" s="20" t="str">
        <f t="shared" si="288"/>
        <v/>
      </c>
      <c r="AT97" s="20" t="str">
        <f t="shared" si="288"/>
        <v/>
      </c>
      <c r="AU97" s="20" t="str">
        <f t="shared" si="288"/>
        <v/>
      </c>
      <c r="AV97" s="20" t="str">
        <f t="shared" si="288"/>
        <v/>
      </c>
      <c r="AW97" s="20" t="str">
        <f t="shared" si="288"/>
        <v/>
      </c>
      <c r="AX97" s="20" t="str">
        <f t="shared" si="288"/>
        <v/>
      </c>
      <c r="AY97" s="20" t="str">
        <f t="shared" si="288"/>
        <v/>
      </c>
      <c r="AZ97" s="20" t="str">
        <f t="shared" si="288"/>
        <v/>
      </c>
      <c r="BA97" s="20" t="str">
        <f t="shared" si="288"/>
        <v/>
      </c>
      <c r="BB97" s="20" t="str">
        <f t="shared" si="288"/>
        <v/>
      </c>
      <c r="BC97" s="20" t="str">
        <f t="shared" si="288"/>
        <v/>
      </c>
    </row>
    <row r="98" spans="1:55" ht="11.25" customHeight="1" x14ac:dyDescent="0.2">
      <c r="A98" s="15">
        <f t="shared" si="284"/>
        <v>32700</v>
      </c>
      <c r="B98" s="19" t="s">
        <v>16</v>
      </c>
      <c r="C98" s="123">
        <v>340</v>
      </c>
      <c r="D98" s="137">
        <f t="shared" ref="D98:BC98" si="289">IF(D88="","",D97*D92)</f>
        <v>0</v>
      </c>
      <c r="E98" s="137">
        <f t="shared" si="289"/>
        <v>680</v>
      </c>
      <c r="F98" s="125">
        <f t="shared" si="289"/>
        <v>0</v>
      </c>
      <c r="G98" s="137">
        <f t="shared" si="289"/>
        <v>0</v>
      </c>
      <c r="H98" s="137">
        <f t="shared" si="289"/>
        <v>0</v>
      </c>
      <c r="I98" s="137">
        <f t="shared" si="289"/>
        <v>0</v>
      </c>
      <c r="J98" s="125">
        <f t="shared" si="289"/>
        <v>0</v>
      </c>
      <c r="K98" s="137">
        <f t="shared" si="289"/>
        <v>0</v>
      </c>
      <c r="L98" s="137">
        <f t="shared" si="289"/>
        <v>22880</v>
      </c>
      <c r="M98" s="125">
        <f t="shared" si="289"/>
        <v>0</v>
      </c>
      <c r="N98" s="137">
        <f t="shared" si="289"/>
        <v>0</v>
      </c>
      <c r="O98" s="137">
        <f t="shared" si="289"/>
        <v>0</v>
      </c>
      <c r="P98" s="125">
        <f t="shared" si="289"/>
        <v>0</v>
      </c>
      <c r="Q98" s="137">
        <f t="shared" si="289"/>
        <v>0</v>
      </c>
      <c r="R98" s="124">
        <f t="shared" si="289"/>
        <v>880</v>
      </c>
      <c r="S98" s="125">
        <f t="shared" si="289"/>
        <v>0</v>
      </c>
      <c r="T98" s="137">
        <f t="shared" si="289"/>
        <v>0</v>
      </c>
      <c r="U98" s="125">
        <f t="shared" si="289"/>
        <v>0</v>
      </c>
      <c r="V98" s="137">
        <f t="shared" si="289"/>
        <v>0</v>
      </c>
      <c r="W98" s="137">
        <f t="shared" si="289"/>
        <v>0</v>
      </c>
      <c r="X98" s="125">
        <f t="shared" si="289"/>
        <v>0</v>
      </c>
      <c r="Y98" s="137">
        <f t="shared" si="289"/>
        <v>0</v>
      </c>
      <c r="Z98" s="137">
        <f t="shared" si="289"/>
        <v>2640</v>
      </c>
      <c r="AA98" s="125">
        <f t="shared" si="289"/>
        <v>0</v>
      </c>
      <c r="AB98" s="137">
        <f t="shared" si="289"/>
        <v>0</v>
      </c>
      <c r="AC98" s="137">
        <f t="shared" si="289"/>
        <v>0</v>
      </c>
      <c r="AD98" s="137">
        <f t="shared" si="289"/>
        <v>1760</v>
      </c>
      <c r="AE98" s="125">
        <f t="shared" si="289"/>
        <v>0</v>
      </c>
      <c r="AF98" s="137">
        <f t="shared" si="289"/>
        <v>0</v>
      </c>
      <c r="AG98" s="137">
        <f t="shared" si="289"/>
        <v>880</v>
      </c>
      <c r="AH98" s="123">
        <f>IF(AH88="","",AH97*AH92)</f>
        <v>0</v>
      </c>
      <c r="AI98" s="20">
        <f t="shared" si="289"/>
        <v>0</v>
      </c>
      <c r="AJ98" s="20">
        <f t="shared" si="289"/>
        <v>0</v>
      </c>
      <c r="AK98" s="20">
        <f t="shared" si="289"/>
        <v>2640</v>
      </c>
      <c r="AL98" s="195" t="str">
        <f t="shared" si="289"/>
        <v/>
      </c>
      <c r="AM98" s="20" t="str">
        <f t="shared" si="289"/>
        <v/>
      </c>
      <c r="AN98" s="20" t="str">
        <f t="shared" si="289"/>
        <v/>
      </c>
      <c r="AO98" s="195" t="str">
        <f t="shared" si="289"/>
        <v/>
      </c>
      <c r="AP98" s="20" t="str">
        <f t="shared" si="289"/>
        <v/>
      </c>
      <c r="AQ98" s="20" t="str">
        <f t="shared" si="289"/>
        <v/>
      </c>
      <c r="AR98" s="20" t="str">
        <f t="shared" si="289"/>
        <v/>
      </c>
      <c r="AS98" s="20" t="str">
        <f t="shared" si="289"/>
        <v/>
      </c>
      <c r="AT98" s="20" t="str">
        <f t="shared" si="289"/>
        <v/>
      </c>
      <c r="AU98" s="20" t="str">
        <f t="shared" si="289"/>
        <v/>
      </c>
      <c r="AV98" s="20" t="str">
        <f t="shared" si="289"/>
        <v/>
      </c>
      <c r="AW98" s="20" t="str">
        <f t="shared" si="289"/>
        <v/>
      </c>
      <c r="AX98" s="20" t="str">
        <f t="shared" si="289"/>
        <v/>
      </c>
      <c r="AY98" s="20" t="str">
        <f t="shared" si="289"/>
        <v/>
      </c>
      <c r="AZ98" s="20" t="str">
        <f t="shared" si="289"/>
        <v/>
      </c>
      <c r="BA98" s="20" t="str">
        <f t="shared" si="289"/>
        <v/>
      </c>
      <c r="BB98" s="20" t="str">
        <f t="shared" si="289"/>
        <v/>
      </c>
      <c r="BC98" s="20" t="str">
        <f t="shared" si="289"/>
        <v/>
      </c>
    </row>
    <row r="99" spans="1:55" ht="11.25" customHeight="1" thickBot="1" x14ac:dyDescent="0.25">
      <c r="A99" s="21">
        <f>IF(A98="","",A98/(A95*100))</f>
        <v>0.39492753623188404</v>
      </c>
      <c r="B99" s="19" t="s">
        <v>17</v>
      </c>
      <c r="C99" s="146">
        <v>0.14166666666666666</v>
      </c>
      <c r="D99" s="147" t="str">
        <f t="shared" ref="D99:BC99" si="290">IF(D98="","",IF(D98=0,"",D98/(D95*100)))</f>
        <v/>
      </c>
      <c r="E99" s="147">
        <f t="shared" si="290"/>
        <v>5.4399999999999997E-2</v>
      </c>
      <c r="F99" s="148" t="str">
        <f t="shared" si="290"/>
        <v/>
      </c>
      <c r="G99" s="147" t="str">
        <f t="shared" si="290"/>
        <v/>
      </c>
      <c r="H99" s="147" t="str">
        <f t="shared" si="290"/>
        <v/>
      </c>
      <c r="I99" s="147" t="str">
        <f t="shared" si="290"/>
        <v/>
      </c>
      <c r="J99" s="148" t="str">
        <f t="shared" si="290"/>
        <v/>
      </c>
      <c r="K99" s="147" t="str">
        <f t="shared" si="290"/>
        <v/>
      </c>
      <c r="L99" s="147">
        <f t="shared" si="290"/>
        <v>2.7566265060240962</v>
      </c>
      <c r="M99" s="148" t="str">
        <f t="shared" si="290"/>
        <v/>
      </c>
      <c r="N99" s="147" t="str">
        <f t="shared" si="290"/>
        <v/>
      </c>
      <c r="O99" s="147" t="str">
        <f t="shared" si="290"/>
        <v/>
      </c>
      <c r="P99" s="148" t="str">
        <f t="shared" si="290"/>
        <v/>
      </c>
      <c r="Q99" s="147" t="str">
        <f t="shared" si="290"/>
        <v/>
      </c>
      <c r="R99" s="193">
        <f t="shared" si="290"/>
        <v>9.0721649484536079E-2</v>
      </c>
      <c r="S99" s="148" t="str">
        <f t="shared" si="290"/>
        <v/>
      </c>
      <c r="T99" s="147" t="str">
        <f t="shared" si="290"/>
        <v/>
      </c>
      <c r="U99" s="148" t="str">
        <f t="shared" si="290"/>
        <v/>
      </c>
      <c r="V99" s="147" t="str">
        <f t="shared" si="290"/>
        <v/>
      </c>
      <c r="W99" s="147" t="str">
        <f t="shared" si="290"/>
        <v/>
      </c>
      <c r="X99" s="148" t="str">
        <f t="shared" si="290"/>
        <v/>
      </c>
      <c r="Y99" s="147" t="str">
        <f t="shared" si="290"/>
        <v/>
      </c>
      <c r="Z99" s="147">
        <f t="shared" si="290"/>
        <v>0.31058823529411766</v>
      </c>
      <c r="AA99" s="148" t="str">
        <f t="shared" si="290"/>
        <v/>
      </c>
      <c r="AB99" s="147" t="str">
        <f t="shared" si="290"/>
        <v/>
      </c>
      <c r="AC99" s="147" t="str">
        <f t="shared" si="290"/>
        <v/>
      </c>
      <c r="AD99" s="147">
        <f t="shared" si="290"/>
        <v>0.24444444444444444</v>
      </c>
      <c r="AE99" s="148" t="str">
        <f t="shared" si="290"/>
        <v/>
      </c>
      <c r="AF99" s="147" t="str">
        <f t="shared" si="290"/>
        <v/>
      </c>
      <c r="AG99" s="147">
        <f t="shared" si="290"/>
        <v>0.18723404255319148</v>
      </c>
      <c r="AH99" s="146" t="str">
        <f>IF(AH98="","",IF(AH98=0,"",AH98/(AH95*100)))</f>
        <v/>
      </c>
      <c r="AI99" s="27" t="str">
        <f t="shared" si="290"/>
        <v/>
      </c>
      <c r="AJ99" s="27" t="str">
        <f t="shared" si="290"/>
        <v/>
      </c>
      <c r="AK99" s="27">
        <f t="shared" si="290"/>
        <v>0.2</v>
      </c>
      <c r="AL99" s="199" t="str">
        <f t="shared" si="290"/>
        <v/>
      </c>
      <c r="AM99" s="27" t="str">
        <f t="shared" si="290"/>
        <v/>
      </c>
      <c r="AN99" s="27" t="str">
        <f t="shared" si="290"/>
        <v/>
      </c>
      <c r="AO99" s="199" t="str">
        <f t="shared" si="290"/>
        <v/>
      </c>
      <c r="AP99" s="27" t="str">
        <f t="shared" si="290"/>
        <v/>
      </c>
      <c r="AQ99" s="27" t="str">
        <f t="shared" si="290"/>
        <v/>
      </c>
      <c r="AR99" s="27" t="str">
        <f t="shared" si="290"/>
        <v/>
      </c>
      <c r="AS99" s="27" t="str">
        <f t="shared" si="290"/>
        <v/>
      </c>
      <c r="AT99" s="27" t="str">
        <f t="shared" si="290"/>
        <v/>
      </c>
      <c r="AU99" s="27" t="str">
        <f t="shared" si="290"/>
        <v/>
      </c>
      <c r="AV99" s="27" t="str">
        <f t="shared" si="290"/>
        <v/>
      </c>
      <c r="AW99" s="27" t="str">
        <f t="shared" si="290"/>
        <v/>
      </c>
      <c r="AX99" s="27" t="str">
        <f t="shared" si="290"/>
        <v/>
      </c>
      <c r="AY99" s="27" t="str">
        <f t="shared" si="290"/>
        <v/>
      </c>
      <c r="AZ99" s="27" t="str">
        <f t="shared" si="290"/>
        <v/>
      </c>
      <c r="BA99" s="27" t="str">
        <f t="shared" si="290"/>
        <v/>
      </c>
      <c r="BB99" s="27" t="str">
        <f t="shared" si="290"/>
        <v/>
      </c>
      <c r="BC99" s="27" t="str">
        <f t="shared" si="290"/>
        <v/>
      </c>
    </row>
    <row r="100" spans="1:55" ht="11.25" customHeight="1" x14ac:dyDescent="0.2">
      <c r="A100" s="28" t="s">
        <v>1</v>
      </c>
      <c r="B100" s="29" t="s">
        <v>2</v>
      </c>
      <c r="C100" s="129">
        <v>20772</v>
      </c>
      <c r="D100" s="130">
        <f t="shared" ref="D100:D101" si="291">IF(D$16="","",C100)</f>
        <v>20772</v>
      </c>
      <c r="E100" s="130">
        <v>20826</v>
      </c>
      <c r="F100" s="131">
        <f t="shared" ref="F100:F101" si="292">IF(F$16="","",E100)</f>
        <v>20826</v>
      </c>
      <c r="G100" s="130">
        <f>IF(G$16="","",F100)</f>
        <v>20826</v>
      </c>
      <c r="H100" s="130">
        <f t="shared" ref="H100:I101" si="293">IF(H$16="","",G100)</f>
        <v>20826</v>
      </c>
      <c r="I100" s="130">
        <v>20839</v>
      </c>
      <c r="J100" s="131">
        <f t="shared" ref="J100:K101" si="294">IF(J$16="","",I100)</f>
        <v>20839</v>
      </c>
      <c r="K100" s="130">
        <f t="shared" si="294"/>
        <v>20839</v>
      </c>
      <c r="L100" s="130">
        <v>20883</v>
      </c>
      <c r="M100" s="131">
        <f t="shared" ref="M100:M101" si="295">IF(M$16="","",L100)</f>
        <v>20883</v>
      </c>
      <c r="N100" s="130">
        <f>IF(N$16="","",M100)</f>
        <v>20883</v>
      </c>
      <c r="O100" s="130">
        <v>20904</v>
      </c>
      <c r="P100" s="131">
        <f t="shared" ref="P100:Q101" si="296">IF(P$16="","",O100)</f>
        <v>20904</v>
      </c>
      <c r="Q100" s="130">
        <f t="shared" si="296"/>
        <v>20904</v>
      </c>
      <c r="R100" s="130">
        <v>20928</v>
      </c>
      <c r="S100" s="131">
        <f t="shared" ref="S100:S101" si="297">IF(S$16="","",R100)</f>
        <v>20928</v>
      </c>
      <c r="T100" s="130">
        <v>21002</v>
      </c>
      <c r="U100" s="131">
        <f>IF(U$16="","",T100)</f>
        <v>21002</v>
      </c>
      <c r="V100" s="130">
        <f t="shared" ref="V100:V101" si="298">IF(V$16="","",U100)</f>
        <v>21002</v>
      </c>
      <c r="W100" s="130">
        <v>21057</v>
      </c>
      <c r="X100" s="131">
        <f t="shared" ref="X100:X101" si="299">IF(X$16="","",W100)</f>
        <v>21057</v>
      </c>
      <c r="Y100" s="130">
        <f>IF(Y$16="","",X100)</f>
        <v>21057</v>
      </c>
      <c r="Z100" s="130">
        <v>21165</v>
      </c>
      <c r="AA100" s="131">
        <f t="shared" ref="AA100:AA101" si="300">IF(AA$16="","",Z100)</f>
        <v>21165</v>
      </c>
      <c r="AB100" s="130">
        <f>IF(AB$16="","",AA100)</f>
        <v>21165</v>
      </c>
      <c r="AC100" s="130">
        <f t="shared" ref="AC100:AD101" si="301">IF(AC$16="","",AB100)</f>
        <v>21165</v>
      </c>
      <c r="AD100" s="130">
        <v>21207</v>
      </c>
      <c r="AE100" s="131">
        <f t="shared" ref="AE100:AE101" si="302">IF(AE$16="","",AD100)</f>
        <v>21207</v>
      </c>
      <c r="AF100" s="130">
        <f>IF(AF$16="","",AE100)</f>
        <v>21207</v>
      </c>
      <c r="AG100" s="130">
        <v>21267</v>
      </c>
      <c r="AH100" s="129">
        <f>IF(AH$16="","",AG100)</f>
        <v>21267</v>
      </c>
      <c r="AI100" s="16">
        <f t="shared" ref="AI100:AJ101" si="303">IF(AI$16="","",AH100)</f>
        <v>21267</v>
      </c>
      <c r="AJ100" s="16">
        <f t="shared" si="303"/>
        <v>21267</v>
      </c>
      <c r="AK100" s="16">
        <v>21401</v>
      </c>
      <c r="AL100" s="196" t="str">
        <f t="shared" ref="AL100:BA101" si="304">IF(AL$16="","",AK100)</f>
        <v/>
      </c>
      <c r="AM100" s="16" t="str">
        <f t="shared" si="304"/>
        <v/>
      </c>
      <c r="AN100" s="16" t="str">
        <f t="shared" si="304"/>
        <v/>
      </c>
      <c r="AO100" s="196" t="str">
        <f t="shared" si="304"/>
        <v/>
      </c>
      <c r="AP100" s="16" t="str">
        <f t="shared" si="304"/>
        <v/>
      </c>
      <c r="AQ100" s="16" t="str">
        <f t="shared" si="304"/>
        <v/>
      </c>
      <c r="AR100" s="16" t="str">
        <f t="shared" si="304"/>
        <v/>
      </c>
      <c r="AS100" s="16" t="str">
        <f t="shared" si="304"/>
        <v/>
      </c>
      <c r="AT100" s="16" t="str">
        <f t="shared" si="304"/>
        <v/>
      </c>
      <c r="AU100" s="16" t="str">
        <f t="shared" si="304"/>
        <v/>
      </c>
      <c r="AV100" s="16" t="str">
        <f t="shared" si="304"/>
        <v/>
      </c>
      <c r="AW100" s="16" t="str">
        <f t="shared" si="304"/>
        <v/>
      </c>
      <c r="AX100" s="16" t="str">
        <f t="shared" si="304"/>
        <v/>
      </c>
      <c r="AY100" s="16" t="str">
        <f t="shared" si="304"/>
        <v/>
      </c>
      <c r="AZ100" s="16" t="str">
        <f t="shared" si="304"/>
        <v/>
      </c>
      <c r="BA100" s="16" t="str">
        <f t="shared" si="304"/>
        <v/>
      </c>
      <c r="BB100" s="16" t="str">
        <f t="shared" ref="BB100:BC101" si="305">IF(BB$16="","",BA100)</f>
        <v/>
      </c>
      <c r="BC100" s="16" t="str">
        <f t="shared" si="305"/>
        <v/>
      </c>
    </row>
    <row r="101" spans="1:55" ht="11.25" customHeight="1" x14ac:dyDescent="0.2">
      <c r="A101" s="10" t="s">
        <v>29</v>
      </c>
      <c r="B101" s="11" t="s">
        <v>4</v>
      </c>
      <c r="C101" s="123">
        <v>1693</v>
      </c>
      <c r="D101" s="124">
        <f t="shared" si="291"/>
        <v>1693</v>
      </c>
      <c r="E101" s="124">
        <v>1697</v>
      </c>
      <c r="F101" s="125">
        <f t="shared" si="292"/>
        <v>1697</v>
      </c>
      <c r="G101" s="124">
        <f>IF(G$16="","",F101)</f>
        <v>1697</v>
      </c>
      <c r="H101" s="124">
        <f t="shared" si="293"/>
        <v>1697</v>
      </c>
      <c r="I101" s="124">
        <f t="shared" si="293"/>
        <v>1697</v>
      </c>
      <c r="J101" s="125">
        <f t="shared" si="294"/>
        <v>1697</v>
      </c>
      <c r="K101" s="124">
        <f t="shared" si="294"/>
        <v>1697</v>
      </c>
      <c r="L101" s="124">
        <v>1698</v>
      </c>
      <c r="M101" s="125">
        <f t="shared" si="295"/>
        <v>1698</v>
      </c>
      <c r="N101" s="124">
        <f>IF(N$16="","",M101)</f>
        <v>1698</v>
      </c>
      <c r="O101" s="124">
        <v>1699</v>
      </c>
      <c r="P101" s="125">
        <f t="shared" si="296"/>
        <v>1699</v>
      </c>
      <c r="Q101" s="124">
        <f t="shared" si="296"/>
        <v>1699</v>
      </c>
      <c r="R101" s="124">
        <v>1700</v>
      </c>
      <c r="S101" s="125">
        <f t="shared" si="297"/>
        <v>1700</v>
      </c>
      <c r="T101" s="124">
        <v>1701</v>
      </c>
      <c r="U101" s="125">
        <f>IF(U$16="","",T101)</f>
        <v>1701</v>
      </c>
      <c r="V101" s="124">
        <f t="shared" si="298"/>
        <v>1701</v>
      </c>
      <c r="W101" s="124">
        <v>1704</v>
      </c>
      <c r="X101" s="125">
        <f t="shared" si="299"/>
        <v>1704</v>
      </c>
      <c r="Y101" s="124">
        <f>IF(Y$16="","",X101)</f>
        <v>1704</v>
      </c>
      <c r="Z101" s="124">
        <v>1706</v>
      </c>
      <c r="AA101" s="125">
        <f t="shared" si="300"/>
        <v>1706</v>
      </c>
      <c r="AB101" s="124">
        <f>IF(AB$16="","",AA101)</f>
        <v>1706</v>
      </c>
      <c r="AC101" s="124">
        <f t="shared" si="301"/>
        <v>1706</v>
      </c>
      <c r="AD101" s="124">
        <f t="shared" si="301"/>
        <v>1706</v>
      </c>
      <c r="AE101" s="125">
        <f t="shared" si="302"/>
        <v>1706</v>
      </c>
      <c r="AF101" s="124">
        <f>IF(AF$16="","",AE101)</f>
        <v>1706</v>
      </c>
      <c r="AG101" s="124">
        <v>1709</v>
      </c>
      <c r="AH101" s="123">
        <f>IF(AH$16="","",AG101)</f>
        <v>1709</v>
      </c>
      <c r="AI101" s="12">
        <f t="shared" si="303"/>
        <v>1709</v>
      </c>
      <c r="AJ101" s="12">
        <f t="shared" si="303"/>
        <v>1709</v>
      </c>
      <c r="AK101" s="12">
        <v>1711</v>
      </c>
      <c r="AL101" s="195" t="str">
        <f t="shared" si="304"/>
        <v/>
      </c>
      <c r="AM101" s="12" t="str">
        <f t="shared" si="304"/>
        <v/>
      </c>
      <c r="AN101" s="12" t="str">
        <f t="shared" si="304"/>
        <v/>
      </c>
      <c r="AO101" s="195" t="str">
        <f t="shared" si="304"/>
        <v/>
      </c>
      <c r="AP101" s="12" t="str">
        <f t="shared" si="304"/>
        <v/>
      </c>
      <c r="AQ101" s="12" t="str">
        <f t="shared" si="304"/>
        <v/>
      </c>
      <c r="AR101" s="12" t="str">
        <f t="shared" si="304"/>
        <v/>
      </c>
      <c r="AS101" s="12" t="str">
        <f t="shared" si="304"/>
        <v/>
      </c>
      <c r="AT101" s="12" t="str">
        <f t="shared" si="304"/>
        <v/>
      </c>
      <c r="AU101" s="12" t="str">
        <f t="shared" si="304"/>
        <v/>
      </c>
      <c r="AV101" s="12" t="str">
        <f t="shared" si="304"/>
        <v/>
      </c>
      <c r="AW101" s="12" t="str">
        <f t="shared" si="304"/>
        <v/>
      </c>
      <c r="AX101" s="12" t="str">
        <f t="shared" si="304"/>
        <v/>
      </c>
      <c r="AY101" s="12" t="str">
        <f t="shared" si="304"/>
        <v/>
      </c>
      <c r="AZ101" s="12" t="str">
        <f t="shared" si="304"/>
        <v/>
      </c>
      <c r="BA101" s="12" t="str">
        <f t="shared" si="304"/>
        <v/>
      </c>
      <c r="BB101" s="12" t="str">
        <f t="shared" si="305"/>
        <v/>
      </c>
      <c r="BC101" s="12" t="str">
        <f t="shared" si="305"/>
        <v/>
      </c>
    </row>
    <row r="102" spans="1:55" ht="11.25" customHeight="1" x14ac:dyDescent="0.25">
      <c r="A102" s="24">
        <v>3</v>
      </c>
      <c r="B102" s="11" t="s">
        <v>5</v>
      </c>
      <c r="C102" s="123">
        <v>9</v>
      </c>
      <c r="D102" s="124">
        <f t="shared" ref="D102" si="306">IF(D100="","",(C102+C103))</f>
        <v>9</v>
      </c>
      <c r="E102" s="124">
        <v>8</v>
      </c>
      <c r="F102" s="125">
        <f t="shared" ref="F102" si="307">IF(F100="","",(E102+E103))</f>
        <v>8</v>
      </c>
      <c r="G102" s="124">
        <f>IF(G100="","",(F102+F103))</f>
        <v>8</v>
      </c>
      <c r="H102" s="124">
        <f t="shared" ref="H102:K102" si="308">IF(H100="","",(G102+G103))</f>
        <v>8</v>
      </c>
      <c r="I102" s="124">
        <f t="shared" si="308"/>
        <v>8</v>
      </c>
      <c r="J102" s="125">
        <f t="shared" si="308"/>
        <v>8</v>
      </c>
      <c r="K102" s="124">
        <f t="shared" si="308"/>
        <v>8</v>
      </c>
      <c r="L102" s="124">
        <v>7</v>
      </c>
      <c r="M102" s="125">
        <f t="shared" ref="M102" si="309">IF(M100="","",(L102+L103))</f>
        <v>10</v>
      </c>
      <c r="N102" s="124">
        <f>IF(N100="","",(M102+M103))</f>
        <v>10</v>
      </c>
      <c r="O102" s="124">
        <f t="shared" ref="O102:Q102" si="310">IF(O100="","",(N102+N103))</f>
        <v>10</v>
      </c>
      <c r="P102" s="125">
        <f t="shared" si="310"/>
        <v>10</v>
      </c>
      <c r="Q102" s="124">
        <f t="shared" si="310"/>
        <v>10</v>
      </c>
      <c r="R102" s="124">
        <v>9</v>
      </c>
      <c r="S102" s="125">
        <f t="shared" ref="S102" si="311">IF(S100="","",(R102+R103))</f>
        <v>12</v>
      </c>
      <c r="T102" s="124">
        <v>11</v>
      </c>
      <c r="U102" s="125">
        <f t="shared" ref="U102:V102" si="312">IF(U100="","",(T102+T103))</f>
        <v>11</v>
      </c>
      <c r="V102" s="124">
        <f t="shared" si="312"/>
        <v>11</v>
      </c>
      <c r="W102" s="124">
        <v>9</v>
      </c>
      <c r="X102" s="125">
        <f t="shared" ref="X102" si="313">IF(X100="","",(W102+W103))</f>
        <v>12</v>
      </c>
      <c r="Y102" s="124">
        <f>IF(Y100="","",(X102+X103))</f>
        <v>12</v>
      </c>
      <c r="Z102" s="124">
        <f t="shared" ref="Z102:AE102" si="314">IF(Z100="","",(Y102+Y103))</f>
        <v>12</v>
      </c>
      <c r="AA102" s="125">
        <f t="shared" si="314"/>
        <v>14</v>
      </c>
      <c r="AB102" s="124">
        <f t="shared" si="314"/>
        <v>14</v>
      </c>
      <c r="AC102" s="124">
        <f t="shared" si="314"/>
        <v>14</v>
      </c>
      <c r="AD102" s="124">
        <f t="shared" si="314"/>
        <v>14</v>
      </c>
      <c r="AE102" s="125">
        <f t="shared" si="314"/>
        <v>14</v>
      </c>
      <c r="AF102" s="124">
        <f>IF(AF100="","",(AE102+AE103))</f>
        <v>14</v>
      </c>
      <c r="AG102" s="124">
        <v>9</v>
      </c>
      <c r="AH102" s="123">
        <f>IF(AH100="","",(AG102+AG103))</f>
        <v>14</v>
      </c>
      <c r="AI102" s="12">
        <f t="shared" ref="AI102:AJ102" si="315">IF(AI100="","",(AH102+AH103))</f>
        <v>14</v>
      </c>
      <c r="AJ102" s="12">
        <f t="shared" si="315"/>
        <v>14</v>
      </c>
      <c r="AK102" s="12">
        <v>12</v>
      </c>
      <c r="AL102" s="195" t="str">
        <f t="shared" ref="AL102:BC102" si="316">IF(AL100="","",(AK102+AK103))</f>
        <v/>
      </c>
      <c r="AM102" s="12" t="str">
        <f t="shared" si="316"/>
        <v/>
      </c>
      <c r="AN102" s="12" t="str">
        <f t="shared" si="316"/>
        <v/>
      </c>
      <c r="AO102" s="195" t="str">
        <f t="shared" si="316"/>
        <v/>
      </c>
      <c r="AP102" s="12" t="str">
        <f t="shared" si="316"/>
        <v/>
      </c>
      <c r="AQ102" s="12" t="str">
        <f t="shared" si="316"/>
        <v/>
      </c>
      <c r="AR102" s="12" t="str">
        <f t="shared" si="316"/>
        <v/>
      </c>
      <c r="AS102" s="12" t="str">
        <f t="shared" si="316"/>
        <v/>
      </c>
      <c r="AT102" s="12" t="str">
        <f t="shared" si="316"/>
        <v/>
      </c>
      <c r="AU102" s="12" t="str">
        <f t="shared" si="316"/>
        <v/>
      </c>
      <c r="AV102" s="12" t="str">
        <f t="shared" si="316"/>
        <v/>
      </c>
      <c r="AW102" s="12" t="str">
        <f t="shared" si="316"/>
        <v/>
      </c>
      <c r="AX102" s="12" t="str">
        <f t="shared" si="316"/>
        <v/>
      </c>
      <c r="AY102" s="12" t="str">
        <f t="shared" si="316"/>
        <v/>
      </c>
      <c r="AZ102" s="12" t="str">
        <f t="shared" si="316"/>
        <v/>
      </c>
      <c r="BA102" s="12" t="str">
        <f t="shared" si="316"/>
        <v/>
      </c>
      <c r="BB102" s="12" t="str">
        <f t="shared" si="316"/>
        <v/>
      </c>
      <c r="BC102" s="12" t="str">
        <f t="shared" si="316"/>
        <v/>
      </c>
    </row>
    <row r="103" spans="1:55" ht="11.25" customHeight="1" x14ac:dyDescent="0.2">
      <c r="A103" s="14"/>
      <c r="B103" s="11" t="s">
        <v>6</v>
      </c>
      <c r="C103" s="123"/>
      <c r="D103" s="124"/>
      <c r="E103" s="124"/>
      <c r="F103" s="125"/>
      <c r="G103" s="124"/>
      <c r="H103" s="124"/>
      <c r="I103" s="124"/>
      <c r="J103" s="125"/>
      <c r="K103" s="124"/>
      <c r="L103" s="124">
        <v>3</v>
      </c>
      <c r="M103" s="125"/>
      <c r="N103" s="124"/>
      <c r="O103" s="124"/>
      <c r="P103" s="125"/>
      <c r="Q103" s="124"/>
      <c r="R103" s="124">
        <v>3</v>
      </c>
      <c r="S103" s="125"/>
      <c r="T103" s="124"/>
      <c r="U103" s="125"/>
      <c r="V103" s="124"/>
      <c r="W103" s="124">
        <v>3</v>
      </c>
      <c r="X103" s="125"/>
      <c r="Y103" s="124"/>
      <c r="Z103" s="124">
        <v>2</v>
      </c>
      <c r="AA103" s="125"/>
      <c r="AB103" s="124"/>
      <c r="AC103" s="124"/>
      <c r="AD103" s="124"/>
      <c r="AE103" s="125"/>
      <c r="AF103" s="124"/>
      <c r="AG103" s="124">
        <v>5</v>
      </c>
      <c r="AH103" s="123"/>
      <c r="AI103" s="12"/>
      <c r="AJ103" s="12"/>
      <c r="AK103" s="12">
        <v>2</v>
      </c>
      <c r="AL103" s="195"/>
      <c r="AM103" s="12"/>
      <c r="AN103" s="12"/>
      <c r="AO103" s="195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</row>
    <row r="104" spans="1:55" ht="11.25" customHeight="1" x14ac:dyDescent="0.2">
      <c r="A104" s="15"/>
      <c r="B104" s="11" t="s">
        <v>8</v>
      </c>
      <c r="C104" s="129">
        <v>680</v>
      </c>
      <c r="D104" s="130">
        <f t="shared" ref="D104:G104" si="317">IF(D100="","",C104)</f>
        <v>680</v>
      </c>
      <c r="E104" s="130">
        <f t="shared" si="317"/>
        <v>680</v>
      </c>
      <c r="F104" s="131">
        <f t="shared" si="317"/>
        <v>680</v>
      </c>
      <c r="G104" s="130">
        <f t="shared" si="317"/>
        <v>680</v>
      </c>
      <c r="H104" s="130">
        <f>IF(H100="","",G104)</f>
        <v>680</v>
      </c>
      <c r="I104" s="130">
        <f t="shared" ref="I104:N104" si="318">IF(I100="","",H104)</f>
        <v>680</v>
      </c>
      <c r="J104" s="131">
        <f t="shared" si="318"/>
        <v>680</v>
      </c>
      <c r="K104" s="130">
        <f t="shared" si="318"/>
        <v>680</v>
      </c>
      <c r="L104" s="130">
        <f t="shared" si="318"/>
        <v>680</v>
      </c>
      <c r="M104" s="131">
        <f t="shared" si="318"/>
        <v>680</v>
      </c>
      <c r="N104" s="130">
        <f t="shared" si="318"/>
        <v>680</v>
      </c>
      <c r="O104" s="130">
        <f>IF(O100="","",N104)</f>
        <v>680</v>
      </c>
      <c r="P104" s="131">
        <f t="shared" ref="P104:R104" si="319">IF(P100="","",O104)</f>
        <v>680</v>
      </c>
      <c r="Q104" s="130">
        <f t="shared" si="319"/>
        <v>680</v>
      </c>
      <c r="R104" s="130">
        <f t="shared" si="319"/>
        <v>680</v>
      </c>
      <c r="S104" s="131">
        <v>300</v>
      </c>
      <c r="T104" s="130">
        <f t="shared" ref="T104:AG104" si="320">IF(T100="","",S104)</f>
        <v>300</v>
      </c>
      <c r="U104" s="131">
        <f t="shared" si="320"/>
        <v>300</v>
      </c>
      <c r="V104" s="130">
        <f t="shared" si="320"/>
        <v>300</v>
      </c>
      <c r="W104" s="130">
        <f t="shared" si="320"/>
        <v>300</v>
      </c>
      <c r="X104" s="131">
        <f t="shared" si="320"/>
        <v>300</v>
      </c>
      <c r="Y104" s="130">
        <f t="shared" si="320"/>
        <v>300</v>
      </c>
      <c r="Z104" s="130">
        <f t="shared" si="320"/>
        <v>300</v>
      </c>
      <c r="AA104" s="131">
        <f t="shared" si="320"/>
        <v>300</v>
      </c>
      <c r="AB104" s="130">
        <f t="shared" si="320"/>
        <v>300</v>
      </c>
      <c r="AC104" s="130">
        <f t="shared" si="320"/>
        <v>300</v>
      </c>
      <c r="AD104" s="130">
        <f t="shared" si="320"/>
        <v>300</v>
      </c>
      <c r="AE104" s="131">
        <f t="shared" si="320"/>
        <v>300</v>
      </c>
      <c r="AF104" s="130">
        <f t="shared" si="320"/>
        <v>300</v>
      </c>
      <c r="AG104" s="130">
        <f t="shared" si="320"/>
        <v>300</v>
      </c>
      <c r="AH104" s="129">
        <f>IF(AH100="","",AG104)</f>
        <v>300</v>
      </c>
      <c r="AI104" s="16">
        <f t="shared" ref="AI104:BC104" si="321">IF(AI100="","",AH104)</f>
        <v>300</v>
      </c>
      <c r="AJ104" s="16">
        <f t="shared" si="321"/>
        <v>300</v>
      </c>
      <c r="AK104" s="16">
        <f t="shared" si="321"/>
        <v>300</v>
      </c>
      <c r="AL104" s="196" t="str">
        <f t="shared" si="321"/>
        <v/>
      </c>
      <c r="AM104" s="16" t="str">
        <f t="shared" si="321"/>
        <v/>
      </c>
      <c r="AN104" s="16" t="str">
        <f t="shared" si="321"/>
        <v/>
      </c>
      <c r="AO104" s="196" t="str">
        <f t="shared" si="321"/>
        <v/>
      </c>
      <c r="AP104" s="16" t="str">
        <f t="shared" si="321"/>
        <v/>
      </c>
      <c r="AQ104" s="16" t="str">
        <f t="shared" si="321"/>
        <v/>
      </c>
      <c r="AR104" s="16" t="str">
        <f t="shared" si="321"/>
        <v/>
      </c>
      <c r="AS104" s="16" t="str">
        <f t="shared" si="321"/>
        <v/>
      </c>
      <c r="AT104" s="16" t="str">
        <f t="shared" si="321"/>
        <v/>
      </c>
      <c r="AU104" s="16" t="str">
        <f t="shared" si="321"/>
        <v/>
      </c>
      <c r="AV104" s="16" t="str">
        <f t="shared" si="321"/>
        <v/>
      </c>
      <c r="AW104" s="16" t="str">
        <f t="shared" si="321"/>
        <v/>
      </c>
      <c r="AX104" s="16" t="str">
        <f t="shared" si="321"/>
        <v/>
      </c>
      <c r="AY104" s="16" t="str">
        <f t="shared" si="321"/>
        <v/>
      </c>
      <c r="AZ104" s="16" t="str">
        <f t="shared" si="321"/>
        <v/>
      </c>
      <c r="BA104" s="16" t="str">
        <f t="shared" si="321"/>
        <v/>
      </c>
      <c r="BB104" s="16" t="str">
        <f t="shared" si="321"/>
        <v/>
      </c>
      <c r="BC104" s="16" t="str">
        <f t="shared" si="321"/>
        <v/>
      </c>
    </row>
    <row r="105" spans="1:55" ht="11.25" customHeight="1" x14ac:dyDescent="0.2">
      <c r="A105" s="14" t="s">
        <v>9</v>
      </c>
      <c r="B105" s="17" t="s">
        <v>10</v>
      </c>
      <c r="C105" s="133" t="s">
        <v>222</v>
      </c>
      <c r="D105" s="134" t="str">
        <f t="shared" ref="D105:G105" si="322">IF(D100="","",C105)</f>
        <v>フルーツモンチッチmc</v>
      </c>
      <c r="E105" s="134" t="str">
        <f t="shared" si="322"/>
        <v>フルーツモンチッチmc</v>
      </c>
      <c r="F105" s="135" t="str">
        <f t="shared" si="322"/>
        <v>フルーツモンチッチmc</v>
      </c>
      <c r="G105" s="134" t="str">
        <f t="shared" si="322"/>
        <v>フルーツモンチッチmc</v>
      </c>
      <c r="H105" s="134" t="str">
        <f>IF(H100="","",G105)</f>
        <v>フルーツモンチッチmc</v>
      </c>
      <c r="I105" s="134" t="str">
        <f t="shared" ref="I105:N105" si="323">IF(I100="","",H105)</f>
        <v>フルーツモンチッチmc</v>
      </c>
      <c r="J105" s="135" t="str">
        <f t="shared" si="323"/>
        <v>フルーツモンチッチmc</v>
      </c>
      <c r="K105" s="134" t="str">
        <f t="shared" si="323"/>
        <v>フルーツモンチッチmc</v>
      </c>
      <c r="L105" s="134" t="str">
        <f t="shared" si="323"/>
        <v>フルーツモンチッチmc</v>
      </c>
      <c r="M105" s="135" t="str">
        <f t="shared" si="323"/>
        <v>フルーツモンチッチmc</v>
      </c>
      <c r="N105" s="134" t="str">
        <f t="shared" si="323"/>
        <v>フルーツモンチッチmc</v>
      </c>
      <c r="O105" s="134" t="str">
        <f>IF(O100="","",N105)</f>
        <v>フルーツモンチッチmc</v>
      </c>
      <c r="P105" s="135" t="str">
        <f t="shared" ref="P105:R105" si="324">IF(P100="","",O105)</f>
        <v>フルーツモンチッチmc</v>
      </c>
      <c r="Q105" s="134" t="str">
        <f t="shared" si="324"/>
        <v>フルーツモンチッチmc</v>
      </c>
      <c r="R105" s="134" t="str">
        <f t="shared" si="324"/>
        <v>フルーツモンチッチmc</v>
      </c>
      <c r="S105" s="135" t="s">
        <v>250</v>
      </c>
      <c r="T105" s="134" t="str">
        <f t="shared" ref="T105:AG105" si="325">IF(T100="","",S105)</f>
        <v>ふわもちミニパンケーキ</v>
      </c>
      <c r="U105" s="135" t="str">
        <f t="shared" si="325"/>
        <v>ふわもちミニパンケーキ</v>
      </c>
      <c r="V105" s="134" t="str">
        <f t="shared" si="325"/>
        <v>ふわもちミニパンケーキ</v>
      </c>
      <c r="W105" s="134" t="str">
        <f t="shared" si="325"/>
        <v>ふわもちミニパンケーキ</v>
      </c>
      <c r="X105" s="135" t="str">
        <f t="shared" si="325"/>
        <v>ふわもちミニパンケーキ</v>
      </c>
      <c r="Y105" s="134" t="str">
        <f t="shared" si="325"/>
        <v>ふわもちミニパンケーキ</v>
      </c>
      <c r="Z105" s="134" t="str">
        <f t="shared" si="325"/>
        <v>ふわもちミニパンケーキ</v>
      </c>
      <c r="AA105" s="135" t="str">
        <f t="shared" si="325"/>
        <v>ふわもちミニパンケーキ</v>
      </c>
      <c r="AB105" s="134" t="str">
        <f t="shared" si="325"/>
        <v>ふわもちミニパンケーキ</v>
      </c>
      <c r="AC105" s="134" t="str">
        <f t="shared" si="325"/>
        <v>ふわもちミニパンケーキ</v>
      </c>
      <c r="AD105" s="134" t="str">
        <f t="shared" si="325"/>
        <v>ふわもちミニパンケーキ</v>
      </c>
      <c r="AE105" s="135" t="str">
        <f t="shared" si="325"/>
        <v>ふわもちミニパンケーキ</v>
      </c>
      <c r="AF105" s="134" t="str">
        <f t="shared" si="325"/>
        <v>ふわもちミニパンケーキ</v>
      </c>
      <c r="AG105" s="134" t="str">
        <f t="shared" si="325"/>
        <v>ふわもちミニパンケーキ</v>
      </c>
      <c r="AH105" s="133" t="str">
        <f>IF(AH100="","",AG105)</f>
        <v>ふわもちミニパンケーキ</v>
      </c>
      <c r="AI105" s="18" t="str">
        <f t="shared" ref="AI105:BC105" si="326">IF(AI100="","",AH105)</f>
        <v>ふわもちミニパンケーキ</v>
      </c>
      <c r="AJ105" s="18" t="str">
        <f t="shared" si="326"/>
        <v>ふわもちミニパンケーキ</v>
      </c>
      <c r="AK105" s="18" t="str">
        <f t="shared" si="326"/>
        <v>ふわもちミニパンケーキ</v>
      </c>
      <c r="AL105" s="197" t="str">
        <f t="shared" si="326"/>
        <v/>
      </c>
      <c r="AM105" s="18" t="str">
        <f t="shared" si="326"/>
        <v/>
      </c>
      <c r="AN105" s="18" t="str">
        <f t="shared" si="326"/>
        <v/>
      </c>
      <c r="AO105" s="197" t="str">
        <f t="shared" si="326"/>
        <v/>
      </c>
      <c r="AP105" s="18" t="str">
        <f t="shared" si="326"/>
        <v/>
      </c>
      <c r="AQ105" s="18" t="str">
        <f t="shared" si="326"/>
        <v/>
      </c>
      <c r="AR105" s="18" t="str">
        <f t="shared" si="326"/>
        <v/>
      </c>
      <c r="AS105" s="18" t="str">
        <f t="shared" si="326"/>
        <v/>
      </c>
      <c r="AT105" s="18" t="str">
        <f t="shared" si="326"/>
        <v/>
      </c>
      <c r="AU105" s="18" t="str">
        <f t="shared" si="326"/>
        <v/>
      </c>
      <c r="AV105" s="18" t="str">
        <f t="shared" si="326"/>
        <v/>
      </c>
      <c r="AW105" s="18" t="str">
        <f t="shared" si="326"/>
        <v/>
      </c>
      <c r="AX105" s="18" t="str">
        <f t="shared" si="326"/>
        <v/>
      </c>
      <c r="AY105" s="18" t="str">
        <f t="shared" si="326"/>
        <v/>
      </c>
      <c r="AZ105" s="18" t="str">
        <f t="shared" si="326"/>
        <v/>
      </c>
      <c r="BA105" s="18" t="str">
        <f t="shared" si="326"/>
        <v/>
      </c>
      <c r="BB105" s="18" t="str">
        <f t="shared" si="326"/>
        <v/>
      </c>
      <c r="BC105" s="18" t="str">
        <f t="shared" si="326"/>
        <v/>
      </c>
    </row>
    <row r="106" spans="1:55" ht="11.25" customHeight="1" x14ac:dyDescent="0.2">
      <c r="A106" s="15">
        <f>AVERAGE(C107:AS107)*30*100</f>
        <v>55500</v>
      </c>
      <c r="B106" s="11" t="s">
        <v>12</v>
      </c>
      <c r="C106" s="123"/>
      <c r="D106" s="124"/>
      <c r="E106" s="124"/>
      <c r="F106" s="125"/>
      <c r="G106" s="124"/>
      <c r="H106" s="124"/>
      <c r="I106" s="124"/>
      <c r="J106" s="125"/>
      <c r="K106" s="124"/>
      <c r="L106" s="124"/>
      <c r="M106" s="125"/>
      <c r="N106" s="124"/>
      <c r="O106" s="124"/>
      <c r="P106" s="125"/>
      <c r="Q106" s="124"/>
      <c r="R106" s="124"/>
      <c r="S106" s="125" t="s">
        <v>164</v>
      </c>
      <c r="T106" s="124"/>
      <c r="U106" s="125"/>
      <c r="V106" s="124"/>
      <c r="W106" s="124"/>
      <c r="X106" s="125"/>
      <c r="Y106" s="124"/>
      <c r="Z106" s="124"/>
      <c r="AA106" s="125"/>
      <c r="AB106" s="124"/>
      <c r="AC106" s="124"/>
      <c r="AD106" s="124"/>
      <c r="AE106" s="125"/>
      <c r="AF106" s="124"/>
      <c r="AG106" s="124"/>
      <c r="AH106" s="123"/>
      <c r="AI106" s="12"/>
      <c r="AJ106" s="12"/>
      <c r="AK106" s="12"/>
      <c r="AL106" s="195"/>
      <c r="AM106" s="12"/>
      <c r="AN106" s="12"/>
      <c r="AO106" s="195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</row>
    <row r="107" spans="1:55" ht="11.25" customHeight="1" x14ac:dyDescent="0.2">
      <c r="A107" s="15">
        <f t="shared" ref="A107:A110" si="327">SUM(C107:AS107)</f>
        <v>629</v>
      </c>
      <c r="B107" s="19" t="s">
        <v>13</v>
      </c>
      <c r="C107" s="123"/>
      <c r="D107" s="137">
        <f t="shared" ref="D107:AG108" si="328">IF(D100="","",D100-C100)</f>
        <v>0</v>
      </c>
      <c r="E107" s="137">
        <f t="shared" si="328"/>
        <v>54</v>
      </c>
      <c r="F107" s="125">
        <f t="shared" si="328"/>
        <v>0</v>
      </c>
      <c r="G107" s="137">
        <f t="shared" si="328"/>
        <v>0</v>
      </c>
      <c r="H107" s="137">
        <f t="shared" si="328"/>
        <v>0</v>
      </c>
      <c r="I107" s="137">
        <f t="shared" si="328"/>
        <v>13</v>
      </c>
      <c r="J107" s="125">
        <f t="shared" si="328"/>
        <v>0</v>
      </c>
      <c r="K107" s="137">
        <f t="shared" si="328"/>
        <v>0</v>
      </c>
      <c r="L107" s="137">
        <f t="shared" si="328"/>
        <v>44</v>
      </c>
      <c r="M107" s="125">
        <f t="shared" si="328"/>
        <v>0</v>
      </c>
      <c r="N107" s="137">
        <f t="shared" si="328"/>
        <v>0</v>
      </c>
      <c r="O107" s="137">
        <f t="shared" si="328"/>
        <v>21</v>
      </c>
      <c r="P107" s="125">
        <f t="shared" si="328"/>
        <v>0</v>
      </c>
      <c r="Q107" s="137">
        <f t="shared" si="328"/>
        <v>0</v>
      </c>
      <c r="R107" s="124">
        <f t="shared" si="328"/>
        <v>24</v>
      </c>
      <c r="S107" s="125">
        <f t="shared" si="328"/>
        <v>0</v>
      </c>
      <c r="T107" s="137">
        <f t="shared" si="328"/>
        <v>74</v>
      </c>
      <c r="U107" s="125">
        <f t="shared" si="328"/>
        <v>0</v>
      </c>
      <c r="V107" s="137">
        <f t="shared" si="328"/>
        <v>0</v>
      </c>
      <c r="W107" s="137">
        <f t="shared" si="328"/>
        <v>55</v>
      </c>
      <c r="X107" s="125">
        <f t="shared" si="328"/>
        <v>0</v>
      </c>
      <c r="Y107" s="137">
        <f t="shared" si="328"/>
        <v>0</v>
      </c>
      <c r="Z107" s="137">
        <f t="shared" si="328"/>
        <v>108</v>
      </c>
      <c r="AA107" s="125">
        <f t="shared" si="328"/>
        <v>0</v>
      </c>
      <c r="AB107" s="137">
        <f t="shared" si="328"/>
        <v>0</v>
      </c>
      <c r="AC107" s="137">
        <f t="shared" si="328"/>
        <v>0</v>
      </c>
      <c r="AD107" s="137">
        <f t="shared" si="328"/>
        <v>42</v>
      </c>
      <c r="AE107" s="125">
        <f t="shared" si="328"/>
        <v>0</v>
      </c>
      <c r="AF107" s="137">
        <f t="shared" si="328"/>
        <v>0</v>
      </c>
      <c r="AG107" s="137">
        <f t="shared" si="328"/>
        <v>60</v>
      </c>
      <c r="AH107" s="123">
        <f>IF(AH100="","",AH100-AG100)</f>
        <v>0</v>
      </c>
      <c r="AI107" s="20">
        <f t="shared" ref="AI107:BC108" si="329">IF(AI100="","",AI100-AH100)</f>
        <v>0</v>
      </c>
      <c r="AJ107" s="20">
        <f t="shared" si="329"/>
        <v>0</v>
      </c>
      <c r="AK107" s="20">
        <f t="shared" si="329"/>
        <v>134</v>
      </c>
      <c r="AL107" s="195" t="str">
        <f t="shared" si="329"/>
        <v/>
      </c>
      <c r="AM107" s="20" t="str">
        <f t="shared" si="329"/>
        <v/>
      </c>
      <c r="AN107" s="20" t="str">
        <f t="shared" si="329"/>
        <v/>
      </c>
      <c r="AO107" s="195" t="str">
        <f t="shared" si="329"/>
        <v/>
      </c>
      <c r="AP107" s="20" t="str">
        <f t="shared" si="329"/>
        <v/>
      </c>
      <c r="AQ107" s="20" t="str">
        <f t="shared" si="329"/>
        <v/>
      </c>
      <c r="AR107" s="20" t="str">
        <f t="shared" si="329"/>
        <v/>
      </c>
      <c r="AS107" s="20" t="str">
        <f t="shared" si="329"/>
        <v/>
      </c>
      <c r="AT107" s="20" t="str">
        <f t="shared" si="329"/>
        <v/>
      </c>
      <c r="AU107" s="20" t="str">
        <f t="shared" si="329"/>
        <v/>
      </c>
      <c r="AV107" s="20" t="str">
        <f t="shared" si="329"/>
        <v/>
      </c>
      <c r="AW107" s="20" t="str">
        <f t="shared" si="329"/>
        <v/>
      </c>
      <c r="AX107" s="20" t="str">
        <f t="shared" si="329"/>
        <v/>
      </c>
      <c r="AY107" s="20" t="str">
        <f t="shared" si="329"/>
        <v/>
      </c>
      <c r="AZ107" s="20" t="str">
        <f t="shared" si="329"/>
        <v/>
      </c>
      <c r="BA107" s="20" t="str">
        <f t="shared" si="329"/>
        <v/>
      </c>
      <c r="BB107" s="20" t="str">
        <f t="shared" si="329"/>
        <v/>
      </c>
      <c r="BC107" s="20" t="str">
        <f t="shared" si="329"/>
        <v/>
      </c>
    </row>
    <row r="108" spans="1:55" ht="11.25" customHeight="1" x14ac:dyDescent="0.2">
      <c r="A108" s="15">
        <f t="shared" si="327"/>
        <v>19</v>
      </c>
      <c r="B108" s="19" t="s">
        <v>14</v>
      </c>
      <c r="C108" s="123">
        <v>1</v>
      </c>
      <c r="D108" s="137">
        <f t="shared" si="328"/>
        <v>0</v>
      </c>
      <c r="E108" s="137">
        <f t="shared" si="328"/>
        <v>4</v>
      </c>
      <c r="F108" s="125">
        <f t="shared" si="328"/>
        <v>0</v>
      </c>
      <c r="G108" s="137">
        <f t="shared" si="328"/>
        <v>0</v>
      </c>
      <c r="H108" s="137">
        <f t="shared" si="328"/>
        <v>0</v>
      </c>
      <c r="I108" s="137">
        <f t="shared" si="328"/>
        <v>0</v>
      </c>
      <c r="J108" s="125">
        <f t="shared" si="328"/>
        <v>0</v>
      </c>
      <c r="K108" s="137">
        <f t="shared" si="328"/>
        <v>0</v>
      </c>
      <c r="L108" s="137">
        <f t="shared" si="328"/>
        <v>1</v>
      </c>
      <c r="M108" s="125">
        <f t="shared" si="328"/>
        <v>0</v>
      </c>
      <c r="N108" s="137">
        <f t="shared" si="328"/>
        <v>0</v>
      </c>
      <c r="O108" s="137">
        <f t="shared" si="328"/>
        <v>1</v>
      </c>
      <c r="P108" s="125">
        <f t="shared" si="328"/>
        <v>0</v>
      </c>
      <c r="Q108" s="137">
        <f t="shared" si="328"/>
        <v>0</v>
      </c>
      <c r="R108" s="124">
        <f t="shared" si="328"/>
        <v>1</v>
      </c>
      <c r="S108" s="125">
        <f t="shared" si="328"/>
        <v>0</v>
      </c>
      <c r="T108" s="137">
        <f t="shared" si="328"/>
        <v>1</v>
      </c>
      <c r="U108" s="125">
        <f t="shared" si="328"/>
        <v>0</v>
      </c>
      <c r="V108" s="137">
        <f t="shared" si="328"/>
        <v>0</v>
      </c>
      <c r="W108" s="137">
        <f t="shared" si="328"/>
        <v>3</v>
      </c>
      <c r="X108" s="125">
        <f t="shared" si="328"/>
        <v>0</v>
      </c>
      <c r="Y108" s="137">
        <f t="shared" si="328"/>
        <v>0</v>
      </c>
      <c r="Z108" s="137">
        <f t="shared" si="328"/>
        <v>2</v>
      </c>
      <c r="AA108" s="125">
        <f t="shared" si="328"/>
        <v>0</v>
      </c>
      <c r="AB108" s="137">
        <f t="shared" si="328"/>
        <v>0</v>
      </c>
      <c r="AC108" s="137">
        <f t="shared" si="328"/>
        <v>0</v>
      </c>
      <c r="AD108" s="137">
        <f t="shared" si="328"/>
        <v>0</v>
      </c>
      <c r="AE108" s="125">
        <f t="shared" si="328"/>
        <v>0</v>
      </c>
      <c r="AF108" s="137">
        <f t="shared" si="328"/>
        <v>0</v>
      </c>
      <c r="AG108" s="137">
        <f t="shared" si="328"/>
        <v>3</v>
      </c>
      <c r="AH108" s="123">
        <f>IF(AH101="","",AH101-AG101)</f>
        <v>0</v>
      </c>
      <c r="AI108" s="20">
        <f t="shared" si="329"/>
        <v>0</v>
      </c>
      <c r="AJ108" s="20">
        <f t="shared" si="329"/>
        <v>0</v>
      </c>
      <c r="AK108" s="20">
        <f t="shared" si="329"/>
        <v>2</v>
      </c>
      <c r="AL108" s="195" t="str">
        <f t="shared" si="329"/>
        <v/>
      </c>
      <c r="AM108" s="20" t="str">
        <f t="shared" si="329"/>
        <v/>
      </c>
      <c r="AN108" s="20" t="str">
        <f t="shared" si="329"/>
        <v/>
      </c>
      <c r="AO108" s="195" t="str">
        <f t="shared" si="329"/>
        <v/>
      </c>
      <c r="AP108" s="20" t="str">
        <f t="shared" si="329"/>
        <v/>
      </c>
      <c r="AQ108" s="20" t="str">
        <f t="shared" si="329"/>
        <v/>
      </c>
      <c r="AR108" s="20" t="str">
        <f t="shared" si="329"/>
        <v/>
      </c>
      <c r="AS108" s="20" t="str">
        <f t="shared" si="329"/>
        <v/>
      </c>
      <c r="AT108" s="20" t="str">
        <f t="shared" si="329"/>
        <v/>
      </c>
      <c r="AU108" s="20" t="str">
        <f t="shared" si="329"/>
        <v/>
      </c>
      <c r="AV108" s="20" t="str">
        <f t="shared" si="329"/>
        <v/>
      </c>
      <c r="AW108" s="20" t="str">
        <f t="shared" si="329"/>
        <v/>
      </c>
      <c r="AX108" s="20" t="str">
        <f t="shared" si="329"/>
        <v/>
      </c>
      <c r="AY108" s="20" t="str">
        <f t="shared" si="329"/>
        <v/>
      </c>
      <c r="AZ108" s="20" t="str">
        <f t="shared" si="329"/>
        <v/>
      </c>
      <c r="BA108" s="20" t="str">
        <f t="shared" si="329"/>
        <v/>
      </c>
      <c r="BB108" s="20" t="str">
        <f t="shared" si="329"/>
        <v/>
      </c>
      <c r="BC108" s="20" t="str">
        <f t="shared" si="329"/>
        <v/>
      </c>
    </row>
    <row r="109" spans="1:55" ht="11.25" customHeight="1" x14ac:dyDescent="0.2">
      <c r="A109" s="15">
        <f t="shared" si="327"/>
        <v>13</v>
      </c>
      <c r="B109" s="19" t="s">
        <v>15</v>
      </c>
      <c r="C109" s="123">
        <v>0</v>
      </c>
      <c r="D109" s="137">
        <f t="shared" ref="D109:AG109" si="330">IF(D102="","",C102+C103-D102)</f>
        <v>0</v>
      </c>
      <c r="E109" s="137">
        <f t="shared" si="330"/>
        <v>1</v>
      </c>
      <c r="F109" s="125">
        <f t="shared" si="330"/>
        <v>0</v>
      </c>
      <c r="G109" s="137">
        <f t="shared" si="330"/>
        <v>0</v>
      </c>
      <c r="H109" s="137">
        <f t="shared" si="330"/>
        <v>0</v>
      </c>
      <c r="I109" s="137">
        <f t="shared" si="330"/>
        <v>0</v>
      </c>
      <c r="J109" s="125">
        <f t="shared" si="330"/>
        <v>0</v>
      </c>
      <c r="K109" s="137">
        <f t="shared" si="330"/>
        <v>0</v>
      </c>
      <c r="L109" s="137">
        <f t="shared" si="330"/>
        <v>1</v>
      </c>
      <c r="M109" s="125">
        <f t="shared" si="330"/>
        <v>0</v>
      </c>
      <c r="N109" s="137">
        <f t="shared" si="330"/>
        <v>0</v>
      </c>
      <c r="O109" s="137">
        <f t="shared" si="330"/>
        <v>0</v>
      </c>
      <c r="P109" s="125">
        <f t="shared" si="330"/>
        <v>0</v>
      </c>
      <c r="Q109" s="137">
        <f t="shared" si="330"/>
        <v>0</v>
      </c>
      <c r="R109" s="124">
        <f t="shared" si="330"/>
        <v>1</v>
      </c>
      <c r="S109" s="125">
        <f t="shared" si="330"/>
        <v>0</v>
      </c>
      <c r="T109" s="137">
        <f t="shared" si="330"/>
        <v>1</v>
      </c>
      <c r="U109" s="125">
        <f t="shared" si="330"/>
        <v>0</v>
      </c>
      <c r="V109" s="137">
        <f t="shared" si="330"/>
        <v>0</v>
      </c>
      <c r="W109" s="137">
        <f t="shared" si="330"/>
        <v>2</v>
      </c>
      <c r="X109" s="125">
        <f t="shared" si="330"/>
        <v>0</v>
      </c>
      <c r="Y109" s="137">
        <f t="shared" si="330"/>
        <v>0</v>
      </c>
      <c r="Z109" s="137">
        <f t="shared" si="330"/>
        <v>0</v>
      </c>
      <c r="AA109" s="125">
        <f t="shared" si="330"/>
        <v>0</v>
      </c>
      <c r="AB109" s="137">
        <f t="shared" si="330"/>
        <v>0</v>
      </c>
      <c r="AC109" s="137">
        <f t="shared" si="330"/>
        <v>0</v>
      </c>
      <c r="AD109" s="137">
        <f t="shared" si="330"/>
        <v>0</v>
      </c>
      <c r="AE109" s="125">
        <f t="shared" si="330"/>
        <v>0</v>
      </c>
      <c r="AF109" s="137">
        <f t="shared" si="330"/>
        <v>0</v>
      </c>
      <c r="AG109" s="137">
        <f t="shared" si="330"/>
        <v>5</v>
      </c>
      <c r="AH109" s="123">
        <f>IF(AH102="","",AG102+AG103-AH102)</f>
        <v>0</v>
      </c>
      <c r="AI109" s="20">
        <f t="shared" ref="AI109:BC109" si="331">IF(AI102="","",AH102+AH103-AI102)</f>
        <v>0</v>
      </c>
      <c r="AJ109" s="20">
        <f t="shared" si="331"/>
        <v>0</v>
      </c>
      <c r="AK109" s="20">
        <f t="shared" si="331"/>
        <v>2</v>
      </c>
      <c r="AL109" s="195" t="str">
        <f t="shared" si="331"/>
        <v/>
      </c>
      <c r="AM109" s="20" t="str">
        <f t="shared" si="331"/>
        <v/>
      </c>
      <c r="AN109" s="20" t="str">
        <f t="shared" si="331"/>
        <v/>
      </c>
      <c r="AO109" s="195" t="str">
        <f t="shared" si="331"/>
        <v/>
      </c>
      <c r="AP109" s="20" t="str">
        <f t="shared" si="331"/>
        <v/>
      </c>
      <c r="AQ109" s="20" t="str">
        <f t="shared" si="331"/>
        <v/>
      </c>
      <c r="AR109" s="20" t="str">
        <f t="shared" si="331"/>
        <v/>
      </c>
      <c r="AS109" s="20" t="str">
        <f t="shared" si="331"/>
        <v/>
      </c>
      <c r="AT109" s="20" t="str">
        <f t="shared" si="331"/>
        <v/>
      </c>
      <c r="AU109" s="20" t="str">
        <f t="shared" si="331"/>
        <v/>
      </c>
      <c r="AV109" s="20" t="str">
        <f t="shared" si="331"/>
        <v/>
      </c>
      <c r="AW109" s="20" t="str">
        <f t="shared" si="331"/>
        <v/>
      </c>
      <c r="AX109" s="20" t="str">
        <f t="shared" si="331"/>
        <v/>
      </c>
      <c r="AY109" s="20" t="str">
        <f t="shared" si="331"/>
        <v/>
      </c>
      <c r="AZ109" s="20" t="str">
        <f t="shared" si="331"/>
        <v/>
      </c>
      <c r="BA109" s="20" t="str">
        <f t="shared" si="331"/>
        <v/>
      </c>
      <c r="BB109" s="20" t="str">
        <f t="shared" si="331"/>
        <v/>
      </c>
      <c r="BC109" s="20" t="str">
        <f t="shared" si="331"/>
        <v/>
      </c>
    </row>
    <row r="110" spans="1:55" ht="11.25" customHeight="1" x14ac:dyDescent="0.2">
      <c r="A110" s="15">
        <f t="shared" si="327"/>
        <v>5040</v>
      </c>
      <c r="B110" s="19" t="s">
        <v>16</v>
      </c>
      <c r="C110" s="123">
        <v>0</v>
      </c>
      <c r="D110" s="137">
        <f t="shared" ref="D110:BC110" si="332">IF(D100="","",D109*D104)</f>
        <v>0</v>
      </c>
      <c r="E110" s="137">
        <f t="shared" si="332"/>
        <v>680</v>
      </c>
      <c r="F110" s="125">
        <f t="shared" si="332"/>
        <v>0</v>
      </c>
      <c r="G110" s="137">
        <f t="shared" si="332"/>
        <v>0</v>
      </c>
      <c r="H110" s="137">
        <f t="shared" si="332"/>
        <v>0</v>
      </c>
      <c r="I110" s="137">
        <f t="shared" si="332"/>
        <v>0</v>
      </c>
      <c r="J110" s="125">
        <f t="shared" si="332"/>
        <v>0</v>
      </c>
      <c r="K110" s="137">
        <f t="shared" si="332"/>
        <v>0</v>
      </c>
      <c r="L110" s="137">
        <f t="shared" si="332"/>
        <v>680</v>
      </c>
      <c r="M110" s="125">
        <f t="shared" si="332"/>
        <v>0</v>
      </c>
      <c r="N110" s="137">
        <f t="shared" si="332"/>
        <v>0</v>
      </c>
      <c r="O110" s="137">
        <f t="shared" si="332"/>
        <v>0</v>
      </c>
      <c r="P110" s="125">
        <f t="shared" si="332"/>
        <v>0</v>
      </c>
      <c r="Q110" s="137">
        <f t="shared" si="332"/>
        <v>0</v>
      </c>
      <c r="R110" s="124">
        <f t="shared" si="332"/>
        <v>680</v>
      </c>
      <c r="S110" s="125">
        <f t="shared" si="332"/>
        <v>0</v>
      </c>
      <c r="T110" s="137">
        <f t="shared" si="332"/>
        <v>300</v>
      </c>
      <c r="U110" s="125">
        <f t="shared" si="332"/>
        <v>0</v>
      </c>
      <c r="V110" s="137">
        <f t="shared" si="332"/>
        <v>0</v>
      </c>
      <c r="W110" s="137">
        <f t="shared" si="332"/>
        <v>600</v>
      </c>
      <c r="X110" s="125">
        <f t="shared" si="332"/>
        <v>0</v>
      </c>
      <c r="Y110" s="137">
        <f t="shared" si="332"/>
        <v>0</v>
      </c>
      <c r="Z110" s="137">
        <f t="shared" si="332"/>
        <v>0</v>
      </c>
      <c r="AA110" s="125">
        <f t="shared" si="332"/>
        <v>0</v>
      </c>
      <c r="AB110" s="137">
        <f t="shared" si="332"/>
        <v>0</v>
      </c>
      <c r="AC110" s="137">
        <f t="shared" si="332"/>
        <v>0</v>
      </c>
      <c r="AD110" s="137">
        <f t="shared" si="332"/>
        <v>0</v>
      </c>
      <c r="AE110" s="125">
        <f t="shared" si="332"/>
        <v>0</v>
      </c>
      <c r="AF110" s="137">
        <f t="shared" si="332"/>
        <v>0</v>
      </c>
      <c r="AG110" s="137">
        <f t="shared" si="332"/>
        <v>1500</v>
      </c>
      <c r="AH110" s="123">
        <f>IF(AH100="","",AH109*AH104)</f>
        <v>0</v>
      </c>
      <c r="AI110" s="20">
        <f t="shared" si="332"/>
        <v>0</v>
      </c>
      <c r="AJ110" s="20">
        <f t="shared" si="332"/>
        <v>0</v>
      </c>
      <c r="AK110" s="20">
        <f t="shared" si="332"/>
        <v>600</v>
      </c>
      <c r="AL110" s="195" t="str">
        <f t="shared" si="332"/>
        <v/>
      </c>
      <c r="AM110" s="20" t="str">
        <f t="shared" si="332"/>
        <v/>
      </c>
      <c r="AN110" s="20" t="str">
        <f t="shared" si="332"/>
        <v/>
      </c>
      <c r="AO110" s="195" t="str">
        <f t="shared" si="332"/>
        <v/>
      </c>
      <c r="AP110" s="20" t="str">
        <f t="shared" si="332"/>
        <v/>
      </c>
      <c r="AQ110" s="20" t="str">
        <f t="shared" si="332"/>
        <v/>
      </c>
      <c r="AR110" s="20" t="str">
        <f t="shared" si="332"/>
        <v/>
      </c>
      <c r="AS110" s="20" t="str">
        <f t="shared" si="332"/>
        <v/>
      </c>
      <c r="AT110" s="20" t="str">
        <f t="shared" si="332"/>
        <v/>
      </c>
      <c r="AU110" s="20" t="str">
        <f t="shared" si="332"/>
        <v/>
      </c>
      <c r="AV110" s="20" t="str">
        <f t="shared" si="332"/>
        <v/>
      </c>
      <c r="AW110" s="20" t="str">
        <f t="shared" si="332"/>
        <v/>
      </c>
      <c r="AX110" s="20" t="str">
        <f t="shared" si="332"/>
        <v/>
      </c>
      <c r="AY110" s="20" t="str">
        <f t="shared" si="332"/>
        <v/>
      </c>
      <c r="AZ110" s="20" t="str">
        <f t="shared" si="332"/>
        <v/>
      </c>
      <c r="BA110" s="20" t="str">
        <f t="shared" si="332"/>
        <v/>
      </c>
      <c r="BB110" s="20" t="str">
        <f t="shared" si="332"/>
        <v/>
      </c>
      <c r="BC110" s="20" t="str">
        <f t="shared" si="332"/>
        <v/>
      </c>
    </row>
    <row r="111" spans="1:55" ht="11.25" customHeight="1" thickBot="1" x14ac:dyDescent="0.25">
      <c r="A111" s="21">
        <f>IF(A110="","",A110/(A107*100))</f>
        <v>8.0127186009538956E-2</v>
      </c>
      <c r="B111" s="19" t="s">
        <v>17</v>
      </c>
      <c r="C111" s="146" t="s">
        <v>18</v>
      </c>
      <c r="D111" s="147" t="str">
        <f t="shared" ref="D111:BC111" si="333">IF(D110="","",IF(D110=0,"",D110/(D107*100)))</f>
        <v/>
      </c>
      <c r="E111" s="147">
        <f t="shared" si="333"/>
        <v>0.12592592592592591</v>
      </c>
      <c r="F111" s="148" t="str">
        <f t="shared" si="333"/>
        <v/>
      </c>
      <c r="G111" s="147" t="str">
        <f t="shared" si="333"/>
        <v/>
      </c>
      <c r="H111" s="147" t="str">
        <f t="shared" si="333"/>
        <v/>
      </c>
      <c r="I111" s="147" t="str">
        <f t="shared" si="333"/>
        <v/>
      </c>
      <c r="J111" s="148" t="str">
        <f t="shared" si="333"/>
        <v/>
      </c>
      <c r="K111" s="147" t="str">
        <f t="shared" si="333"/>
        <v/>
      </c>
      <c r="L111" s="147">
        <f t="shared" si="333"/>
        <v>0.15454545454545454</v>
      </c>
      <c r="M111" s="148" t="str">
        <f t="shared" si="333"/>
        <v/>
      </c>
      <c r="N111" s="147" t="str">
        <f t="shared" si="333"/>
        <v/>
      </c>
      <c r="O111" s="147" t="str">
        <f t="shared" si="333"/>
        <v/>
      </c>
      <c r="P111" s="148" t="str">
        <f t="shared" si="333"/>
        <v/>
      </c>
      <c r="Q111" s="147" t="str">
        <f t="shared" si="333"/>
        <v/>
      </c>
      <c r="R111" s="193">
        <f t="shared" si="333"/>
        <v>0.28333333333333333</v>
      </c>
      <c r="S111" s="148" t="str">
        <f t="shared" si="333"/>
        <v/>
      </c>
      <c r="T111" s="147">
        <f t="shared" si="333"/>
        <v>4.0540540540540543E-2</v>
      </c>
      <c r="U111" s="148" t="str">
        <f t="shared" si="333"/>
        <v/>
      </c>
      <c r="V111" s="147" t="str">
        <f t="shared" si="333"/>
        <v/>
      </c>
      <c r="W111" s="147">
        <f t="shared" si="333"/>
        <v>0.10909090909090909</v>
      </c>
      <c r="X111" s="148" t="str">
        <f t="shared" si="333"/>
        <v/>
      </c>
      <c r="Y111" s="147" t="str">
        <f t="shared" si="333"/>
        <v/>
      </c>
      <c r="Z111" s="147" t="str">
        <f t="shared" si="333"/>
        <v/>
      </c>
      <c r="AA111" s="148" t="str">
        <f t="shared" si="333"/>
        <v/>
      </c>
      <c r="AB111" s="147" t="str">
        <f t="shared" si="333"/>
        <v/>
      </c>
      <c r="AC111" s="147" t="str">
        <f t="shared" si="333"/>
        <v/>
      </c>
      <c r="AD111" s="147" t="str">
        <f t="shared" si="333"/>
        <v/>
      </c>
      <c r="AE111" s="148" t="str">
        <f t="shared" si="333"/>
        <v/>
      </c>
      <c r="AF111" s="147" t="str">
        <f t="shared" si="333"/>
        <v/>
      </c>
      <c r="AG111" s="147">
        <f t="shared" si="333"/>
        <v>0.25</v>
      </c>
      <c r="AH111" s="146" t="str">
        <f>IF(AH110="","",IF(AH110=0,"",AH110/(AH107*100)))</f>
        <v/>
      </c>
      <c r="AI111" s="27" t="str">
        <f t="shared" si="333"/>
        <v/>
      </c>
      <c r="AJ111" s="27" t="str">
        <f t="shared" si="333"/>
        <v/>
      </c>
      <c r="AK111" s="27">
        <f t="shared" si="333"/>
        <v>4.4776119402985072E-2</v>
      </c>
      <c r="AL111" s="199" t="str">
        <f t="shared" si="333"/>
        <v/>
      </c>
      <c r="AM111" s="27" t="str">
        <f t="shared" si="333"/>
        <v/>
      </c>
      <c r="AN111" s="27" t="str">
        <f t="shared" si="333"/>
        <v/>
      </c>
      <c r="AO111" s="199" t="str">
        <f t="shared" si="333"/>
        <v/>
      </c>
      <c r="AP111" s="27" t="str">
        <f t="shared" si="333"/>
        <v/>
      </c>
      <c r="AQ111" s="27" t="str">
        <f t="shared" si="333"/>
        <v/>
      </c>
      <c r="AR111" s="27" t="str">
        <f t="shared" si="333"/>
        <v/>
      </c>
      <c r="AS111" s="27" t="str">
        <f t="shared" si="333"/>
        <v/>
      </c>
      <c r="AT111" s="27" t="str">
        <f t="shared" si="333"/>
        <v/>
      </c>
      <c r="AU111" s="27" t="str">
        <f t="shared" si="333"/>
        <v/>
      </c>
      <c r="AV111" s="27" t="str">
        <f t="shared" si="333"/>
        <v/>
      </c>
      <c r="AW111" s="27" t="str">
        <f t="shared" si="333"/>
        <v/>
      </c>
      <c r="AX111" s="27" t="str">
        <f t="shared" si="333"/>
        <v/>
      </c>
      <c r="AY111" s="27" t="str">
        <f t="shared" si="333"/>
        <v/>
      </c>
      <c r="AZ111" s="27" t="str">
        <f t="shared" si="333"/>
        <v/>
      </c>
      <c r="BA111" s="27" t="str">
        <f t="shared" si="333"/>
        <v/>
      </c>
      <c r="BB111" s="27" t="str">
        <f t="shared" si="333"/>
        <v/>
      </c>
      <c r="BC111" s="27" t="str">
        <f t="shared" si="333"/>
        <v/>
      </c>
    </row>
    <row r="112" spans="1:55" ht="11.25" customHeight="1" x14ac:dyDescent="0.2">
      <c r="A112" s="28" t="s">
        <v>1</v>
      </c>
      <c r="B112" s="29" t="s">
        <v>2</v>
      </c>
      <c r="C112" s="129">
        <v>17633</v>
      </c>
      <c r="D112" s="130">
        <f t="shared" ref="D112:D113" si="334">IF(D$16="","",C112)</f>
        <v>17633</v>
      </c>
      <c r="E112" s="130">
        <v>17646</v>
      </c>
      <c r="F112" s="131">
        <f t="shared" ref="F112:G113" si="335">IF(F$16="","",E112)</f>
        <v>17646</v>
      </c>
      <c r="G112" s="130">
        <f>IF(G$16="","",F112)</f>
        <v>17646</v>
      </c>
      <c r="H112" s="130">
        <f t="shared" ref="H112:H113" si="336">IF(H$16="","",G112)</f>
        <v>17646</v>
      </c>
      <c r="I112" s="130">
        <v>17689</v>
      </c>
      <c r="J112" s="131">
        <f t="shared" ref="J112:K113" si="337">IF(J$16="","",I112)</f>
        <v>17689</v>
      </c>
      <c r="K112" s="130">
        <f t="shared" si="337"/>
        <v>17689</v>
      </c>
      <c r="L112" s="130">
        <v>17786</v>
      </c>
      <c r="M112" s="131">
        <f t="shared" ref="M112:N113" si="338">IF(M$16="","",L112)</f>
        <v>17786</v>
      </c>
      <c r="N112" s="130">
        <f>IF(N$16="","",M112)</f>
        <v>17786</v>
      </c>
      <c r="O112" s="130">
        <v>17804</v>
      </c>
      <c r="P112" s="131">
        <f t="shared" ref="P112:Q113" si="339">IF(P$16="","",O112)</f>
        <v>17804</v>
      </c>
      <c r="Q112" s="130">
        <f t="shared" si="339"/>
        <v>17804</v>
      </c>
      <c r="R112" s="130">
        <v>17849</v>
      </c>
      <c r="S112" s="131">
        <f t="shared" ref="S112:T113" si="340">IF(S$16="","",R112)</f>
        <v>17849</v>
      </c>
      <c r="T112" s="130">
        <v>17864</v>
      </c>
      <c r="U112" s="131">
        <f>IF(U$16="","",T112)</f>
        <v>17864</v>
      </c>
      <c r="V112" s="130">
        <f t="shared" ref="V112:V113" si="341">IF(V$16="","",U112)</f>
        <v>17864</v>
      </c>
      <c r="W112" s="130">
        <v>17888</v>
      </c>
      <c r="X112" s="131">
        <f t="shared" ref="X112:X113" si="342">IF(X$16="","",W112)</f>
        <v>17888</v>
      </c>
      <c r="Y112" s="130">
        <f>IF(Y$16="","",X112)</f>
        <v>17888</v>
      </c>
      <c r="Z112" s="130">
        <v>17921</v>
      </c>
      <c r="AA112" s="131">
        <f t="shared" ref="AA112:AA113" si="343">IF(AA$16="","",Z112)</f>
        <v>17921</v>
      </c>
      <c r="AB112" s="130">
        <f>IF(AB$16="","",AA112)</f>
        <v>17921</v>
      </c>
      <c r="AC112" s="130">
        <f t="shared" ref="AC112:AC113" si="344">IF(AC$16="","",AB112)</f>
        <v>17921</v>
      </c>
      <c r="AD112" s="130">
        <v>17951</v>
      </c>
      <c r="AE112" s="131">
        <f t="shared" ref="AE112:AF113" si="345">IF(AE$16="","",AD112)</f>
        <v>17951</v>
      </c>
      <c r="AF112" s="130">
        <f>IF(AF$16="","",AE112)</f>
        <v>17951</v>
      </c>
      <c r="AG112" s="130">
        <v>17991</v>
      </c>
      <c r="AH112" s="129">
        <f>IF(AH$16="","",AG112)</f>
        <v>17991</v>
      </c>
      <c r="AI112" s="16">
        <f t="shared" ref="AI112:AJ113" si="346">IF(AI$16="","",AH112)</f>
        <v>17991</v>
      </c>
      <c r="AJ112" s="16">
        <f t="shared" si="346"/>
        <v>17991</v>
      </c>
      <c r="AK112" s="16">
        <v>18054</v>
      </c>
      <c r="AL112" s="196" t="str">
        <f t="shared" ref="AL112:BA113" si="347">IF(AL$16="","",AK112)</f>
        <v/>
      </c>
      <c r="AM112" s="16" t="str">
        <f t="shared" si="347"/>
        <v/>
      </c>
      <c r="AN112" s="16" t="str">
        <f t="shared" si="347"/>
        <v/>
      </c>
      <c r="AO112" s="196" t="str">
        <f t="shared" si="347"/>
        <v/>
      </c>
      <c r="AP112" s="16" t="str">
        <f t="shared" si="347"/>
        <v/>
      </c>
      <c r="AQ112" s="16" t="str">
        <f t="shared" si="347"/>
        <v/>
      </c>
      <c r="AR112" s="16" t="str">
        <f t="shared" si="347"/>
        <v/>
      </c>
      <c r="AS112" s="16" t="str">
        <f t="shared" si="347"/>
        <v/>
      </c>
      <c r="AT112" s="16" t="str">
        <f t="shared" si="347"/>
        <v/>
      </c>
      <c r="AU112" s="16" t="str">
        <f t="shared" si="347"/>
        <v/>
      </c>
      <c r="AV112" s="16" t="str">
        <f t="shared" si="347"/>
        <v/>
      </c>
      <c r="AW112" s="16" t="str">
        <f t="shared" si="347"/>
        <v/>
      </c>
      <c r="AX112" s="16" t="str">
        <f t="shared" si="347"/>
        <v/>
      </c>
      <c r="AY112" s="16" t="str">
        <f t="shared" si="347"/>
        <v/>
      </c>
      <c r="AZ112" s="16" t="str">
        <f t="shared" si="347"/>
        <v/>
      </c>
      <c r="BA112" s="16" t="str">
        <f t="shared" si="347"/>
        <v/>
      </c>
      <c r="BB112" s="16" t="str">
        <f t="shared" ref="BB112:BC113" si="348">IF(BB$16="","",BA112)</f>
        <v/>
      </c>
      <c r="BC112" s="16" t="str">
        <f t="shared" si="348"/>
        <v/>
      </c>
    </row>
    <row r="113" spans="1:55" ht="11.25" customHeight="1" x14ac:dyDescent="0.2">
      <c r="A113" s="10" t="s">
        <v>29</v>
      </c>
      <c r="B113" s="11" t="s">
        <v>4</v>
      </c>
      <c r="C113" s="123">
        <v>1849</v>
      </c>
      <c r="D113" s="124">
        <f t="shared" si="334"/>
        <v>1849</v>
      </c>
      <c r="E113" s="124">
        <f>IF(E$16="","",D113)</f>
        <v>1849</v>
      </c>
      <c r="F113" s="125">
        <f t="shared" si="335"/>
        <v>1849</v>
      </c>
      <c r="G113" s="124">
        <f t="shared" si="335"/>
        <v>1849</v>
      </c>
      <c r="H113" s="124">
        <f t="shared" si="336"/>
        <v>1849</v>
      </c>
      <c r="I113" s="124">
        <v>1853</v>
      </c>
      <c r="J113" s="125">
        <f t="shared" si="337"/>
        <v>1853</v>
      </c>
      <c r="K113" s="124">
        <f t="shared" si="337"/>
        <v>1853</v>
      </c>
      <c r="L113" s="124">
        <v>1855</v>
      </c>
      <c r="M113" s="125">
        <f t="shared" si="338"/>
        <v>1855</v>
      </c>
      <c r="N113" s="124">
        <f t="shared" si="338"/>
        <v>1855</v>
      </c>
      <c r="O113" s="124">
        <v>1856</v>
      </c>
      <c r="P113" s="125">
        <f t="shared" si="339"/>
        <v>1856</v>
      </c>
      <c r="Q113" s="124">
        <f t="shared" si="339"/>
        <v>1856</v>
      </c>
      <c r="R113" s="124">
        <v>1861</v>
      </c>
      <c r="S113" s="125">
        <f t="shared" si="340"/>
        <v>1861</v>
      </c>
      <c r="T113" s="124">
        <f t="shared" si="340"/>
        <v>1861</v>
      </c>
      <c r="U113" s="125">
        <f>IF(U$16="","",T113)</f>
        <v>1861</v>
      </c>
      <c r="V113" s="124">
        <f t="shared" si="341"/>
        <v>1861</v>
      </c>
      <c r="W113" s="124">
        <v>1864</v>
      </c>
      <c r="X113" s="125">
        <f t="shared" si="342"/>
        <v>1864</v>
      </c>
      <c r="Y113" s="124">
        <f>IF(Y$16="","",X113)</f>
        <v>1864</v>
      </c>
      <c r="Z113" s="124">
        <v>1867</v>
      </c>
      <c r="AA113" s="125">
        <f t="shared" si="343"/>
        <v>1867</v>
      </c>
      <c r="AB113" s="124">
        <f>IF(AB$16="","",AA113)</f>
        <v>1867</v>
      </c>
      <c r="AC113" s="124">
        <f t="shared" si="344"/>
        <v>1867</v>
      </c>
      <c r="AD113" s="124">
        <v>1869</v>
      </c>
      <c r="AE113" s="125">
        <f t="shared" si="345"/>
        <v>1869</v>
      </c>
      <c r="AF113" s="124">
        <f t="shared" si="345"/>
        <v>1869</v>
      </c>
      <c r="AG113" s="124">
        <v>1872</v>
      </c>
      <c r="AH113" s="123">
        <f>IF(AH$16="","",AG113)</f>
        <v>1872</v>
      </c>
      <c r="AI113" s="12">
        <f t="shared" si="346"/>
        <v>1872</v>
      </c>
      <c r="AJ113" s="12">
        <f t="shared" si="346"/>
        <v>1872</v>
      </c>
      <c r="AK113" s="12">
        <v>1876</v>
      </c>
      <c r="AL113" s="195" t="str">
        <f t="shared" si="347"/>
        <v/>
      </c>
      <c r="AM113" s="12" t="str">
        <f t="shared" si="347"/>
        <v/>
      </c>
      <c r="AN113" s="12" t="str">
        <f t="shared" si="347"/>
        <v/>
      </c>
      <c r="AO113" s="195" t="str">
        <f t="shared" si="347"/>
        <v/>
      </c>
      <c r="AP113" s="12" t="str">
        <f t="shared" si="347"/>
        <v/>
      </c>
      <c r="AQ113" s="12" t="str">
        <f t="shared" si="347"/>
        <v/>
      </c>
      <c r="AR113" s="12" t="str">
        <f t="shared" si="347"/>
        <v/>
      </c>
      <c r="AS113" s="12" t="str">
        <f t="shared" si="347"/>
        <v/>
      </c>
      <c r="AT113" s="12" t="str">
        <f t="shared" si="347"/>
        <v/>
      </c>
      <c r="AU113" s="12" t="str">
        <f t="shared" si="347"/>
        <v/>
      </c>
      <c r="AV113" s="12" t="str">
        <f t="shared" si="347"/>
        <v/>
      </c>
      <c r="AW113" s="12" t="str">
        <f t="shared" si="347"/>
        <v/>
      </c>
      <c r="AX113" s="12" t="str">
        <f t="shared" si="347"/>
        <v/>
      </c>
      <c r="AY113" s="12" t="str">
        <f t="shared" si="347"/>
        <v/>
      </c>
      <c r="AZ113" s="12" t="str">
        <f t="shared" si="347"/>
        <v/>
      </c>
      <c r="BA113" s="12" t="str">
        <f t="shared" si="347"/>
        <v/>
      </c>
      <c r="BB113" s="12" t="str">
        <f t="shared" si="348"/>
        <v/>
      </c>
      <c r="BC113" s="12" t="str">
        <f t="shared" si="348"/>
        <v/>
      </c>
    </row>
    <row r="114" spans="1:55" ht="11.25" customHeight="1" x14ac:dyDescent="0.25">
      <c r="A114" s="24">
        <v>4</v>
      </c>
      <c r="B114" s="11" t="s">
        <v>5</v>
      </c>
      <c r="C114" s="123">
        <v>15</v>
      </c>
      <c r="D114" s="124">
        <f t="shared" ref="D114" si="349">IF(D112="","",(C114+C115))</f>
        <v>15</v>
      </c>
      <c r="E114" s="124">
        <v>15</v>
      </c>
      <c r="F114" s="125">
        <f t="shared" ref="F114:H114" si="350">IF(F112="","",(E114+E115))</f>
        <v>12</v>
      </c>
      <c r="G114" s="124">
        <f t="shared" si="350"/>
        <v>12</v>
      </c>
      <c r="H114" s="124">
        <f t="shared" si="350"/>
        <v>12</v>
      </c>
      <c r="I114" s="124">
        <v>9</v>
      </c>
      <c r="J114" s="125">
        <f t="shared" ref="J114:K114" si="351">IF(J112="","",(I114+I115))</f>
        <v>9</v>
      </c>
      <c r="K114" s="124">
        <f t="shared" si="351"/>
        <v>9</v>
      </c>
      <c r="L114" s="124">
        <f>IF(L112="","",(K114+K115))</f>
        <v>9</v>
      </c>
      <c r="M114" s="125">
        <f t="shared" ref="M114:Q114" si="352">IF(M112="","",(L114+L115))</f>
        <v>12</v>
      </c>
      <c r="N114" s="124">
        <f t="shared" si="352"/>
        <v>12</v>
      </c>
      <c r="O114" s="124">
        <f t="shared" si="352"/>
        <v>12</v>
      </c>
      <c r="P114" s="125">
        <f t="shared" si="352"/>
        <v>12</v>
      </c>
      <c r="Q114" s="124">
        <f t="shared" si="352"/>
        <v>12</v>
      </c>
      <c r="R114" s="124">
        <f>IF(R112="","",(Q114+Q115))</f>
        <v>12</v>
      </c>
      <c r="S114" s="125">
        <f t="shared" ref="S114:T114" si="353">IF(S112="","",(R114+R115))</f>
        <v>17</v>
      </c>
      <c r="T114" s="124">
        <f t="shared" si="353"/>
        <v>17</v>
      </c>
      <c r="U114" s="125">
        <f>IF(U112="","",(T114+T115))</f>
        <v>24</v>
      </c>
      <c r="V114" s="124">
        <f t="shared" ref="V114:AC114" si="354">IF(V112="","",(U114+U115))</f>
        <v>24</v>
      </c>
      <c r="W114" s="124">
        <f t="shared" si="354"/>
        <v>24</v>
      </c>
      <c r="X114" s="125">
        <f t="shared" si="354"/>
        <v>29</v>
      </c>
      <c r="Y114" s="124">
        <f t="shared" si="354"/>
        <v>29</v>
      </c>
      <c r="Z114" s="124">
        <f t="shared" si="354"/>
        <v>29</v>
      </c>
      <c r="AA114" s="125">
        <f t="shared" si="354"/>
        <v>29</v>
      </c>
      <c r="AB114" s="124">
        <f t="shared" si="354"/>
        <v>29</v>
      </c>
      <c r="AC114" s="124">
        <f t="shared" si="354"/>
        <v>29</v>
      </c>
      <c r="AD114" s="124">
        <v>27</v>
      </c>
      <c r="AE114" s="125">
        <f t="shared" ref="AE114:AF114" si="355">IF(AE112="","",(AD114+AD115))</f>
        <v>27</v>
      </c>
      <c r="AF114" s="124">
        <f t="shared" si="355"/>
        <v>27</v>
      </c>
      <c r="AG114" s="124">
        <v>24</v>
      </c>
      <c r="AH114" s="123">
        <f>IF(AH112="","",(AG114+AG115))</f>
        <v>27</v>
      </c>
      <c r="AI114" s="12">
        <f t="shared" ref="AI114:AJ114" si="356">IF(AI112="","",(AH114+AH115))</f>
        <v>27</v>
      </c>
      <c r="AJ114" s="12">
        <f t="shared" si="356"/>
        <v>27</v>
      </c>
      <c r="AK114" s="12">
        <v>23</v>
      </c>
      <c r="AL114" s="195" t="str">
        <f t="shared" ref="AL114:BC114" si="357">IF(AL112="","",(AK114+AK115))</f>
        <v/>
      </c>
      <c r="AM114" s="12" t="str">
        <f t="shared" si="357"/>
        <v/>
      </c>
      <c r="AN114" s="12" t="str">
        <f t="shared" si="357"/>
        <v/>
      </c>
      <c r="AO114" s="195" t="str">
        <f t="shared" si="357"/>
        <v/>
      </c>
      <c r="AP114" s="12" t="str">
        <f t="shared" si="357"/>
        <v/>
      </c>
      <c r="AQ114" s="12" t="str">
        <f t="shared" si="357"/>
        <v/>
      </c>
      <c r="AR114" s="12" t="str">
        <f t="shared" si="357"/>
        <v/>
      </c>
      <c r="AS114" s="12" t="str">
        <f t="shared" si="357"/>
        <v/>
      </c>
      <c r="AT114" s="12" t="str">
        <f t="shared" si="357"/>
        <v/>
      </c>
      <c r="AU114" s="12" t="str">
        <f t="shared" si="357"/>
        <v/>
      </c>
      <c r="AV114" s="12" t="str">
        <f t="shared" si="357"/>
        <v/>
      </c>
      <c r="AW114" s="12" t="str">
        <f t="shared" si="357"/>
        <v/>
      </c>
      <c r="AX114" s="12" t="str">
        <f t="shared" si="357"/>
        <v/>
      </c>
      <c r="AY114" s="12" t="str">
        <f t="shared" si="357"/>
        <v/>
      </c>
      <c r="AZ114" s="12" t="str">
        <f t="shared" si="357"/>
        <v/>
      </c>
      <c r="BA114" s="12" t="str">
        <f t="shared" si="357"/>
        <v/>
      </c>
      <c r="BB114" s="12" t="str">
        <f t="shared" si="357"/>
        <v/>
      </c>
      <c r="BC114" s="12" t="str">
        <f t="shared" si="357"/>
        <v/>
      </c>
    </row>
    <row r="115" spans="1:55" ht="11.25" customHeight="1" x14ac:dyDescent="0.2">
      <c r="A115" s="14"/>
      <c r="B115" s="11" t="s">
        <v>6</v>
      </c>
      <c r="C115" s="123"/>
      <c r="D115" s="124"/>
      <c r="E115" s="124">
        <v>-3</v>
      </c>
      <c r="F115" s="125"/>
      <c r="G115" s="124"/>
      <c r="H115" s="124"/>
      <c r="I115" s="124"/>
      <c r="J115" s="125"/>
      <c r="K115" s="124"/>
      <c r="L115" s="124">
        <v>3</v>
      </c>
      <c r="M115" s="125"/>
      <c r="N115" s="124"/>
      <c r="O115" s="124"/>
      <c r="P115" s="125"/>
      <c r="Q115" s="124"/>
      <c r="R115" s="124">
        <v>5</v>
      </c>
      <c r="S115" s="125"/>
      <c r="T115" s="124">
        <v>7</v>
      </c>
      <c r="U115" s="125"/>
      <c r="V115" s="124"/>
      <c r="W115" s="124">
        <v>5</v>
      </c>
      <c r="X115" s="125"/>
      <c r="Y115" s="124"/>
      <c r="Z115" s="124"/>
      <c r="AA115" s="125"/>
      <c r="AB115" s="124"/>
      <c r="AC115" s="124"/>
      <c r="AD115" s="124"/>
      <c r="AE115" s="125"/>
      <c r="AF115" s="124"/>
      <c r="AG115" s="124">
        <v>3</v>
      </c>
      <c r="AH115" s="123"/>
      <c r="AI115" s="12"/>
      <c r="AJ115" s="12"/>
      <c r="AK115" s="12">
        <v>4</v>
      </c>
      <c r="AL115" s="195"/>
      <c r="AM115" s="12"/>
      <c r="AN115" s="12"/>
      <c r="AO115" s="195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</row>
    <row r="116" spans="1:55" ht="11.25" customHeight="1" x14ac:dyDescent="0.2">
      <c r="A116" s="15"/>
      <c r="B116" s="11" t="s">
        <v>8</v>
      </c>
      <c r="C116" s="129">
        <v>158</v>
      </c>
      <c r="D116" s="130">
        <f t="shared" ref="D116" si="358">IF(D112="","",C116)</f>
        <v>158</v>
      </c>
      <c r="E116" s="130">
        <v>400</v>
      </c>
      <c r="F116" s="131">
        <f t="shared" ref="F116:AF116" si="359">IF(F112="","",E116)</f>
        <v>400</v>
      </c>
      <c r="G116" s="130">
        <f t="shared" si="359"/>
        <v>400</v>
      </c>
      <c r="H116" s="130">
        <f t="shared" si="359"/>
        <v>400</v>
      </c>
      <c r="I116" s="130">
        <f t="shared" si="359"/>
        <v>400</v>
      </c>
      <c r="J116" s="131">
        <f t="shared" si="359"/>
        <v>400</v>
      </c>
      <c r="K116" s="130">
        <f t="shared" si="359"/>
        <v>400</v>
      </c>
      <c r="L116" s="130">
        <f t="shared" si="359"/>
        <v>400</v>
      </c>
      <c r="M116" s="131">
        <f t="shared" si="359"/>
        <v>400</v>
      </c>
      <c r="N116" s="130">
        <f t="shared" si="359"/>
        <v>400</v>
      </c>
      <c r="O116" s="130">
        <f t="shared" si="359"/>
        <v>400</v>
      </c>
      <c r="P116" s="131">
        <f t="shared" si="359"/>
        <v>400</v>
      </c>
      <c r="Q116" s="130">
        <f t="shared" si="359"/>
        <v>400</v>
      </c>
      <c r="R116" s="130">
        <f t="shared" si="359"/>
        <v>400</v>
      </c>
      <c r="S116" s="131">
        <f t="shared" si="359"/>
        <v>400</v>
      </c>
      <c r="T116" s="130">
        <f t="shared" si="359"/>
        <v>400</v>
      </c>
      <c r="U116" s="131">
        <f t="shared" si="359"/>
        <v>400</v>
      </c>
      <c r="V116" s="130">
        <f t="shared" si="359"/>
        <v>400</v>
      </c>
      <c r="W116" s="130">
        <f t="shared" si="359"/>
        <v>400</v>
      </c>
      <c r="X116" s="131">
        <f t="shared" si="359"/>
        <v>400</v>
      </c>
      <c r="Y116" s="130">
        <f t="shared" si="359"/>
        <v>400</v>
      </c>
      <c r="Z116" s="130">
        <f t="shared" si="359"/>
        <v>400</v>
      </c>
      <c r="AA116" s="131">
        <f t="shared" si="359"/>
        <v>400</v>
      </c>
      <c r="AB116" s="130">
        <f t="shared" si="359"/>
        <v>400</v>
      </c>
      <c r="AC116" s="130">
        <f t="shared" si="359"/>
        <v>400</v>
      </c>
      <c r="AD116" s="130">
        <f t="shared" si="359"/>
        <v>400</v>
      </c>
      <c r="AE116" s="131">
        <f t="shared" si="359"/>
        <v>400</v>
      </c>
      <c r="AF116" s="130">
        <f t="shared" si="359"/>
        <v>400</v>
      </c>
      <c r="AG116" s="130">
        <f>IF(AG112="","",AF116)</f>
        <v>400</v>
      </c>
      <c r="AH116" s="129">
        <f>IF(AH112="","",AG116)</f>
        <v>400</v>
      </c>
      <c r="AI116" s="16">
        <f t="shared" ref="AI116:BC116" si="360">IF(AI112="","",AH116)</f>
        <v>400</v>
      </c>
      <c r="AJ116" s="16">
        <f t="shared" si="360"/>
        <v>400</v>
      </c>
      <c r="AK116" s="16">
        <f t="shared" si="360"/>
        <v>400</v>
      </c>
      <c r="AL116" s="196" t="str">
        <f t="shared" si="360"/>
        <v/>
      </c>
      <c r="AM116" s="16" t="str">
        <f t="shared" si="360"/>
        <v/>
      </c>
      <c r="AN116" s="16" t="str">
        <f t="shared" si="360"/>
        <v/>
      </c>
      <c r="AO116" s="196" t="str">
        <f t="shared" si="360"/>
        <v/>
      </c>
      <c r="AP116" s="16" t="str">
        <f t="shared" si="360"/>
        <v/>
      </c>
      <c r="AQ116" s="16" t="str">
        <f t="shared" si="360"/>
        <v/>
      </c>
      <c r="AR116" s="16" t="str">
        <f t="shared" si="360"/>
        <v/>
      </c>
      <c r="AS116" s="16" t="str">
        <f t="shared" si="360"/>
        <v/>
      </c>
      <c r="AT116" s="16" t="str">
        <f t="shared" si="360"/>
        <v/>
      </c>
      <c r="AU116" s="16" t="str">
        <f t="shared" si="360"/>
        <v/>
      </c>
      <c r="AV116" s="16" t="str">
        <f t="shared" si="360"/>
        <v/>
      </c>
      <c r="AW116" s="16" t="str">
        <f t="shared" si="360"/>
        <v/>
      </c>
      <c r="AX116" s="16" t="str">
        <f t="shared" si="360"/>
        <v/>
      </c>
      <c r="AY116" s="16" t="str">
        <f t="shared" si="360"/>
        <v/>
      </c>
      <c r="AZ116" s="16" t="str">
        <f t="shared" si="360"/>
        <v/>
      </c>
      <c r="BA116" s="16" t="str">
        <f t="shared" si="360"/>
        <v/>
      </c>
      <c r="BB116" s="16" t="str">
        <f t="shared" si="360"/>
        <v/>
      </c>
      <c r="BC116" s="16" t="str">
        <f t="shared" si="360"/>
        <v/>
      </c>
    </row>
    <row r="117" spans="1:55" ht="11.25" customHeight="1" x14ac:dyDescent="0.2">
      <c r="A117" s="14" t="s">
        <v>9</v>
      </c>
      <c r="B117" s="17" t="s">
        <v>10</v>
      </c>
      <c r="C117" s="133" t="s">
        <v>233</v>
      </c>
      <c r="D117" s="134" t="str">
        <f t="shared" ref="D117:E117" si="361">IF(D112="","",C117)</f>
        <v>ネイルチップ</v>
      </c>
      <c r="E117" s="134" t="str">
        <f t="shared" si="361"/>
        <v>ネイルチップ</v>
      </c>
      <c r="F117" s="135" t="s">
        <v>239</v>
      </c>
      <c r="G117" s="134" t="str">
        <f t="shared" ref="G117" si="362">IF(G112="","",F117)</f>
        <v>キティタイルシール</v>
      </c>
      <c r="H117" s="134" t="str">
        <f>IF(H112="","",G117)</f>
        <v>キティタイルシール</v>
      </c>
      <c r="I117" s="134" t="str">
        <f t="shared" ref="I117:AF117" si="363">IF(I112="","",H117)</f>
        <v>キティタイルシール</v>
      </c>
      <c r="J117" s="135" t="str">
        <f t="shared" si="363"/>
        <v>キティタイルシール</v>
      </c>
      <c r="K117" s="134" t="str">
        <f t="shared" si="363"/>
        <v>キティタイルシール</v>
      </c>
      <c r="L117" s="134" t="str">
        <f t="shared" si="363"/>
        <v>キティタイルシール</v>
      </c>
      <c r="M117" s="135" t="str">
        <f t="shared" si="363"/>
        <v>キティタイルシール</v>
      </c>
      <c r="N117" s="134" t="str">
        <f t="shared" si="363"/>
        <v>キティタイルシール</v>
      </c>
      <c r="O117" s="134" t="str">
        <f t="shared" si="363"/>
        <v>キティタイルシール</v>
      </c>
      <c r="P117" s="135" t="str">
        <f t="shared" si="363"/>
        <v>キティタイルシール</v>
      </c>
      <c r="Q117" s="134" t="str">
        <f t="shared" si="363"/>
        <v>キティタイルシール</v>
      </c>
      <c r="R117" s="134" t="str">
        <f t="shared" si="363"/>
        <v>キティタイルシール</v>
      </c>
      <c r="S117" s="135" t="str">
        <f t="shared" si="363"/>
        <v>キティタイルシール</v>
      </c>
      <c r="T117" s="134" t="str">
        <f t="shared" si="363"/>
        <v>キティタイルシール</v>
      </c>
      <c r="U117" s="135" t="str">
        <f t="shared" si="363"/>
        <v>キティタイルシール</v>
      </c>
      <c r="V117" s="134" t="str">
        <f t="shared" si="363"/>
        <v>キティタイルシール</v>
      </c>
      <c r="W117" s="134" t="str">
        <f t="shared" si="363"/>
        <v>キティタイルシール</v>
      </c>
      <c r="X117" s="135" t="str">
        <f t="shared" si="363"/>
        <v>キティタイルシール</v>
      </c>
      <c r="Y117" s="134" t="str">
        <f t="shared" si="363"/>
        <v>キティタイルシール</v>
      </c>
      <c r="Z117" s="134" t="str">
        <f t="shared" si="363"/>
        <v>キティタイルシール</v>
      </c>
      <c r="AA117" s="135" t="str">
        <f t="shared" si="363"/>
        <v>キティタイルシール</v>
      </c>
      <c r="AB117" s="134" t="str">
        <f t="shared" si="363"/>
        <v>キティタイルシール</v>
      </c>
      <c r="AC117" s="134" t="str">
        <f t="shared" si="363"/>
        <v>キティタイルシール</v>
      </c>
      <c r="AD117" s="134" t="str">
        <f t="shared" si="363"/>
        <v>キティタイルシール</v>
      </c>
      <c r="AE117" s="135" t="str">
        <f t="shared" si="363"/>
        <v>キティタイルシール</v>
      </c>
      <c r="AF117" s="134" t="str">
        <f t="shared" si="363"/>
        <v>キティタイルシール</v>
      </c>
      <c r="AG117" s="134" t="str">
        <f>IF(AG112="","",AF117)</f>
        <v>キティタイルシール</v>
      </c>
      <c r="AH117" s="133" t="str">
        <f>IF(AH112="","",AG117)</f>
        <v>キティタイルシール</v>
      </c>
      <c r="AI117" s="18" t="str">
        <f t="shared" ref="AI117:BC117" si="364">IF(AI112="","",AH117)</f>
        <v>キティタイルシール</v>
      </c>
      <c r="AJ117" s="18" t="str">
        <f t="shared" si="364"/>
        <v>キティタイルシール</v>
      </c>
      <c r="AK117" s="18" t="str">
        <f t="shared" si="364"/>
        <v>キティタイルシール</v>
      </c>
      <c r="AL117" s="197" t="str">
        <f t="shared" si="364"/>
        <v/>
      </c>
      <c r="AM117" s="18" t="str">
        <f t="shared" si="364"/>
        <v/>
      </c>
      <c r="AN117" s="18" t="str">
        <f t="shared" si="364"/>
        <v/>
      </c>
      <c r="AO117" s="197" t="str">
        <f t="shared" si="364"/>
        <v/>
      </c>
      <c r="AP117" s="18" t="str">
        <f t="shared" si="364"/>
        <v/>
      </c>
      <c r="AQ117" s="18" t="str">
        <f t="shared" si="364"/>
        <v/>
      </c>
      <c r="AR117" s="18" t="str">
        <f t="shared" si="364"/>
        <v/>
      </c>
      <c r="AS117" s="18" t="str">
        <f t="shared" si="364"/>
        <v/>
      </c>
      <c r="AT117" s="18" t="str">
        <f t="shared" si="364"/>
        <v/>
      </c>
      <c r="AU117" s="18" t="str">
        <f t="shared" si="364"/>
        <v/>
      </c>
      <c r="AV117" s="18" t="str">
        <f t="shared" si="364"/>
        <v/>
      </c>
      <c r="AW117" s="18" t="str">
        <f t="shared" si="364"/>
        <v/>
      </c>
      <c r="AX117" s="18" t="str">
        <f t="shared" si="364"/>
        <v/>
      </c>
      <c r="AY117" s="18" t="str">
        <f t="shared" si="364"/>
        <v/>
      </c>
      <c r="AZ117" s="18" t="str">
        <f t="shared" si="364"/>
        <v/>
      </c>
      <c r="BA117" s="18" t="str">
        <f t="shared" si="364"/>
        <v/>
      </c>
      <c r="BB117" s="18" t="str">
        <f t="shared" si="364"/>
        <v/>
      </c>
      <c r="BC117" s="18" t="str">
        <f t="shared" si="364"/>
        <v/>
      </c>
    </row>
    <row r="118" spans="1:55" ht="11.25" customHeight="1" x14ac:dyDescent="0.2">
      <c r="A118" s="15">
        <f>AVERAGE(C119:AS119)*30*100</f>
        <v>36085.714285714283</v>
      </c>
      <c r="B118" s="11" t="s">
        <v>12</v>
      </c>
      <c r="C118" s="123" t="s">
        <v>234</v>
      </c>
      <c r="D118" s="124"/>
      <c r="E118" s="124"/>
      <c r="F118" s="125" t="s">
        <v>234</v>
      </c>
      <c r="G118" s="124"/>
      <c r="H118" s="124"/>
      <c r="I118" s="124"/>
      <c r="J118" s="125"/>
      <c r="K118" s="124"/>
      <c r="L118" s="124"/>
      <c r="M118" s="125"/>
      <c r="N118" s="124"/>
      <c r="O118" s="124"/>
      <c r="P118" s="125"/>
      <c r="Q118" s="124"/>
      <c r="R118" s="124"/>
      <c r="S118" s="125"/>
      <c r="T118" s="124"/>
      <c r="U118" s="125"/>
      <c r="V118" s="124"/>
      <c r="W118" s="124"/>
      <c r="X118" s="125"/>
      <c r="Y118" s="124"/>
      <c r="Z118" s="124"/>
      <c r="AA118" s="125"/>
      <c r="AB118" s="124"/>
      <c r="AC118" s="124"/>
      <c r="AD118" s="124"/>
      <c r="AE118" s="125"/>
      <c r="AF118" s="124"/>
      <c r="AG118" s="124"/>
      <c r="AH118" s="123"/>
      <c r="AI118" s="12"/>
      <c r="AJ118" s="12"/>
      <c r="AK118" s="12"/>
      <c r="AL118" s="195"/>
      <c r="AM118" s="12"/>
      <c r="AN118" s="12"/>
      <c r="AO118" s="195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</row>
    <row r="119" spans="1:55" ht="11.25" customHeight="1" x14ac:dyDescent="0.2">
      <c r="A119" s="15">
        <f t="shared" ref="A119:A122" si="365">SUM(C119:AS119)</f>
        <v>421</v>
      </c>
      <c r="B119" s="19" t="s">
        <v>13</v>
      </c>
      <c r="C119" s="123">
        <v>0</v>
      </c>
      <c r="D119" s="137">
        <f t="shared" ref="D119:AG120" si="366">IF(D112="","",D112-C112)</f>
        <v>0</v>
      </c>
      <c r="E119" s="137">
        <f t="shared" si="366"/>
        <v>13</v>
      </c>
      <c r="F119" s="125">
        <f t="shared" si="366"/>
        <v>0</v>
      </c>
      <c r="G119" s="137">
        <f t="shared" si="366"/>
        <v>0</v>
      </c>
      <c r="H119" s="137">
        <f t="shared" si="366"/>
        <v>0</v>
      </c>
      <c r="I119" s="137">
        <f t="shared" si="366"/>
        <v>43</v>
      </c>
      <c r="J119" s="125">
        <f t="shared" si="366"/>
        <v>0</v>
      </c>
      <c r="K119" s="137">
        <f t="shared" si="366"/>
        <v>0</v>
      </c>
      <c r="L119" s="137">
        <f t="shared" si="366"/>
        <v>97</v>
      </c>
      <c r="M119" s="125">
        <f t="shared" si="366"/>
        <v>0</v>
      </c>
      <c r="N119" s="137">
        <f t="shared" si="366"/>
        <v>0</v>
      </c>
      <c r="O119" s="137">
        <f t="shared" si="366"/>
        <v>18</v>
      </c>
      <c r="P119" s="125">
        <f t="shared" si="366"/>
        <v>0</v>
      </c>
      <c r="Q119" s="137">
        <f t="shared" si="366"/>
        <v>0</v>
      </c>
      <c r="R119" s="124">
        <f t="shared" si="366"/>
        <v>45</v>
      </c>
      <c r="S119" s="125">
        <f t="shared" si="366"/>
        <v>0</v>
      </c>
      <c r="T119" s="137">
        <f t="shared" si="366"/>
        <v>15</v>
      </c>
      <c r="U119" s="125">
        <f t="shared" si="366"/>
        <v>0</v>
      </c>
      <c r="V119" s="137">
        <f t="shared" si="366"/>
        <v>0</v>
      </c>
      <c r="W119" s="137">
        <f t="shared" si="366"/>
        <v>24</v>
      </c>
      <c r="X119" s="125">
        <f t="shared" si="366"/>
        <v>0</v>
      </c>
      <c r="Y119" s="137">
        <f t="shared" si="366"/>
        <v>0</v>
      </c>
      <c r="Z119" s="137">
        <f t="shared" si="366"/>
        <v>33</v>
      </c>
      <c r="AA119" s="125">
        <f t="shared" si="366"/>
        <v>0</v>
      </c>
      <c r="AB119" s="137">
        <f t="shared" si="366"/>
        <v>0</v>
      </c>
      <c r="AC119" s="137">
        <f t="shared" si="366"/>
        <v>0</v>
      </c>
      <c r="AD119" s="137">
        <f t="shared" si="366"/>
        <v>30</v>
      </c>
      <c r="AE119" s="125">
        <f t="shared" si="366"/>
        <v>0</v>
      </c>
      <c r="AF119" s="137">
        <f t="shared" si="366"/>
        <v>0</v>
      </c>
      <c r="AG119" s="137">
        <f t="shared" si="366"/>
        <v>40</v>
      </c>
      <c r="AH119" s="123">
        <f>IF(AH112="","",AH112-AG112)</f>
        <v>0</v>
      </c>
      <c r="AI119" s="20">
        <f t="shared" ref="AI119:BC120" si="367">IF(AI112="","",AI112-AH112)</f>
        <v>0</v>
      </c>
      <c r="AJ119" s="20">
        <f t="shared" si="367"/>
        <v>0</v>
      </c>
      <c r="AK119" s="20">
        <f t="shared" si="367"/>
        <v>63</v>
      </c>
      <c r="AL119" s="195" t="str">
        <f t="shared" si="367"/>
        <v/>
      </c>
      <c r="AM119" s="20" t="str">
        <f t="shared" si="367"/>
        <v/>
      </c>
      <c r="AN119" s="20" t="str">
        <f t="shared" si="367"/>
        <v/>
      </c>
      <c r="AO119" s="195" t="str">
        <f t="shared" si="367"/>
        <v/>
      </c>
      <c r="AP119" s="20" t="str">
        <f t="shared" si="367"/>
        <v/>
      </c>
      <c r="AQ119" s="20" t="str">
        <f t="shared" si="367"/>
        <v/>
      </c>
      <c r="AR119" s="20" t="str">
        <f t="shared" si="367"/>
        <v/>
      </c>
      <c r="AS119" s="20" t="str">
        <f t="shared" si="367"/>
        <v/>
      </c>
      <c r="AT119" s="20" t="str">
        <f t="shared" si="367"/>
        <v/>
      </c>
      <c r="AU119" s="20" t="str">
        <f t="shared" si="367"/>
        <v/>
      </c>
      <c r="AV119" s="20" t="str">
        <f t="shared" si="367"/>
        <v/>
      </c>
      <c r="AW119" s="20" t="str">
        <f t="shared" si="367"/>
        <v/>
      </c>
      <c r="AX119" s="20" t="str">
        <f t="shared" si="367"/>
        <v/>
      </c>
      <c r="AY119" s="20" t="str">
        <f t="shared" si="367"/>
        <v/>
      </c>
      <c r="AZ119" s="20" t="str">
        <f t="shared" si="367"/>
        <v/>
      </c>
      <c r="BA119" s="20" t="str">
        <f t="shared" si="367"/>
        <v/>
      </c>
      <c r="BB119" s="20" t="str">
        <f t="shared" si="367"/>
        <v/>
      </c>
      <c r="BC119" s="20" t="str">
        <f t="shared" si="367"/>
        <v/>
      </c>
    </row>
    <row r="120" spans="1:55" ht="11.25" customHeight="1" x14ac:dyDescent="0.2">
      <c r="A120" s="15">
        <f t="shared" si="365"/>
        <v>27</v>
      </c>
      <c r="B120" s="19" t="s">
        <v>14</v>
      </c>
      <c r="C120" s="123">
        <v>0</v>
      </c>
      <c r="D120" s="137">
        <f t="shared" si="366"/>
        <v>0</v>
      </c>
      <c r="E120" s="137">
        <f t="shared" si="366"/>
        <v>0</v>
      </c>
      <c r="F120" s="125">
        <f t="shared" si="366"/>
        <v>0</v>
      </c>
      <c r="G120" s="137">
        <f t="shared" si="366"/>
        <v>0</v>
      </c>
      <c r="H120" s="137">
        <f t="shared" si="366"/>
        <v>0</v>
      </c>
      <c r="I120" s="137">
        <f t="shared" si="366"/>
        <v>4</v>
      </c>
      <c r="J120" s="125">
        <f t="shared" si="366"/>
        <v>0</v>
      </c>
      <c r="K120" s="137">
        <f t="shared" si="366"/>
        <v>0</v>
      </c>
      <c r="L120" s="137">
        <f t="shared" si="366"/>
        <v>2</v>
      </c>
      <c r="M120" s="125">
        <f t="shared" si="366"/>
        <v>0</v>
      </c>
      <c r="N120" s="137">
        <f t="shared" si="366"/>
        <v>0</v>
      </c>
      <c r="O120" s="137">
        <f t="shared" si="366"/>
        <v>1</v>
      </c>
      <c r="P120" s="125">
        <f t="shared" si="366"/>
        <v>0</v>
      </c>
      <c r="Q120" s="137">
        <f t="shared" si="366"/>
        <v>0</v>
      </c>
      <c r="R120" s="124">
        <f t="shared" si="366"/>
        <v>5</v>
      </c>
      <c r="S120" s="125">
        <f t="shared" si="366"/>
        <v>0</v>
      </c>
      <c r="T120" s="137">
        <f t="shared" si="366"/>
        <v>0</v>
      </c>
      <c r="U120" s="125">
        <f t="shared" si="366"/>
        <v>0</v>
      </c>
      <c r="V120" s="137">
        <f t="shared" si="366"/>
        <v>0</v>
      </c>
      <c r="W120" s="137">
        <f t="shared" si="366"/>
        <v>3</v>
      </c>
      <c r="X120" s="125">
        <f t="shared" si="366"/>
        <v>0</v>
      </c>
      <c r="Y120" s="137">
        <f t="shared" si="366"/>
        <v>0</v>
      </c>
      <c r="Z120" s="137">
        <f t="shared" si="366"/>
        <v>3</v>
      </c>
      <c r="AA120" s="125">
        <f t="shared" si="366"/>
        <v>0</v>
      </c>
      <c r="AB120" s="137">
        <f t="shared" si="366"/>
        <v>0</v>
      </c>
      <c r="AC120" s="137">
        <f t="shared" si="366"/>
        <v>0</v>
      </c>
      <c r="AD120" s="137">
        <f t="shared" si="366"/>
        <v>2</v>
      </c>
      <c r="AE120" s="125">
        <f t="shared" si="366"/>
        <v>0</v>
      </c>
      <c r="AF120" s="137">
        <f t="shared" si="366"/>
        <v>0</v>
      </c>
      <c r="AG120" s="137">
        <f t="shared" si="366"/>
        <v>3</v>
      </c>
      <c r="AH120" s="123">
        <f>IF(AH113="","",AH113-AG113)</f>
        <v>0</v>
      </c>
      <c r="AI120" s="20">
        <f t="shared" si="367"/>
        <v>0</v>
      </c>
      <c r="AJ120" s="20">
        <f t="shared" si="367"/>
        <v>0</v>
      </c>
      <c r="AK120" s="20">
        <f t="shared" si="367"/>
        <v>4</v>
      </c>
      <c r="AL120" s="195" t="str">
        <f t="shared" si="367"/>
        <v/>
      </c>
      <c r="AM120" s="20" t="str">
        <f t="shared" si="367"/>
        <v/>
      </c>
      <c r="AN120" s="20" t="str">
        <f t="shared" si="367"/>
        <v/>
      </c>
      <c r="AO120" s="195" t="str">
        <f t="shared" si="367"/>
        <v/>
      </c>
      <c r="AP120" s="20" t="str">
        <f t="shared" si="367"/>
        <v/>
      </c>
      <c r="AQ120" s="20" t="str">
        <f t="shared" si="367"/>
        <v/>
      </c>
      <c r="AR120" s="20" t="str">
        <f t="shared" si="367"/>
        <v/>
      </c>
      <c r="AS120" s="20" t="str">
        <f t="shared" si="367"/>
        <v/>
      </c>
      <c r="AT120" s="20" t="str">
        <f t="shared" si="367"/>
        <v/>
      </c>
      <c r="AU120" s="20" t="str">
        <f t="shared" si="367"/>
        <v/>
      </c>
      <c r="AV120" s="20" t="str">
        <f t="shared" si="367"/>
        <v/>
      </c>
      <c r="AW120" s="20" t="str">
        <f t="shared" si="367"/>
        <v/>
      </c>
      <c r="AX120" s="20" t="str">
        <f t="shared" si="367"/>
        <v/>
      </c>
      <c r="AY120" s="20" t="str">
        <f t="shared" si="367"/>
        <v/>
      </c>
      <c r="AZ120" s="20" t="str">
        <f t="shared" si="367"/>
        <v/>
      </c>
      <c r="BA120" s="20" t="str">
        <f t="shared" si="367"/>
        <v/>
      </c>
      <c r="BB120" s="20" t="str">
        <f t="shared" si="367"/>
        <v/>
      </c>
      <c r="BC120" s="20" t="str">
        <f t="shared" si="367"/>
        <v/>
      </c>
    </row>
    <row r="121" spans="1:55" ht="11.25" customHeight="1" x14ac:dyDescent="0.2">
      <c r="A121" s="15">
        <f t="shared" si="365"/>
        <v>12</v>
      </c>
      <c r="B121" s="19" t="s">
        <v>15</v>
      </c>
      <c r="C121" s="123">
        <v>0</v>
      </c>
      <c r="D121" s="137">
        <f t="shared" ref="D121:AG121" si="368">IF(D114="","",C114+C115-D114)</f>
        <v>0</v>
      </c>
      <c r="E121" s="137">
        <f t="shared" si="368"/>
        <v>0</v>
      </c>
      <c r="F121" s="125">
        <f t="shared" si="368"/>
        <v>0</v>
      </c>
      <c r="G121" s="137">
        <f t="shared" si="368"/>
        <v>0</v>
      </c>
      <c r="H121" s="137">
        <f t="shared" si="368"/>
        <v>0</v>
      </c>
      <c r="I121" s="137">
        <f t="shared" si="368"/>
        <v>3</v>
      </c>
      <c r="J121" s="125">
        <f t="shared" si="368"/>
        <v>0</v>
      </c>
      <c r="K121" s="137">
        <f t="shared" si="368"/>
        <v>0</v>
      </c>
      <c r="L121" s="137">
        <f t="shared" si="368"/>
        <v>0</v>
      </c>
      <c r="M121" s="125">
        <f t="shared" si="368"/>
        <v>0</v>
      </c>
      <c r="N121" s="137">
        <f t="shared" si="368"/>
        <v>0</v>
      </c>
      <c r="O121" s="137">
        <f t="shared" si="368"/>
        <v>0</v>
      </c>
      <c r="P121" s="125">
        <f t="shared" si="368"/>
        <v>0</v>
      </c>
      <c r="Q121" s="137">
        <f t="shared" si="368"/>
        <v>0</v>
      </c>
      <c r="R121" s="124">
        <f t="shared" si="368"/>
        <v>0</v>
      </c>
      <c r="S121" s="125">
        <f t="shared" si="368"/>
        <v>0</v>
      </c>
      <c r="T121" s="137">
        <f t="shared" si="368"/>
        <v>0</v>
      </c>
      <c r="U121" s="125">
        <f t="shared" si="368"/>
        <v>0</v>
      </c>
      <c r="V121" s="137">
        <f t="shared" si="368"/>
        <v>0</v>
      </c>
      <c r="W121" s="137">
        <f t="shared" si="368"/>
        <v>0</v>
      </c>
      <c r="X121" s="125">
        <f t="shared" si="368"/>
        <v>0</v>
      </c>
      <c r="Y121" s="137">
        <f t="shared" si="368"/>
        <v>0</v>
      </c>
      <c r="Z121" s="137">
        <f t="shared" si="368"/>
        <v>0</v>
      </c>
      <c r="AA121" s="125">
        <f t="shared" si="368"/>
        <v>0</v>
      </c>
      <c r="AB121" s="137">
        <f t="shared" si="368"/>
        <v>0</v>
      </c>
      <c r="AC121" s="137">
        <f t="shared" si="368"/>
        <v>0</v>
      </c>
      <c r="AD121" s="137">
        <f t="shared" si="368"/>
        <v>2</v>
      </c>
      <c r="AE121" s="125">
        <f t="shared" si="368"/>
        <v>0</v>
      </c>
      <c r="AF121" s="137">
        <f t="shared" si="368"/>
        <v>0</v>
      </c>
      <c r="AG121" s="137">
        <f t="shared" si="368"/>
        <v>3</v>
      </c>
      <c r="AH121" s="123">
        <f>IF(AH114="","",AG114+AG115-AH114)</f>
        <v>0</v>
      </c>
      <c r="AI121" s="20">
        <f t="shared" ref="AI121:BC121" si="369">IF(AI114="","",AH114+AH115-AI114)</f>
        <v>0</v>
      </c>
      <c r="AJ121" s="20">
        <f t="shared" si="369"/>
        <v>0</v>
      </c>
      <c r="AK121" s="20">
        <f t="shared" si="369"/>
        <v>4</v>
      </c>
      <c r="AL121" s="195" t="str">
        <f t="shared" si="369"/>
        <v/>
      </c>
      <c r="AM121" s="20" t="str">
        <f t="shared" si="369"/>
        <v/>
      </c>
      <c r="AN121" s="20" t="str">
        <f t="shared" si="369"/>
        <v/>
      </c>
      <c r="AO121" s="195" t="str">
        <f t="shared" si="369"/>
        <v/>
      </c>
      <c r="AP121" s="20" t="str">
        <f t="shared" si="369"/>
        <v/>
      </c>
      <c r="AQ121" s="20" t="str">
        <f t="shared" si="369"/>
        <v/>
      </c>
      <c r="AR121" s="20" t="str">
        <f t="shared" si="369"/>
        <v/>
      </c>
      <c r="AS121" s="20" t="str">
        <f t="shared" si="369"/>
        <v/>
      </c>
      <c r="AT121" s="20" t="str">
        <f t="shared" si="369"/>
        <v/>
      </c>
      <c r="AU121" s="20" t="str">
        <f t="shared" si="369"/>
        <v/>
      </c>
      <c r="AV121" s="20" t="str">
        <f t="shared" si="369"/>
        <v/>
      </c>
      <c r="AW121" s="20" t="str">
        <f t="shared" si="369"/>
        <v/>
      </c>
      <c r="AX121" s="20" t="str">
        <f t="shared" si="369"/>
        <v/>
      </c>
      <c r="AY121" s="20" t="str">
        <f t="shared" si="369"/>
        <v/>
      </c>
      <c r="AZ121" s="20" t="str">
        <f t="shared" si="369"/>
        <v/>
      </c>
      <c r="BA121" s="20" t="str">
        <f t="shared" si="369"/>
        <v/>
      </c>
      <c r="BB121" s="20" t="str">
        <f t="shared" si="369"/>
        <v/>
      </c>
      <c r="BC121" s="20" t="str">
        <f t="shared" si="369"/>
        <v/>
      </c>
    </row>
    <row r="122" spans="1:55" ht="11.25" customHeight="1" x14ac:dyDescent="0.2">
      <c r="A122" s="15">
        <f t="shared" si="365"/>
        <v>4800</v>
      </c>
      <c r="B122" s="19" t="s">
        <v>16</v>
      </c>
      <c r="C122" s="123">
        <v>0</v>
      </c>
      <c r="D122" s="137">
        <f t="shared" ref="D122:BC122" si="370">IF(D112="","",D121*D116)</f>
        <v>0</v>
      </c>
      <c r="E122" s="137">
        <f t="shared" si="370"/>
        <v>0</v>
      </c>
      <c r="F122" s="125">
        <f t="shared" si="370"/>
        <v>0</v>
      </c>
      <c r="G122" s="137">
        <f t="shared" si="370"/>
        <v>0</v>
      </c>
      <c r="H122" s="137">
        <f t="shared" si="370"/>
        <v>0</v>
      </c>
      <c r="I122" s="137">
        <f t="shared" si="370"/>
        <v>1200</v>
      </c>
      <c r="J122" s="125">
        <f t="shared" si="370"/>
        <v>0</v>
      </c>
      <c r="K122" s="137">
        <f t="shared" si="370"/>
        <v>0</v>
      </c>
      <c r="L122" s="137">
        <f t="shared" si="370"/>
        <v>0</v>
      </c>
      <c r="M122" s="125">
        <f t="shared" si="370"/>
        <v>0</v>
      </c>
      <c r="N122" s="137">
        <f t="shared" si="370"/>
        <v>0</v>
      </c>
      <c r="O122" s="137">
        <f t="shared" si="370"/>
        <v>0</v>
      </c>
      <c r="P122" s="125">
        <f t="shared" si="370"/>
        <v>0</v>
      </c>
      <c r="Q122" s="137">
        <f t="shared" si="370"/>
        <v>0</v>
      </c>
      <c r="R122" s="124">
        <f t="shared" si="370"/>
        <v>0</v>
      </c>
      <c r="S122" s="125">
        <f t="shared" si="370"/>
        <v>0</v>
      </c>
      <c r="T122" s="137">
        <f t="shared" si="370"/>
        <v>0</v>
      </c>
      <c r="U122" s="125">
        <f t="shared" si="370"/>
        <v>0</v>
      </c>
      <c r="V122" s="137">
        <f t="shared" si="370"/>
        <v>0</v>
      </c>
      <c r="W122" s="137">
        <f t="shared" si="370"/>
        <v>0</v>
      </c>
      <c r="X122" s="125">
        <f t="shared" si="370"/>
        <v>0</v>
      </c>
      <c r="Y122" s="137">
        <f t="shared" si="370"/>
        <v>0</v>
      </c>
      <c r="Z122" s="137">
        <f t="shared" si="370"/>
        <v>0</v>
      </c>
      <c r="AA122" s="125">
        <f t="shared" si="370"/>
        <v>0</v>
      </c>
      <c r="AB122" s="137">
        <f t="shared" si="370"/>
        <v>0</v>
      </c>
      <c r="AC122" s="137">
        <f t="shared" si="370"/>
        <v>0</v>
      </c>
      <c r="AD122" s="137">
        <f t="shared" si="370"/>
        <v>800</v>
      </c>
      <c r="AE122" s="125">
        <f t="shared" si="370"/>
        <v>0</v>
      </c>
      <c r="AF122" s="137">
        <f t="shared" si="370"/>
        <v>0</v>
      </c>
      <c r="AG122" s="137">
        <f t="shared" si="370"/>
        <v>1200</v>
      </c>
      <c r="AH122" s="123">
        <f>IF(AH112="","",AH121*AH116)</f>
        <v>0</v>
      </c>
      <c r="AI122" s="20">
        <f t="shared" si="370"/>
        <v>0</v>
      </c>
      <c r="AJ122" s="20">
        <f t="shared" si="370"/>
        <v>0</v>
      </c>
      <c r="AK122" s="20">
        <f t="shared" si="370"/>
        <v>1600</v>
      </c>
      <c r="AL122" s="195" t="str">
        <f t="shared" si="370"/>
        <v/>
      </c>
      <c r="AM122" s="20" t="str">
        <f t="shared" si="370"/>
        <v/>
      </c>
      <c r="AN122" s="20" t="str">
        <f t="shared" si="370"/>
        <v/>
      </c>
      <c r="AO122" s="195" t="str">
        <f t="shared" si="370"/>
        <v/>
      </c>
      <c r="AP122" s="20" t="str">
        <f t="shared" si="370"/>
        <v/>
      </c>
      <c r="AQ122" s="20" t="str">
        <f t="shared" si="370"/>
        <v/>
      </c>
      <c r="AR122" s="20" t="str">
        <f t="shared" si="370"/>
        <v/>
      </c>
      <c r="AS122" s="20" t="str">
        <f t="shared" si="370"/>
        <v/>
      </c>
      <c r="AT122" s="20" t="str">
        <f t="shared" si="370"/>
        <v/>
      </c>
      <c r="AU122" s="20" t="str">
        <f t="shared" si="370"/>
        <v/>
      </c>
      <c r="AV122" s="20" t="str">
        <f t="shared" si="370"/>
        <v/>
      </c>
      <c r="AW122" s="20" t="str">
        <f t="shared" si="370"/>
        <v/>
      </c>
      <c r="AX122" s="20" t="str">
        <f t="shared" si="370"/>
        <v/>
      </c>
      <c r="AY122" s="20" t="str">
        <f t="shared" si="370"/>
        <v/>
      </c>
      <c r="AZ122" s="20" t="str">
        <f t="shared" si="370"/>
        <v/>
      </c>
      <c r="BA122" s="20" t="str">
        <f t="shared" si="370"/>
        <v/>
      </c>
      <c r="BB122" s="20" t="str">
        <f t="shared" si="370"/>
        <v/>
      </c>
      <c r="BC122" s="20" t="str">
        <f t="shared" si="370"/>
        <v/>
      </c>
    </row>
    <row r="123" spans="1:55" ht="11.25" customHeight="1" thickBot="1" x14ac:dyDescent="0.25">
      <c r="A123" s="21">
        <f>IF(A122="","",A122/(A119*100))</f>
        <v>0.11401425178147269</v>
      </c>
      <c r="B123" s="22" t="s">
        <v>17</v>
      </c>
      <c r="C123" s="140" t="s">
        <v>18</v>
      </c>
      <c r="D123" s="141" t="str">
        <f t="shared" ref="D123:BC123" si="371">IF(D122="","",IF(D122=0,"",D122/(D119*100)))</f>
        <v/>
      </c>
      <c r="E123" s="141" t="str">
        <f t="shared" si="371"/>
        <v/>
      </c>
      <c r="F123" s="142" t="str">
        <f t="shared" si="371"/>
        <v/>
      </c>
      <c r="G123" s="141" t="str">
        <f t="shared" si="371"/>
        <v/>
      </c>
      <c r="H123" s="141" t="str">
        <f t="shared" si="371"/>
        <v/>
      </c>
      <c r="I123" s="141">
        <f t="shared" si="371"/>
        <v>0.27906976744186046</v>
      </c>
      <c r="J123" s="142" t="str">
        <f t="shared" si="371"/>
        <v/>
      </c>
      <c r="K123" s="141" t="str">
        <f t="shared" si="371"/>
        <v/>
      </c>
      <c r="L123" s="141" t="str">
        <f t="shared" si="371"/>
        <v/>
      </c>
      <c r="M123" s="142" t="str">
        <f t="shared" si="371"/>
        <v/>
      </c>
      <c r="N123" s="141" t="str">
        <f t="shared" si="371"/>
        <v/>
      </c>
      <c r="O123" s="141" t="str">
        <f t="shared" si="371"/>
        <v/>
      </c>
      <c r="P123" s="142" t="str">
        <f t="shared" si="371"/>
        <v/>
      </c>
      <c r="Q123" s="141" t="str">
        <f t="shared" si="371"/>
        <v/>
      </c>
      <c r="R123" s="192" t="str">
        <f t="shared" si="371"/>
        <v/>
      </c>
      <c r="S123" s="142" t="str">
        <f t="shared" si="371"/>
        <v/>
      </c>
      <c r="T123" s="141" t="str">
        <f t="shared" si="371"/>
        <v/>
      </c>
      <c r="U123" s="142" t="str">
        <f t="shared" si="371"/>
        <v/>
      </c>
      <c r="V123" s="141" t="str">
        <f t="shared" si="371"/>
        <v/>
      </c>
      <c r="W123" s="141" t="str">
        <f t="shared" si="371"/>
        <v/>
      </c>
      <c r="X123" s="142" t="str">
        <f t="shared" si="371"/>
        <v/>
      </c>
      <c r="Y123" s="141" t="str">
        <f t="shared" si="371"/>
        <v/>
      </c>
      <c r="Z123" s="141" t="str">
        <f t="shared" si="371"/>
        <v/>
      </c>
      <c r="AA123" s="142" t="str">
        <f t="shared" si="371"/>
        <v/>
      </c>
      <c r="AB123" s="141" t="str">
        <f t="shared" si="371"/>
        <v/>
      </c>
      <c r="AC123" s="141" t="str">
        <f t="shared" si="371"/>
        <v/>
      </c>
      <c r="AD123" s="141">
        <f t="shared" si="371"/>
        <v>0.26666666666666666</v>
      </c>
      <c r="AE123" s="142" t="str">
        <f t="shared" si="371"/>
        <v/>
      </c>
      <c r="AF123" s="141" t="str">
        <f t="shared" si="371"/>
        <v/>
      </c>
      <c r="AG123" s="141">
        <f t="shared" si="371"/>
        <v>0.3</v>
      </c>
      <c r="AH123" s="140" t="str">
        <f>IF(AH122="","",IF(AH122=0,"",AH122/(AH119*100)))</f>
        <v/>
      </c>
      <c r="AI123" s="23" t="str">
        <f t="shared" si="371"/>
        <v/>
      </c>
      <c r="AJ123" s="23" t="str">
        <f t="shared" si="371"/>
        <v/>
      </c>
      <c r="AK123" s="23">
        <f t="shared" si="371"/>
        <v>0.25396825396825395</v>
      </c>
      <c r="AL123" s="198" t="str">
        <f t="shared" si="371"/>
        <v/>
      </c>
      <c r="AM123" s="23" t="str">
        <f t="shared" si="371"/>
        <v/>
      </c>
      <c r="AN123" s="23" t="str">
        <f t="shared" si="371"/>
        <v/>
      </c>
      <c r="AO123" s="198" t="str">
        <f t="shared" si="371"/>
        <v/>
      </c>
      <c r="AP123" s="23" t="str">
        <f t="shared" si="371"/>
        <v/>
      </c>
      <c r="AQ123" s="23" t="str">
        <f t="shared" si="371"/>
        <v/>
      </c>
      <c r="AR123" s="23" t="str">
        <f t="shared" si="371"/>
        <v/>
      </c>
      <c r="AS123" s="23" t="str">
        <f t="shared" si="371"/>
        <v/>
      </c>
      <c r="AT123" s="23" t="str">
        <f t="shared" si="371"/>
        <v/>
      </c>
      <c r="AU123" s="23" t="str">
        <f t="shared" si="371"/>
        <v/>
      </c>
      <c r="AV123" s="23" t="str">
        <f t="shared" si="371"/>
        <v/>
      </c>
      <c r="AW123" s="23" t="str">
        <f t="shared" si="371"/>
        <v/>
      </c>
      <c r="AX123" s="23" t="str">
        <f t="shared" si="371"/>
        <v/>
      </c>
      <c r="AY123" s="23" t="str">
        <f t="shared" si="371"/>
        <v/>
      </c>
      <c r="AZ123" s="23" t="str">
        <f t="shared" si="371"/>
        <v/>
      </c>
      <c r="BA123" s="23" t="str">
        <f t="shared" si="371"/>
        <v/>
      </c>
      <c r="BB123" s="23" t="str">
        <f t="shared" si="371"/>
        <v/>
      </c>
      <c r="BC123" s="23" t="str">
        <f t="shared" si="371"/>
        <v/>
      </c>
    </row>
    <row r="124" spans="1:55" ht="11.25" customHeight="1" x14ac:dyDescent="0.2">
      <c r="A124" s="7" t="s">
        <v>1</v>
      </c>
      <c r="B124" s="8" t="s">
        <v>2</v>
      </c>
      <c r="C124" s="118">
        <v>7582</v>
      </c>
      <c r="D124" s="119">
        <f t="shared" ref="D124:E125" si="372">IF(D$16="","",C124)</f>
        <v>7582</v>
      </c>
      <c r="E124" s="119">
        <v>7608</v>
      </c>
      <c r="F124" s="120">
        <f t="shared" ref="F124:F125" si="373">IF(F$16="","",E124)</f>
        <v>7608</v>
      </c>
      <c r="G124" s="119">
        <f>IF(G$16="","",F124)</f>
        <v>7608</v>
      </c>
      <c r="H124" s="119">
        <f t="shared" ref="H124:H125" si="374">IF(H$16="","",G124)</f>
        <v>7608</v>
      </c>
      <c r="I124" s="119">
        <v>7626</v>
      </c>
      <c r="J124" s="120">
        <f t="shared" ref="J124:K125" si="375">IF(J$16="","",I124)</f>
        <v>7626</v>
      </c>
      <c r="K124" s="119">
        <f t="shared" si="375"/>
        <v>7626</v>
      </c>
      <c r="L124" s="119">
        <v>7639</v>
      </c>
      <c r="M124" s="120">
        <f t="shared" ref="M124:N125" si="376">IF(M$16="","",L124)</f>
        <v>7639</v>
      </c>
      <c r="N124" s="119">
        <f>IF(N$16="","",M124)</f>
        <v>7639</v>
      </c>
      <c r="O124" s="119">
        <v>7666</v>
      </c>
      <c r="P124" s="120">
        <f t="shared" ref="P124:Q125" si="377">IF(P$16="","",O124)</f>
        <v>7666</v>
      </c>
      <c r="Q124" s="119">
        <f t="shared" si="377"/>
        <v>7666</v>
      </c>
      <c r="R124" s="119">
        <v>7752</v>
      </c>
      <c r="S124" s="120">
        <f t="shared" ref="S124:S125" si="378">IF(S$16="","",R124)</f>
        <v>7752</v>
      </c>
      <c r="T124" s="119">
        <v>7840</v>
      </c>
      <c r="U124" s="120">
        <f>IF(U$16="","",T124)</f>
        <v>7840</v>
      </c>
      <c r="V124" s="119">
        <f t="shared" ref="V124:V125" si="379">IF(V$16="","",U124)</f>
        <v>7840</v>
      </c>
      <c r="W124" s="119">
        <v>7899</v>
      </c>
      <c r="X124" s="120">
        <f t="shared" ref="X124:Y125" si="380">IF(X$16="","",W124)</f>
        <v>7899</v>
      </c>
      <c r="Y124" s="119">
        <f>IF(Y$16="","",X124)</f>
        <v>7899</v>
      </c>
      <c r="Z124" s="119">
        <v>7974</v>
      </c>
      <c r="AA124" s="120">
        <f t="shared" ref="AA124:AA125" si="381">IF(AA$16="","",Z124)</f>
        <v>7974</v>
      </c>
      <c r="AB124" s="119">
        <f>IF(AB$16="","",AA124)</f>
        <v>7974</v>
      </c>
      <c r="AC124" s="119">
        <f t="shared" ref="AC124:AD125" si="382">IF(AC$16="","",AB124)</f>
        <v>7974</v>
      </c>
      <c r="AD124" s="119">
        <v>7981</v>
      </c>
      <c r="AE124" s="120">
        <f t="shared" ref="AE124:AE125" si="383">IF(AE$16="","",AD124)</f>
        <v>7981</v>
      </c>
      <c r="AF124" s="119">
        <f>IF(AF$16="","",AE124)</f>
        <v>7981</v>
      </c>
      <c r="AG124" s="119">
        <v>7997</v>
      </c>
      <c r="AH124" s="118">
        <f>IF(AH$16="","",AG124)</f>
        <v>7997</v>
      </c>
      <c r="AI124" s="9">
        <f t="shared" ref="AI124:AK125" si="384">IF(AI$16="","",AH124)</f>
        <v>7997</v>
      </c>
      <c r="AJ124" s="9">
        <f t="shared" si="384"/>
        <v>7997</v>
      </c>
      <c r="AK124" s="9">
        <v>8006</v>
      </c>
      <c r="AL124" s="194" t="str">
        <f t="shared" ref="AL124:BA125" si="385">IF(AL$16="","",AK124)</f>
        <v/>
      </c>
      <c r="AM124" s="9" t="str">
        <f t="shared" si="385"/>
        <v/>
      </c>
      <c r="AN124" s="9" t="str">
        <f t="shared" si="385"/>
        <v/>
      </c>
      <c r="AO124" s="194" t="str">
        <f t="shared" si="385"/>
        <v/>
      </c>
      <c r="AP124" s="9" t="str">
        <f t="shared" si="385"/>
        <v/>
      </c>
      <c r="AQ124" s="9" t="str">
        <f t="shared" si="385"/>
        <v/>
      </c>
      <c r="AR124" s="9" t="str">
        <f t="shared" si="385"/>
        <v/>
      </c>
      <c r="AS124" s="9" t="str">
        <f t="shared" si="385"/>
        <v/>
      </c>
      <c r="AT124" s="9" t="str">
        <f t="shared" si="385"/>
        <v/>
      </c>
      <c r="AU124" s="9" t="str">
        <f t="shared" si="385"/>
        <v/>
      </c>
      <c r="AV124" s="9" t="str">
        <f t="shared" si="385"/>
        <v/>
      </c>
      <c r="AW124" s="9" t="str">
        <f t="shared" si="385"/>
        <v/>
      </c>
      <c r="AX124" s="9" t="str">
        <f t="shared" si="385"/>
        <v/>
      </c>
      <c r="AY124" s="9" t="str">
        <f t="shared" si="385"/>
        <v/>
      </c>
      <c r="AZ124" s="9" t="str">
        <f t="shared" si="385"/>
        <v/>
      </c>
      <c r="BA124" s="9" t="str">
        <f t="shared" si="385"/>
        <v/>
      </c>
      <c r="BB124" s="9" t="str">
        <f t="shared" ref="BB124:BC125" si="386">IF(BB$16="","",BA124)</f>
        <v/>
      </c>
      <c r="BC124" s="9" t="str">
        <f t="shared" si="386"/>
        <v/>
      </c>
    </row>
    <row r="125" spans="1:55" ht="11.25" customHeight="1" x14ac:dyDescent="0.2">
      <c r="A125" s="10" t="s">
        <v>40</v>
      </c>
      <c r="B125" s="11" t="s">
        <v>4</v>
      </c>
      <c r="C125" s="123">
        <v>205</v>
      </c>
      <c r="D125" s="124">
        <f t="shared" si="372"/>
        <v>205</v>
      </c>
      <c r="E125" s="124">
        <f t="shared" si="372"/>
        <v>205</v>
      </c>
      <c r="F125" s="125">
        <f t="shared" si="373"/>
        <v>205</v>
      </c>
      <c r="G125" s="124">
        <f>IF(G$16="","",F125)</f>
        <v>205</v>
      </c>
      <c r="H125" s="124">
        <f t="shared" si="374"/>
        <v>205</v>
      </c>
      <c r="I125" s="124">
        <v>206</v>
      </c>
      <c r="J125" s="125">
        <f t="shared" si="375"/>
        <v>206</v>
      </c>
      <c r="K125" s="124">
        <f t="shared" si="375"/>
        <v>206</v>
      </c>
      <c r="L125" s="124">
        <f>IF(L$16="","",K125)</f>
        <v>206</v>
      </c>
      <c r="M125" s="125">
        <f t="shared" si="376"/>
        <v>206</v>
      </c>
      <c r="N125" s="124">
        <f t="shared" si="376"/>
        <v>206</v>
      </c>
      <c r="O125" s="124">
        <v>208</v>
      </c>
      <c r="P125" s="125">
        <f t="shared" si="377"/>
        <v>208</v>
      </c>
      <c r="Q125" s="124">
        <f t="shared" si="377"/>
        <v>208</v>
      </c>
      <c r="R125" s="124">
        <v>210</v>
      </c>
      <c r="S125" s="125">
        <f t="shared" si="378"/>
        <v>210</v>
      </c>
      <c r="T125" s="124">
        <v>211</v>
      </c>
      <c r="U125" s="125">
        <f>IF(U$16="","",T125)</f>
        <v>211</v>
      </c>
      <c r="V125" s="124">
        <f t="shared" si="379"/>
        <v>211</v>
      </c>
      <c r="W125" s="124">
        <v>212</v>
      </c>
      <c r="X125" s="125">
        <f t="shared" si="380"/>
        <v>212</v>
      </c>
      <c r="Y125" s="124">
        <f t="shared" si="380"/>
        <v>212</v>
      </c>
      <c r="Z125" s="124">
        <v>213</v>
      </c>
      <c r="AA125" s="125">
        <f t="shared" si="381"/>
        <v>213</v>
      </c>
      <c r="AB125" s="124">
        <f>IF(AB$16="","",AA125)</f>
        <v>213</v>
      </c>
      <c r="AC125" s="124">
        <f t="shared" si="382"/>
        <v>213</v>
      </c>
      <c r="AD125" s="124">
        <f t="shared" si="382"/>
        <v>213</v>
      </c>
      <c r="AE125" s="125">
        <f t="shared" si="383"/>
        <v>213</v>
      </c>
      <c r="AF125" s="124">
        <f>IF(AF$16="","",AE125)</f>
        <v>213</v>
      </c>
      <c r="AG125" s="124">
        <f t="shared" ref="AG125" si="387">IF(AG$16="","",AF125)</f>
        <v>213</v>
      </c>
      <c r="AH125" s="123">
        <f>IF(AH$16="","",AG125)</f>
        <v>213</v>
      </c>
      <c r="AI125" s="12">
        <f t="shared" si="384"/>
        <v>213</v>
      </c>
      <c r="AJ125" s="12">
        <f t="shared" si="384"/>
        <v>213</v>
      </c>
      <c r="AK125" s="12">
        <f t="shared" si="384"/>
        <v>213</v>
      </c>
      <c r="AL125" s="195" t="str">
        <f t="shared" si="385"/>
        <v/>
      </c>
      <c r="AM125" s="12" t="str">
        <f t="shared" si="385"/>
        <v/>
      </c>
      <c r="AN125" s="12" t="str">
        <f t="shared" si="385"/>
        <v/>
      </c>
      <c r="AO125" s="195" t="str">
        <f t="shared" si="385"/>
        <v/>
      </c>
      <c r="AP125" s="12" t="str">
        <f t="shared" si="385"/>
        <v/>
      </c>
      <c r="AQ125" s="12" t="str">
        <f t="shared" si="385"/>
        <v/>
      </c>
      <c r="AR125" s="12" t="str">
        <f t="shared" si="385"/>
        <v/>
      </c>
      <c r="AS125" s="12" t="str">
        <f t="shared" si="385"/>
        <v/>
      </c>
      <c r="AT125" s="12" t="str">
        <f t="shared" si="385"/>
        <v/>
      </c>
      <c r="AU125" s="12" t="str">
        <f t="shared" si="385"/>
        <v/>
      </c>
      <c r="AV125" s="12" t="str">
        <f t="shared" si="385"/>
        <v/>
      </c>
      <c r="AW125" s="12" t="str">
        <f t="shared" si="385"/>
        <v/>
      </c>
      <c r="AX125" s="12" t="str">
        <f t="shared" si="385"/>
        <v/>
      </c>
      <c r="AY125" s="12" t="str">
        <f t="shared" si="385"/>
        <v/>
      </c>
      <c r="AZ125" s="12" t="str">
        <f t="shared" si="385"/>
        <v/>
      </c>
      <c r="BA125" s="12" t="str">
        <f t="shared" si="385"/>
        <v/>
      </c>
      <c r="BB125" s="12" t="str">
        <f t="shared" si="386"/>
        <v/>
      </c>
      <c r="BC125" s="12" t="str">
        <f t="shared" si="386"/>
        <v/>
      </c>
    </row>
    <row r="126" spans="1:55" ht="11.25" customHeight="1" x14ac:dyDescent="0.25">
      <c r="A126" s="24">
        <v>1</v>
      </c>
      <c r="B126" s="11" t="s">
        <v>5</v>
      </c>
      <c r="C126" s="123">
        <v>21</v>
      </c>
      <c r="D126" s="124">
        <f t="shared" ref="D126:F126" si="388">IF(D124="","",(C126+C127))</f>
        <v>21</v>
      </c>
      <c r="E126" s="124">
        <f t="shared" si="388"/>
        <v>21</v>
      </c>
      <c r="F126" s="125">
        <f t="shared" si="388"/>
        <v>21</v>
      </c>
      <c r="G126" s="124">
        <f>IF(G124="","",(F126+F127))</f>
        <v>21</v>
      </c>
      <c r="H126" s="124">
        <f t="shared" ref="H126" si="389">IF(H124="","",(G126+G127))</f>
        <v>21</v>
      </c>
      <c r="I126" s="124">
        <v>20</v>
      </c>
      <c r="J126" s="125">
        <f t="shared" ref="J126:K126" si="390">IF(J124="","",(I126+I127))</f>
        <v>20</v>
      </c>
      <c r="K126" s="124">
        <f t="shared" si="390"/>
        <v>20</v>
      </c>
      <c r="L126" s="124">
        <f>IF(L124="","",(K126+K127))</f>
        <v>20</v>
      </c>
      <c r="M126" s="125">
        <f t="shared" ref="M126:Q126" si="391">IF(M124="","",(L126+L127))</f>
        <v>22</v>
      </c>
      <c r="N126" s="124">
        <f t="shared" si="391"/>
        <v>22</v>
      </c>
      <c r="O126" s="124">
        <f t="shared" si="391"/>
        <v>22</v>
      </c>
      <c r="P126" s="125">
        <f t="shared" si="391"/>
        <v>15</v>
      </c>
      <c r="Q126" s="124">
        <f t="shared" si="391"/>
        <v>15</v>
      </c>
      <c r="R126" s="124">
        <v>13</v>
      </c>
      <c r="S126" s="125">
        <f t="shared" ref="S126" si="392">IF(S124="","",(R126+R127))</f>
        <v>15</v>
      </c>
      <c r="T126" s="124">
        <v>14</v>
      </c>
      <c r="U126" s="125">
        <f>IF(U124="","",(T126+T127))</f>
        <v>14</v>
      </c>
      <c r="V126" s="124">
        <f t="shared" ref="V126" si="393">IF(V124="","",(U126+U127))</f>
        <v>14</v>
      </c>
      <c r="W126" s="124">
        <v>13</v>
      </c>
      <c r="X126" s="125">
        <f t="shared" ref="X126:AA126" si="394">IF(X124="","",(W126+W127))</f>
        <v>13</v>
      </c>
      <c r="Y126" s="124">
        <f t="shared" si="394"/>
        <v>13</v>
      </c>
      <c r="Z126" s="124">
        <f t="shared" si="394"/>
        <v>13</v>
      </c>
      <c r="AA126" s="125">
        <f t="shared" si="394"/>
        <v>9</v>
      </c>
      <c r="AB126" s="124">
        <f>IF(AB124="","",(AA126+AA127))</f>
        <v>9</v>
      </c>
      <c r="AC126" s="124">
        <f t="shared" ref="AC126:AE126" si="395">IF(AC124="","",(AB126+AB127))</f>
        <v>9</v>
      </c>
      <c r="AD126" s="124">
        <f t="shared" si="395"/>
        <v>9</v>
      </c>
      <c r="AE126" s="125">
        <f t="shared" si="395"/>
        <v>9</v>
      </c>
      <c r="AF126" s="124">
        <f>IF(AF124="","",(AE126+AE127))</f>
        <v>9</v>
      </c>
      <c r="AG126" s="124">
        <f t="shared" ref="AG126" si="396">IF(AG124="","",(AF126+AF127))</f>
        <v>9</v>
      </c>
      <c r="AH126" s="123">
        <f>IF(AH124="","",(AG126+AG127))</f>
        <v>9</v>
      </c>
      <c r="AI126" s="12">
        <f t="shared" ref="AI126:BC126" si="397">IF(AI124="","",(AH126+AH127))</f>
        <v>9</v>
      </c>
      <c r="AJ126" s="12">
        <f t="shared" si="397"/>
        <v>9</v>
      </c>
      <c r="AK126" s="12">
        <f t="shared" si="397"/>
        <v>9</v>
      </c>
      <c r="AL126" s="195" t="str">
        <f t="shared" si="397"/>
        <v/>
      </c>
      <c r="AM126" s="12" t="str">
        <f t="shared" si="397"/>
        <v/>
      </c>
      <c r="AN126" s="12" t="str">
        <f t="shared" si="397"/>
        <v/>
      </c>
      <c r="AO126" s="195" t="str">
        <f t="shared" si="397"/>
        <v/>
      </c>
      <c r="AP126" s="12" t="str">
        <f t="shared" si="397"/>
        <v/>
      </c>
      <c r="AQ126" s="12" t="str">
        <f t="shared" si="397"/>
        <v/>
      </c>
      <c r="AR126" s="12" t="str">
        <f t="shared" si="397"/>
        <v/>
      </c>
      <c r="AS126" s="12" t="str">
        <f t="shared" si="397"/>
        <v/>
      </c>
      <c r="AT126" s="12" t="str">
        <f t="shared" si="397"/>
        <v/>
      </c>
      <c r="AU126" s="12" t="str">
        <f t="shared" si="397"/>
        <v/>
      </c>
      <c r="AV126" s="12" t="str">
        <f t="shared" si="397"/>
        <v/>
      </c>
      <c r="AW126" s="12" t="str">
        <f t="shared" si="397"/>
        <v/>
      </c>
      <c r="AX126" s="12" t="str">
        <f t="shared" si="397"/>
        <v/>
      </c>
      <c r="AY126" s="12" t="str">
        <f t="shared" si="397"/>
        <v/>
      </c>
      <c r="AZ126" s="12" t="str">
        <f t="shared" si="397"/>
        <v/>
      </c>
      <c r="BA126" s="12" t="str">
        <f t="shared" si="397"/>
        <v/>
      </c>
      <c r="BB126" s="12" t="str">
        <f t="shared" si="397"/>
        <v/>
      </c>
      <c r="BC126" s="12" t="str">
        <f t="shared" si="397"/>
        <v/>
      </c>
    </row>
    <row r="127" spans="1:55" ht="11.25" customHeight="1" x14ac:dyDescent="0.25">
      <c r="A127" s="25" t="s">
        <v>20</v>
      </c>
      <c r="B127" s="11" t="s">
        <v>6</v>
      </c>
      <c r="C127" s="123"/>
      <c r="D127" s="124"/>
      <c r="E127" s="124"/>
      <c r="F127" s="125"/>
      <c r="G127" s="124"/>
      <c r="H127" s="124"/>
      <c r="I127" s="124"/>
      <c r="J127" s="125"/>
      <c r="K127" s="124"/>
      <c r="L127" s="124">
        <v>2</v>
      </c>
      <c r="M127" s="125"/>
      <c r="N127" s="124"/>
      <c r="O127" s="124">
        <v>-7</v>
      </c>
      <c r="P127" s="125"/>
      <c r="Q127" s="124"/>
      <c r="R127" s="124">
        <v>2</v>
      </c>
      <c r="S127" s="125"/>
      <c r="T127" s="124"/>
      <c r="U127" s="125"/>
      <c r="V127" s="124"/>
      <c r="W127" s="124"/>
      <c r="X127" s="125"/>
      <c r="Y127" s="124"/>
      <c r="Z127" s="124">
        <v>-4</v>
      </c>
      <c r="AA127" s="125"/>
      <c r="AB127" s="124"/>
      <c r="AC127" s="124"/>
      <c r="AD127" s="124"/>
      <c r="AE127" s="125"/>
      <c r="AF127" s="124"/>
      <c r="AG127" s="124"/>
      <c r="AH127" s="123"/>
      <c r="AI127" s="12"/>
      <c r="AJ127" s="12"/>
      <c r="AK127" s="12"/>
      <c r="AL127" s="195"/>
      <c r="AM127" s="12"/>
      <c r="AN127" s="12"/>
      <c r="AO127" s="195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</row>
    <row r="128" spans="1:55" ht="11.25" customHeight="1" x14ac:dyDescent="0.25">
      <c r="A128" s="26">
        <f>+(A131+A143+A155+A167)*100</f>
        <v>191300</v>
      </c>
      <c r="B128" s="11" t="s">
        <v>8</v>
      </c>
      <c r="C128" s="129">
        <v>770</v>
      </c>
      <c r="D128" s="130">
        <f t="shared" ref="D128:U128" si="398">IF(D124="","",C128)</f>
        <v>770</v>
      </c>
      <c r="E128" s="130">
        <f t="shared" si="398"/>
        <v>770</v>
      </c>
      <c r="F128" s="131">
        <f t="shared" si="398"/>
        <v>770</v>
      </c>
      <c r="G128" s="130">
        <f t="shared" si="398"/>
        <v>770</v>
      </c>
      <c r="H128" s="130">
        <f t="shared" si="398"/>
        <v>770</v>
      </c>
      <c r="I128" s="130">
        <f t="shared" si="398"/>
        <v>770</v>
      </c>
      <c r="J128" s="131">
        <f t="shared" si="398"/>
        <v>770</v>
      </c>
      <c r="K128" s="130">
        <f t="shared" si="398"/>
        <v>770</v>
      </c>
      <c r="L128" s="130">
        <f t="shared" si="398"/>
        <v>770</v>
      </c>
      <c r="M128" s="131">
        <f t="shared" si="398"/>
        <v>770</v>
      </c>
      <c r="N128" s="130">
        <f t="shared" si="398"/>
        <v>770</v>
      </c>
      <c r="O128" s="130">
        <f t="shared" si="398"/>
        <v>770</v>
      </c>
      <c r="P128" s="131">
        <f t="shared" si="398"/>
        <v>770</v>
      </c>
      <c r="Q128" s="130">
        <f t="shared" si="398"/>
        <v>770</v>
      </c>
      <c r="R128" s="130">
        <f t="shared" si="398"/>
        <v>770</v>
      </c>
      <c r="S128" s="131">
        <f t="shared" si="398"/>
        <v>770</v>
      </c>
      <c r="T128" s="130">
        <f t="shared" si="398"/>
        <v>770</v>
      </c>
      <c r="U128" s="131">
        <f t="shared" si="398"/>
        <v>770</v>
      </c>
      <c r="V128" s="130">
        <f>IF(V124="","",U128)</f>
        <v>770</v>
      </c>
      <c r="W128" s="130">
        <f t="shared" ref="W128:X128" si="399">IF(W124="","",V128)</f>
        <v>770</v>
      </c>
      <c r="X128" s="131">
        <f t="shared" si="399"/>
        <v>770</v>
      </c>
      <c r="Y128" s="130">
        <f>IF(Y124="","",X128)</f>
        <v>770</v>
      </c>
      <c r="Z128" s="130">
        <f t="shared" ref="Z128:AG128" si="400">IF(Z124="","",Y128)</f>
        <v>770</v>
      </c>
      <c r="AA128" s="131">
        <f t="shared" si="400"/>
        <v>770</v>
      </c>
      <c r="AB128" s="130">
        <f t="shared" si="400"/>
        <v>770</v>
      </c>
      <c r="AC128" s="130">
        <f t="shared" si="400"/>
        <v>770</v>
      </c>
      <c r="AD128" s="130">
        <f t="shared" si="400"/>
        <v>770</v>
      </c>
      <c r="AE128" s="131">
        <f t="shared" si="400"/>
        <v>770</v>
      </c>
      <c r="AF128" s="130">
        <f t="shared" si="400"/>
        <v>770</v>
      </c>
      <c r="AG128" s="130">
        <f t="shared" si="400"/>
        <v>770</v>
      </c>
      <c r="AH128" s="129">
        <f>IF(AH124="","",AG128)</f>
        <v>770</v>
      </c>
      <c r="AI128" s="16">
        <f t="shared" ref="AI128:BC128" si="401">IF(AI124="","",AH128)</f>
        <v>770</v>
      </c>
      <c r="AJ128" s="16">
        <f t="shared" si="401"/>
        <v>770</v>
      </c>
      <c r="AK128" s="16">
        <f t="shared" si="401"/>
        <v>770</v>
      </c>
      <c r="AL128" s="196" t="str">
        <f t="shared" si="401"/>
        <v/>
      </c>
      <c r="AM128" s="16" t="str">
        <f t="shared" si="401"/>
        <v/>
      </c>
      <c r="AN128" s="16" t="str">
        <f t="shared" si="401"/>
        <v/>
      </c>
      <c r="AO128" s="196" t="str">
        <f t="shared" si="401"/>
        <v/>
      </c>
      <c r="AP128" s="16" t="str">
        <f t="shared" si="401"/>
        <v/>
      </c>
      <c r="AQ128" s="16" t="str">
        <f t="shared" si="401"/>
        <v/>
      </c>
      <c r="AR128" s="16" t="str">
        <f t="shared" si="401"/>
        <v/>
      </c>
      <c r="AS128" s="16" t="str">
        <f t="shared" si="401"/>
        <v/>
      </c>
      <c r="AT128" s="16" t="str">
        <f t="shared" si="401"/>
        <v/>
      </c>
      <c r="AU128" s="16" t="str">
        <f t="shared" si="401"/>
        <v/>
      </c>
      <c r="AV128" s="16" t="str">
        <f t="shared" si="401"/>
        <v/>
      </c>
      <c r="AW128" s="16" t="str">
        <f t="shared" si="401"/>
        <v/>
      </c>
      <c r="AX128" s="16" t="str">
        <f t="shared" si="401"/>
        <v/>
      </c>
      <c r="AY128" s="16" t="str">
        <f t="shared" si="401"/>
        <v/>
      </c>
      <c r="AZ128" s="16" t="str">
        <f t="shared" si="401"/>
        <v/>
      </c>
      <c r="BA128" s="16" t="str">
        <f t="shared" si="401"/>
        <v/>
      </c>
      <c r="BB128" s="16" t="str">
        <f t="shared" si="401"/>
        <v/>
      </c>
      <c r="BC128" s="16" t="str">
        <f t="shared" si="401"/>
        <v/>
      </c>
    </row>
    <row r="129" spans="1:55" ht="11.25" customHeight="1" x14ac:dyDescent="0.2">
      <c r="A129" s="14" t="s">
        <v>9</v>
      </c>
      <c r="B129" s="17" t="s">
        <v>10</v>
      </c>
      <c r="C129" s="133" t="s">
        <v>228</v>
      </c>
      <c r="D129" s="134" t="str">
        <f t="shared" ref="D129:L129" si="402">IF(D124="","",C129)</f>
        <v>ベアブリック</v>
      </c>
      <c r="E129" s="134" t="str">
        <f t="shared" si="402"/>
        <v>ベアブリック</v>
      </c>
      <c r="F129" s="135" t="str">
        <f t="shared" si="402"/>
        <v>ベアブリック</v>
      </c>
      <c r="G129" s="134" t="str">
        <f t="shared" si="402"/>
        <v>ベアブリック</v>
      </c>
      <c r="H129" s="134" t="str">
        <f t="shared" si="402"/>
        <v>ベアブリック</v>
      </c>
      <c r="I129" s="134" t="str">
        <f t="shared" si="402"/>
        <v>ベアブリック</v>
      </c>
      <c r="J129" s="135" t="str">
        <f t="shared" si="402"/>
        <v>ベアブリック</v>
      </c>
      <c r="K129" s="134" t="str">
        <f t="shared" si="402"/>
        <v>ベアブリック</v>
      </c>
      <c r="L129" s="134" t="str">
        <f t="shared" si="402"/>
        <v>ベアブリック</v>
      </c>
      <c r="M129" s="135" t="s">
        <v>242</v>
      </c>
      <c r="N129" s="134" t="str">
        <f t="shared" ref="N129:O129" si="403">IF(N124="","",M129)</f>
        <v>トイストーリー</v>
      </c>
      <c r="O129" s="134" t="str">
        <f t="shared" si="403"/>
        <v>トイストーリー</v>
      </c>
      <c r="P129" s="135" t="s">
        <v>246</v>
      </c>
      <c r="Q129" s="134" t="str">
        <f t="shared" ref="Q129:R129" si="404">IF(Q124="","",P129)</f>
        <v>たまごっちミニチュアポシェット</v>
      </c>
      <c r="R129" s="134" t="str">
        <f t="shared" si="404"/>
        <v>たまごっちミニチュアポシェット</v>
      </c>
      <c r="S129" s="135" t="str">
        <f>IF(S124="","",R129)</f>
        <v>たまごっちミニチュアポシェット</v>
      </c>
      <c r="T129" s="134" t="str">
        <f t="shared" ref="T129:U129" si="405">IF(T124="","",S129)</f>
        <v>たまごっちミニチュアポシェット</v>
      </c>
      <c r="U129" s="135" t="str">
        <f t="shared" si="405"/>
        <v>たまごっちミニチュアポシェット</v>
      </c>
      <c r="V129" s="134" t="str">
        <f>IF(V124="","",U129)</f>
        <v>たまごっちミニチュアポシェット</v>
      </c>
      <c r="W129" s="134" t="str">
        <f t="shared" ref="W129:Y129" si="406">IF(W124="","",V129)</f>
        <v>たまごっちミニチュアポシェット</v>
      </c>
      <c r="X129" s="135" t="str">
        <f t="shared" si="406"/>
        <v>たまごっちミニチュアポシェット</v>
      </c>
      <c r="Y129" s="134" t="str">
        <f t="shared" si="406"/>
        <v>たまごっちミニチュアポシェット</v>
      </c>
      <c r="Z129" s="134" t="str">
        <f>IF(Z124="","",Y129)</f>
        <v>たまごっちミニチュアポシェット</v>
      </c>
      <c r="AA129" s="135" t="s">
        <v>256</v>
      </c>
      <c r="AB129" s="134" t="str">
        <f t="shared" ref="AB129:AG129" si="407">IF(AB124="","",AA129)</f>
        <v>ミニデジカメ</v>
      </c>
      <c r="AC129" s="134" t="str">
        <f t="shared" si="407"/>
        <v>ミニデジカメ</v>
      </c>
      <c r="AD129" s="134" t="str">
        <f t="shared" si="407"/>
        <v>ミニデジカメ</v>
      </c>
      <c r="AE129" s="135" t="str">
        <f t="shared" si="407"/>
        <v>ミニデジカメ</v>
      </c>
      <c r="AF129" s="134" t="str">
        <f t="shared" si="407"/>
        <v>ミニデジカメ</v>
      </c>
      <c r="AG129" s="134" t="str">
        <f t="shared" si="407"/>
        <v>ミニデジカメ</v>
      </c>
      <c r="AH129" s="133" t="str">
        <f>IF(AH124="","",AG129)</f>
        <v>ミニデジカメ</v>
      </c>
      <c r="AI129" s="18" t="str">
        <f t="shared" ref="AI129:BC129" si="408">IF(AI124="","",AH129)</f>
        <v>ミニデジカメ</v>
      </c>
      <c r="AJ129" s="18" t="str">
        <f t="shared" si="408"/>
        <v>ミニデジカメ</v>
      </c>
      <c r="AK129" s="18" t="str">
        <f t="shared" si="408"/>
        <v>ミニデジカメ</v>
      </c>
      <c r="AL129" s="197" t="str">
        <f t="shared" si="408"/>
        <v/>
      </c>
      <c r="AM129" s="18" t="str">
        <f t="shared" si="408"/>
        <v/>
      </c>
      <c r="AN129" s="18" t="str">
        <f t="shared" si="408"/>
        <v/>
      </c>
      <c r="AO129" s="197" t="str">
        <f t="shared" si="408"/>
        <v/>
      </c>
      <c r="AP129" s="18" t="str">
        <f t="shared" si="408"/>
        <v/>
      </c>
      <c r="AQ129" s="18" t="str">
        <f t="shared" si="408"/>
        <v/>
      </c>
      <c r="AR129" s="18" t="str">
        <f t="shared" si="408"/>
        <v/>
      </c>
      <c r="AS129" s="18" t="str">
        <f t="shared" si="408"/>
        <v/>
      </c>
      <c r="AT129" s="18" t="str">
        <f t="shared" si="408"/>
        <v/>
      </c>
      <c r="AU129" s="18" t="str">
        <f t="shared" si="408"/>
        <v/>
      </c>
      <c r="AV129" s="18" t="str">
        <f t="shared" si="408"/>
        <v/>
      </c>
      <c r="AW129" s="18" t="str">
        <f t="shared" si="408"/>
        <v/>
      </c>
      <c r="AX129" s="18" t="str">
        <f t="shared" si="408"/>
        <v/>
      </c>
      <c r="AY129" s="18" t="str">
        <f t="shared" si="408"/>
        <v/>
      </c>
      <c r="AZ129" s="18" t="str">
        <f t="shared" si="408"/>
        <v/>
      </c>
      <c r="BA129" s="18" t="str">
        <f t="shared" si="408"/>
        <v/>
      </c>
      <c r="BB129" s="18" t="str">
        <f t="shared" si="408"/>
        <v/>
      </c>
      <c r="BC129" s="18" t="str">
        <f t="shared" si="408"/>
        <v/>
      </c>
    </row>
    <row r="130" spans="1:55" ht="11.25" customHeight="1" x14ac:dyDescent="0.2">
      <c r="A130" s="15">
        <f>AVERAGE(C131:AS131)*30*100</f>
        <v>37411.764705882357</v>
      </c>
      <c r="B130" s="11" t="s">
        <v>12</v>
      </c>
      <c r="C130" s="123"/>
      <c r="D130" s="124"/>
      <c r="E130" s="124"/>
      <c r="F130" s="125"/>
      <c r="G130" s="124"/>
      <c r="H130" s="124"/>
      <c r="I130" s="124"/>
      <c r="J130" s="125"/>
      <c r="K130" s="124"/>
      <c r="L130" s="124"/>
      <c r="M130" s="125" t="s">
        <v>243</v>
      </c>
      <c r="N130" s="124"/>
      <c r="O130" s="124"/>
      <c r="P130" s="125" t="s">
        <v>247</v>
      </c>
      <c r="Q130" s="124"/>
      <c r="R130" s="124"/>
      <c r="S130" s="125"/>
      <c r="T130" s="124"/>
      <c r="U130" s="125"/>
      <c r="V130" s="124"/>
      <c r="W130" s="124"/>
      <c r="X130" s="125"/>
      <c r="Y130" s="124"/>
      <c r="Z130" s="124"/>
      <c r="AA130" s="125" t="s">
        <v>257</v>
      </c>
      <c r="AB130" s="124"/>
      <c r="AC130" s="124"/>
      <c r="AD130" s="124"/>
      <c r="AE130" s="125"/>
      <c r="AF130" s="124"/>
      <c r="AG130" s="124"/>
      <c r="AH130" s="123"/>
      <c r="AI130" s="12"/>
      <c r="AJ130" s="12"/>
      <c r="AK130" s="12"/>
      <c r="AL130" s="195"/>
      <c r="AM130" s="12"/>
      <c r="AN130" s="12"/>
      <c r="AO130" s="195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</row>
    <row r="131" spans="1:55" ht="11.25" customHeight="1" x14ac:dyDescent="0.2">
      <c r="A131" s="15">
        <f t="shared" ref="A131:A134" si="409">SUM(C131:AS131)</f>
        <v>424</v>
      </c>
      <c r="B131" s="19" t="s">
        <v>13</v>
      </c>
      <c r="C131" s="123"/>
      <c r="D131" s="137">
        <f t="shared" ref="D131:AG132" si="410">IF(D124="","",D124-C124)</f>
        <v>0</v>
      </c>
      <c r="E131" s="137">
        <f t="shared" si="410"/>
        <v>26</v>
      </c>
      <c r="F131" s="125">
        <f t="shared" si="410"/>
        <v>0</v>
      </c>
      <c r="G131" s="137">
        <f t="shared" si="410"/>
        <v>0</v>
      </c>
      <c r="H131" s="137">
        <f t="shared" si="410"/>
        <v>0</v>
      </c>
      <c r="I131" s="137">
        <f t="shared" si="410"/>
        <v>18</v>
      </c>
      <c r="J131" s="125">
        <f t="shared" si="410"/>
        <v>0</v>
      </c>
      <c r="K131" s="137">
        <f t="shared" si="410"/>
        <v>0</v>
      </c>
      <c r="L131" s="137">
        <f t="shared" si="410"/>
        <v>13</v>
      </c>
      <c r="M131" s="125">
        <f t="shared" si="410"/>
        <v>0</v>
      </c>
      <c r="N131" s="137">
        <f t="shared" si="410"/>
        <v>0</v>
      </c>
      <c r="O131" s="137">
        <f t="shared" si="410"/>
        <v>27</v>
      </c>
      <c r="P131" s="125">
        <f t="shared" si="410"/>
        <v>0</v>
      </c>
      <c r="Q131" s="137">
        <f t="shared" si="410"/>
        <v>0</v>
      </c>
      <c r="R131" s="124">
        <f t="shared" si="410"/>
        <v>86</v>
      </c>
      <c r="S131" s="125">
        <f t="shared" si="410"/>
        <v>0</v>
      </c>
      <c r="T131" s="137">
        <f t="shared" si="410"/>
        <v>88</v>
      </c>
      <c r="U131" s="125">
        <f t="shared" si="410"/>
        <v>0</v>
      </c>
      <c r="V131" s="137">
        <f t="shared" si="410"/>
        <v>0</v>
      </c>
      <c r="W131" s="137">
        <f t="shared" si="410"/>
        <v>59</v>
      </c>
      <c r="X131" s="125">
        <f t="shared" si="410"/>
        <v>0</v>
      </c>
      <c r="Y131" s="137">
        <f t="shared" si="410"/>
        <v>0</v>
      </c>
      <c r="Z131" s="137">
        <f t="shared" si="410"/>
        <v>75</v>
      </c>
      <c r="AA131" s="125">
        <f t="shared" si="410"/>
        <v>0</v>
      </c>
      <c r="AB131" s="137">
        <f t="shared" si="410"/>
        <v>0</v>
      </c>
      <c r="AC131" s="137">
        <f t="shared" si="410"/>
        <v>0</v>
      </c>
      <c r="AD131" s="137">
        <f t="shared" si="410"/>
        <v>7</v>
      </c>
      <c r="AE131" s="125">
        <f t="shared" si="410"/>
        <v>0</v>
      </c>
      <c r="AF131" s="137">
        <f t="shared" si="410"/>
        <v>0</v>
      </c>
      <c r="AG131" s="137">
        <f t="shared" si="410"/>
        <v>16</v>
      </c>
      <c r="AH131" s="123">
        <f>IF(AH124="","",AH124-AG124)</f>
        <v>0</v>
      </c>
      <c r="AI131" s="20">
        <f t="shared" ref="AI131:BC132" si="411">IF(AI124="","",AI124-AH124)</f>
        <v>0</v>
      </c>
      <c r="AJ131" s="20">
        <f t="shared" si="411"/>
        <v>0</v>
      </c>
      <c r="AK131" s="20">
        <f t="shared" si="411"/>
        <v>9</v>
      </c>
      <c r="AL131" s="195" t="str">
        <f t="shared" si="411"/>
        <v/>
      </c>
      <c r="AM131" s="20" t="str">
        <f t="shared" si="411"/>
        <v/>
      </c>
      <c r="AN131" s="20" t="str">
        <f t="shared" si="411"/>
        <v/>
      </c>
      <c r="AO131" s="195" t="str">
        <f t="shared" si="411"/>
        <v/>
      </c>
      <c r="AP131" s="20" t="str">
        <f t="shared" si="411"/>
        <v/>
      </c>
      <c r="AQ131" s="20" t="str">
        <f t="shared" si="411"/>
        <v/>
      </c>
      <c r="AR131" s="20" t="str">
        <f t="shared" si="411"/>
        <v/>
      </c>
      <c r="AS131" s="20" t="str">
        <f t="shared" si="411"/>
        <v/>
      </c>
      <c r="AT131" s="20" t="str">
        <f t="shared" si="411"/>
        <v/>
      </c>
      <c r="AU131" s="20" t="str">
        <f t="shared" si="411"/>
        <v/>
      </c>
      <c r="AV131" s="20" t="str">
        <f t="shared" si="411"/>
        <v/>
      </c>
      <c r="AW131" s="20" t="str">
        <f t="shared" si="411"/>
        <v/>
      </c>
      <c r="AX131" s="20" t="str">
        <f t="shared" si="411"/>
        <v/>
      </c>
      <c r="AY131" s="20" t="str">
        <f t="shared" si="411"/>
        <v/>
      </c>
      <c r="AZ131" s="20" t="str">
        <f t="shared" si="411"/>
        <v/>
      </c>
      <c r="BA131" s="20" t="str">
        <f t="shared" si="411"/>
        <v/>
      </c>
      <c r="BB131" s="20" t="str">
        <f t="shared" si="411"/>
        <v/>
      </c>
      <c r="BC131" s="20" t="str">
        <f t="shared" si="411"/>
        <v/>
      </c>
    </row>
    <row r="132" spans="1:55" ht="11.25" customHeight="1" x14ac:dyDescent="0.2">
      <c r="A132" s="15">
        <f t="shared" si="409"/>
        <v>8</v>
      </c>
      <c r="B132" s="19" t="s">
        <v>14</v>
      </c>
      <c r="C132" s="123">
        <v>0</v>
      </c>
      <c r="D132" s="137">
        <f t="shared" si="410"/>
        <v>0</v>
      </c>
      <c r="E132" s="137">
        <f t="shared" si="410"/>
        <v>0</v>
      </c>
      <c r="F132" s="125">
        <f t="shared" si="410"/>
        <v>0</v>
      </c>
      <c r="G132" s="137">
        <f t="shared" si="410"/>
        <v>0</v>
      </c>
      <c r="H132" s="137">
        <f t="shared" si="410"/>
        <v>0</v>
      </c>
      <c r="I132" s="137">
        <f t="shared" si="410"/>
        <v>1</v>
      </c>
      <c r="J132" s="125">
        <f t="shared" si="410"/>
        <v>0</v>
      </c>
      <c r="K132" s="137">
        <f t="shared" si="410"/>
        <v>0</v>
      </c>
      <c r="L132" s="137">
        <f t="shared" si="410"/>
        <v>0</v>
      </c>
      <c r="M132" s="125">
        <f t="shared" si="410"/>
        <v>0</v>
      </c>
      <c r="N132" s="137">
        <f t="shared" si="410"/>
        <v>0</v>
      </c>
      <c r="O132" s="137">
        <f t="shared" si="410"/>
        <v>2</v>
      </c>
      <c r="P132" s="125">
        <f t="shared" si="410"/>
        <v>0</v>
      </c>
      <c r="Q132" s="137">
        <f t="shared" si="410"/>
        <v>0</v>
      </c>
      <c r="R132" s="124">
        <f t="shared" si="410"/>
        <v>2</v>
      </c>
      <c r="S132" s="125">
        <f t="shared" si="410"/>
        <v>0</v>
      </c>
      <c r="T132" s="137">
        <f t="shared" si="410"/>
        <v>1</v>
      </c>
      <c r="U132" s="125">
        <f t="shared" si="410"/>
        <v>0</v>
      </c>
      <c r="V132" s="137">
        <f t="shared" si="410"/>
        <v>0</v>
      </c>
      <c r="W132" s="137">
        <f t="shared" si="410"/>
        <v>1</v>
      </c>
      <c r="X132" s="125">
        <f t="shared" si="410"/>
        <v>0</v>
      </c>
      <c r="Y132" s="137">
        <f t="shared" si="410"/>
        <v>0</v>
      </c>
      <c r="Z132" s="137">
        <f t="shared" si="410"/>
        <v>1</v>
      </c>
      <c r="AA132" s="125">
        <f t="shared" si="410"/>
        <v>0</v>
      </c>
      <c r="AB132" s="137">
        <f t="shared" si="410"/>
        <v>0</v>
      </c>
      <c r="AC132" s="137">
        <f t="shared" si="410"/>
        <v>0</v>
      </c>
      <c r="AD132" s="137">
        <f t="shared" si="410"/>
        <v>0</v>
      </c>
      <c r="AE132" s="125">
        <f t="shared" si="410"/>
        <v>0</v>
      </c>
      <c r="AF132" s="137">
        <f t="shared" si="410"/>
        <v>0</v>
      </c>
      <c r="AG132" s="137">
        <f t="shared" si="410"/>
        <v>0</v>
      </c>
      <c r="AH132" s="123">
        <f>IF(AH125="","",AH125-AG125)</f>
        <v>0</v>
      </c>
      <c r="AI132" s="20">
        <f t="shared" si="411"/>
        <v>0</v>
      </c>
      <c r="AJ132" s="20">
        <f t="shared" si="411"/>
        <v>0</v>
      </c>
      <c r="AK132" s="20">
        <f t="shared" si="411"/>
        <v>0</v>
      </c>
      <c r="AL132" s="195" t="str">
        <f t="shared" si="411"/>
        <v/>
      </c>
      <c r="AM132" s="20" t="str">
        <f t="shared" si="411"/>
        <v/>
      </c>
      <c r="AN132" s="20" t="str">
        <f t="shared" si="411"/>
        <v/>
      </c>
      <c r="AO132" s="195" t="str">
        <f t="shared" si="411"/>
        <v/>
      </c>
      <c r="AP132" s="20" t="str">
        <f t="shared" si="411"/>
        <v/>
      </c>
      <c r="AQ132" s="20" t="str">
        <f t="shared" si="411"/>
        <v/>
      </c>
      <c r="AR132" s="20" t="str">
        <f t="shared" si="411"/>
        <v/>
      </c>
      <c r="AS132" s="20" t="str">
        <f t="shared" si="411"/>
        <v/>
      </c>
      <c r="AT132" s="20" t="str">
        <f t="shared" si="411"/>
        <v/>
      </c>
      <c r="AU132" s="20" t="str">
        <f t="shared" si="411"/>
        <v/>
      </c>
      <c r="AV132" s="20" t="str">
        <f t="shared" si="411"/>
        <v/>
      </c>
      <c r="AW132" s="20" t="str">
        <f t="shared" si="411"/>
        <v/>
      </c>
      <c r="AX132" s="20" t="str">
        <f t="shared" si="411"/>
        <v/>
      </c>
      <c r="AY132" s="20" t="str">
        <f t="shared" si="411"/>
        <v/>
      </c>
      <c r="AZ132" s="20" t="str">
        <f t="shared" si="411"/>
        <v/>
      </c>
      <c r="BA132" s="20" t="str">
        <f t="shared" si="411"/>
        <v/>
      </c>
      <c r="BB132" s="20" t="str">
        <f t="shared" si="411"/>
        <v/>
      </c>
      <c r="BC132" s="20" t="str">
        <f t="shared" si="411"/>
        <v/>
      </c>
    </row>
    <row r="133" spans="1:55" ht="11.25" customHeight="1" x14ac:dyDescent="0.2">
      <c r="A133" s="15">
        <f t="shared" si="409"/>
        <v>5</v>
      </c>
      <c r="B133" s="19" t="s">
        <v>15</v>
      </c>
      <c r="C133" s="123">
        <v>0</v>
      </c>
      <c r="D133" s="137">
        <f t="shared" ref="D133:O133" si="412">IF(D126="","",C126+C127-D126)</f>
        <v>0</v>
      </c>
      <c r="E133" s="137">
        <f t="shared" si="412"/>
        <v>0</v>
      </c>
      <c r="F133" s="125">
        <f t="shared" si="412"/>
        <v>0</v>
      </c>
      <c r="G133" s="137">
        <f t="shared" si="412"/>
        <v>0</v>
      </c>
      <c r="H133" s="137">
        <f t="shared" si="412"/>
        <v>0</v>
      </c>
      <c r="I133" s="137">
        <f t="shared" si="412"/>
        <v>1</v>
      </c>
      <c r="J133" s="125">
        <f t="shared" si="412"/>
        <v>0</v>
      </c>
      <c r="K133" s="137">
        <f t="shared" si="412"/>
        <v>0</v>
      </c>
      <c r="L133" s="137">
        <f t="shared" si="412"/>
        <v>0</v>
      </c>
      <c r="M133" s="125">
        <f t="shared" si="412"/>
        <v>0</v>
      </c>
      <c r="N133" s="137">
        <f t="shared" si="412"/>
        <v>0</v>
      </c>
      <c r="O133" s="137">
        <f t="shared" si="412"/>
        <v>0</v>
      </c>
      <c r="P133" s="125">
        <f>IF(P126="","",O126+O127-P126)</f>
        <v>0</v>
      </c>
      <c r="Q133" s="137">
        <f t="shared" ref="Q133:AG133" si="413">IF(Q126="","",P126+P127-Q126)</f>
        <v>0</v>
      </c>
      <c r="R133" s="124">
        <f t="shared" si="413"/>
        <v>2</v>
      </c>
      <c r="S133" s="125">
        <f t="shared" si="413"/>
        <v>0</v>
      </c>
      <c r="T133" s="137">
        <f t="shared" si="413"/>
        <v>1</v>
      </c>
      <c r="U133" s="125">
        <f t="shared" si="413"/>
        <v>0</v>
      </c>
      <c r="V133" s="137">
        <f t="shared" si="413"/>
        <v>0</v>
      </c>
      <c r="W133" s="137">
        <f t="shared" si="413"/>
        <v>1</v>
      </c>
      <c r="X133" s="125">
        <f t="shared" si="413"/>
        <v>0</v>
      </c>
      <c r="Y133" s="137">
        <f t="shared" si="413"/>
        <v>0</v>
      </c>
      <c r="Z133" s="137">
        <f t="shared" si="413"/>
        <v>0</v>
      </c>
      <c r="AA133" s="125">
        <f t="shared" si="413"/>
        <v>0</v>
      </c>
      <c r="AB133" s="137">
        <f t="shared" si="413"/>
        <v>0</v>
      </c>
      <c r="AC133" s="137">
        <f t="shared" si="413"/>
        <v>0</v>
      </c>
      <c r="AD133" s="137">
        <f t="shared" si="413"/>
        <v>0</v>
      </c>
      <c r="AE133" s="125">
        <f t="shared" si="413"/>
        <v>0</v>
      </c>
      <c r="AF133" s="137">
        <f t="shared" si="413"/>
        <v>0</v>
      </c>
      <c r="AG133" s="137">
        <f t="shared" si="413"/>
        <v>0</v>
      </c>
      <c r="AH133" s="123">
        <f>IF(AH126="","",AG126+AG127-AH126)</f>
        <v>0</v>
      </c>
      <c r="AI133" s="20">
        <f t="shared" ref="AI133:BC133" si="414">IF(AI126="","",AH126+AH127-AI126)</f>
        <v>0</v>
      </c>
      <c r="AJ133" s="20">
        <f t="shared" si="414"/>
        <v>0</v>
      </c>
      <c r="AK133" s="20">
        <f t="shared" si="414"/>
        <v>0</v>
      </c>
      <c r="AL133" s="195" t="str">
        <f t="shared" si="414"/>
        <v/>
      </c>
      <c r="AM133" s="20" t="str">
        <f t="shared" si="414"/>
        <v/>
      </c>
      <c r="AN133" s="20" t="str">
        <f t="shared" si="414"/>
        <v/>
      </c>
      <c r="AO133" s="195" t="str">
        <f t="shared" si="414"/>
        <v/>
      </c>
      <c r="AP133" s="20" t="str">
        <f t="shared" si="414"/>
        <v/>
      </c>
      <c r="AQ133" s="20" t="str">
        <f t="shared" si="414"/>
        <v/>
      </c>
      <c r="AR133" s="20" t="str">
        <f t="shared" si="414"/>
        <v/>
      </c>
      <c r="AS133" s="20" t="str">
        <f t="shared" si="414"/>
        <v/>
      </c>
      <c r="AT133" s="20" t="str">
        <f t="shared" si="414"/>
        <v/>
      </c>
      <c r="AU133" s="20" t="str">
        <f t="shared" si="414"/>
        <v/>
      </c>
      <c r="AV133" s="20" t="str">
        <f t="shared" si="414"/>
        <v/>
      </c>
      <c r="AW133" s="20" t="str">
        <f t="shared" si="414"/>
        <v/>
      </c>
      <c r="AX133" s="20" t="str">
        <f t="shared" si="414"/>
        <v/>
      </c>
      <c r="AY133" s="20" t="str">
        <f t="shared" si="414"/>
        <v/>
      </c>
      <c r="AZ133" s="20" t="str">
        <f t="shared" si="414"/>
        <v/>
      </c>
      <c r="BA133" s="20" t="str">
        <f t="shared" si="414"/>
        <v/>
      </c>
      <c r="BB133" s="20" t="str">
        <f t="shared" si="414"/>
        <v/>
      </c>
      <c r="BC133" s="20" t="str">
        <f t="shared" si="414"/>
        <v/>
      </c>
    </row>
    <row r="134" spans="1:55" ht="11.25" customHeight="1" x14ac:dyDescent="0.2">
      <c r="A134" s="15">
        <f t="shared" si="409"/>
        <v>3850</v>
      </c>
      <c r="B134" s="19" t="s">
        <v>16</v>
      </c>
      <c r="C134" s="123">
        <v>0</v>
      </c>
      <c r="D134" s="137">
        <f t="shared" ref="D134:BC134" si="415">IF(D124="","",D133*D128)</f>
        <v>0</v>
      </c>
      <c r="E134" s="137">
        <f t="shared" si="415"/>
        <v>0</v>
      </c>
      <c r="F134" s="125">
        <f t="shared" si="415"/>
        <v>0</v>
      </c>
      <c r="G134" s="137">
        <f t="shared" si="415"/>
        <v>0</v>
      </c>
      <c r="H134" s="137">
        <f t="shared" si="415"/>
        <v>0</v>
      </c>
      <c r="I134" s="137">
        <f t="shared" si="415"/>
        <v>770</v>
      </c>
      <c r="J134" s="125">
        <f t="shared" si="415"/>
        <v>0</v>
      </c>
      <c r="K134" s="137">
        <f t="shared" si="415"/>
        <v>0</v>
      </c>
      <c r="L134" s="137">
        <f t="shared" si="415"/>
        <v>0</v>
      </c>
      <c r="M134" s="125">
        <f t="shared" si="415"/>
        <v>0</v>
      </c>
      <c r="N134" s="137">
        <f t="shared" si="415"/>
        <v>0</v>
      </c>
      <c r="O134" s="137">
        <f t="shared" si="415"/>
        <v>0</v>
      </c>
      <c r="P134" s="125">
        <f t="shared" si="415"/>
        <v>0</v>
      </c>
      <c r="Q134" s="137">
        <f t="shared" si="415"/>
        <v>0</v>
      </c>
      <c r="R134" s="124">
        <f t="shared" si="415"/>
        <v>1540</v>
      </c>
      <c r="S134" s="125">
        <f t="shared" si="415"/>
        <v>0</v>
      </c>
      <c r="T134" s="137">
        <f t="shared" si="415"/>
        <v>770</v>
      </c>
      <c r="U134" s="125">
        <f t="shared" si="415"/>
        <v>0</v>
      </c>
      <c r="V134" s="137">
        <f t="shared" si="415"/>
        <v>0</v>
      </c>
      <c r="W134" s="137">
        <f t="shared" si="415"/>
        <v>770</v>
      </c>
      <c r="X134" s="125">
        <f t="shared" si="415"/>
        <v>0</v>
      </c>
      <c r="Y134" s="137">
        <f t="shared" si="415"/>
        <v>0</v>
      </c>
      <c r="Z134" s="137">
        <f t="shared" si="415"/>
        <v>0</v>
      </c>
      <c r="AA134" s="125">
        <f t="shared" si="415"/>
        <v>0</v>
      </c>
      <c r="AB134" s="137">
        <f t="shared" si="415"/>
        <v>0</v>
      </c>
      <c r="AC134" s="137">
        <f t="shared" si="415"/>
        <v>0</v>
      </c>
      <c r="AD134" s="137">
        <f t="shared" si="415"/>
        <v>0</v>
      </c>
      <c r="AE134" s="125">
        <f t="shared" si="415"/>
        <v>0</v>
      </c>
      <c r="AF134" s="137">
        <f t="shared" si="415"/>
        <v>0</v>
      </c>
      <c r="AG134" s="137">
        <f t="shared" si="415"/>
        <v>0</v>
      </c>
      <c r="AH134" s="123">
        <f>IF(AH124="","",AH133*AH128)</f>
        <v>0</v>
      </c>
      <c r="AI134" s="20">
        <f t="shared" si="415"/>
        <v>0</v>
      </c>
      <c r="AJ134" s="20">
        <f t="shared" si="415"/>
        <v>0</v>
      </c>
      <c r="AK134" s="20">
        <f t="shared" si="415"/>
        <v>0</v>
      </c>
      <c r="AL134" s="195" t="str">
        <f t="shared" si="415"/>
        <v/>
      </c>
      <c r="AM134" s="20" t="str">
        <f t="shared" si="415"/>
        <v/>
      </c>
      <c r="AN134" s="20" t="str">
        <f t="shared" si="415"/>
        <v/>
      </c>
      <c r="AO134" s="195" t="str">
        <f t="shared" si="415"/>
        <v/>
      </c>
      <c r="AP134" s="20" t="str">
        <f t="shared" si="415"/>
        <v/>
      </c>
      <c r="AQ134" s="20" t="str">
        <f t="shared" si="415"/>
        <v/>
      </c>
      <c r="AR134" s="20" t="str">
        <f t="shared" si="415"/>
        <v/>
      </c>
      <c r="AS134" s="20" t="str">
        <f t="shared" si="415"/>
        <v/>
      </c>
      <c r="AT134" s="20" t="str">
        <f t="shared" si="415"/>
        <v/>
      </c>
      <c r="AU134" s="20" t="str">
        <f t="shared" si="415"/>
        <v/>
      </c>
      <c r="AV134" s="20" t="str">
        <f t="shared" si="415"/>
        <v/>
      </c>
      <c r="AW134" s="20" t="str">
        <f t="shared" si="415"/>
        <v/>
      </c>
      <c r="AX134" s="20" t="str">
        <f t="shared" si="415"/>
        <v/>
      </c>
      <c r="AY134" s="20" t="str">
        <f t="shared" si="415"/>
        <v/>
      </c>
      <c r="AZ134" s="20" t="str">
        <f t="shared" si="415"/>
        <v/>
      </c>
      <c r="BA134" s="20" t="str">
        <f t="shared" si="415"/>
        <v/>
      </c>
      <c r="BB134" s="20" t="str">
        <f t="shared" si="415"/>
        <v/>
      </c>
      <c r="BC134" s="20" t="str">
        <f t="shared" si="415"/>
        <v/>
      </c>
    </row>
    <row r="135" spans="1:55" ht="11.25" customHeight="1" thickBot="1" x14ac:dyDescent="0.25">
      <c r="A135" s="21">
        <f>IF(A134="","",A134/(A131*100))</f>
        <v>9.0801886792452824E-2</v>
      </c>
      <c r="B135" s="19" t="s">
        <v>17</v>
      </c>
      <c r="C135" s="146" t="s">
        <v>18</v>
      </c>
      <c r="D135" s="147" t="str">
        <f t="shared" ref="D135:BC135" si="416">IF(D134="","",IF(D134=0,"",D134/(D131*100)))</f>
        <v/>
      </c>
      <c r="E135" s="147" t="str">
        <f t="shared" si="416"/>
        <v/>
      </c>
      <c r="F135" s="148" t="str">
        <f t="shared" si="416"/>
        <v/>
      </c>
      <c r="G135" s="147" t="str">
        <f t="shared" si="416"/>
        <v/>
      </c>
      <c r="H135" s="147" t="str">
        <f t="shared" si="416"/>
        <v/>
      </c>
      <c r="I135" s="147">
        <f t="shared" si="416"/>
        <v>0.42777777777777776</v>
      </c>
      <c r="J135" s="148" t="str">
        <f t="shared" si="416"/>
        <v/>
      </c>
      <c r="K135" s="147" t="str">
        <f t="shared" si="416"/>
        <v/>
      </c>
      <c r="L135" s="147" t="str">
        <f t="shared" si="416"/>
        <v/>
      </c>
      <c r="M135" s="148" t="str">
        <f t="shared" si="416"/>
        <v/>
      </c>
      <c r="N135" s="147" t="str">
        <f t="shared" si="416"/>
        <v/>
      </c>
      <c r="O135" s="147" t="str">
        <f t="shared" si="416"/>
        <v/>
      </c>
      <c r="P135" s="148" t="str">
        <f t="shared" si="416"/>
        <v/>
      </c>
      <c r="Q135" s="147" t="str">
        <f t="shared" si="416"/>
        <v/>
      </c>
      <c r="R135" s="193">
        <f t="shared" si="416"/>
        <v>0.17906976744186046</v>
      </c>
      <c r="S135" s="148" t="str">
        <f t="shared" si="416"/>
        <v/>
      </c>
      <c r="T135" s="147">
        <f t="shared" si="416"/>
        <v>8.7499999999999994E-2</v>
      </c>
      <c r="U135" s="148" t="str">
        <f t="shared" si="416"/>
        <v/>
      </c>
      <c r="V135" s="147" t="str">
        <f t="shared" si="416"/>
        <v/>
      </c>
      <c r="W135" s="147">
        <f t="shared" si="416"/>
        <v>0.13050847457627118</v>
      </c>
      <c r="X135" s="148" t="str">
        <f t="shared" si="416"/>
        <v/>
      </c>
      <c r="Y135" s="147" t="str">
        <f t="shared" si="416"/>
        <v/>
      </c>
      <c r="Z135" s="147" t="str">
        <f t="shared" si="416"/>
        <v/>
      </c>
      <c r="AA135" s="148" t="str">
        <f t="shared" si="416"/>
        <v/>
      </c>
      <c r="AB135" s="147" t="str">
        <f t="shared" si="416"/>
        <v/>
      </c>
      <c r="AC135" s="147" t="str">
        <f t="shared" si="416"/>
        <v/>
      </c>
      <c r="AD135" s="147" t="str">
        <f t="shared" si="416"/>
        <v/>
      </c>
      <c r="AE135" s="148" t="str">
        <f t="shared" si="416"/>
        <v/>
      </c>
      <c r="AF135" s="147" t="str">
        <f t="shared" si="416"/>
        <v/>
      </c>
      <c r="AG135" s="147" t="str">
        <f t="shared" si="416"/>
        <v/>
      </c>
      <c r="AH135" s="146" t="str">
        <f>IF(AH134="","",IF(AH134=0,"",AH134/(AH131*100)))</f>
        <v/>
      </c>
      <c r="AI135" s="27" t="str">
        <f t="shared" si="416"/>
        <v/>
      </c>
      <c r="AJ135" s="27" t="str">
        <f t="shared" si="416"/>
        <v/>
      </c>
      <c r="AK135" s="27" t="str">
        <f t="shared" si="416"/>
        <v/>
      </c>
      <c r="AL135" s="199" t="str">
        <f t="shared" si="416"/>
        <v/>
      </c>
      <c r="AM135" s="27" t="str">
        <f t="shared" si="416"/>
        <v/>
      </c>
      <c r="AN135" s="27" t="str">
        <f t="shared" si="416"/>
        <v/>
      </c>
      <c r="AO135" s="199" t="str">
        <f t="shared" si="416"/>
        <v/>
      </c>
      <c r="AP135" s="27" t="str">
        <f t="shared" si="416"/>
        <v/>
      </c>
      <c r="AQ135" s="27" t="str">
        <f t="shared" si="416"/>
        <v/>
      </c>
      <c r="AR135" s="27" t="str">
        <f t="shared" si="416"/>
        <v/>
      </c>
      <c r="AS135" s="27" t="str">
        <f t="shared" si="416"/>
        <v/>
      </c>
      <c r="AT135" s="27" t="str">
        <f t="shared" si="416"/>
        <v/>
      </c>
      <c r="AU135" s="27" t="str">
        <f t="shared" si="416"/>
        <v/>
      </c>
      <c r="AV135" s="27" t="str">
        <f t="shared" si="416"/>
        <v/>
      </c>
      <c r="AW135" s="27" t="str">
        <f t="shared" si="416"/>
        <v/>
      </c>
      <c r="AX135" s="27" t="str">
        <f t="shared" si="416"/>
        <v/>
      </c>
      <c r="AY135" s="27" t="str">
        <f t="shared" si="416"/>
        <v/>
      </c>
      <c r="AZ135" s="27" t="str">
        <f t="shared" si="416"/>
        <v/>
      </c>
      <c r="BA135" s="27" t="str">
        <f t="shared" si="416"/>
        <v/>
      </c>
      <c r="BB135" s="27" t="str">
        <f t="shared" si="416"/>
        <v/>
      </c>
      <c r="BC135" s="27" t="str">
        <f t="shared" si="416"/>
        <v/>
      </c>
    </row>
    <row r="136" spans="1:55" ht="11.25" customHeight="1" x14ac:dyDescent="0.2">
      <c r="A136" s="28" t="s">
        <v>1</v>
      </c>
      <c r="B136" s="29" t="s">
        <v>2</v>
      </c>
      <c r="C136" s="129">
        <v>11148</v>
      </c>
      <c r="D136" s="130">
        <f t="shared" ref="D136:D137" si="417">IF(D$16="","",C136)</f>
        <v>11148</v>
      </c>
      <c r="E136" s="130">
        <v>11162</v>
      </c>
      <c r="F136" s="131">
        <f t="shared" ref="F136:G137" si="418">IF(F$16="","",E136)</f>
        <v>11162</v>
      </c>
      <c r="G136" s="130">
        <f>IF(G$16="","",F136)</f>
        <v>11162</v>
      </c>
      <c r="H136" s="130">
        <f t="shared" ref="H136:H137" si="419">IF(H$16="","",G136)</f>
        <v>11162</v>
      </c>
      <c r="I136" s="130">
        <v>11183</v>
      </c>
      <c r="J136" s="131">
        <f t="shared" ref="J136:K137" si="420">IF(J$16="","",I136)</f>
        <v>11183</v>
      </c>
      <c r="K136" s="130">
        <f t="shared" si="420"/>
        <v>11183</v>
      </c>
      <c r="L136" s="130">
        <v>11221</v>
      </c>
      <c r="M136" s="131">
        <f t="shared" ref="M136:M137" si="421">IF(M$16="","",L136)</f>
        <v>11221</v>
      </c>
      <c r="N136" s="130">
        <f>IF(N$16="","",M136)</f>
        <v>11221</v>
      </c>
      <c r="O136" s="130">
        <v>11265</v>
      </c>
      <c r="P136" s="131">
        <f t="shared" ref="P136:Q137" si="422">IF(P$16="","",O136)</f>
        <v>11265</v>
      </c>
      <c r="Q136" s="130">
        <f t="shared" si="422"/>
        <v>11265</v>
      </c>
      <c r="R136" s="130">
        <v>11320</v>
      </c>
      <c r="S136" s="131">
        <f t="shared" ref="S136:S137" si="423">IF(S$16="","",R136)</f>
        <v>11320</v>
      </c>
      <c r="T136" s="130">
        <v>11356</v>
      </c>
      <c r="U136" s="131">
        <f>IF(U$16="","",T136)</f>
        <v>11356</v>
      </c>
      <c r="V136" s="130">
        <f t="shared" ref="V136:V137" si="424">IF(V$16="","",U136)</f>
        <v>11356</v>
      </c>
      <c r="W136" s="130">
        <v>11412</v>
      </c>
      <c r="X136" s="131">
        <f t="shared" ref="X136:Y137" si="425">IF(X$16="","",W136)</f>
        <v>11412</v>
      </c>
      <c r="Y136" s="130">
        <f>IF(Y$16="","",X136)</f>
        <v>11412</v>
      </c>
      <c r="Z136" s="130">
        <v>11479</v>
      </c>
      <c r="AA136" s="131">
        <f t="shared" ref="AA136:AA137" si="426">IF(AA$16="","",Z136)</f>
        <v>11479</v>
      </c>
      <c r="AB136" s="130">
        <f>IF(AB$16="","",AA136)</f>
        <v>11479</v>
      </c>
      <c r="AC136" s="130">
        <f t="shared" ref="AC136:AC137" si="427">IF(AC$16="","",AB136)</f>
        <v>11479</v>
      </c>
      <c r="AD136" s="130">
        <v>11525</v>
      </c>
      <c r="AE136" s="131">
        <f t="shared" ref="AE136:AG137" si="428">IF(AE$16="","",AD136)</f>
        <v>11525</v>
      </c>
      <c r="AF136" s="130">
        <f>IF(AF$16="","",AE136)</f>
        <v>11525</v>
      </c>
      <c r="AG136" s="130">
        <v>11553</v>
      </c>
      <c r="AH136" s="129">
        <f>IF(AH$16="","",AG136)</f>
        <v>11553</v>
      </c>
      <c r="AI136" s="16">
        <f t="shared" ref="AI136:AJ137" si="429">IF(AI$16="","",AH136)</f>
        <v>11553</v>
      </c>
      <c r="AJ136" s="16">
        <f t="shared" si="429"/>
        <v>11553</v>
      </c>
      <c r="AK136" s="16">
        <v>11573</v>
      </c>
      <c r="AL136" s="196" t="str">
        <f t="shared" ref="AL136:BA137" si="430">IF(AL$16="","",AK136)</f>
        <v/>
      </c>
      <c r="AM136" s="16" t="str">
        <f t="shared" si="430"/>
        <v/>
      </c>
      <c r="AN136" s="16" t="str">
        <f t="shared" si="430"/>
        <v/>
      </c>
      <c r="AO136" s="196" t="str">
        <f t="shared" si="430"/>
        <v/>
      </c>
      <c r="AP136" s="16" t="str">
        <f t="shared" si="430"/>
        <v/>
      </c>
      <c r="AQ136" s="16" t="str">
        <f t="shared" si="430"/>
        <v/>
      </c>
      <c r="AR136" s="16" t="str">
        <f t="shared" si="430"/>
        <v/>
      </c>
      <c r="AS136" s="16" t="str">
        <f t="shared" si="430"/>
        <v/>
      </c>
      <c r="AT136" s="16" t="str">
        <f t="shared" si="430"/>
        <v/>
      </c>
      <c r="AU136" s="16" t="str">
        <f t="shared" si="430"/>
        <v/>
      </c>
      <c r="AV136" s="16" t="str">
        <f t="shared" si="430"/>
        <v/>
      </c>
      <c r="AW136" s="16" t="str">
        <f t="shared" si="430"/>
        <v/>
      </c>
      <c r="AX136" s="16" t="str">
        <f t="shared" si="430"/>
        <v/>
      </c>
      <c r="AY136" s="16" t="str">
        <f t="shared" si="430"/>
        <v/>
      </c>
      <c r="AZ136" s="16" t="str">
        <f t="shared" si="430"/>
        <v/>
      </c>
      <c r="BA136" s="16" t="str">
        <f t="shared" si="430"/>
        <v/>
      </c>
      <c r="BB136" s="16" t="str">
        <f t="shared" ref="BB136:BC137" si="431">IF(BB$16="","",BA136)</f>
        <v/>
      </c>
      <c r="BC136" s="16" t="str">
        <f t="shared" si="431"/>
        <v/>
      </c>
    </row>
    <row r="137" spans="1:55" ht="11.25" customHeight="1" x14ac:dyDescent="0.2">
      <c r="A137" s="10" t="s">
        <v>40</v>
      </c>
      <c r="B137" s="11" t="s">
        <v>4</v>
      </c>
      <c r="C137" s="123">
        <v>152</v>
      </c>
      <c r="D137" s="124">
        <f t="shared" si="417"/>
        <v>152</v>
      </c>
      <c r="E137" s="124">
        <v>153</v>
      </c>
      <c r="F137" s="125">
        <f t="shared" si="418"/>
        <v>153</v>
      </c>
      <c r="G137" s="124">
        <f t="shared" si="418"/>
        <v>153</v>
      </c>
      <c r="H137" s="124">
        <f t="shared" si="419"/>
        <v>153</v>
      </c>
      <c r="I137" s="124">
        <v>153</v>
      </c>
      <c r="J137" s="125">
        <f t="shared" si="420"/>
        <v>153</v>
      </c>
      <c r="K137" s="124">
        <f t="shared" si="420"/>
        <v>153</v>
      </c>
      <c r="L137" s="124">
        <f>IF(L$16="","",K137)</f>
        <v>153</v>
      </c>
      <c r="M137" s="125">
        <f t="shared" si="421"/>
        <v>153</v>
      </c>
      <c r="N137" s="124">
        <f>IF(N$16="","",M137)</f>
        <v>153</v>
      </c>
      <c r="O137" s="124">
        <v>154</v>
      </c>
      <c r="P137" s="125">
        <f t="shared" si="422"/>
        <v>154</v>
      </c>
      <c r="Q137" s="124">
        <f t="shared" si="422"/>
        <v>154</v>
      </c>
      <c r="R137" s="124">
        <v>155</v>
      </c>
      <c r="S137" s="125">
        <f t="shared" si="423"/>
        <v>155</v>
      </c>
      <c r="T137" s="124">
        <v>157</v>
      </c>
      <c r="U137" s="125">
        <f>IF(U$16="","",T137)</f>
        <v>157</v>
      </c>
      <c r="V137" s="124">
        <f t="shared" si="424"/>
        <v>157</v>
      </c>
      <c r="W137" s="124">
        <v>159</v>
      </c>
      <c r="X137" s="125">
        <f t="shared" si="425"/>
        <v>159</v>
      </c>
      <c r="Y137" s="124">
        <f t="shared" si="425"/>
        <v>159</v>
      </c>
      <c r="Z137" s="124">
        <v>162</v>
      </c>
      <c r="AA137" s="125">
        <f t="shared" si="426"/>
        <v>162</v>
      </c>
      <c r="AB137" s="124">
        <f>IF(AB$16="","",AA137)</f>
        <v>162</v>
      </c>
      <c r="AC137" s="124">
        <f t="shared" si="427"/>
        <v>162</v>
      </c>
      <c r="AD137" s="124">
        <v>163</v>
      </c>
      <c r="AE137" s="125">
        <f t="shared" si="428"/>
        <v>163</v>
      </c>
      <c r="AF137" s="124">
        <f t="shared" si="428"/>
        <v>163</v>
      </c>
      <c r="AG137" s="124">
        <f t="shared" si="428"/>
        <v>163</v>
      </c>
      <c r="AH137" s="123">
        <f>IF(AH$16="","",AG137)</f>
        <v>163</v>
      </c>
      <c r="AI137" s="12">
        <f t="shared" si="429"/>
        <v>163</v>
      </c>
      <c r="AJ137" s="12">
        <f t="shared" si="429"/>
        <v>163</v>
      </c>
      <c r="AK137" s="12">
        <v>164</v>
      </c>
      <c r="AL137" s="195" t="str">
        <f t="shared" si="430"/>
        <v/>
      </c>
      <c r="AM137" s="12" t="str">
        <f t="shared" si="430"/>
        <v/>
      </c>
      <c r="AN137" s="12" t="str">
        <f t="shared" si="430"/>
        <v/>
      </c>
      <c r="AO137" s="195" t="str">
        <f t="shared" si="430"/>
        <v/>
      </c>
      <c r="AP137" s="12" t="str">
        <f t="shared" si="430"/>
        <v/>
      </c>
      <c r="AQ137" s="12" t="str">
        <f t="shared" si="430"/>
        <v/>
      </c>
      <c r="AR137" s="12" t="str">
        <f t="shared" si="430"/>
        <v/>
      </c>
      <c r="AS137" s="12" t="str">
        <f t="shared" si="430"/>
        <v/>
      </c>
      <c r="AT137" s="12" t="str">
        <f t="shared" si="430"/>
        <v/>
      </c>
      <c r="AU137" s="12" t="str">
        <f t="shared" si="430"/>
        <v/>
      </c>
      <c r="AV137" s="12" t="str">
        <f t="shared" si="430"/>
        <v/>
      </c>
      <c r="AW137" s="12" t="str">
        <f t="shared" si="430"/>
        <v/>
      </c>
      <c r="AX137" s="12" t="str">
        <f t="shared" si="430"/>
        <v/>
      </c>
      <c r="AY137" s="12" t="str">
        <f t="shared" si="430"/>
        <v/>
      </c>
      <c r="AZ137" s="12" t="str">
        <f t="shared" si="430"/>
        <v/>
      </c>
      <c r="BA137" s="12" t="str">
        <f t="shared" si="430"/>
        <v/>
      </c>
      <c r="BB137" s="12" t="str">
        <f t="shared" si="431"/>
        <v/>
      </c>
      <c r="BC137" s="12" t="str">
        <f t="shared" si="431"/>
        <v/>
      </c>
    </row>
    <row r="138" spans="1:55" ht="11.25" customHeight="1" x14ac:dyDescent="0.25">
      <c r="A138" s="24">
        <v>2</v>
      </c>
      <c r="B138" s="11" t="s">
        <v>5</v>
      </c>
      <c r="C138" s="123">
        <v>14</v>
      </c>
      <c r="D138" s="124">
        <f t="shared" ref="D138" si="432">IF(D136="","",(C138+C139))</f>
        <v>14</v>
      </c>
      <c r="E138" s="124">
        <v>13</v>
      </c>
      <c r="F138" s="125">
        <f t="shared" ref="F138:K138" si="433">IF(F136="","",(E138+E139))</f>
        <v>13</v>
      </c>
      <c r="G138" s="124">
        <f t="shared" si="433"/>
        <v>13</v>
      </c>
      <c r="H138" s="124">
        <f t="shared" si="433"/>
        <v>13</v>
      </c>
      <c r="I138" s="124">
        <f t="shared" si="433"/>
        <v>13</v>
      </c>
      <c r="J138" s="125">
        <f t="shared" si="433"/>
        <v>13</v>
      </c>
      <c r="K138" s="124">
        <f t="shared" si="433"/>
        <v>13</v>
      </c>
      <c r="L138" s="124">
        <f>IF(L136="","",(K138+K139))</f>
        <v>13</v>
      </c>
      <c r="M138" s="125">
        <f t="shared" ref="M138" si="434">IF(M136="","",(L138+L139))</f>
        <v>17</v>
      </c>
      <c r="N138" s="124">
        <f>IF(N136="","",(M138+M139))</f>
        <v>17</v>
      </c>
      <c r="O138" s="124">
        <v>16</v>
      </c>
      <c r="P138" s="125">
        <f t="shared" ref="P138:Q138" si="435">IF(P136="","",(O138+O139))</f>
        <v>17</v>
      </c>
      <c r="Q138" s="124">
        <f t="shared" si="435"/>
        <v>17</v>
      </c>
      <c r="R138" s="124">
        <v>16</v>
      </c>
      <c r="S138" s="125">
        <f t="shared" ref="S138" si="436">IF(S136="","",(R138+R139))</f>
        <v>17</v>
      </c>
      <c r="T138" s="124">
        <v>15</v>
      </c>
      <c r="U138" s="125">
        <f>IF(U136="","",(T138+T139))</f>
        <v>19</v>
      </c>
      <c r="V138" s="124">
        <f t="shared" ref="V138" si="437">IF(V136="","",(U138+U139))</f>
        <v>19</v>
      </c>
      <c r="W138" s="124">
        <v>17</v>
      </c>
      <c r="X138" s="125">
        <f t="shared" ref="X138:Y138" si="438">IF(X136="","",(W138+W139))</f>
        <v>17</v>
      </c>
      <c r="Y138" s="124">
        <f t="shared" si="438"/>
        <v>17</v>
      </c>
      <c r="Z138" s="124">
        <v>16</v>
      </c>
      <c r="AA138" s="125">
        <f t="shared" ref="AA138" si="439">IF(AA136="","",(Z138+Z139))</f>
        <v>16</v>
      </c>
      <c r="AB138" s="124">
        <f>IF(AB136="","",(AA138+AA139))</f>
        <v>16</v>
      </c>
      <c r="AC138" s="124">
        <f t="shared" ref="AC138" si="440">IF(AC136="","",(AB138+AB139))</f>
        <v>16</v>
      </c>
      <c r="AD138" s="124">
        <v>15</v>
      </c>
      <c r="AE138" s="125">
        <f t="shared" ref="AE138:AG138" si="441">IF(AE136="","",(AD138+AD139))</f>
        <v>15</v>
      </c>
      <c r="AF138" s="124">
        <f t="shared" si="441"/>
        <v>15</v>
      </c>
      <c r="AG138" s="124">
        <f t="shared" si="441"/>
        <v>15</v>
      </c>
      <c r="AH138" s="123">
        <f>IF(AH136="","",(AG138+AG139))</f>
        <v>15</v>
      </c>
      <c r="AI138" s="12">
        <f t="shared" ref="AI138:BC138" si="442">IF(AI136="","",(AH138+AH139))</f>
        <v>15</v>
      </c>
      <c r="AJ138" s="12">
        <f t="shared" si="442"/>
        <v>15</v>
      </c>
      <c r="AK138" s="12">
        <f t="shared" si="442"/>
        <v>15</v>
      </c>
      <c r="AL138" s="195" t="str">
        <f t="shared" si="442"/>
        <v/>
      </c>
      <c r="AM138" s="12" t="str">
        <f t="shared" si="442"/>
        <v/>
      </c>
      <c r="AN138" s="12" t="str">
        <f t="shared" si="442"/>
        <v/>
      </c>
      <c r="AO138" s="195" t="str">
        <f t="shared" si="442"/>
        <v/>
      </c>
      <c r="AP138" s="12" t="str">
        <f t="shared" si="442"/>
        <v/>
      </c>
      <c r="AQ138" s="12" t="str">
        <f t="shared" si="442"/>
        <v/>
      </c>
      <c r="AR138" s="12" t="str">
        <f t="shared" si="442"/>
        <v/>
      </c>
      <c r="AS138" s="12" t="str">
        <f t="shared" si="442"/>
        <v/>
      </c>
      <c r="AT138" s="12" t="str">
        <f t="shared" si="442"/>
        <v/>
      </c>
      <c r="AU138" s="12" t="str">
        <f t="shared" si="442"/>
        <v/>
      </c>
      <c r="AV138" s="12" t="str">
        <f t="shared" si="442"/>
        <v/>
      </c>
      <c r="AW138" s="12" t="str">
        <f t="shared" si="442"/>
        <v/>
      </c>
      <c r="AX138" s="12" t="str">
        <f t="shared" si="442"/>
        <v/>
      </c>
      <c r="AY138" s="12" t="str">
        <f t="shared" si="442"/>
        <v/>
      </c>
      <c r="AZ138" s="12" t="str">
        <f t="shared" si="442"/>
        <v/>
      </c>
      <c r="BA138" s="12" t="str">
        <f t="shared" si="442"/>
        <v/>
      </c>
      <c r="BB138" s="12" t="str">
        <f t="shared" si="442"/>
        <v/>
      </c>
      <c r="BC138" s="12" t="str">
        <f t="shared" si="442"/>
        <v/>
      </c>
    </row>
    <row r="139" spans="1:55" ht="11.25" customHeight="1" x14ac:dyDescent="0.2">
      <c r="A139" s="14"/>
      <c r="B139" s="11" t="s">
        <v>6</v>
      </c>
      <c r="C139" s="123"/>
      <c r="D139" s="124"/>
      <c r="E139" s="124"/>
      <c r="F139" s="125"/>
      <c r="G139" s="124"/>
      <c r="H139" s="124"/>
      <c r="I139" s="124"/>
      <c r="J139" s="125"/>
      <c r="K139" s="124"/>
      <c r="L139" s="124">
        <v>4</v>
      </c>
      <c r="M139" s="125"/>
      <c r="N139" s="124"/>
      <c r="O139" s="124">
        <v>1</v>
      </c>
      <c r="P139" s="125"/>
      <c r="Q139" s="124"/>
      <c r="R139" s="124">
        <v>1</v>
      </c>
      <c r="S139" s="125"/>
      <c r="T139" s="124">
        <v>4</v>
      </c>
      <c r="U139" s="125"/>
      <c r="V139" s="124"/>
      <c r="W139" s="124"/>
      <c r="X139" s="125"/>
      <c r="Y139" s="124"/>
      <c r="Z139" s="124"/>
      <c r="AA139" s="125"/>
      <c r="AB139" s="124"/>
      <c r="AC139" s="124"/>
      <c r="AD139" s="124"/>
      <c r="AE139" s="125"/>
      <c r="AF139" s="124"/>
      <c r="AG139" s="124"/>
      <c r="AH139" s="123"/>
      <c r="AI139" s="12"/>
      <c r="AJ139" s="12"/>
      <c r="AK139" s="12"/>
      <c r="AL139" s="195"/>
      <c r="AM139" s="12"/>
      <c r="AN139" s="12"/>
      <c r="AO139" s="195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</row>
    <row r="140" spans="1:55" ht="11.25" customHeight="1" x14ac:dyDescent="0.2">
      <c r="A140" s="15"/>
      <c r="B140" s="11" t="s">
        <v>8</v>
      </c>
      <c r="C140" s="129">
        <v>800</v>
      </c>
      <c r="D140" s="130">
        <f t="shared" ref="D140:AG140" si="443">IF(D136="","",C140)</f>
        <v>800</v>
      </c>
      <c r="E140" s="130">
        <f t="shared" si="443"/>
        <v>800</v>
      </c>
      <c r="F140" s="131">
        <f t="shared" si="443"/>
        <v>800</v>
      </c>
      <c r="G140" s="130">
        <f t="shared" si="443"/>
        <v>800</v>
      </c>
      <c r="H140" s="130">
        <f t="shared" si="443"/>
        <v>800</v>
      </c>
      <c r="I140" s="130">
        <f t="shared" si="443"/>
        <v>800</v>
      </c>
      <c r="J140" s="131">
        <f t="shared" si="443"/>
        <v>800</v>
      </c>
      <c r="K140" s="130">
        <f t="shared" si="443"/>
        <v>800</v>
      </c>
      <c r="L140" s="130">
        <f t="shared" si="443"/>
        <v>800</v>
      </c>
      <c r="M140" s="131">
        <f t="shared" si="443"/>
        <v>800</v>
      </c>
      <c r="N140" s="130">
        <f t="shared" si="443"/>
        <v>800</v>
      </c>
      <c r="O140" s="130">
        <f t="shared" si="443"/>
        <v>800</v>
      </c>
      <c r="P140" s="131">
        <f t="shared" si="443"/>
        <v>800</v>
      </c>
      <c r="Q140" s="130">
        <f t="shared" si="443"/>
        <v>800</v>
      </c>
      <c r="R140" s="130">
        <f t="shared" si="443"/>
        <v>800</v>
      </c>
      <c r="S140" s="131">
        <f t="shared" si="443"/>
        <v>800</v>
      </c>
      <c r="T140" s="130">
        <f t="shared" si="443"/>
        <v>800</v>
      </c>
      <c r="U140" s="131">
        <f t="shared" si="443"/>
        <v>800</v>
      </c>
      <c r="V140" s="130">
        <f t="shared" si="443"/>
        <v>800</v>
      </c>
      <c r="W140" s="130">
        <f t="shared" si="443"/>
        <v>800</v>
      </c>
      <c r="X140" s="131">
        <f t="shared" si="443"/>
        <v>800</v>
      </c>
      <c r="Y140" s="130">
        <f t="shared" si="443"/>
        <v>800</v>
      </c>
      <c r="Z140" s="130">
        <f t="shared" si="443"/>
        <v>800</v>
      </c>
      <c r="AA140" s="131">
        <f t="shared" si="443"/>
        <v>800</v>
      </c>
      <c r="AB140" s="130">
        <f t="shared" si="443"/>
        <v>800</v>
      </c>
      <c r="AC140" s="130">
        <f t="shared" si="443"/>
        <v>800</v>
      </c>
      <c r="AD140" s="130">
        <f t="shared" si="443"/>
        <v>800</v>
      </c>
      <c r="AE140" s="131">
        <f t="shared" si="443"/>
        <v>800</v>
      </c>
      <c r="AF140" s="130">
        <f t="shared" si="443"/>
        <v>800</v>
      </c>
      <c r="AG140" s="130">
        <f t="shared" si="443"/>
        <v>800</v>
      </c>
      <c r="AH140" s="129">
        <f>IF(AH136="","",AG140)</f>
        <v>800</v>
      </c>
      <c r="AI140" s="16">
        <f t="shared" ref="AI140:BC140" si="444">IF(AI136="","",AH140)</f>
        <v>800</v>
      </c>
      <c r="AJ140" s="16">
        <f t="shared" si="444"/>
        <v>800</v>
      </c>
      <c r="AK140" s="16">
        <f t="shared" si="444"/>
        <v>800</v>
      </c>
      <c r="AL140" s="196" t="str">
        <f t="shared" si="444"/>
        <v/>
      </c>
      <c r="AM140" s="16" t="str">
        <f t="shared" si="444"/>
        <v/>
      </c>
      <c r="AN140" s="16" t="str">
        <f t="shared" si="444"/>
        <v/>
      </c>
      <c r="AO140" s="196" t="str">
        <f t="shared" si="444"/>
        <v/>
      </c>
      <c r="AP140" s="16" t="str">
        <f t="shared" si="444"/>
        <v/>
      </c>
      <c r="AQ140" s="16" t="str">
        <f t="shared" si="444"/>
        <v/>
      </c>
      <c r="AR140" s="16" t="str">
        <f t="shared" si="444"/>
        <v/>
      </c>
      <c r="AS140" s="16" t="str">
        <f t="shared" si="444"/>
        <v/>
      </c>
      <c r="AT140" s="16" t="str">
        <f t="shared" si="444"/>
        <v/>
      </c>
      <c r="AU140" s="16" t="str">
        <f t="shared" si="444"/>
        <v/>
      </c>
      <c r="AV140" s="16" t="str">
        <f t="shared" si="444"/>
        <v/>
      </c>
      <c r="AW140" s="16" t="str">
        <f t="shared" si="444"/>
        <v/>
      </c>
      <c r="AX140" s="16" t="str">
        <f t="shared" si="444"/>
        <v/>
      </c>
      <c r="AY140" s="16" t="str">
        <f t="shared" si="444"/>
        <v/>
      </c>
      <c r="AZ140" s="16" t="str">
        <f t="shared" si="444"/>
        <v/>
      </c>
      <c r="BA140" s="16" t="str">
        <f t="shared" si="444"/>
        <v/>
      </c>
      <c r="BB140" s="16" t="str">
        <f t="shared" si="444"/>
        <v/>
      </c>
      <c r="BC140" s="16" t="str">
        <f t="shared" si="444"/>
        <v/>
      </c>
    </row>
    <row r="141" spans="1:55" ht="11.25" customHeight="1" x14ac:dyDescent="0.2">
      <c r="A141" s="14" t="s">
        <v>9</v>
      </c>
      <c r="B141" s="17" t="s">
        <v>10</v>
      </c>
      <c r="C141" s="133" t="s">
        <v>42</v>
      </c>
      <c r="D141" s="134" t="str">
        <f t="shared" ref="D141:AG141" si="445">IF(D136="","",C141)</f>
        <v>コントローラーイヤホン</v>
      </c>
      <c r="E141" s="134" t="str">
        <f t="shared" si="445"/>
        <v>コントローラーイヤホン</v>
      </c>
      <c r="F141" s="135" t="str">
        <f t="shared" si="445"/>
        <v>コントローラーイヤホン</v>
      </c>
      <c r="G141" s="134" t="str">
        <f t="shared" si="445"/>
        <v>コントローラーイヤホン</v>
      </c>
      <c r="H141" s="134" t="str">
        <f t="shared" si="445"/>
        <v>コントローラーイヤホン</v>
      </c>
      <c r="I141" s="134" t="str">
        <f t="shared" si="445"/>
        <v>コントローラーイヤホン</v>
      </c>
      <c r="J141" s="135" t="str">
        <f t="shared" si="445"/>
        <v>コントローラーイヤホン</v>
      </c>
      <c r="K141" s="134" t="str">
        <f t="shared" si="445"/>
        <v>コントローラーイヤホン</v>
      </c>
      <c r="L141" s="134" t="str">
        <f t="shared" si="445"/>
        <v>コントローラーイヤホン</v>
      </c>
      <c r="M141" s="135" t="str">
        <f t="shared" si="445"/>
        <v>コントローラーイヤホン</v>
      </c>
      <c r="N141" s="134" t="str">
        <f t="shared" si="445"/>
        <v>コントローラーイヤホン</v>
      </c>
      <c r="O141" s="134" t="str">
        <f t="shared" si="445"/>
        <v>コントローラーイヤホン</v>
      </c>
      <c r="P141" s="135" t="str">
        <f t="shared" si="445"/>
        <v>コントローラーイヤホン</v>
      </c>
      <c r="Q141" s="134" t="str">
        <f t="shared" si="445"/>
        <v>コントローラーイヤホン</v>
      </c>
      <c r="R141" s="134" t="str">
        <f t="shared" si="445"/>
        <v>コントローラーイヤホン</v>
      </c>
      <c r="S141" s="135" t="str">
        <f t="shared" si="445"/>
        <v>コントローラーイヤホン</v>
      </c>
      <c r="T141" s="134" t="str">
        <f t="shared" si="445"/>
        <v>コントローラーイヤホン</v>
      </c>
      <c r="U141" s="135" t="str">
        <f t="shared" si="445"/>
        <v>コントローラーイヤホン</v>
      </c>
      <c r="V141" s="134" t="str">
        <f t="shared" si="445"/>
        <v>コントローラーイヤホン</v>
      </c>
      <c r="W141" s="134" t="str">
        <f t="shared" si="445"/>
        <v>コントローラーイヤホン</v>
      </c>
      <c r="X141" s="135" t="str">
        <f t="shared" si="445"/>
        <v>コントローラーイヤホン</v>
      </c>
      <c r="Y141" s="134" t="str">
        <f t="shared" si="445"/>
        <v>コントローラーイヤホン</v>
      </c>
      <c r="Z141" s="134" t="str">
        <f t="shared" si="445"/>
        <v>コントローラーイヤホン</v>
      </c>
      <c r="AA141" s="135" t="str">
        <f t="shared" si="445"/>
        <v>コントローラーイヤホン</v>
      </c>
      <c r="AB141" s="134" t="str">
        <f t="shared" si="445"/>
        <v>コントローラーイヤホン</v>
      </c>
      <c r="AC141" s="134" t="str">
        <f t="shared" si="445"/>
        <v>コントローラーイヤホン</v>
      </c>
      <c r="AD141" s="134" t="str">
        <f t="shared" si="445"/>
        <v>コントローラーイヤホン</v>
      </c>
      <c r="AE141" s="135" t="str">
        <f t="shared" si="445"/>
        <v>コントローラーイヤホン</v>
      </c>
      <c r="AF141" s="134" t="str">
        <f t="shared" si="445"/>
        <v>コントローラーイヤホン</v>
      </c>
      <c r="AG141" s="134" t="str">
        <f t="shared" si="445"/>
        <v>コントローラーイヤホン</v>
      </c>
      <c r="AH141" s="133" t="str">
        <f>IF(AH136="","",AG141)</f>
        <v>コントローラーイヤホン</v>
      </c>
      <c r="AI141" s="18" t="str">
        <f t="shared" ref="AI141:BC141" si="446">IF(AI136="","",AH141)</f>
        <v>コントローラーイヤホン</v>
      </c>
      <c r="AJ141" s="18" t="str">
        <f t="shared" si="446"/>
        <v>コントローラーイヤホン</v>
      </c>
      <c r="AK141" s="18" t="str">
        <f t="shared" si="446"/>
        <v>コントローラーイヤホン</v>
      </c>
      <c r="AL141" s="197" t="str">
        <f t="shared" si="446"/>
        <v/>
      </c>
      <c r="AM141" s="18" t="str">
        <f t="shared" si="446"/>
        <v/>
      </c>
      <c r="AN141" s="18" t="str">
        <f t="shared" si="446"/>
        <v/>
      </c>
      <c r="AO141" s="197" t="str">
        <f t="shared" si="446"/>
        <v/>
      </c>
      <c r="AP141" s="18" t="str">
        <f t="shared" si="446"/>
        <v/>
      </c>
      <c r="AQ141" s="18" t="str">
        <f t="shared" si="446"/>
        <v/>
      </c>
      <c r="AR141" s="18" t="str">
        <f t="shared" si="446"/>
        <v/>
      </c>
      <c r="AS141" s="18" t="str">
        <f t="shared" si="446"/>
        <v/>
      </c>
      <c r="AT141" s="18" t="str">
        <f t="shared" si="446"/>
        <v/>
      </c>
      <c r="AU141" s="18" t="str">
        <f t="shared" si="446"/>
        <v/>
      </c>
      <c r="AV141" s="18" t="str">
        <f t="shared" si="446"/>
        <v/>
      </c>
      <c r="AW141" s="18" t="str">
        <f t="shared" si="446"/>
        <v/>
      </c>
      <c r="AX141" s="18" t="str">
        <f t="shared" si="446"/>
        <v/>
      </c>
      <c r="AY141" s="18" t="str">
        <f t="shared" si="446"/>
        <v/>
      </c>
      <c r="AZ141" s="18" t="str">
        <f t="shared" si="446"/>
        <v/>
      </c>
      <c r="BA141" s="18" t="str">
        <f t="shared" si="446"/>
        <v/>
      </c>
      <c r="BB141" s="18" t="str">
        <f t="shared" si="446"/>
        <v/>
      </c>
      <c r="BC141" s="18" t="str">
        <f t="shared" si="446"/>
        <v/>
      </c>
    </row>
    <row r="142" spans="1:55" ht="11.25" customHeight="1" x14ac:dyDescent="0.2">
      <c r="A142" s="15">
        <f>AVERAGE(C143:AS143)*30*100</f>
        <v>37500</v>
      </c>
      <c r="B142" s="11" t="s">
        <v>12</v>
      </c>
      <c r="C142" s="123"/>
      <c r="D142" s="124"/>
      <c r="E142" s="124"/>
      <c r="F142" s="125"/>
      <c r="G142" s="124"/>
      <c r="H142" s="124"/>
      <c r="I142" s="124"/>
      <c r="J142" s="125"/>
      <c r="K142" s="124"/>
      <c r="L142" s="124"/>
      <c r="M142" s="125"/>
      <c r="N142" s="124"/>
      <c r="O142" s="124"/>
      <c r="P142" s="125"/>
      <c r="Q142" s="124"/>
      <c r="R142" s="124"/>
      <c r="S142" s="125"/>
      <c r="T142" s="124"/>
      <c r="U142" s="125"/>
      <c r="V142" s="124"/>
      <c r="W142" s="124"/>
      <c r="X142" s="125"/>
      <c r="Y142" s="124"/>
      <c r="Z142" s="124"/>
      <c r="AA142" s="125"/>
      <c r="AB142" s="124"/>
      <c r="AC142" s="124"/>
      <c r="AD142" s="124"/>
      <c r="AE142" s="125"/>
      <c r="AF142" s="124"/>
      <c r="AG142" s="124"/>
      <c r="AH142" s="123"/>
      <c r="AI142" s="12"/>
      <c r="AJ142" s="12"/>
      <c r="AK142" s="12"/>
      <c r="AL142" s="195"/>
      <c r="AM142" s="12"/>
      <c r="AN142" s="12"/>
      <c r="AO142" s="195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</row>
    <row r="143" spans="1:55" ht="11.25" customHeight="1" x14ac:dyDescent="0.2">
      <c r="A143" s="15">
        <f t="shared" ref="A143:A146" si="447">SUM(C143:AS143)</f>
        <v>425</v>
      </c>
      <c r="B143" s="19" t="s">
        <v>13</v>
      </c>
      <c r="C143" s="123"/>
      <c r="D143" s="137">
        <f t="shared" ref="D143:AG144" si="448">IF(D136="","",D136-C136)</f>
        <v>0</v>
      </c>
      <c r="E143" s="137">
        <f t="shared" si="448"/>
        <v>14</v>
      </c>
      <c r="F143" s="125">
        <f t="shared" si="448"/>
        <v>0</v>
      </c>
      <c r="G143" s="137">
        <f t="shared" si="448"/>
        <v>0</v>
      </c>
      <c r="H143" s="137">
        <f t="shared" si="448"/>
        <v>0</v>
      </c>
      <c r="I143" s="137">
        <f t="shared" si="448"/>
        <v>21</v>
      </c>
      <c r="J143" s="125">
        <f t="shared" si="448"/>
        <v>0</v>
      </c>
      <c r="K143" s="137">
        <f t="shared" si="448"/>
        <v>0</v>
      </c>
      <c r="L143" s="137">
        <f t="shared" si="448"/>
        <v>38</v>
      </c>
      <c r="M143" s="125">
        <f t="shared" si="448"/>
        <v>0</v>
      </c>
      <c r="N143" s="137">
        <f t="shared" si="448"/>
        <v>0</v>
      </c>
      <c r="O143" s="137">
        <f t="shared" si="448"/>
        <v>44</v>
      </c>
      <c r="P143" s="125">
        <f t="shared" si="448"/>
        <v>0</v>
      </c>
      <c r="Q143" s="137">
        <f t="shared" si="448"/>
        <v>0</v>
      </c>
      <c r="R143" s="124">
        <f t="shared" si="448"/>
        <v>55</v>
      </c>
      <c r="S143" s="125">
        <f t="shared" si="448"/>
        <v>0</v>
      </c>
      <c r="T143" s="137">
        <f t="shared" si="448"/>
        <v>36</v>
      </c>
      <c r="U143" s="125">
        <f t="shared" si="448"/>
        <v>0</v>
      </c>
      <c r="V143" s="137">
        <f t="shared" si="448"/>
        <v>0</v>
      </c>
      <c r="W143" s="137">
        <f t="shared" si="448"/>
        <v>56</v>
      </c>
      <c r="X143" s="125">
        <f t="shared" si="448"/>
        <v>0</v>
      </c>
      <c r="Y143" s="137">
        <f t="shared" si="448"/>
        <v>0</v>
      </c>
      <c r="Z143" s="137">
        <f t="shared" si="448"/>
        <v>67</v>
      </c>
      <c r="AA143" s="125">
        <f t="shared" si="448"/>
        <v>0</v>
      </c>
      <c r="AB143" s="137">
        <f t="shared" si="448"/>
        <v>0</v>
      </c>
      <c r="AC143" s="137">
        <f t="shared" si="448"/>
        <v>0</v>
      </c>
      <c r="AD143" s="137">
        <f t="shared" si="448"/>
        <v>46</v>
      </c>
      <c r="AE143" s="125">
        <f t="shared" si="448"/>
        <v>0</v>
      </c>
      <c r="AF143" s="137">
        <f t="shared" si="448"/>
        <v>0</v>
      </c>
      <c r="AG143" s="137">
        <f t="shared" si="448"/>
        <v>28</v>
      </c>
      <c r="AH143" s="123">
        <f>IF(AH136="","",AH136-AG136)</f>
        <v>0</v>
      </c>
      <c r="AI143" s="20">
        <f t="shared" ref="AI143:BC144" si="449">IF(AI136="","",AI136-AH136)</f>
        <v>0</v>
      </c>
      <c r="AJ143" s="20">
        <f t="shared" si="449"/>
        <v>0</v>
      </c>
      <c r="AK143" s="20">
        <f t="shared" si="449"/>
        <v>20</v>
      </c>
      <c r="AL143" s="195" t="str">
        <f t="shared" si="449"/>
        <v/>
      </c>
      <c r="AM143" s="20" t="str">
        <f t="shared" si="449"/>
        <v/>
      </c>
      <c r="AN143" s="20" t="str">
        <f t="shared" si="449"/>
        <v/>
      </c>
      <c r="AO143" s="195" t="str">
        <f t="shared" si="449"/>
        <v/>
      </c>
      <c r="AP143" s="20" t="str">
        <f t="shared" si="449"/>
        <v/>
      </c>
      <c r="AQ143" s="20" t="str">
        <f t="shared" si="449"/>
        <v/>
      </c>
      <c r="AR143" s="20" t="str">
        <f t="shared" si="449"/>
        <v/>
      </c>
      <c r="AS143" s="20" t="str">
        <f t="shared" si="449"/>
        <v/>
      </c>
      <c r="AT143" s="20" t="str">
        <f t="shared" si="449"/>
        <v/>
      </c>
      <c r="AU143" s="20" t="str">
        <f t="shared" si="449"/>
        <v/>
      </c>
      <c r="AV143" s="20" t="str">
        <f t="shared" si="449"/>
        <v/>
      </c>
      <c r="AW143" s="20" t="str">
        <f t="shared" si="449"/>
        <v/>
      </c>
      <c r="AX143" s="20" t="str">
        <f t="shared" si="449"/>
        <v/>
      </c>
      <c r="AY143" s="20" t="str">
        <f t="shared" si="449"/>
        <v/>
      </c>
      <c r="AZ143" s="20" t="str">
        <f t="shared" si="449"/>
        <v/>
      </c>
      <c r="BA143" s="20" t="str">
        <f t="shared" si="449"/>
        <v/>
      </c>
      <c r="BB143" s="20" t="str">
        <f t="shared" si="449"/>
        <v/>
      </c>
      <c r="BC143" s="20" t="str">
        <f t="shared" si="449"/>
        <v/>
      </c>
    </row>
    <row r="144" spans="1:55" ht="11.25" customHeight="1" x14ac:dyDescent="0.2">
      <c r="A144" s="15">
        <f t="shared" si="447"/>
        <v>12</v>
      </c>
      <c r="B144" s="19" t="s">
        <v>14</v>
      </c>
      <c r="C144" s="123">
        <v>0</v>
      </c>
      <c r="D144" s="137">
        <f t="shared" si="448"/>
        <v>0</v>
      </c>
      <c r="E144" s="137">
        <f t="shared" si="448"/>
        <v>1</v>
      </c>
      <c r="F144" s="125">
        <f t="shared" si="448"/>
        <v>0</v>
      </c>
      <c r="G144" s="137">
        <f t="shared" si="448"/>
        <v>0</v>
      </c>
      <c r="H144" s="137">
        <f t="shared" si="448"/>
        <v>0</v>
      </c>
      <c r="I144" s="137">
        <f t="shared" si="448"/>
        <v>0</v>
      </c>
      <c r="J144" s="125">
        <f t="shared" si="448"/>
        <v>0</v>
      </c>
      <c r="K144" s="137">
        <f t="shared" si="448"/>
        <v>0</v>
      </c>
      <c r="L144" s="137">
        <f t="shared" si="448"/>
        <v>0</v>
      </c>
      <c r="M144" s="125">
        <f t="shared" si="448"/>
        <v>0</v>
      </c>
      <c r="N144" s="137">
        <f t="shared" si="448"/>
        <v>0</v>
      </c>
      <c r="O144" s="137">
        <f t="shared" si="448"/>
        <v>1</v>
      </c>
      <c r="P144" s="125">
        <f t="shared" si="448"/>
        <v>0</v>
      </c>
      <c r="Q144" s="137">
        <f t="shared" si="448"/>
        <v>0</v>
      </c>
      <c r="R144" s="124">
        <f t="shared" si="448"/>
        <v>1</v>
      </c>
      <c r="S144" s="125">
        <f t="shared" si="448"/>
        <v>0</v>
      </c>
      <c r="T144" s="137">
        <f t="shared" si="448"/>
        <v>2</v>
      </c>
      <c r="U144" s="125">
        <f t="shared" si="448"/>
        <v>0</v>
      </c>
      <c r="V144" s="137">
        <f t="shared" si="448"/>
        <v>0</v>
      </c>
      <c r="W144" s="137">
        <f t="shared" si="448"/>
        <v>2</v>
      </c>
      <c r="X144" s="125">
        <f t="shared" si="448"/>
        <v>0</v>
      </c>
      <c r="Y144" s="137">
        <f t="shared" si="448"/>
        <v>0</v>
      </c>
      <c r="Z144" s="137">
        <f t="shared" si="448"/>
        <v>3</v>
      </c>
      <c r="AA144" s="125">
        <f t="shared" si="448"/>
        <v>0</v>
      </c>
      <c r="AB144" s="137">
        <f t="shared" si="448"/>
        <v>0</v>
      </c>
      <c r="AC144" s="137">
        <f t="shared" si="448"/>
        <v>0</v>
      </c>
      <c r="AD144" s="137">
        <f t="shared" si="448"/>
        <v>1</v>
      </c>
      <c r="AE144" s="125">
        <f t="shared" si="448"/>
        <v>0</v>
      </c>
      <c r="AF144" s="137">
        <f t="shared" si="448"/>
        <v>0</v>
      </c>
      <c r="AG144" s="137">
        <f t="shared" si="448"/>
        <v>0</v>
      </c>
      <c r="AH144" s="123">
        <f>IF(AH137="","",AH137-AG137)</f>
        <v>0</v>
      </c>
      <c r="AI144" s="20">
        <f t="shared" si="449"/>
        <v>0</v>
      </c>
      <c r="AJ144" s="20">
        <f t="shared" si="449"/>
        <v>0</v>
      </c>
      <c r="AK144" s="20">
        <f t="shared" si="449"/>
        <v>1</v>
      </c>
      <c r="AL144" s="195" t="str">
        <f t="shared" si="449"/>
        <v/>
      </c>
      <c r="AM144" s="20" t="str">
        <f t="shared" si="449"/>
        <v/>
      </c>
      <c r="AN144" s="20" t="str">
        <f t="shared" si="449"/>
        <v/>
      </c>
      <c r="AO144" s="195" t="str">
        <f t="shared" si="449"/>
        <v/>
      </c>
      <c r="AP144" s="20" t="str">
        <f t="shared" si="449"/>
        <v/>
      </c>
      <c r="AQ144" s="20" t="str">
        <f t="shared" si="449"/>
        <v/>
      </c>
      <c r="AR144" s="20" t="str">
        <f t="shared" si="449"/>
        <v/>
      </c>
      <c r="AS144" s="20" t="str">
        <f t="shared" si="449"/>
        <v/>
      </c>
      <c r="AT144" s="20" t="str">
        <f t="shared" si="449"/>
        <v/>
      </c>
      <c r="AU144" s="20" t="str">
        <f t="shared" si="449"/>
        <v/>
      </c>
      <c r="AV144" s="20" t="str">
        <f t="shared" si="449"/>
        <v/>
      </c>
      <c r="AW144" s="20" t="str">
        <f t="shared" si="449"/>
        <v/>
      </c>
      <c r="AX144" s="20" t="str">
        <f t="shared" si="449"/>
        <v/>
      </c>
      <c r="AY144" s="20" t="str">
        <f t="shared" si="449"/>
        <v/>
      </c>
      <c r="AZ144" s="20" t="str">
        <f t="shared" si="449"/>
        <v/>
      </c>
      <c r="BA144" s="20" t="str">
        <f t="shared" si="449"/>
        <v/>
      </c>
      <c r="BB144" s="20" t="str">
        <f t="shared" si="449"/>
        <v/>
      </c>
      <c r="BC144" s="20" t="str">
        <f t="shared" si="449"/>
        <v/>
      </c>
    </row>
    <row r="145" spans="1:55" ht="11.25" customHeight="1" x14ac:dyDescent="0.2">
      <c r="A145" s="15">
        <f t="shared" si="447"/>
        <v>9</v>
      </c>
      <c r="B145" s="19" t="s">
        <v>15</v>
      </c>
      <c r="C145" s="123">
        <v>0</v>
      </c>
      <c r="D145" s="137">
        <f t="shared" ref="D145:AG145" si="450">IF(D138="","",C138+C139-D138)</f>
        <v>0</v>
      </c>
      <c r="E145" s="137">
        <f t="shared" si="450"/>
        <v>1</v>
      </c>
      <c r="F145" s="125">
        <f t="shared" si="450"/>
        <v>0</v>
      </c>
      <c r="G145" s="137">
        <f t="shared" si="450"/>
        <v>0</v>
      </c>
      <c r="H145" s="137">
        <f t="shared" si="450"/>
        <v>0</v>
      </c>
      <c r="I145" s="137">
        <f t="shared" si="450"/>
        <v>0</v>
      </c>
      <c r="J145" s="125">
        <f t="shared" si="450"/>
        <v>0</v>
      </c>
      <c r="K145" s="137">
        <f t="shared" si="450"/>
        <v>0</v>
      </c>
      <c r="L145" s="137">
        <f t="shared" si="450"/>
        <v>0</v>
      </c>
      <c r="M145" s="125">
        <f t="shared" si="450"/>
        <v>0</v>
      </c>
      <c r="N145" s="137">
        <f t="shared" si="450"/>
        <v>0</v>
      </c>
      <c r="O145" s="137">
        <f t="shared" si="450"/>
        <v>1</v>
      </c>
      <c r="P145" s="125">
        <f t="shared" si="450"/>
        <v>0</v>
      </c>
      <c r="Q145" s="137">
        <f t="shared" si="450"/>
        <v>0</v>
      </c>
      <c r="R145" s="124">
        <f t="shared" si="450"/>
        <v>1</v>
      </c>
      <c r="S145" s="125">
        <f t="shared" si="450"/>
        <v>0</v>
      </c>
      <c r="T145" s="137">
        <f t="shared" si="450"/>
        <v>2</v>
      </c>
      <c r="U145" s="125">
        <f t="shared" si="450"/>
        <v>0</v>
      </c>
      <c r="V145" s="137">
        <f t="shared" si="450"/>
        <v>0</v>
      </c>
      <c r="W145" s="137">
        <f t="shared" si="450"/>
        <v>2</v>
      </c>
      <c r="X145" s="125">
        <f t="shared" si="450"/>
        <v>0</v>
      </c>
      <c r="Y145" s="137">
        <f t="shared" si="450"/>
        <v>0</v>
      </c>
      <c r="Z145" s="137">
        <f t="shared" si="450"/>
        <v>1</v>
      </c>
      <c r="AA145" s="125">
        <f t="shared" si="450"/>
        <v>0</v>
      </c>
      <c r="AB145" s="137">
        <f t="shared" si="450"/>
        <v>0</v>
      </c>
      <c r="AC145" s="137">
        <f t="shared" si="450"/>
        <v>0</v>
      </c>
      <c r="AD145" s="137">
        <f t="shared" si="450"/>
        <v>1</v>
      </c>
      <c r="AE145" s="125">
        <f t="shared" si="450"/>
        <v>0</v>
      </c>
      <c r="AF145" s="137">
        <f t="shared" si="450"/>
        <v>0</v>
      </c>
      <c r="AG145" s="137">
        <f t="shared" si="450"/>
        <v>0</v>
      </c>
      <c r="AH145" s="123">
        <f>IF(AH138="","",AG138+AG139-AH138)</f>
        <v>0</v>
      </c>
      <c r="AI145" s="20">
        <f t="shared" ref="AI145:BC145" si="451">IF(AI138="","",AH138+AH139-AI138)</f>
        <v>0</v>
      </c>
      <c r="AJ145" s="20">
        <f t="shared" si="451"/>
        <v>0</v>
      </c>
      <c r="AK145" s="20">
        <f t="shared" si="451"/>
        <v>0</v>
      </c>
      <c r="AL145" s="195" t="str">
        <f t="shared" si="451"/>
        <v/>
      </c>
      <c r="AM145" s="20" t="str">
        <f t="shared" si="451"/>
        <v/>
      </c>
      <c r="AN145" s="20" t="str">
        <f t="shared" si="451"/>
        <v/>
      </c>
      <c r="AO145" s="195" t="str">
        <f t="shared" si="451"/>
        <v/>
      </c>
      <c r="AP145" s="20" t="str">
        <f t="shared" si="451"/>
        <v/>
      </c>
      <c r="AQ145" s="20" t="str">
        <f t="shared" si="451"/>
        <v/>
      </c>
      <c r="AR145" s="20" t="str">
        <f t="shared" si="451"/>
        <v/>
      </c>
      <c r="AS145" s="20" t="str">
        <f t="shared" si="451"/>
        <v/>
      </c>
      <c r="AT145" s="20" t="str">
        <f t="shared" si="451"/>
        <v/>
      </c>
      <c r="AU145" s="20" t="str">
        <f t="shared" si="451"/>
        <v/>
      </c>
      <c r="AV145" s="20" t="str">
        <f t="shared" si="451"/>
        <v/>
      </c>
      <c r="AW145" s="20" t="str">
        <f t="shared" si="451"/>
        <v/>
      </c>
      <c r="AX145" s="20" t="str">
        <f t="shared" si="451"/>
        <v/>
      </c>
      <c r="AY145" s="20" t="str">
        <f t="shared" si="451"/>
        <v/>
      </c>
      <c r="AZ145" s="20" t="str">
        <f t="shared" si="451"/>
        <v/>
      </c>
      <c r="BA145" s="20" t="str">
        <f t="shared" si="451"/>
        <v/>
      </c>
      <c r="BB145" s="20" t="str">
        <f t="shared" si="451"/>
        <v/>
      </c>
      <c r="BC145" s="20" t="str">
        <f t="shared" si="451"/>
        <v/>
      </c>
    </row>
    <row r="146" spans="1:55" ht="11.25" customHeight="1" x14ac:dyDescent="0.2">
      <c r="A146" s="15">
        <f t="shared" si="447"/>
        <v>7200</v>
      </c>
      <c r="B146" s="19" t="s">
        <v>16</v>
      </c>
      <c r="C146" s="123">
        <v>0</v>
      </c>
      <c r="D146" s="137">
        <f t="shared" ref="D146:BC146" si="452">IF(D136="","",D145*D140)</f>
        <v>0</v>
      </c>
      <c r="E146" s="137">
        <f t="shared" si="452"/>
        <v>800</v>
      </c>
      <c r="F146" s="125">
        <f t="shared" si="452"/>
        <v>0</v>
      </c>
      <c r="G146" s="137">
        <f t="shared" si="452"/>
        <v>0</v>
      </c>
      <c r="H146" s="137">
        <f t="shared" si="452"/>
        <v>0</v>
      </c>
      <c r="I146" s="137">
        <f t="shared" si="452"/>
        <v>0</v>
      </c>
      <c r="J146" s="125">
        <f t="shared" si="452"/>
        <v>0</v>
      </c>
      <c r="K146" s="137">
        <f t="shared" si="452"/>
        <v>0</v>
      </c>
      <c r="L146" s="137">
        <f t="shared" si="452"/>
        <v>0</v>
      </c>
      <c r="M146" s="125">
        <f t="shared" si="452"/>
        <v>0</v>
      </c>
      <c r="N146" s="137">
        <f t="shared" si="452"/>
        <v>0</v>
      </c>
      <c r="O146" s="137">
        <f t="shared" si="452"/>
        <v>800</v>
      </c>
      <c r="P146" s="125">
        <f t="shared" si="452"/>
        <v>0</v>
      </c>
      <c r="Q146" s="137">
        <f t="shared" si="452"/>
        <v>0</v>
      </c>
      <c r="R146" s="124">
        <f t="shared" si="452"/>
        <v>800</v>
      </c>
      <c r="S146" s="125">
        <f t="shared" si="452"/>
        <v>0</v>
      </c>
      <c r="T146" s="137">
        <f t="shared" si="452"/>
        <v>1600</v>
      </c>
      <c r="U146" s="125">
        <f t="shared" si="452"/>
        <v>0</v>
      </c>
      <c r="V146" s="137">
        <f t="shared" si="452"/>
        <v>0</v>
      </c>
      <c r="W146" s="137">
        <f t="shared" si="452"/>
        <v>1600</v>
      </c>
      <c r="X146" s="125">
        <f t="shared" si="452"/>
        <v>0</v>
      </c>
      <c r="Y146" s="137">
        <f t="shared" si="452"/>
        <v>0</v>
      </c>
      <c r="Z146" s="137">
        <f t="shared" si="452"/>
        <v>800</v>
      </c>
      <c r="AA146" s="125">
        <f t="shared" si="452"/>
        <v>0</v>
      </c>
      <c r="AB146" s="137">
        <f t="shared" si="452"/>
        <v>0</v>
      </c>
      <c r="AC146" s="137">
        <f t="shared" si="452"/>
        <v>0</v>
      </c>
      <c r="AD146" s="137">
        <f t="shared" si="452"/>
        <v>800</v>
      </c>
      <c r="AE146" s="125">
        <f t="shared" si="452"/>
        <v>0</v>
      </c>
      <c r="AF146" s="137">
        <f t="shared" si="452"/>
        <v>0</v>
      </c>
      <c r="AG146" s="137">
        <f t="shared" si="452"/>
        <v>0</v>
      </c>
      <c r="AH146" s="123">
        <f>IF(AH136="","",AH145*AH140)</f>
        <v>0</v>
      </c>
      <c r="AI146" s="20">
        <f t="shared" si="452"/>
        <v>0</v>
      </c>
      <c r="AJ146" s="20">
        <f t="shared" si="452"/>
        <v>0</v>
      </c>
      <c r="AK146" s="20">
        <f t="shared" si="452"/>
        <v>0</v>
      </c>
      <c r="AL146" s="195" t="str">
        <f t="shared" si="452"/>
        <v/>
      </c>
      <c r="AM146" s="20" t="str">
        <f t="shared" si="452"/>
        <v/>
      </c>
      <c r="AN146" s="20" t="str">
        <f t="shared" si="452"/>
        <v/>
      </c>
      <c r="AO146" s="195" t="str">
        <f t="shared" si="452"/>
        <v/>
      </c>
      <c r="AP146" s="20" t="str">
        <f t="shared" si="452"/>
        <v/>
      </c>
      <c r="AQ146" s="20" t="str">
        <f t="shared" si="452"/>
        <v/>
      </c>
      <c r="AR146" s="20" t="str">
        <f t="shared" si="452"/>
        <v/>
      </c>
      <c r="AS146" s="20" t="str">
        <f t="shared" si="452"/>
        <v/>
      </c>
      <c r="AT146" s="20" t="str">
        <f t="shared" si="452"/>
        <v/>
      </c>
      <c r="AU146" s="20" t="str">
        <f t="shared" si="452"/>
        <v/>
      </c>
      <c r="AV146" s="20" t="str">
        <f t="shared" si="452"/>
        <v/>
      </c>
      <c r="AW146" s="20" t="str">
        <f t="shared" si="452"/>
        <v/>
      </c>
      <c r="AX146" s="20" t="str">
        <f t="shared" si="452"/>
        <v/>
      </c>
      <c r="AY146" s="20" t="str">
        <f t="shared" si="452"/>
        <v/>
      </c>
      <c r="AZ146" s="20" t="str">
        <f t="shared" si="452"/>
        <v/>
      </c>
      <c r="BA146" s="20" t="str">
        <f t="shared" si="452"/>
        <v/>
      </c>
      <c r="BB146" s="20" t="str">
        <f t="shared" si="452"/>
        <v/>
      </c>
      <c r="BC146" s="20" t="str">
        <f t="shared" si="452"/>
        <v/>
      </c>
    </row>
    <row r="147" spans="1:55" ht="11.25" customHeight="1" thickBot="1" x14ac:dyDescent="0.25">
      <c r="A147" s="21">
        <f>IF(A146="","",A146/(A143*100))</f>
        <v>0.16941176470588235</v>
      </c>
      <c r="B147" s="19" t="s">
        <v>17</v>
      </c>
      <c r="C147" s="146" t="s">
        <v>18</v>
      </c>
      <c r="D147" s="147" t="str">
        <f t="shared" ref="D147:BC147" si="453">IF(D146="","",IF(D146=0,"",D146/(D143*100)))</f>
        <v/>
      </c>
      <c r="E147" s="147">
        <f t="shared" si="453"/>
        <v>0.5714285714285714</v>
      </c>
      <c r="F147" s="148" t="str">
        <f t="shared" si="453"/>
        <v/>
      </c>
      <c r="G147" s="147" t="str">
        <f t="shared" si="453"/>
        <v/>
      </c>
      <c r="H147" s="147" t="str">
        <f t="shared" si="453"/>
        <v/>
      </c>
      <c r="I147" s="147" t="str">
        <f t="shared" si="453"/>
        <v/>
      </c>
      <c r="J147" s="148" t="str">
        <f t="shared" si="453"/>
        <v/>
      </c>
      <c r="K147" s="147" t="str">
        <f t="shared" si="453"/>
        <v/>
      </c>
      <c r="L147" s="147" t="str">
        <f t="shared" si="453"/>
        <v/>
      </c>
      <c r="M147" s="148" t="str">
        <f t="shared" si="453"/>
        <v/>
      </c>
      <c r="N147" s="147" t="str">
        <f t="shared" si="453"/>
        <v/>
      </c>
      <c r="O147" s="147">
        <f t="shared" si="453"/>
        <v>0.18181818181818182</v>
      </c>
      <c r="P147" s="148" t="str">
        <f t="shared" si="453"/>
        <v/>
      </c>
      <c r="Q147" s="147" t="str">
        <f t="shared" si="453"/>
        <v/>
      </c>
      <c r="R147" s="193">
        <f t="shared" si="453"/>
        <v>0.14545454545454545</v>
      </c>
      <c r="S147" s="148" t="str">
        <f t="shared" si="453"/>
        <v/>
      </c>
      <c r="T147" s="147">
        <f t="shared" si="453"/>
        <v>0.44444444444444442</v>
      </c>
      <c r="U147" s="148" t="str">
        <f t="shared" si="453"/>
        <v/>
      </c>
      <c r="V147" s="147" t="str">
        <f t="shared" si="453"/>
        <v/>
      </c>
      <c r="W147" s="147">
        <f t="shared" si="453"/>
        <v>0.2857142857142857</v>
      </c>
      <c r="X147" s="148" t="str">
        <f t="shared" si="453"/>
        <v/>
      </c>
      <c r="Y147" s="147" t="str">
        <f t="shared" si="453"/>
        <v/>
      </c>
      <c r="Z147" s="147">
        <f t="shared" si="453"/>
        <v>0.11940298507462686</v>
      </c>
      <c r="AA147" s="148" t="str">
        <f t="shared" si="453"/>
        <v/>
      </c>
      <c r="AB147" s="147" t="str">
        <f t="shared" si="453"/>
        <v/>
      </c>
      <c r="AC147" s="147" t="str">
        <f t="shared" si="453"/>
        <v/>
      </c>
      <c r="AD147" s="147">
        <f t="shared" si="453"/>
        <v>0.17391304347826086</v>
      </c>
      <c r="AE147" s="148" t="str">
        <f t="shared" si="453"/>
        <v/>
      </c>
      <c r="AF147" s="147" t="str">
        <f t="shared" si="453"/>
        <v/>
      </c>
      <c r="AG147" s="147" t="str">
        <f t="shared" si="453"/>
        <v/>
      </c>
      <c r="AH147" s="146" t="str">
        <f>IF(AH146="","",IF(AH146=0,"",AH146/(AH143*100)))</f>
        <v/>
      </c>
      <c r="AI147" s="27" t="str">
        <f t="shared" si="453"/>
        <v/>
      </c>
      <c r="AJ147" s="27" t="str">
        <f t="shared" si="453"/>
        <v/>
      </c>
      <c r="AK147" s="27" t="str">
        <f t="shared" si="453"/>
        <v/>
      </c>
      <c r="AL147" s="199" t="str">
        <f t="shared" si="453"/>
        <v/>
      </c>
      <c r="AM147" s="27" t="str">
        <f t="shared" si="453"/>
        <v/>
      </c>
      <c r="AN147" s="27" t="str">
        <f t="shared" si="453"/>
        <v/>
      </c>
      <c r="AO147" s="199" t="str">
        <f t="shared" si="453"/>
        <v/>
      </c>
      <c r="AP147" s="27" t="str">
        <f t="shared" si="453"/>
        <v/>
      </c>
      <c r="AQ147" s="27" t="str">
        <f t="shared" si="453"/>
        <v/>
      </c>
      <c r="AR147" s="27" t="str">
        <f t="shared" si="453"/>
        <v/>
      </c>
      <c r="AS147" s="27" t="str">
        <f t="shared" si="453"/>
        <v/>
      </c>
      <c r="AT147" s="27" t="str">
        <f t="shared" si="453"/>
        <v/>
      </c>
      <c r="AU147" s="27" t="str">
        <f t="shared" si="453"/>
        <v/>
      </c>
      <c r="AV147" s="27" t="str">
        <f t="shared" si="453"/>
        <v/>
      </c>
      <c r="AW147" s="27" t="str">
        <f t="shared" si="453"/>
        <v/>
      </c>
      <c r="AX147" s="27" t="str">
        <f t="shared" si="453"/>
        <v/>
      </c>
      <c r="AY147" s="27" t="str">
        <f t="shared" si="453"/>
        <v/>
      </c>
      <c r="AZ147" s="27" t="str">
        <f t="shared" si="453"/>
        <v/>
      </c>
      <c r="BA147" s="27" t="str">
        <f t="shared" si="453"/>
        <v/>
      </c>
      <c r="BB147" s="27" t="str">
        <f t="shared" si="453"/>
        <v/>
      </c>
      <c r="BC147" s="27" t="str">
        <f t="shared" si="453"/>
        <v/>
      </c>
    </row>
    <row r="148" spans="1:55" ht="11.25" customHeight="1" x14ac:dyDescent="0.2">
      <c r="A148" s="28" t="s">
        <v>1</v>
      </c>
      <c r="B148" s="29" t="s">
        <v>2</v>
      </c>
      <c r="C148" s="129">
        <v>7491</v>
      </c>
      <c r="D148" s="130">
        <f t="shared" ref="D148:D149" si="454">IF(D$16="","",C148)</f>
        <v>7491</v>
      </c>
      <c r="E148" s="130">
        <v>7535</v>
      </c>
      <c r="F148" s="131">
        <f t="shared" ref="F148:F149" si="455">IF(F$16="","",E148)</f>
        <v>7535</v>
      </c>
      <c r="G148" s="130">
        <f>IF(G$16="","",F148)</f>
        <v>7535</v>
      </c>
      <c r="H148" s="130">
        <f t="shared" ref="H148:H149" si="456">IF(H$16="","",G148)</f>
        <v>7535</v>
      </c>
      <c r="I148" s="130">
        <v>7573</v>
      </c>
      <c r="J148" s="131">
        <f t="shared" ref="J148:K149" si="457">IF(J$16="","",I148)</f>
        <v>7573</v>
      </c>
      <c r="K148" s="130">
        <f t="shared" si="457"/>
        <v>7573</v>
      </c>
      <c r="L148" s="130">
        <v>7624</v>
      </c>
      <c r="M148" s="131">
        <f t="shared" ref="M148:M149" si="458">IF(M$16="","",L148)</f>
        <v>7624</v>
      </c>
      <c r="N148" s="130">
        <f>IF(N$16="","",M148)</f>
        <v>7624</v>
      </c>
      <c r="O148" s="130">
        <v>7677</v>
      </c>
      <c r="P148" s="131">
        <f t="shared" ref="P148:Q149" si="459">IF(P$16="","",O148)</f>
        <v>7677</v>
      </c>
      <c r="Q148" s="130">
        <f t="shared" si="459"/>
        <v>7677</v>
      </c>
      <c r="R148" s="130">
        <v>7725</v>
      </c>
      <c r="S148" s="131">
        <f t="shared" ref="S148:S149" si="460">IF(S$16="","",R148)</f>
        <v>7725</v>
      </c>
      <c r="T148" s="130">
        <v>7817</v>
      </c>
      <c r="U148" s="131">
        <f>IF(U$16="","",T148)</f>
        <v>7817</v>
      </c>
      <c r="V148" s="130">
        <f t="shared" ref="V148:V149" si="461">IF(V$16="","",U148)</f>
        <v>7817</v>
      </c>
      <c r="W148" s="130">
        <v>7826</v>
      </c>
      <c r="X148" s="131">
        <f t="shared" ref="X148:X149" si="462">IF(X$16="","",W148)</f>
        <v>7826</v>
      </c>
      <c r="Y148" s="130">
        <f>IF(Y$16="","",X148)</f>
        <v>7826</v>
      </c>
      <c r="Z148" s="130">
        <v>7855</v>
      </c>
      <c r="AA148" s="131">
        <f t="shared" ref="AA148:AA149" si="463">IF(AA$16="","",Z148)</f>
        <v>7855</v>
      </c>
      <c r="AB148" s="130">
        <f>IF(AB$16="","",AA148)</f>
        <v>7855</v>
      </c>
      <c r="AC148" s="130">
        <f t="shared" ref="AC148:AC149" si="464">IF(AC$16="","",AB148)</f>
        <v>7855</v>
      </c>
      <c r="AD148" s="130">
        <v>7895</v>
      </c>
      <c r="AE148" s="131">
        <f t="shared" ref="AE148:AE149" si="465">IF(AE$16="","",AD148)</f>
        <v>7895</v>
      </c>
      <c r="AF148" s="130">
        <f>IF(AF$16="","",AE148)</f>
        <v>7895</v>
      </c>
      <c r="AG148" s="130">
        <v>7938</v>
      </c>
      <c r="AH148" s="129">
        <f>IF(AH$16="","",AG148)</f>
        <v>7938</v>
      </c>
      <c r="AI148" s="16">
        <f t="shared" ref="AI148:AJ149" si="466">IF(AI$16="","",AH148)</f>
        <v>7938</v>
      </c>
      <c r="AJ148" s="16">
        <f t="shared" si="466"/>
        <v>7938</v>
      </c>
      <c r="AK148" s="16">
        <v>8014</v>
      </c>
      <c r="AL148" s="196" t="str">
        <f t="shared" ref="AL148:BA149" si="467">IF(AL$16="","",AK148)</f>
        <v/>
      </c>
      <c r="AM148" s="16" t="str">
        <f t="shared" si="467"/>
        <v/>
      </c>
      <c r="AN148" s="16" t="str">
        <f t="shared" si="467"/>
        <v/>
      </c>
      <c r="AO148" s="196" t="str">
        <f t="shared" si="467"/>
        <v/>
      </c>
      <c r="AP148" s="16" t="str">
        <f t="shared" si="467"/>
        <v/>
      </c>
      <c r="AQ148" s="16" t="str">
        <f t="shared" si="467"/>
        <v/>
      </c>
      <c r="AR148" s="16" t="str">
        <f t="shared" si="467"/>
        <v/>
      </c>
      <c r="AS148" s="16" t="str">
        <f t="shared" si="467"/>
        <v/>
      </c>
      <c r="AT148" s="16" t="str">
        <f t="shared" si="467"/>
        <v/>
      </c>
      <c r="AU148" s="16" t="str">
        <f t="shared" si="467"/>
        <v/>
      </c>
      <c r="AV148" s="16" t="str">
        <f t="shared" si="467"/>
        <v/>
      </c>
      <c r="AW148" s="16" t="str">
        <f t="shared" si="467"/>
        <v/>
      </c>
      <c r="AX148" s="16" t="str">
        <f t="shared" si="467"/>
        <v/>
      </c>
      <c r="AY148" s="16" t="str">
        <f t="shared" si="467"/>
        <v/>
      </c>
      <c r="AZ148" s="16" t="str">
        <f t="shared" si="467"/>
        <v/>
      </c>
      <c r="BA148" s="16" t="str">
        <f t="shared" si="467"/>
        <v/>
      </c>
      <c r="BB148" s="16" t="str">
        <f t="shared" ref="BB148:BC149" si="468">IF(BB$16="","",BA148)</f>
        <v/>
      </c>
      <c r="BC148" s="16" t="str">
        <f t="shared" si="468"/>
        <v/>
      </c>
    </row>
    <row r="149" spans="1:55" ht="11.25" customHeight="1" x14ac:dyDescent="0.2">
      <c r="A149" s="10" t="s">
        <v>40</v>
      </c>
      <c r="B149" s="11" t="s">
        <v>4</v>
      </c>
      <c r="C149" s="123">
        <v>411</v>
      </c>
      <c r="D149" s="124">
        <f t="shared" si="454"/>
        <v>411</v>
      </c>
      <c r="E149" s="124">
        <v>412</v>
      </c>
      <c r="F149" s="125">
        <f t="shared" si="455"/>
        <v>412</v>
      </c>
      <c r="G149" s="124">
        <f>IF(G$16="","",F149)</f>
        <v>412</v>
      </c>
      <c r="H149" s="124">
        <f t="shared" si="456"/>
        <v>412</v>
      </c>
      <c r="I149" s="124">
        <v>413</v>
      </c>
      <c r="J149" s="125">
        <f t="shared" si="457"/>
        <v>413</v>
      </c>
      <c r="K149" s="124">
        <f t="shared" si="457"/>
        <v>413</v>
      </c>
      <c r="L149" s="124">
        <f>IF(L$16="","",K149)</f>
        <v>413</v>
      </c>
      <c r="M149" s="125">
        <f t="shared" si="458"/>
        <v>413</v>
      </c>
      <c r="N149" s="124">
        <f>IF(N$16="","",M149)</f>
        <v>413</v>
      </c>
      <c r="O149" s="124">
        <v>414</v>
      </c>
      <c r="P149" s="125">
        <f t="shared" si="459"/>
        <v>414</v>
      </c>
      <c r="Q149" s="124">
        <f t="shared" si="459"/>
        <v>414</v>
      </c>
      <c r="R149" s="124">
        <v>416</v>
      </c>
      <c r="S149" s="125">
        <f t="shared" si="460"/>
        <v>416</v>
      </c>
      <c r="T149" s="124">
        <v>419</v>
      </c>
      <c r="U149" s="125">
        <f>IF(U$16="","",T149)</f>
        <v>419</v>
      </c>
      <c r="V149" s="124">
        <f t="shared" si="461"/>
        <v>419</v>
      </c>
      <c r="W149" s="124">
        <v>420</v>
      </c>
      <c r="X149" s="125">
        <f t="shared" si="462"/>
        <v>420</v>
      </c>
      <c r="Y149" s="124">
        <f>IF(Y$16="","",X149)</f>
        <v>420</v>
      </c>
      <c r="Z149" s="124">
        <v>421</v>
      </c>
      <c r="AA149" s="125">
        <f t="shared" si="463"/>
        <v>421</v>
      </c>
      <c r="AB149" s="124">
        <f>IF(AB$16="","",AA149)</f>
        <v>421</v>
      </c>
      <c r="AC149" s="124">
        <f t="shared" si="464"/>
        <v>421</v>
      </c>
      <c r="AD149" s="124">
        <v>422</v>
      </c>
      <c r="AE149" s="125">
        <f t="shared" si="465"/>
        <v>422</v>
      </c>
      <c r="AF149" s="124">
        <f>IF(AF$16="","",AE149)</f>
        <v>422</v>
      </c>
      <c r="AG149" s="124">
        <f>IF(AG$16="","",AF149)</f>
        <v>422</v>
      </c>
      <c r="AH149" s="123">
        <f>IF(AH$16="","",AG149)</f>
        <v>422</v>
      </c>
      <c r="AI149" s="12">
        <f t="shared" si="466"/>
        <v>422</v>
      </c>
      <c r="AJ149" s="12">
        <f t="shared" si="466"/>
        <v>422</v>
      </c>
      <c r="AK149" s="12">
        <v>424</v>
      </c>
      <c r="AL149" s="195" t="str">
        <f t="shared" si="467"/>
        <v/>
      </c>
      <c r="AM149" s="12" t="str">
        <f t="shared" si="467"/>
        <v/>
      </c>
      <c r="AN149" s="12" t="str">
        <f t="shared" si="467"/>
        <v/>
      </c>
      <c r="AO149" s="195" t="str">
        <f t="shared" si="467"/>
        <v/>
      </c>
      <c r="AP149" s="12" t="str">
        <f t="shared" si="467"/>
        <v/>
      </c>
      <c r="AQ149" s="12" t="str">
        <f t="shared" si="467"/>
        <v/>
      </c>
      <c r="AR149" s="12" t="str">
        <f t="shared" si="467"/>
        <v/>
      </c>
      <c r="AS149" s="12" t="str">
        <f t="shared" si="467"/>
        <v/>
      </c>
      <c r="AT149" s="12" t="str">
        <f t="shared" si="467"/>
        <v/>
      </c>
      <c r="AU149" s="12" t="str">
        <f t="shared" si="467"/>
        <v/>
      </c>
      <c r="AV149" s="12" t="str">
        <f t="shared" si="467"/>
        <v/>
      </c>
      <c r="AW149" s="12" t="str">
        <f t="shared" si="467"/>
        <v/>
      </c>
      <c r="AX149" s="12" t="str">
        <f t="shared" si="467"/>
        <v/>
      </c>
      <c r="AY149" s="12" t="str">
        <f t="shared" si="467"/>
        <v/>
      </c>
      <c r="AZ149" s="12" t="str">
        <f t="shared" si="467"/>
        <v/>
      </c>
      <c r="BA149" s="12" t="str">
        <f t="shared" si="467"/>
        <v/>
      </c>
      <c r="BB149" s="12" t="str">
        <f t="shared" si="468"/>
        <v/>
      </c>
      <c r="BC149" s="12" t="str">
        <f t="shared" si="468"/>
        <v/>
      </c>
    </row>
    <row r="150" spans="1:55" ht="11.25" customHeight="1" x14ac:dyDescent="0.25">
      <c r="A150" s="24">
        <v>3</v>
      </c>
      <c r="B150" s="11" t="s">
        <v>5</v>
      </c>
      <c r="C150" s="123">
        <v>14</v>
      </c>
      <c r="D150" s="124">
        <f t="shared" ref="D150" si="469">IF(D148="","",(C150+C151))</f>
        <v>14</v>
      </c>
      <c r="E150" s="124">
        <v>13</v>
      </c>
      <c r="F150" s="125">
        <f t="shared" ref="F150" si="470">IF(F148="","",(E150+E151))</f>
        <v>13</v>
      </c>
      <c r="G150" s="124">
        <f>IF(G148="","",(F150+F151))</f>
        <v>13</v>
      </c>
      <c r="H150" s="124">
        <f t="shared" ref="H150" si="471">IF(H148="","",(G150+G151))</f>
        <v>13</v>
      </c>
      <c r="I150" s="124">
        <v>12</v>
      </c>
      <c r="J150" s="125">
        <f t="shared" ref="J150:N150" si="472">IF(J148="","",(I150+I151))</f>
        <v>12</v>
      </c>
      <c r="K150" s="124">
        <f t="shared" si="472"/>
        <v>12</v>
      </c>
      <c r="L150" s="124">
        <f t="shared" si="472"/>
        <v>12</v>
      </c>
      <c r="M150" s="125">
        <f t="shared" si="472"/>
        <v>12</v>
      </c>
      <c r="N150" s="124">
        <f t="shared" si="472"/>
        <v>12</v>
      </c>
      <c r="O150" s="124">
        <v>11</v>
      </c>
      <c r="P150" s="125">
        <f t="shared" ref="P150:Q150" si="473">IF(P148="","",(O150+O151))</f>
        <v>16</v>
      </c>
      <c r="Q150" s="124">
        <f t="shared" si="473"/>
        <v>16</v>
      </c>
      <c r="R150" s="124">
        <v>14</v>
      </c>
      <c r="S150" s="125">
        <f t="shared" ref="S150" si="474">IF(S148="","",(R150+R151))</f>
        <v>14</v>
      </c>
      <c r="T150" s="124">
        <v>11</v>
      </c>
      <c r="U150" s="125">
        <f t="shared" ref="U150:X150" si="475">IF(U148="","",(T150+T151))</f>
        <v>11</v>
      </c>
      <c r="V150" s="124">
        <f t="shared" si="475"/>
        <v>11</v>
      </c>
      <c r="W150" s="124">
        <f t="shared" si="475"/>
        <v>11</v>
      </c>
      <c r="X150" s="125">
        <f t="shared" si="475"/>
        <v>11</v>
      </c>
      <c r="Y150" s="124">
        <f>IF(Y148="","",(X150+X151))</f>
        <v>11</v>
      </c>
      <c r="Z150" s="124">
        <f t="shared" ref="Z150:AA150" si="476">IF(Z148="","",(Y150+Y151))</f>
        <v>11</v>
      </c>
      <c r="AA150" s="125">
        <f t="shared" si="476"/>
        <v>28</v>
      </c>
      <c r="AB150" s="124">
        <f>IF(AB148="","",(AA150+AA151))</f>
        <v>28</v>
      </c>
      <c r="AC150" s="124">
        <f t="shared" ref="AC150" si="477">IF(AC148="","",(AB150+AB151))</f>
        <v>28</v>
      </c>
      <c r="AD150" s="124">
        <v>27</v>
      </c>
      <c r="AE150" s="125">
        <f t="shared" ref="AE150" si="478">IF(AE148="","",(AD150+AD151))</f>
        <v>27</v>
      </c>
      <c r="AF150" s="124">
        <f>IF(AF148="","",(AE150+AE151))</f>
        <v>27</v>
      </c>
      <c r="AG150" s="124">
        <f>IF(AG148="","",(AF150+AF151))</f>
        <v>27</v>
      </c>
      <c r="AH150" s="123">
        <f>IF(AH148="","",(AG150+AG151))</f>
        <v>27</v>
      </c>
      <c r="AI150" s="12">
        <f t="shared" ref="AI150:AJ150" si="479">IF(AI148="","",(AH150+AH151))</f>
        <v>27</v>
      </c>
      <c r="AJ150" s="12">
        <f t="shared" si="479"/>
        <v>27</v>
      </c>
      <c r="AK150" s="12">
        <v>25</v>
      </c>
      <c r="AL150" s="195" t="str">
        <f t="shared" ref="AL150:BC150" si="480">IF(AL148="","",(AK150+AK151))</f>
        <v/>
      </c>
      <c r="AM150" s="12" t="str">
        <f t="shared" si="480"/>
        <v/>
      </c>
      <c r="AN150" s="12" t="str">
        <f t="shared" si="480"/>
        <v/>
      </c>
      <c r="AO150" s="195" t="str">
        <f t="shared" si="480"/>
        <v/>
      </c>
      <c r="AP150" s="12" t="str">
        <f t="shared" si="480"/>
        <v/>
      </c>
      <c r="AQ150" s="12" t="str">
        <f t="shared" si="480"/>
        <v/>
      </c>
      <c r="AR150" s="12" t="str">
        <f t="shared" si="480"/>
        <v/>
      </c>
      <c r="AS150" s="12" t="str">
        <f t="shared" si="480"/>
        <v/>
      </c>
      <c r="AT150" s="12" t="str">
        <f t="shared" si="480"/>
        <v/>
      </c>
      <c r="AU150" s="12" t="str">
        <f t="shared" si="480"/>
        <v/>
      </c>
      <c r="AV150" s="12" t="str">
        <f t="shared" si="480"/>
        <v/>
      </c>
      <c r="AW150" s="12" t="str">
        <f t="shared" si="480"/>
        <v/>
      </c>
      <c r="AX150" s="12" t="str">
        <f t="shared" si="480"/>
        <v/>
      </c>
      <c r="AY150" s="12" t="str">
        <f t="shared" si="480"/>
        <v/>
      </c>
      <c r="AZ150" s="12" t="str">
        <f t="shared" si="480"/>
        <v/>
      </c>
      <c r="BA150" s="12" t="str">
        <f t="shared" si="480"/>
        <v/>
      </c>
      <c r="BB150" s="12" t="str">
        <f t="shared" si="480"/>
        <v/>
      </c>
      <c r="BC150" s="12" t="str">
        <f t="shared" si="480"/>
        <v/>
      </c>
    </row>
    <row r="151" spans="1:55" ht="11.25" customHeight="1" x14ac:dyDescent="0.2">
      <c r="A151" s="14"/>
      <c r="B151" s="11" t="s">
        <v>6</v>
      </c>
      <c r="C151" s="123"/>
      <c r="D151" s="124"/>
      <c r="E151" s="124"/>
      <c r="F151" s="125"/>
      <c r="G151" s="124"/>
      <c r="H151" s="124"/>
      <c r="I151" s="124"/>
      <c r="J151" s="125"/>
      <c r="K151" s="124"/>
      <c r="L151" s="124"/>
      <c r="M151" s="125"/>
      <c r="N151" s="124"/>
      <c r="O151" s="124">
        <v>5</v>
      </c>
      <c r="P151" s="125"/>
      <c r="Q151" s="124"/>
      <c r="R151" s="124"/>
      <c r="S151" s="125"/>
      <c r="T151" s="124"/>
      <c r="U151" s="125"/>
      <c r="V151" s="124"/>
      <c r="W151" s="124"/>
      <c r="X151" s="125"/>
      <c r="Y151" s="124"/>
      <c r="Z151" s="124">
        <v>17</v>
      </c>
      <c r="AA151" s="125"/>
      <c r="AB151" s="124"/>
      <c r="AC151" s="124"/>
      <c r="AD151" s="124"/>
      <c r="AE151" s="125"/>
      <c r="AF151" s="124"/>
      <c r="AG151" s="124"/>
      <c r="AH151" s="123"/>
      <c r="AI151" s="12"/>
      <c r="AJ151" s="12"/>
      <c r="AK151" s="12"/>
      <c r="AL151" s="195"/>
      <c r="AM151" s="12"/>
      <c r="AN151" s="12"/>
      <c r="AO151" s="195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</row>
    <row r="152" spans="1:55" ht="11.25" customHeight="1" x14ac:dyDescent="0.2">
      <c r="A152" s="15"/>
      <c r="B152" s="11" t="s">
        <v>8</v>
      </c>
      <c r="C152" s="129">
        <v>400</v>
      </c>
      <c r="D152" s="130">
        <f t="shared" ref="D152:Z152" si="481">IF(D148="","",C152)</f>
        <v>400</v>
      </c>
      <c r="E152" s="130">
        <f t="shared" si="481"/>
        <v>400</v>
      </c>
      <c r="F152" s="131">
        <f t="shared" si="481"/>
        <v>400</v>
      </c>
      <c r="G152" s="130">
        <f t="shared" si="481"/>
        <v>400</v>
      </c>
      <c r="H152" s="130">
        <f t="shared" si="481"/>
        <v>400</v>
      </c>
      <c r="I152" s="130">
        <f t="shared" si="481"/>
        <v>400</v>
      </c>
      <c r="J152" s="131">
        <f t="shared" si="481"/>
        <v>400</v>
      </c>
      <c r="K152" s="130">
        <f t="shared" si="481"/>
        <v>400</v>
      </c>
      <c r="L152" s="130">
        <f t="shared" si="481"/>
        <v>400</v>
      </c>
      <c r="M152" s="131">
        <f t="shared" si="481"/>
        <v>400</v>
      </c>
      <c r="N152" s="130">
        <f t="shared" si="481"/>
        <v>400</v>
      </c>
      <c r="O152" s="130">
        <f t="shared" si="481"/>
        <v>400</v>
      </c>
      <c r="P152" s="131">
        <f t="shared" si="481"/>
        <v>400</v>
      </c>
      <c r="Q152" s="130">
        <f t="shared" si="481"/>
        <v>400</v>
      </c>
      <c r="R152" s="130">
        <f t="shared" si="481"/>
        <v>400</v>
      </c>
      <c r="S152" s="131">
        <f t="shared" si="481"/>
        <v>400</v>
      </c>
      <c r="T152" s="130">
        <f t="shared" si="481"/>
        <v>400</v>
      </c>
      <c r="U152" s="131">
        <f t="shared" si="481"/>
        <v>400</v>
      </c>
      <c r="V152" s="130">
        <f t="shared" si="481"/>
        <v>400</v>
      </c>
      <c r="W152" s="130">
        <f t="shared" si="481"/>
        <v>400</v>
      </c>
      <c r="X152" s="131">
        <f t="shared" si="481"/>
        <v>400</v>
      </c>
      <c r="Y152" s="130">
        <f t="shared" si="481"/>
        <v>400</v>
      </c>
      <c r="Z152" s="130">
        <f t="shared" si="481"/>
        <v>400</v>
      </c>
      <c r="AA152" s="131">
        <v>770</v>
      </c>
      <c r="AB152" s="130">
        <f t="shared" ref="AB152:AG152" si="482">IF(AB148="","",AA152)</f>
        <v>770</v>
      </c>
      <c r="AC152" s="130">
        <f t="shared" si="482"/>
        <v>770</v>
      </c>
      <c r="AD152" s="130">
        <f t="shared" si="482"/>
        <v>770</v>
      </c>
      <c r="AE152" s="131">
        <f t="shared" si="482"/>
        <v>770</v>
      </c>
      <c r="AF152" s="130">
        <f t="shared" si="482"/>
        <v>770</v>
      </c>
      <c r="AG152" s="130">
        <f t="shared" si="482"/>
        <v>770</v>
      </c>
      <c r="AH152" s="129">
        <f>IF(AH148="","",AG152)</f>
        <v>770</v>
      </c>
      <c r="AI152" s="16">
        <f t="shared" ref="AI152:BC152" si="483">IF(AI148="","",AH152)</f>
        <v>770</v>
      </c>
      <c r="AJ152" s="16">
        <f t="shared" si="483"/>
        <v>770</v>
      </c>
      <c r="AK152" s="16">
        <f t="shared" si="483"/>
        <v>770</v>
      </c>
      <c r="AL152" s="196" t="str">
        <f t="shared" si="483"/>
        <v/>
      </c>
      <c r="AM152" s="16" t="str">
        <f t="shared" si="483"/>
        <v/>
      </c>
      <c r="AN152" s="16" t="str">
        <f t="shared" si="483"/>
        <v/>
      </c>
      <c r="AO152" s="196" t="str">
        <f t="shared" si="483"/>
        <v/>
      </c>
      <c r="AP152" s="16" t="str">
        <f t="shared" si="483"/>
        <v/>
      </c>
      <c r="AQ152" s="16" t="str">
        <f t="shared" si="483"/>
        <v/>
      </c>
      <c r="AR152" s="16" t="str">
        <f t="shared" si="483"/>
        <v/>
      </c>
      <c r="AS152" s="16" t="str">
        <f t="shared" si="483"/>
        <v/>
      </c>
      <c r="AT152" s="16" t="str">
        <f t="shared" si="483"/>
        <v/>
      </c>
      <c r="AU152" s="16" t="str">
        <f t="shared" si="483"/>
        <v/>
      </c>
      <c r="AV152" s="16" t="str">
        <f t="shared" si="483"/>
        <v/>
      </c>
      <c r="AW152" s="16" t="str">
        <f t="shared" si="483"/>
        <v/>
      </c>
      <c r="AX152" s="16" t="str">
        <f t="shared" si="483"/>
        <v/>
      </c>
      <c r="AY152" s="16" t="str">
        <f t="shared" si="483"/>
        <v/>
      </c>
      <c r="AZ152" s="16" t="str">
        <f t="shared" si="483"/>
        <v/>
      </c>
      <c r="BA152" s="16" t="str">
        <f t="shared" si="483"/>
        <v/>
      </c>
      <c r="BB152" s="16" t="str">
        <f t="shared" si="483"/>
        <v/>
      </c>
      <c r="BC152" s="16" t="str">
        <f t="shared" si="483"/>
        <v/>
      </c>
    </row>
    <row r="153" spans="1:55" ht="11.25" customHeight="1" x14ac:dyDescent="0.2">
      <c r="A153" s="14" t="s">
        <v>9</v>
      </c>
      <c r="B153" s="17" t="s">
        <v>10</v>
      </c>
      <c r="C153" s="133" t="s">
        <v>219</v>
      </c>
      <c r="D153" s="134" t="str">
        <f t="shared" ref="D153:G153" si="484">IF(D148="","",C153)</f>
        <v>サンリオブレスレット</v>
      </c>
      <c r="E153" s="134" t="str">
        <f t="shared" si="484"/>
        <v>サンリオブレスレット</v>
      </c>
      <c r="F153" s="135" t="str">
        <f t="shared" si="484"/>
        <v>サンリオブレスレット</v>
      </c>
      <c r="G153" s="134" t="str">
        <f t="shared" si="484"/>
        <v>サンリオブレスレット</v>
      </c>
      <c r="H153" s="134" t="str">
        <f>IF(H148="","",G153)</f>
        <v>サンリオブレスレット</v>
      </c>
      <c r="I153" s="134" t="str">
        <f t="shared" ref="I153:Z153" si="485">IF(I148="","",H153)</f>
        <v>サンリオブレスレット</v>
      </c>
      <c r="J153" s="135" t="str">
        <f t="shared" si="485"/>
        <v>サンリオブレスレット</v>
      </c>
      <c r="K153" s="134" t="str">
        <f t="shared" si="485"/>
        <v>サンリオブレスレット</v>
      </c>
      <c r="L153" s="134" t="str">
        <f t="shared" si="485"/>
        <v>サンリオブレスレット</v>
      </c>
      <c r="M153" s="135" t="str">
        <f t="shared" si="485"/>
        <v>サンリオブレスレット</v>
      </c>
      <c r="N153" s="134" t="str">
        <f t="shared" si="485"/>
        <v>サンリオブレスレット</v>
      </c>
      <c r="O153" s="134" t="str">
        <f t="shared" si="485"/>
        <v>サンリオブレスレット</v>
      </c>
      <c r="P153" s="135" t="str">
        <f t="shared" si="485"/>
        <v>サンリオブレスレット</v>
      </c>
      <c r="Q153" s="134" t="str">
        <f t="shared" si="485"/>
        <v>サンリオブレスレット</v>
      </c>
      <c r="R153" s="134" t="str">
        <f t="shared" si="485"/>
        <v>サンリオブレスレット</v>
      </c>
      <c r="S153" s="135" t="str">
        <f t="shared" si="485"/>
        <v>サンリオブレスレット</v>
      </c>
      <c r="T153" s="134" t="str">
        <f t="shared" si="485"/>
        <v>サンリオブレスレット</v>
      </c>
      <c r="U153" s="135" t="str">
        <f t="shared" si="485"/>
        <v>サンリオブレスレット</v>
      </c>
      <c r="V153" s="134" t="str">
        <f t="shared" si="485"/>
        <v>サンリオブレスレット</v>
      </c>
      <c r="W153" s="134" t="str">
        <f t="shared" si="485"/>
        <v>サンリオブレスレット</v>
      </c>
      <c r="X153" s="135" t="str">
        <f t="shared" si="485"/>
        <v>サンリオブレスレット</v>
      </c>
      <c r="Y153" s="134" t="str">
        <f t="shared" si="485"/>
        <v>サンリオブレスレット</v>
      </c>
      <c r="Z153" s="134" t="str">
        <f t="shared" si="485"/>
        <v>サンリオブレスレット</v>
      </c>
      <c r="AA153" s="135" t="s">
        <v>246</v>
      </c>
      <c r="AB153" s="134" t="str">
        <f t="shared" ref="AB153:AG153" si="486">IF(AB148="","",AA153)</f>
        <v>たまごっちミニチュアポシェット</v>
      </c>
      <c r="AC153" s="134" t="str">
        <f t="shared" si="486"/>
        <v>たまごっちミニチュアポシェット</v>
      </c>
      <c r="AD153" s="134" t="str">
        <f t="shared" si="486"/>
        <v>たまごっちミニチュアポシェット</v>
      </c>
      <c r="AE153" s="135" t="str">
        <f t="shared" si="486"/>
        <v>たまごっちミニチュアポシェット</v>
      </c>
      <c r="AF153" s="134" t="str">
        <f t="shared" si="486"/>
        <v>たまごっちミニチュアポシェット</v>
      </c>
      <c r="AG153" s="134" t="str">
        <f t="shared" si="486"/>
        <v>たまごっちミニチュアポシェット</v>
      </c>
      <c r="AH153" s="133" t="str">
        <f>IF(AH148="","",AG153)</f>
        <v>たまごっちミニチュアポシェット</v>
      </c>
      <c r="AI153" s="18" t="str">
        <f t="shared" ref="AI153:BC153" si="487">IF(AI148="","",AH153)</f>
        <v>たまごっちミニチュアポシェット</v>
      </c>
      <c r="AJ153" s="18" t="str">
        <f t="shared" si="487"/>
        <v>たまごっちミニチュアポシェット</v>
      </c>
      <c r="AK153" s="18" t="str">
        <f t="shared" si="487"/>
        <v>たまごっちミニチュアポシェット</v>
      </c>
      <c r="AL153" s="197" t="str">
        <f t="shared" si="487"/>
        <v/>
      </c>
      <c r="AM153" s="18" t="str">
        <f t="shared" si="487"/>
        <v/>
      </c>
      <c r="AN153" s="18" t="str">
        <f t="shared" si="487"/>
        <v/>
      </c>
      <c r="AO153" s="197" t="str">
        <f t="shared" si="487"/>
        <v/>
      </c>
      <c r="AP153" s="18" t="str">
        <f t="shared" si="487"/>
        <v/>
      </c>
      <c r="AQ153" s="18" t="str">
        <f t="shared" si="487"/>
        <v/>
      </c>
      <c r="AR153" s="18" t="str">
        <f t="shared" si="487"/>
        <v/>
      </c>
      <c r="AS153" s="18" t="str">
        <f t="shared" si="487"/>
        <v/>
      </c>
      <c r="AT153" s="18" t="str">
        <f t="shared" si="487"/>
        <v/>
      </c>
      <c r="AU153" s="18" t="str">
        <f t="shared" si="487"/>
        <v/>
      </c>
      <c r="AV153" s="18" t="str">
        <f t="shared" si="487"/>
        <v/>
      </c>
      <c r="AW153" s="18" t="str">
        <f t="shared" si="487"/>
        <v/>
      </c>
      <c r="AX153" s="18" t="str">
        <f t="shared" si="487"/>
        <v/>
      </c>
      <c r="AY153" s="18" t="str">
        <f t="shared" si="487"/>
        <v/>
      </c>
      <c r="AZ153" s="18" t="str">
        <f t="shared" si="487"/>
        <v/>
      </c>
      <c r="BA153" s="18" t="str">
        <f t="shared" si="487"/>
        <v/>
      </c>
      <c r="BB153" s="18" t="str">
        <f t="shared" si="487"/>
        <v/>
      </c>
      <c r="BC153" s="18" t="str">
        <f t="shared" si="487"/>
        <v/>
      </c>
    </row>
    <row r="154" spans="1:55" ht="11.25" customHeight="1" x14ac:dyDescent="0.2">
      <c r="A154" s="15">
        <f>AVERAGE(C155:AS155)*30*100</f>
        <v>46147.058823529413</v>
      </c>
      <c r="B154" s="11" t="s">
        <v>12</v>
      </c>
      <c r="C154" s="123"/>
      <c r="D154" s="124"/>
      <c r="E154" s="124"/>
      <c r="F154" s="125"/>
      <c r="G154" s="124"/>
      <c r="H154" s="124"/>
      <c r="I154" s="124"/>
      <c r="J154" s="125"/>
      <c r="K154" s="124"/>
      <c r="L154" s="124"/>
      <c r="M154" s="125"/>
      <c r="N154" s="124"/>
      <c r="O154" s="124"/>
      <c r="P154" s="125"/>
      <c r="Q154" s="124"/>
      <c r="R154" s="124"/>
      <c r="S154" s="125"/>
      <c r="T154" s="124"/>
      <c r="U154" s="125"/>
      <c r="V154" s="124"/>
      <c r="W154" s="124"/>
      <c r="X154" s="125"/>
      <c r="Y154" s="124"/>
      <c r="Z154" s="124"/>
      <c r="AA154" s="125" t="s">
        <v>255</v>
      </c>
      <c r="AB154" s="124"/>
      <c r="AC154" s="124"/>
      <c r="AD154" s="124"/>
      <c r="AE154" s="125"/>
      <c r="AF154" s="124"/>
      <c r="AG154" s="124"/>
      <c r="AH154" s="123"/>
      <c r="AI154" s="12"/>
      <c r="AJ154" s="12"/>
      <c r="AK154" s="12"/>
      <c r="AL154" s="195"/>
      <c r="AM154" s="12"/>
      <c r="AN154" s="12"/>
      <c r="AO154" s="195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</row>
    <row r="155" spans="1:55" ht="11.25" customHeight="1" x14ac:dyDescent="0.2">
      <c r="A155" s="15">
        <f t="shared" ref="A155:A158" si="488">SUM(C155:AS155)</f>
        <v>523</v>
      </c>
      <c r="B155" s="19" t="s">
        <v>13</v>
      </c>
      <c r="C155" s="123"/>
      <c r="D155" s="137">
        <f t="shared" ref="D155:AG156" si="489">IF(D148="","",D148-C148)</f>
        <v>0</v>
      </c>
      <c r="E155" s="137">
        <f t="shared" si="489"/>
        <v>44</v>
      </c>
      <c r="F155" s="125">
        <f t="shared" si="489"/>
        <v>0</v>
      </c>
      <c r="G155" s="137">
        <f t="shared" si="489"/>
        <v>0</v>
      </c>
      <c r="H155" s="137">
        <f t="shared" si="489"/>
        <v>0</v>
      </c>
      <c r="I155" s="137">
        <f t="shared" si="489"/>
        <v>38</v>
      </c>
      <c r="J155" s="125">
        <f t="shared" si="489"/>
        <v>0</v>
      </c>
      <c r="K155" s="137">
        <f t="shared" si="489"/>
        <v>0</v>
      </c>
      <c r="L155" s="137">
        <f t="shared" si="489"/>
        <v>51</v>
      </c>
      <c r="M155" s="125">
        <f t="shared" si="489"/>
        <v>0</v>
      </c>
      <c r="N155" s="137">
        <f t="shared" si="489"/>
        <v>0</v>
      </c>
      <c r="O155" s="137">
        <f t="shared" si="489"/>
        <v>53</v>
      </c>
      <c r="P155" s="125">
        <f t="shared" si="489"/>
        <v>0</v>
      </c>
      <c r="Q155" s="137">
        <f t="shared" si="489"/>
        <v>0</v>
      </c>
      <c r="R155" s="124">
        <f t="shared" si="489"/>
        <v>48</v>
      </c>
      <c r="S155" s="125">
        <f t="shared" si="489"/>
        <v>0</v>
      </c>
      <c r="T155" s="137">
        <f t="shared" si="489"/>
        <v>92</v>
      </c>
      <c r="U155" s="125">
        <f t="shared" si="489"/>
        <v>0</v>
      </c>
      <c r="V155" s="137">
        <f t="shared" si="489"/>
        <v>0</v>
      </c>
      <c r="W155" s="137">
        <f t="shared" si="489"/>
        <v>9</v>
      </c>
      <c r="X155" s="125">
        <f t="shared" si="489"/>
        <v>0</v>
      </c>
      <c r="Y155" s="137">
        <f t="shared" si="489"/>
        <v>0</v>
      </c>
      <c r="Z155" s="137">
        <f t="shared" si="489"/>
        <v>29</v>
      </c>
      <c r="AA155" s="125">
        <f t="shared" si="489"/>
        <v>0</v>
      </c>
      <c r="AB155" s="137">
        <f t="shared" si="489"/>
        <v>0</v>
      </c>
      <c r="AC155" s="137">
        <f t="shared" si="489"/>
        <v>0</v>
      </c>
      <c r="AD155" s="137">
        <f t="shared" si="489"/>
        <v>40</v>
      </c>
      <c r="AE155" s="125">
        <f t="shared" si="489"/>
        <v>0</v>
      </c>
      <c r="AF155" s="137">
        <f t="shared" si="489"/>
        <v>0</v>
      </c>
      <c r="AG155" s="137">
        <f t="shared" si="489"/>
        <v>43</v>
      </c>
      <c r="AH155" s="123">
        <f>IF(AH148="","",AH148-AG148)</f>
        <v>0</v>
      </c>
      <c r="AI155" s="20">
        <f t="shared" ref="AI155:BC156" si="490">IF(AI148="","",AI148-AH148)</f>
        <v>0</v>
      </c>
      <c r="AJ155" s="20">
        <f t="shared" si="490"/>
        <v>0</v>
      </c>
      <c r="AK155" s="20">
        <f t="shared" si="490"/>
        <v>76</v>
      </c>
      <c r="AL155" s="195" t="str">
        <f t="shared" si="490"/>
        <v/>
      </c>
      <c r="AM155" s="20" t="str">
        <f t="shared" si="490"/>
        <v/>
      </c>
      <c r="AN155" s="20" t="str">
        <f t="shared" si="490"/>
        <v/>
      </c>
      <c r="AO155" s="195" t="str">
        <f t="shared" si="490"/>
        <v/>
      </c>
      <c r="AP155" s="20" t="str">
        <f t="shared" si="490"/>
        <v/>
      </c>
      <c r="AQ155" s="20" t="str">
        <f t="shared" si="490"/>
        <v/>
      </c>
      <c r="AR155" s="20" t="str">
        <f t="shared" si="490"/>
        <v/>
      </c>
      <c r="AS155" s="20" t="str">
        <f t="shared" si="490"/>
        <v/>
      </c>
      <c r="AT155" s="20" t="str">
        <f t="shared" si="490"/>
        <v/>
      </c>
      <c r="AU155" s="20" t="str">
        <f t="shared" si="490"/>
        <v/>
      </c>
      <c r="AV155" s="20" t="str">
        <f t="shared" si="490"/>
        <v/>
      </c>
      <c r="AW155" s="20" t="str">
        <f t="shared" si="490"/>
        <v/>
      </c>
      <c r="AX155" s="20" t="str">
        <f t="shared" si="490"/>
        <v/>
      </c>
      <c r="AY155" s="20" t="str">
        <f t="shared" si="490"/>
        <v/>
      </c>
      <c r="AZ155" s="20" t="str">
        <f t="shared" si="490"/>
        <v/>
      </c>
      <c r="BA155" s="20" t="str">
        <f t="shared" si="490"/>
        <v/>
      </c>
      <c r="BB155" s="20" t="str">
        <f t="shared" si="490"/>
        <v/>
      </c>
      <c r="BC155" s="20" t="str">
        <f t="shared" si="490"/>
        <v/>
      </c>
    </row>
    <row r="156" spans="1:55" ht="11.25" customHeight="1" x14ac:dyDescent="0.2">
      <c r="A156" s="15">
        <f t="shared" si="488"/>
        <v>14</v>
      </c>
      <c r="B156" s="19" t="s">
        <v>14</v>
      </c>
      <c r="C156" s="123">
        <v>1</v>
      </c>
      <c r="D156" s="137">
        <f t="shared" si="489"/>
        <v>0</v>
      </c>
      <c r="E156" s="137">
        <f t="shared" si="489"/>
        <v>1</v>
      </c>
      <c r="F156" s="125">
        <f t="shared" si="489"/>
        <v>0</v>
      </c>
      <c r="G156" s="137">
        <f t="shared" si="489"/>
        <v>0</v>
      </c>
      <c r="H156" s="137">
        <f t="shared" si="489"/>
        <v>0</v>
      </c>
      <c r="I156" s="137">
        <f t="shared" si="489"/>
        <v>1</v>
      </c>
      <c r="J156" s="125">
        <f t="shared" si="489"/>
        <v>0</v>
      </c>
      <c r="K156" s="137">
        <f t="shared" si="489"/>
        <v>0</v>
      </c>
      <c r="L156" s="137">
        <f t="shared" si="489"/>
        <v>0</v>
      </c>
      <c r="M156" s="125">
        <f t="shared" si="489"/>
        <v>0</v>
      </c>
      <c r="N156" s="137">
        <f t="shared" si="489"/>
        <v>0</v>
      </c>
      <c r="O156" s="137">
        <f t="shared" si="489"/>
        <v>1</v>
      </c>
      <c r="P156" s="125">
        <f t="shared" si="489"/>
        <v>0</v>
      </c>
      <c r="Q156" s="137">
        <f t="shared" si="489"/>
        <v>0</v>
      </c>
      <c r="R156" s="124">
        <f t="shared" si="489"/>
        <v>2</v>
      </c>
      <c r="S156" s="125">
        <f t="shared" si="489"/>
        <v>0</v>
      </c>
      <c r="T156" s="137">
        <f t="shared" si="489"/>
        <v>3</v>
      </c>
      <c r="U156" s="125">
        <f t="shared" si="489"/>
        <v>0</v>
      </c>
      <c r="V156" s="137">
        <f t="shared" si="489"/>
        <v>0</v>
      </c>
      <c r="W156" s="137">
        <f t="shared" si="489"/>
        <v>1</v>
      </c>
      <c r="X156" s="125">
        <f t="shared" si="489"/>
        <v>0</v>
      </c>
      <c r="Y156" s="137">
        <f t="shared" si="489"/>
        <v>0</v>
      </c>
      <c r="Z156" s="137">
        <f t="shared" si="489"/>
        <v>1</v>
      </c>
      <c r="AA156" s="125">
        <f t="shared" si="489"/>
        <v>0</v>
      </c>
      <c r="AB156" s="137">
        <f t="shared" si="489"/>
        <v>0</v>
      </c>
      <c r="AC156" s="137">
        <f t="shared" si="489"/>
        <v>0</v>
      </c>
      <c r="AD156" s="137">
        <f t="shared" si="489"/>
        <v>1</v>
      </c>
      <c r="AE156" s="125">
        <f t="shared" si="489"/>
        <v>0</v>
      </c>
      <c r="AF156" s="137">
        <f t="shared" si="489"/>
        <v>0</v>
      </c>
      <c r="AG156" s="137">
        <f t="shared" si="489"/>
        <v>0</v>
      </c>
      <c r="AH156" s="123">
        <f>IF(AH149="","",AH149-AG149)</f>
        <v>0</v>
      </c>
      <c r="AI156" s="20">
        <f t="shared" si="490"/>
        <v>0</v>
      </c>
      <c r="AJ156" s="20">
        <f t="shared" si="490"/>
        <v>0</v>
      </c>
      <c r="AK156" s="20">
        <f t="shared" si="490"/>
        <v>2</v>
      </c>
      <c r="AL156" s="195" t="str">
        <f t="shared" si="490"/>
        <v/>
      </c>
      <c r="AM156" s="20" t="str">
        <f t="shared" si="490"/>
        <v/>
      </c>
      <c r="AN156" s="20" t="str">
        <f t="shared" si="490"/>
        <v/>
      </c>
      <c r="AO156" s="195" t="str">
        <f t="shared" si="490"/>
        <v/>
      </c>
      <c r="AP156" s="20" t="str">
        <f t="shared" si="490"/>
        <v/>
      </c>
      <c r="AQ156" s="20" t="str">
        <f t="shared" si="490"/>
        <v/>
      </c>
      <c r="AR156" s="20" t="str">
        <f t="shared" si="490"/>
        <v/>
      </c>
      <c r="AS156" s="20" t="str">
        <f t="shared" si="490"/>
        <v/>
      </c>
      <c r="AT156" s="20" t="str">
        <f t="shared" si="490"/>
        <v/>
      </c>
      <c r="AU156" s="20" t="str">
        <f t="shared" si="490"/>
        <v/>
      </c>
      <c r="AV156" s="20" t="str">
        <f t="shared" si="490"/>
        <v/>
      </c>
      <c r="AW156" s="20" t="str">
        <f t="shared" si="490"/>
        <v/>
      </c>
      <c r="AX156" s="20" t="str">
        <f t="shared" si="490"/>
        <v/>
      </c>
      <c r="AY156" s="20" t="str">
        <f t="shared" si="490"/>
        <v/>
      </c>
      <c r="AZ156" s="20" t="str">
        <f t="shared" si="490"/>
        <v/>
      </c>
      <c r="BA156" s="20" t="str">
        <f t="shared" si="490"/>
        <v/>
      </c>
      <c r="BB156" s="20" t="str">
        <f t="shared" si="490"/>
        <v/>
      </c>
      <c r="BC156" s="20" t="str">
        <f t="shared" si="490"/>
        <v/>
      </c>
    </row>
    <row r="157" spans="1:55" ht="11.25" customHeight="1" x14ac:dyDescent="0.2">
      <c r="A157" s="15">
        <f t="shared" si="488"/>
        <v>12</v>
      </c>
      <c r="B157" s="19" t="s">
        <v>15</v>
      </c>
      <c r="C157" s="123">
        <v>1</v>
      </c>
      <c r="D157" s="137">
        <f t="shared" ref="D157:AG157" si="491">IF(D150="","",C150+C151-D150)</f>
        <v>0</v>
      </c>
      <c r="E157" s="137">
        <f t="shared" si="491"/>
        <v>1</v>
      </c>
      <c r="F157" s="125">
        <f t="shared" si="491"/>
        <v>0</v>
      </c>
      <c r="G157" s="137">
        <f t="shared" si="491"/>
        <v>0</v>
      </c>
      <c r="H157" s="137">
        <f t="shared" si="491"/>
        <v>0</v>
      </c>
      <c r="I157" s="137">
        <f t="shared" si="491"/>
        <v>1</v>
      </c>
      <c r="J157" s="125">
        <f t="shared" si="491"/>
        <v>0</v>
      </c>
      <c r="K157" s="137">
        <f t="shared" si="491"/>
        <v>0</v>
      </c>
      <c r="L157" s="137">
        <f t="shared" si="491"/>
        <v>0</v>
      </c>
      <c r="M157" s="125">
        <f t="shared" si="491"/>
        <v>0</v>
      </c>
      <c r="N157" s="137">
        <f t="shared" si="491"/>
        <v>0</v>
      </c>
      <c r="O157" s="137">
        <f t="shared" si="491"/>
        <v>1</v>
      </c>
      <c r="P157" s="125">
        <f t="shared" si="491"/>
        <v>0</v>
      </c>
      <c r="Q157" s="137">
        <f t="shared" si="491"/>
        <v>0</v>
      </c>
      <c r="R157" s="124">
        <f t="shared" si="491"/>
        <v>2</v>
      </c>
      <c r="S157" s="125">
        <f t="shared" si="491"/>
        <v>0</v>
      </c>
      <c r="T157" s="137">
        <f t="shared" si="491"/>
        <v>3</v>
      </c>
      <c r="U157" s="125">
        <f t="shared" si="491"/>
        <v>0</v>
      </c>
      <c r="V157" s="137">
        <f t="shared" si="491"/>
        <v>0</v>
      </c>
      <c r="W157" s="137">
        <f t="shared" si="491"/>
        <v>0</v>
      </c>
      <c r="X157" s="125">
        <f t="shared" si="491"/>
        <v>0</v>
      </c>
      <c r="Y157" s="137">
        <f t="shared" si="491"/>
        <v>0</v>
      </c>
      <c r="Z157" s="137">
        <f t="shared" si="491"/>
        <v>0</v>
      </c>
      <c r="AA157" s="125">
        <f t="shared" si="491"/>
        <v>0</v>
      </c>
      <c r="AB157" s="137">
        <f t="shared" si="491"/>
        <v>0</v>
      </c>
      <c r="AC157" s="137">
        <f t="shared" si="491"/>
        <v>0</v>
      </c>
      <c r="AD157" s="137">
        <f t="shared" si="491"/>
        <v>1</v>
      </c>
      <c r="AE157" s="125">
        <f t="shared" si="491"/>
        <v>0</v>
      </c>
      <c r="AF157" s="137">
        <f t="shared" si="491"/>
        <v>0</v>
      </c>
      <c r="AG157" s="137">
        <f t="shared" si="491"/>
        <v>0</v>
      </c>
      <c r="AH157" s="123">
        <f>IF(AH150="","",AG150+AG151-AH150)</f>
        <v>0</v>
      </c>
      <c r="AI157" s="20">
        <f t="shared" ref="AI157:BC157" si="492">IF(AI150="","",AH150+AH151-AI150)</f>
        <v>0</v>
      </c>
      <c r="AJ157" s="20">
        <f t="shared" si="492"/>
        <v>0</v>
      </c>
      <c r="AK157" s="20">
        <f t="shared" si="492"/>
        <v>2</v>
      </c>
      <c r="AL157" s="195" t="str">
        <f t="shared" si="492"/>
        <v/>
      </c>
      <c r="AM157" s="20" t="str">
        <f t="shared" si="492"/>
        <v/>
      </c>
      <c r="AN157" s="20" t="str">
        <f t="shared" si="492"/>
        <v/>
      </c>
      <c r="AO157" s="195" t="str">
        <f t="shared" si="492"/>
        <v/>
      </c>
      <c r="AP157" s="20" t="str">
        <f t="shared" si="492"/>
        <v/>
      </c>
      <c r="AQ157" s="20" t="str">
        <f t="shared" si="492"/>
        <v/>
      </c>
      <c r="AR157" s="20" t="str">
        <f t="shared" si="492"/>
        <v/>
      </c>
      <c r="AS157" s="20" t="str">
        <f t="shared" si="492"/>
        <v/>
      </c>
      <c r="AT157" s="20" t="str">
        <f t="shared" si="492"/>
        <v/>
      </c>
      <c r="AU157" s="20" t="str">
        <f t="shared" si="492"/>
        <v/>
      </c>
      <c r="AV157" s="20" t="str">
        <f t="shared" si="492"/>
        <v/>
      </c>
      <c r="AW157" s="20" t="str">
        <f t="shared" si="492"/>
        <v/>
      </c>
      <c r="AX157" s="20" t="str">
        <f t="shared" si="492"/>
        <v/>
      </c>
      <c r="AY157" s="20" t="str">
        <f t="shared" si="492"/>
        <v/>
      </c>
      <c r="AZ157" s="20" t="str">
        <f t="shared" si="492"/>
        <v/>
      </c>
      <c r="BA157" s="20" t="str">
        <f t="shared" si="492"/>
        <v/>
      </c>
      <c r="BB157" s="20" t="str">
        <f t="shared" si="492"/>
        <v/>
      </c>
      <c r="BC157" s="20" t="str">
        <f t="shared" si="492"/>
        <v/>
      </c>
    </row>
    <row r="158" spans="1:55" ht="11.25" customHeight="1" x14ac:dyDescent="0.2">
      <c r="A158" s="15">
        <f t="shared" si="488"/>
        <v>5910</v>
      </c>
      <c r="B158" s="19" t="s">
        <v>16</v>
      </c>
      <c r="C158" s="123">
        <v>400</v>
      </c>
      <c r="D158" s="137">
        <f t="shared" ref="D158:BC158" si="493">IF(D148="","",D157*D152)</f>
        <v>0</v>
      </c>
      <c r="E158" s="137">
        <f t="shared" si="493"/>
        <v>400</v>
      </c>
      <c r="F158" s="125">
        <f t="shared" si="493"/>
        <v>0</v>
      </c>
      <c r="G158" s="137">
        <f t="shared" si="493"/>
        <v>0</v>
      </c>
      <c r="H158" s="137">
        <f t="shared" si="493"/>
        <v>0</v>
      </c>
      <c r="I158" s="137">
        <f t="shared" si="493"/>
        <v>400</v>
      </c>
      <c r="J158" s="125">
        <f t="shared" si="493"/>
        <v>0</v>
      </c>
      <c r="K158" s="137">
        <f t="shared" si="493"/>
        <v>0</v>
      </c>
      <c r="L158" s="137">
        <f t="shared" si="493"/>
        <v>0</v>
      </c>
      <c r="M158" s="125">
        <f t="shared" si="493"/>
        <v>0</v>
      </c>
      <c r="N158" s="137">
        <f t="shared" si="493"/>
        <v>0</v>
      </c>
      <c r="O158" s="137">
        <f t="shared" si="493"/>
        <v>400</v>
      </c>
      <c r="P158" s="125">
        <f t="shared" si="493"/>
        <v>0</v>
      </c>
      <c r="Q158" s="137">
        <f t="shared" si="493"/>
        <v>0</v>
      </c>
      <c r="R158" s="124">
        <f t="shared" si="493"/>
        <v>800</v>
      </c>
      <c r="S158" s="125">
        <f t="shared" si="493"/>
        <v>0</v>
      </c>
      <c r="T158" s="137">
        <f t="shared" si="493"/>
        <v>1200</v>
      </c>
      <c r="U158" s="125">
        <f t="shared" si="493"/>
        <v>0</v>
      </c>
      <c r="V158" s="137">
        <f t="shared" si="493"/>
        <v>0</v>
      </c>
      <c r="W158" s="137">
        <f t="shared" si="493"/>
        <v>0</v>
      </c>
      <c r="X158" s="125">
        <f t="shared" si="493"/>
        <v>0</v>
      </c>
      <c r="Y158" s="137">
        <f t="shared" si="493"/>
        <v>0</v>
      </c>
      <c r="Z158" s="137">
        <f t="shared" si="493"/>
        <v>0</v>
      </c>
      <c r="AA158" s="125">
        <f t="shared" si="493"/>
        <v>0</v>
      </c>
      <c r="AB158" s="137">
        <f t="shared" si="493"/>
        <v>0</v>
      </c>
      <c r="AC158" s="137">
        <f t="shared" si="493"/>
        <v>0</v>
      </c>
      <c r="AD158" s="137">
        <f t="shared" si="493"/>
        <v>770</v>
      </c>
      <c r="AE158" s="125">
        <f t="shared" si="493"/>
        <v>0</v>
      </c>
      <c r="AF158" s="137">
        <f t="shared" si="493"/>
        <v>0</v>
      </c>
      <c r="AG158" s="137">
        <f t="shared" si="493"/>
        <v>0</v>
      </c>
      <c r="AH158" s="123">
        <f>IF(AH148="","",AH157*AH152)</f>
        <v>0</v>
      </c>
      <c r="AI158" s="20">
        <f t="shared" si="493"/>
        <v>0</v>
      </c>
      <c r="AJ158" s="20">
        <f t="shared" si="493"/>
        <v>0</v>
      </c>
      <c r="AK158" s="20">
        <f t="shared" si="493"/>
        <v>1540</v>
      </c>
      <c r="AL158" s="195" t="str">
        <f t="shared" si="493"/>
        <v/>
      </c>
      <c r="AM158" s="20" t="str">
        <f t="shared" si="493"/>
        <v/>
      </c>
      <c r="AN158" s="20" t="str">
        <f t="shared" si="493"/>
        <v/>
      </c>
      <c r="AO158" s="195" t="str">
        <f t="shared" si="493"/>
        <v/>
      </c>
      <c r="AP158" s="20" t="str">
        <f t="shared" si="493"/>
        <v/>
      </c>
      <c r="AQ158" s="20" t="str">
        <f t="shared" si="493"/>
        <v/>
      </c>
      <c r="AR158" s="20" t="str">
        <f t="shared" si="493"/>
        <v/>
      </c>
      <c r="AS158" s="20" t="str">
        <f t="shared" si="493"/>
        <v/>
      </c>
      <c r="AT158" s="20" t="str">
        <f t="shared" si="493"/>
        <v/>
      </c>
      <c r="AU158" s="20" t="str">
        <f t="shared" si="493"/>
        <v/>
      </c>
      <c r="AV158" s="20" t="str">
        <f t="shared" si="493"/>
        <v/>
      </c>
      <c r="AW158" s="20" t="str">
        <f t="shared" si="493"/>
        <v/>
      </c>
      <c r="AX158" s="20" t="str">
        <f t="shared" si="493"/>
        <v/>
      </c>
      <c r="AY158" s="20" t="str">
        <f t="shared" si="493"/>
        <v/>
      </c>
      <c r="AZ158" s="20" t="str">
        <f t="shared" si="493"/>
        <v/>
      </c>
      <c r="BA158" s="20" t="str">
        <f t="shared" si="493"/>
        <v/>
      </c>
      <c r="BB158" s="20" t="str">
        <f t="shared" si="493"/>
        <v/>
      </c>
      <c r="BC158" s="20" t="str">
        <f t="shared" si="493"/>
        <v/>
      </c>
    </row>
    <row r="159" spans="1:55" ht="11.25" customHeight="1" thickBot="1" x14ac:dyDescent="0.25">
      <c r="A159" s="21">
        <f>IF(A158="","",A158/(A155*100))</f>
        <v>0.11300191204588911</v>
      </c>
      <c r="B159" s="19" t="s">
        <v>17</v>
      </c>
      <c r="C159" s="146">
        <v>0.2857142857142857</v>
      </c>
      <c r="D159" s="147" t="str">
        <f t="shared" ref="D159:BC159" si="494">IF(D158="","",IF(D158=0,"",D158/(D155*100)))</f>
        <v/>
      </c>
      <c r="E159" s="147">
        <f t="shared" si="494"/>
        <v>9.0909090909090912E-2</v>
      </c>
      <c r="F159" s="148" t="str">
        <f t="shared" si="494"/>
        <v/>
      </c>
      <c r="G159" s="147" t="str">
        <f t="shared" si="494"/>
        <v/>
      </c>
      <c r="H159" s="147" t="str">
        <f t="shared" si="494"/>
        <v/>
      </c>
      <c r="I159" s="147">
        <f t="shared" si="494"/>
        <v>0.10526315789473684</v>
      </c>
      <c r="J159" s="148" t="str">
        <f t="shared" si="494"/>
        <v/>
      </c>
      <c r="K159" s="147" t="str">
        <f t="shared" si="494"/>
        <v/>
      </c>
      <c r="L159" s="147" t="str">
        <f t="shared" si="494"/>
        <v/>
      </c>
      <c r="M159" s="148" t="str">
        <f t="shared" si="494"/>
        <v/>
      </c>
      <c r="N159" s="147" t="str">
        <f t="shared" si="494"/>
        <v/>
      </c>
      <c r="O159" s="147">
        <f t="shared" si="494"/>
        <v>7.5471698113207544E-2</v>
      </c>
      <c r="P159" s="148" t="str">
        <f t="shared" si="494"/>
        <v/>
      </c>
      <c r="Q159" s="147" t="str">
        <f t="shared" si="494"/>
        <v/>
      </c>
      <c r="R159" s="193">
        <f t="shared" si="494"/>
        <v>0.16666666666666666</v>
      </c>
      <c r="S159" s="148" t="str">
        <f t="shared" si="494"/>
        <v/>
      </c>
      <c r="T159" s="147">
        <f t="shared" si="494"/>
        <v>0.13043478260869565</v>
      </c>
      <c r="U159" s="148" t="str">
        <f t="shared" si="494"/>
        <v/>
      </c>
      <c r="V159" s="147" t="str">
        <f t="shared" si="494"/>
        <v/>
      </c>
      <c r="W159" s="147" t="str">
        <f t="shared" si="494"/>
        <v/>
      </c>
      <c r="X159" s="148" t="str">
        <f t="shared" si="494"/>
        <v/>
      </c>
      <c r="Y159" s="147" t="str">
        <f t="shared" si="494"/>
        <v/>
      </c>
      <c r="Z159" s="147" t="str">
        <f t="shared" si="494"/>
        <v/>
      </c>
      <c r="AA159" s="148" t="str">
        <f t="shared" si="494"/>
        <v/>
      </c>
      <c r="AB159" s="147" t="str">
        <f t="shared" si="494"/>
        <v/>
      </c>
      <c r="AC159" s="147" t="str">
        <f t="shared" si="494"/>
        <v/>
      </c>
      <c r="AD159" s="147">
        <f t="shared" si="494"/>
        <v>0.1925</v>
      </c>
      <c r="AE159" s="148" t="str">
        <f t="shared" si="494"/>
        <v/>
      </c>
      <c r="AF159" s="147" t="str">
        <f t="shared" si="494"/>
        <v/>
      </c>
      <c r="AG159" s="147" t="str">
        <f t="shared" si="494"/>
        <v/>
      </c>
      <c r="AH159" s="146" t="str">
        <f>IF(AH158="","",IF(AH158=0,"",AH158/(AH155*100)))</f>
        <v/>
      </c>
      <c r="AI159" s="27" t="str">
        <f t="shared" si="494"/>
        <v/>
      </c>
      <c r="AJ159" s="27" t="str">
        <f t="shared" si="494"/>
        <v/>
      </c>
      <c r="AK159" s="27">
        <f t="shared" si="494"/>
        <v>0.20263157894736841</v>
      </c>
      <c r="AL159" s="199" t="str">
        <f t="shared" si="494"/>
        <v/>
      </c>
      <c r="AM159" s="27" t="str">
        <f t="shared" si="494"/>
        <v/>
      </c>
      <c r="AN159" s="27" t="str">
        <f t="shared" si="494"/>
        <v/>
      </c>
      <c r="AO159" s="199" t="str">
        <f t="shared" si="494"/>
        <v/>
      </c>
      <c r="AP159" s="27" t="str">
        <f t="shared" si="494"/>
        <v/>
      </c>
      <c r="AQ159" s="27" t="str">
        <f t="shared" si="494"/>
        <v/>
      </c>
      <c r="AR159" s="27" t="str">
        <f t="shared" si="494"/>
        <v/>
      </c>
      <c r="AS159" s="27" t="str">
        <f t="shared" si="494"/>
        <v/>
      </c>
      <c r="AT159" s="27" t="str">
        <f t="shared" si="494"/>
        <v/>
      </c>
      <c r="AU159" s="27" t="str">
        <f t="shared" si="494"/>
        <v/>
      </c>
      <c r="AV159" s="27" t="str">
        <f t="shared" si="494"/>
        <v/>
      </c>
      <c r="AW159" s="27" t="str">
        <f t="shared" si="494"/>
        <v/>
      </c>
      <c r="AX159" s="27" t="str">
        <f t="shared" si="494"/>
        <v/>
      </c>
      <c r="AY159" s="27" t="str">
        <f t="shared" si="494"/>
        <v/>
      </c>
      <c r="AZ159" s="27" t="str">
        <f t="shared" si="494"/>
        <v/>
      </c>
      <c r="BA159" s="27" t="str">
        <f t="shared" si="494"/>
        <v/>
      </c>
      <c r="BB159" s="27" t="str">
        <f t="shared" si="494"/>
        <v/>
      </c>
      <c r="BC159" s="27" t="str">
        <f t="shared" si="494"/>
        <v/>
      </c>
    </row>
    <row r="160" spans="1:55" ht="11.25" customHeight="1" x14ac:dyDescent="0.2">
      <c r="A160" s="28" t="s">
        <v>1</v>
      </c>
      <c r="B160" s="29" t="s">
        <v>2</v>
      </c>
      <c r="C160" s="129">
        <v>8627</v>
      </c>
      <c r="D160" s="130">
        <f t="shared" ref="D160:D161" si="495">IF(D$16="","",C160)</f>
        <v>8627</v>
      </c>
      <c r="E160" s="130">
        <v>8731</v>
      </c>
      <c r="F160" s="131">
        <f t="shared" ref="F160:F161" si="496">IF(F$16="","",E160)</f>
        <v>8731</v>
      </c>
      <c r="G160" s="130">
        <f>IF(G$16="","",F160)</f>
        <v>8731</v>
      </c>
      <c r="H160" s="130">
        <f t="shared" ref="H160:I161" si="497">IF(H$16="","",G160)</f>
        <v>8731</v>
      </c>
      <c r="I160" s="130">
        <v>8779</v>
      </c>
      <c r="J160" s="131">
        <f t="shared" ref="J160:K161" si="498">IF(J$16="","",I160)</f>
        <v>8779</v>
      </c>
      <c r="K160" s="130">
        <f t="shared" si="498"/>
        <v>8779</v>
      </c>
      <c r="L160" s="130">
        <v>8876</v>
      </c>
      <c r="M160" s="131">
        <f t="shared" ref="M160:M161" si="499">IF(M$16="","",L160)</f>
        <v>8876</v>
      </c>
      <c r="N160" s="130">
        <f>IF(N$16="","",M160)</f>
        <v>8876</v>
      </c>
      <c r="O160" s="130">
        <v>8913</v>
      </c>
      <c r="P160" s="131">
        <f t="shared" ref="P160:Q161" si="500">IF(P$16="","",O160)</f>
        <v>8913</v>
      </c>
      <c r="Q160" s="130">
        <f t="shared" si="500"/>
        <v>8913</v>
      </c>
      <c r="R160" s="130">
        <v>9002</v>
      </c>
      <c r="S160" s="131">
        <f t="shared" ref="S160:S161" si="501">IF(S$16="","",R160)</f>
        <v>9002</v>
      </c>
      <c r="T160" s="130">
        <v>9040</v>
      </c>
      <c r="U160" s="131">
        <f>IF(U$16="","",T160)</f>
        <v>9040</v>
      </c>
      <c r="V160" s="130">
        <f t="shared" ref="V160:W161" si="502">IF(V$16="","",U160)</f>
        <v>9040</v>
      </c>
      <c r="W160" s="130">
        <v>9062</v>
      </c>
      <c r="X160" s="131">
        <f t="shared" ref="X160:X161" si="503">IF(X$16="","",W160)</f>
        <v>9062</v>
      </c>
      <c r="Y160" s="130">
        <f>IF(Y$16="","",X160)</f>
        <v>9062</v>
      </c>
      <c r="Z160" s="130">
        <v>9093</v>
      </c>
      <c r="AA160" s="131">
        <f t="shared" ref="AA160:AA161" si="504">IF(AA$16="","",Z160)</f>
        <v>9093</v>
      </c>
      <c r="AB160" s="130">
        <f>IF(AB$16="","",AA160)</f>
        <v>9093</v>
      </c>
      <c r="AC160" s="130">
        <f t="shared" ref="AC160:AC161" si="505">IF(AC$16="","",AB160)</f>
        <v>9093</v>
      </c>
      <c r="AD160" s="130">
        <v>9142</v>
      </c>
      <c r="AE160" s="131">
        <f t="shared" ref="AE160:AE161" si="506">IF(AE$16="","",AD160)</f>
        <v>9142</v>
      </c>
      <c r="AF160" s="130">
        <f>IF(AF$16="","",AE160)</f>
        <v>9142</v>
      </c>
      <c r="AG160" s="130">
        <v>9161</v>
      </c>
      <c r="AH160" s="129">
        <f>IF(AH$16="","",AG160)</f>
        <v>9161</v>
      </c>
      <c r="AI160" s="16">
        <f t="shared" ref="AI160:AJ161" si="507">IF(AI$16="","",AH160)</f>
        <v>9161</v>
      </c>
      <c r="AJ160" s="16">
        <f t="shared" si="507"/>
        <v>9161</v>
      </c>
      <c r="AK160" s="16">
        <v>9168</v>
      </c>
      <c r="AL160" s="196" t="str">
        <f t="shared" ref="AL160:BA161" si="508">IF(AL$16="","",AK160)</f>
        <v/>
      </c>
      <c r="AM160" s="16" t="str">
        <f t="shared" si="508"/>
        <v/>
      </c>
      <c r="AN160" s="16" t="str">
        <f t="shared" si="508"/>
        <v/>
      </c>
      <c r="AO160" s="196" t="str">
        <f t="shared" si="508"/>
        <v/>
      </c>
      <c r="AP160" s="16" t="str">
        <f t="shared" si="508"/>
        <v/>
      </c>
      <c r="AQ160" s="16" t="str">
        <f t="shared" si="508"/>
        <v/>
      </c>
      <c r="AR160" s="16" t="str">
        <f t="shared" si="508"/>
        <v/>
      </c>
      <c r="AS160" s="16" t="str">
        <f t="shared" si="508"/>
        <v/>
      </c>
      <c r="AT160" s="16" t="str">
        <f t="shared" si="508"/>
        <v/>
      </c>
      <c r="AU160" s="16" t="str">
        <f t="shared" si="508"/>
        <v/>
      </c>
      <c r="AV160" s="16" t="str">
        <f t="shared" si="508"/>
        <v/>
      </c>
      <c r="AW160" s="16" t="str">
        <f t="shared" si="508"/>
        <v/>
      </c>
      <c r="AX160" s="16" t="str">
        <f t="shared" si="508"/>
        <v/>
      </c>
      <c r="AY160" s="16" t="str">
        <f t="shared" si="508"/>
        <v/>
      </c>
      <c r="AZ160" s="16" t="str">
        <f t="shared" si="508"/>
        <v/>
      </c>
      <c r="BA160" s="16" t="str">
        <f t="shared" si="508"/>
        <v/>
      </c>
      <c r="BB160" s="16" t="str">
        <f t="shared" ref="BB160:BC161" si="509">IF(BB$16="","",BA160)</f>
        <v/>
      </c>
      <c r="BC160" s="16" t="str">
        <f t="shared" si="509"/>
        <v/>
      </c>
    </row>
    <row r="161" spans="1:55" ht="11.25" customHeight="1" x14ac:dyDescent="0.2">
      <c r="A161" s="10" t="s">
        <v>40</v>
      </c>
      <c r="B161" s="11" t="s">
        <v>4</v>
      </c>
      <c r="C161" s="123">
        <v>654</v>
      </c>
      <c r="D161" s="124">
        <f t="shared" si="495"/>
        <v>654</v>
      </c>
      <c r="E161" s="124">
        <v>657</v>
      </c>
      <c r="F161" s="125">
        <f t="shared" si="496"/>
        <v>657</v>
      </c>
      <c r="G161" s="124">
        <f>IF(G$16="","",F161)</f>
        <v>657</v>
      </c>
      <c r="H161" s="124">
        <f t="shared" si="497"/>
        <v>657</v>
      </c>
      <c r="I161" s="124">
        <f t="shared" si="497"/>
        <v>657</v>
      </c>
      <c r="J161" s="125">
        <f t="shared" si="498"/>
        <v>657</v>
      </c>
      <c r="K161" s="124">
        <f t="shared" si="498"/>
        <v>657</v>
      </c>
      <c r="L161" s="124">
        <v>659</v>
      </c>
      <c r="M161" s="125">
        <f t="shared" si="499"/>
        <v>659</v>
      </c>
      <c r="N161" s="124">
        <f>IF(N$16="","",M161)</f>
        <v>659</v>
      </c>
      <c r="O161" s="124">
        <v>662</v>
      </c>
      <c r="P161" s="125">
        <f t="shared" si="500"/>
        <v>662</v>
      </c>
      <c r="Q161" s="124">
        <f t="shared" si="500"/>
        <v>662</v>
      </c>
      <c r="R161" s="124">
        <v>663</v>
      </c>
      <c r="S161" s="125">
        <f t="shared" si="501"/>
        <v>663</v>
      </c>
      <c r="T161" s="124">
        <v>667</v>
      </c>
      <c r="U161" s="125">
        <f>IF(U$16="","",T161)</f>
        <v>667</v>
      </c>
      <c r="V161" s="124">
        <f t="shared" si="502"/>
        <v>667</v>
      </c>
      <c r="W161" s="124">
        <f t="shared" si="502"/>
        <v>667</v>
      </c>
      <c r="X161" s="125">
        <f t="shared" si="503"/>
        <v>667</v>
      </c>
      <c r="Y161" s="124">
        <f>IF(Y$16="","",X161)</f>
        <v>667</v>
      </c>
      <c r="Z161" s="124">
        <v>671</v>
      </c>
      <c r="AA161" s="125">
        <f t="shared" si="504"/>
        <v>671</v>
      </c>
      <c r="AB161" s="124">
        <f>IF(AB$16="","",AA161)</f>
        <v>671</v>
      </c>
      <c r="AC161" s="124">
        <f t="shared" si="505"/>
        <v>671</v>
      </c>
      <c r="AD161" s="124">
        <v>673</v>
      </c>
      <c r="AE161" s="125">
        <f t="shared" si="506"/>
        <v>673</v>
      </c>
      <c r="AF161" s="124">
        <f>IF(AF$16="","",AE161)</f>
        <v>673</v>
      </c>
      <c r="AG161" s="124">
        <f t="shared" ref="AG161" si="510">IF(AG$16="","",AF161)</f>
        <v>673</v>
      </c>
      <c r="AH161" s="123">
        <f>IF(AH$16="","",AG161)</f>
        <v>673</v>
      </c>
      <c r="AI161" s="12">
        <f t="shared" si="507"/>
        <v>673</v>
      </c>
      <c r="AJ161" s="12">
        <f t="shared" si="507"/>
        <v>673</v>
      </c>
      <c r="AK161" s="12">
        <v>674</v>
      </c>
      <c r="AL161" s="195" t="str">
        <f t="shared" si="508"/>
        <v/>
      </c>
      <c r="AM161" s="12" t="str">
        <f t="shared" si="508"/>
        <v/>
      </c>
      <c r="AN161" s="12" t="str">
        <f t="shared" si="508"/>
        <v/>
      </c>
      <c r="AO161" s="195" t="str">
        <f t="shared" si="508"/>
        <v/>
      </c>
      <c r="AP161" s="12" t="str">
        <f t="shared" si="508"/>
        <v/>
      </c>
      <c r="AQ161" s="12" t="str">
        <f t="shared" si="508"/>
        <v/>
      </c>
      <c r="AR161" s="12" t="str">
        <f t="shared" si="508"/>
        <v/>
      </c>
      <c r="AS161" s="12" t="str">
        <f t="shared" si="508"/>
        <v/>
      </c>
      <c r="AT161" s="12" t="str">
        <f t="shared" si="508"/>
        <v/>
      </c>
      <c r="AU161" s="12" t="str">
        <f t="shared" si="508"/>
        <v/>
      </c>
      <c r="AV161" s="12" t="str">
        <f t="shared" si="508"/>
        <v/>
      </c>
      <c r="AW161" s="12" t="str">
        <f t="shared" si="508"/>
        <v/>
      </c>
      <c r="AX161" s="12" t="str">
        <f t="shared" si="508"/>
        <v/>
      </c>
      <c r="AY161" s="12" t="str">
        <f t="shared" si="508"/>
        <v/>
      </c>
      <c r="AZ161" s="12" t="str">
        <f t="shared" si="508"/>
        <v/>
      </c>
      <c r="BA161" s="12" t="str">
        <f t="shared" si="508"/>
        <v/>
      </c>
      <c r="BB161" s="12" t="str">
        <f t="shared" si="509"/>
        <v/>
      </c>
      <c r="BC161" s="12" t="str">
        <f t="shared" si="509"/>
        <v/>
      </c>
    </row>
    <row r="162" spans="1:55" ht="11.25" customHeight="1" x14ac:dyDescent="0.25">
      <c r="A162" s="24">
        <v>4</v>
      </c>
      <c r="B162" s="11" t="s">
        <v>5</v>
      </c>
      <c r="C162" s="123">
        <v>13</v>
      </c>
      <c r="D162" s="124">
        <f t="shared" ref="D162" si="511">IF(D160="","",(C162+C163))</f>
        <v>13</v>
      </c>
      <c r="E162" s="124">
        <f>IF(E160="","",(D162+D163))</f>
        <v>13</v>
      </c>
      <c r="F162" s="125">
        <f t="shared" ref="F162" si="512">IF(F160="","",(E162+E163))</f>
        <v>13</v>
      </c>
      <c r="G162" s="124">
        <f>IF(G160="","",(F162+F163))</f>
        <v>13</v>
      </c>
      <c r="H162" s="124">
        <f t="shared" ref="H162:K162" si="513">IF(H160="","",(G162+G163))</f>
        <v>13</v>
      </c>
      <c r="I162" s="124">
        <f t="shared" si="513"/>
        <v>13</v>
      </c>
      <c r="J162" s="125">
        <f t="shared" si="513"/>
        <v>13</v>
      </c>
      <c r="K162" s="124">
        <f t="shared" si="513"/>
        <v>13</v>
      </c>
      <c r="L162" s="124">
        <v>11</v>
      </c>
      <c r="M162" s="125">
        <f t="shared" ref="M162" si="514">IF(M160="","",(L162+L163))</f>
        <v>11</v>
      </c>
      <c r="N162" s="124">
        <f>IF(N160="","",(M162+M163))</f>
        <v>11</v>
      </c>
      <c r="O162" s="124">
        <f t="shared" ref="O162:Q162" si="515">IF(O160="","",(N162+N163))</f>
        <v>11</v>
      </c>
      <c r="P162" s="125">
        <f t="shared" si="515"/>
        <v>11</v>
      </c>
      <c r="Q162" s="124">
        <f t="shared" si="515"/>
        <v>11</v>
      </c>
      <c r="R162" s="124">
        <f>IF(R160="","",(Q162+Q163))</f>
        <v>11</v>
      </c>
      <c r="S162" s="125">
        <f t="shared" ref="S162:T162" si="516">IF(S160="","",(R162+R163))</f>
        <v>7</v>
      </c>
      <c r="T162" s="124">
        <f t="shared" si="516"/>
        <v>7</v>
      </c>
      <c r="U162" s="125">
        <f>IF(U160="","",(T162+T163))</f>
        <v>10</v>
      </c>
      <c r="V162" s="124">
        <f t="shared" ref="V162:X162" si="517">IF(V160="","",(U162+U163))</f>
        <v>10</v>
      </c>
      <c r="W162" s="124">
        <f t="shared" si="517"/>
        <v>10</v>
      </c>
      <c r="X162" s="125">
        <f t="shared" si="517"/>
        <v>10</v>
      </c>
      <c r="Y162" s="124">
        <f>IF(Y160="","",(X162+X163))</f>
        <v>10</v>
      </c>
      <c r="Z162" s="124">
        <v>9</v>
      </c>
      <c r="AA162" s="125">
        <f t="shared" ref="AA162" si="518">IF(AA160="","",(Z162+Z163))</f>
        <v>10</v>
      </c>
      <c r="AB162" s="124">
        <f>IF(AB160="","",(AA162+AA163))</f>
        <v>10</v>
      </c>
      <c r="AC162" s="124">
        <f t="shared" ref="AC162" si="519">IF(AC160="","",(AB162+AB163))</f>
        <v>10</v>
      </c>
      <c r="AD162" s="124">
        <v>7</v>
      </c>
      <c r="AE162" s="125">
        <f t="shared" ref="AE162" si="520">IF(AE160="","",(AD162+AD163))</f>
        <v>7</v>
      </c>
      <c r="AF162" s="124">
        <f>IF(AF160="","",(AE162+AE163))</f>
        <v>7</v>
      </c>
      <c r="AG162" s="124">
        <f t="shared" ref="AG162" si="521">IF(AG160="","",(AF162+AF163))</f>
        <v>7</v>
      </c>
      <c r="AH162" s="123">
        <f>IF(AH160="","",(AG162+AG163))</f>
        <v>33</v>
      </c>
      <c r="AI162" s="12">
        <f t="shared" ref="AI162:BC162" si="522">IF(AI160="","",(AH162+AH163))</f>
        <v>33</v>
      </c>
      <c r="AJ162" s="12">
        <f t="shared" si="522"/>
        <v>33</v>
      </c>
      <c r="AK162" s="12">
        <f t="shared" si="522"/>
        <v>33</v>
      </c>
      <c r="AL162" s="195" t="str">
        <f t="shared" si="522"/>
        <v/>
      </c>
      <c r="AM162" s="12" t="str">
        <f t="shared" si="522"/>
        <v/>
      </c>
      <c r="AN162" s="12" t="str">
        <f t="shared" si="522"/>
        <v/>
      </c>
      <c r="AO162" s="195" t="str">
        <f t="shared" si="522"/>
        <v/>
      </c>
      <c r="AP162" s="12" t="str">
        <f t="shared" si="522"/>
        <v/>
      </c>
      <c r="AQ162" s="12" t="str">
        <f t="shared" si="522"/>
        <v/>
      </c>
      <c r="AR162" s="12" t="str">
        <f t="shared" si="522"/>
        <v/>
      </c>
      <c r="AS162" s="12" t="str">
        <f t="shared" si="522"/>
        <v/>
      </c>
      <c r="AT162" s="12" t="str">
        <f t="shared" si="522"/>
        <v/>
      </c>
      <c r="AU162" s="12" t="str">
        <f t="shared" si="522"/>
        <v/>
      </c>
      <c r="AV162" s="12" t="str">
        <f t="shared" si="522"/>
        <v/>
      </c>
      <c r="AW162" s="12" t="str">
        <f t="shared" si="522"/>
        <v/>
      </c>
      <c r="AX162" s="12" t="str">
        <f t="shared" si="522"/>
        <v/>
      </c>
      <c r="AY162" s="12" t="str">
        <f t="shared" si="522"/>
        <v/>
      </c>
      <c r="AZ162" s="12" t="str">
        <f t="shared" si="522"/>
        <v/>
      </c>
      <c r="BA162" s="12" t="str">
        <f t="shared" si="522"/>
        <v/>
      </c>
      <c r="BB162" s="12" t="str">
        <f t="shared" si="522"/>
        <v/>
      </c>
      <c r="BC162" s="12" t="str">
        <f t="shared" si="522"/>
        <v/>
      </c>
    </row>
    <row r="163" spans="1:55" ht="11.25" customHeight="1" x14ac:dyDescent="0.2">
      <c r="A163" s="14"/>
      <c r="B163" s="11" t="s">
        <v>6</v>
      </c>
      <c r="C163" s="123"/>
      <c r="D163" s="124"/>
      <c r="E163" s="124"/>
      <c r="F163" s="125"/>
      <c r="G163" s="124"/>
      <c r="H163" s="124"/>
      <c r="I163" s="124"/>
      <c r="J163" s="125"/>
      <c r="K163" s="124"/>
      <c r="L163" s="124"/>
      <c r="M163" s="125"/>
      <c r="N163" s="124"/>
      <c r="O163" s="124"/>
      <c r="P163" s="125"/>
      <c r="Q163" s="124"/>
      <c r="R163" s="124">
        <v>-4</v>
      </c>
      <c r="S163" s="125"/>
      <c r="T163" s="124">
        <v>3</v>
      </c>
      <c r="U163" s="125"/>
      <c r="V163" s="124"/>
      <c r="W163" s="124"/>
      <c r="X163" s="125"/>
      <c r="Y163" s="124"/>
      <c r="Z163" s="124">
        <v>1</v>
      </c>
      <c r="AA163" s="125"/>
      <c r="AB163" s="124"/>
      <c r="AC163" s="124"/>
      <c r="AD163" s="124"/>
      <c r="AE163" s="125"/>
      <c r="AF163" s="124"/>
      <c r="AG163" s="124">
        <v>26</v>
      </c>
      <c r="AH163" s="123"/>
      <c r="AI163" s="12"/>
      <c r="AJ163" s="12"/>
      <c r="AK163" s="12">
        <v>-21</v>
      </c>
      <c r="AL163" s="195"/>
      <c r="AM163" s="12"/>
      <c r="AN163" s="12"/>
      <c r="AO163" s="195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</row>
    <row r="164" spans="1:55" ht="11.25" customHeight="1" x14ac:dyDescent="0.2">
      <c r="A164" s="15"/>
      <c r="B164" s="11" t="s">
        <v>8</v>
      </c>
      <c r="C164" s="129">
        <v>240</v>
      </c>
      <c r="D164" s="130">
        <f t="shared" ref="D164:AG164" si="523">IF(D160="","",C164)</f>
        <v>240</v>
      </c>
      <c r="E164" s="130">
        <f t="shared" si="523"/>
        <v>240</v>
      </c>
      <c r="F164" s="131">
        <f t="shared" si="523"/>
        <v>240</v>
      </c>
      <c r="G164" s="130">
        <f t="shared" si="523"/>
        <v>240</v>
      </c>
      <c r="H164" s="130">
        <f t="shared" si="523"/>
        <v>240</v>
      </c>
      <c r="I164" s="130">
        <f t="shared" si="523"/>
        <v>240</v>
      </c>
      <c r="J164" s="131">
        <f t="shared" si="523"/>
        <v>240</v>
      </c>
      <c r="K164" s="130">
        <f t="shared" si="523"/>
        <v>240</v>
      </c>
      <c r="L164" s="130">
        <f t="shared" si="523"/>
        <v>240</v>
      </c>
      <c r="M164" s="131">
        <f t="shared" si="523"/>
        <v>240</v>
      </c>
      <c r="N164" s="130">
        <f t="shared" si="523"/>
        <v>240</v>
      </c>
      <c r="O164" s="130">
        <f t="shared" si="523"/>
        <v>240</v>
      </c>
      <c r="P164" s="131">
        <f t="shared" si="523"/>
        <v>240</v>
      </c>
      <c r="Q164" s="130">
        <f t="shared" si="523"/>
        <v>240</v>
      </c>
      <c r="R164" s="130">
        <f t="shared" si="523"/>
        <v>240</v>
      </c>
      <c r="S164" s="131">
        <f t="shared" si="523"/>
        <v>240</v>
      </c>
      <c r="T164" s="130">
        <f t="shared" si="523"/>
        <v>240</v>
      </c>
      <c r="U164" s="131">
        <f t="shared" si="523"/>
        <v>240</v>
      </c>
      <c r="V164" s="130">
        <f t="shared" si="523"/>
        <v>240</v>
      </c>
      <c r="W164" s="130">
        <f t="shared" si="523"/>
        <v>240</v>
      </c>
      <c r="X164" s="131">
        <f t="shared" si="523"/>
        <v>240</v>
      </c>
      <c r="Y164" s="130">
        <f t="shared" si="523"/>
        <v>240</v>
      </c>
      <c r="Z164" s="130">
        <f t="shared" si="523"/>
        <v>240</v>
      </c>
      <c r="AA164" s="131">
        <f t="shared" si="523"/>
        <v>240</v>
      </c>
      <c r="AB164" s="130">
        <f t="shared" si="523"/>
        <v>240</v>
      </c>
      <c r="AC164" s="130">
        <f t="shared" si="523"/>
        <v>240</v>
      </c>
      <c r="AD164" s="130">
        <f t="shared" si="523"/>
        <v>240</v>
      </c>
      <c r="AE164" s="131">
        <f t="shared" si="523"/>
        <v>240</v>
      </c>
      <c r="AF164" s="130">
        <f t="shared" si="523"/>
        <v>240</v>
      </c>
      <c r="AG164" s="130">
        <f t="shared" si="523"/>
        <v>240</v>
      </c>
      <c r="AH164" s="129">
        <v>500</v>
      </c>
      <c r="AI164" s="16">
        <f t="shared" ref="AI164:BC164" si="524">IF(AI160="","",AH164)</f>
        <v>500</v>
      </c>
      <c r="AJ164" s="16">
        <f t="shared" si="524"/>
        <v>500</v>
      </c>
      <c r="AK164" s="16">
        <f t="shared" si="524"/>
        <v>500</v>
      </c>
      <c r="AL164" s="196" t="str">
        <f t="shared" si="524"/>
        <v/>
      </c>
      <c r="AM164" s="16" t="str">
        <f t="shared" si="524"/>
        <v/>
      </c>
      <c r="AN164" s="16" t="str">
        <f t="shared" si="524"/>
        <v/>
      </c>
      <c r="AO164" s="196" t="str">
        <f t="shared" si="524"/>
        <v/>
      </c>
      <c r="AP164" s="16" t="str">
        <f t="shared" si="524"/>
        <v/>
      </c>
      <c r="AQ164" s="16" t="str">
        <f t="shared" si="524"/>
        <v/>
      </c>
      <c r="AR164" s="16" t="str">
        <f t="shared" si="524"/>
        <v/>
      </c>
      <c r="AS164" s="16" t="str">
        <f t="shared" si="524"/>
        <v/>
      </c>
      <c r="AT164" s="16" t="str">
        <f t="shared" si="524"/>
        <v/>
      </c>
      <c r="AU164" s="16" t="str">
        <f t="shared" si="524"/>
        <v/>
      </c>
      <c r="AV164" s="16" t="str">
        <f t="shared" si="524"/>
        <v/>
      </c>
      <c r="AW164" s="16" t="str">
        <f t="shared" si="524"/>
        <v/>
      </c>
      <c r="AX164" s="16" t="str">
        <f t="shared" si="524"/>
        <v/>
      </c>
      <c r="AY164" s="16" t="str">
        <f t="shared" si="524"/>
        <v/>
      </c>
      <c r="AZ164" s="16" t="str">
        <f t="shared" si="524"/>
        <v/>
      </c>
      <c r="BA164" s="16" t="str">
        <f t="shared" si="524"/>
        <v/>
      </c>
      <c r="BB164" s="16" t="str">
        <f t="shared" si="524"/>
        <v/>
      </c>
      <c r="BC164" s="16" t="str">
        <f t="shared" si="524"/>
        <v/>
      </c>
    </row>
    <row r="165" spans="1:55" ht="11.25" customHeight="1" x14ac:dyDescent="0.2">
      <c r="A165" s="14" t="s">
        <v>9</v>
      </c>
      <c r="B165" s="17" t="s">
        <v>10</v>
      </c>
      <c r="C165" s="133" t="s">
        <v>35</v>
      </c>
      <c r="D165" s="134" t="str">
        <f t="shared" ref="D165" si="525">IF(D160="","",C165)</f>
        <v>バタースクイーズ</v>
      </c>
      <c r="E165" s="134" t="str">
        <f>IF(E160="","",D165)</f>
        <v>バタースクイーズ</v>
      </c>
      <c r="F165" s="135" t="str">
        <f t="shared" ref="F165:R165" si="526">IF(F160="","",E165)</f>
        <v>バタースクイーズ</v>
      </c>
      <c r="G165" s="134" t="str">
        <f t="shared" si="526"/>
        <v>バタースクイーズ</v>
      </c>
      <c r="H165" s="134" t="str">
        <f t="shared" si="526"/>
        <v>バタースクイーズ</v>
      </c>
      <c r="I165" s="134" t="str">
        <f t="shared" si="526"/>
        <v>バタースクイーズ</v>
      </c>
      <c r="J165" s="135" t="str">
        <f t="shared" si="526"/>
        <v>バタースクイーズ</v>
      </c>
      <c r="K165" s="134" t="str">
        <f t="shared" si="526"/>
        <v>バタースクイーズ</v>
      </c>
      <c r="L165" s="134" t="str">
        <f t="shared" si="526"/>
        <v>バタースクイーズ</v>
      </c>
      <c r="M165" s="135" t="str">
        <f t="shared" si="526"/>
        <v>バタースクイーズ</v>
      </c>
      <c r="N165" s="134" t="str">
        <f t="shared" si="526"/>
        <v>バタースクイーズ</v>
      </c>
      <c r="O165" s="134" t="str">
        <f t="shared" si="526"/>
        <v>バタースクイーズ</v>
      </c>
      <c r="P165" s="135" t="str">
        <f t="shared" si="526"/>
        <v>バタースクイーズ</v>
      </c>
      <c r="Q165" s="134" t="str">
        <f t="shared" si="526"/>
        <v>バタースクイーズ</v>
      </c>
      <c r="R165" s="134" t="str">
        <f t="shared" si="526"/>
        <v>バタースクイーズ</v>
      </c>
      <c r="S165" s="135" t="s">
        <v>39</v>
      </c>
      <c r="T165" s="134" t="str">
        <f t="shared" ref="T165:AG165" si="527">IF(T160="","",S165)</f>
        <v>パステルケーキ</v>
      </c>
      <c r="U165" s="135" t="str">
        <f t="shared" si="527"/>
        <v>パステルケーキ</v>
      </c>
      <c r="V165" s="134" t="str">
        <f t="shared" si="527"/>
        <v>パステルケーキ</v>
      </c>
      <c r="W165" s="134" t="str">
        <f t="shared" si="527"/>
        <v>パステルケーキ</v>
      </c>
      <c r="X165" s="135" t="str">
        <f t="shared" si="527"/>
        <v>パステルケーキ</v>
      </c>
      <c r="Y165" s="134" t="str">
        <f t="shared" si="527"/>
        <v>パステルケーキ</v>
      </c>
      <c r="Z165" s="134" t="str">
        <f t="shared" si="527"/>
        <v>パステルケーキ</v>
      </c>
      <c r="AA165" s="135" t="str">
        <f t="shared" si="527"/>
        <v>パステルケーキ</v>
      </c>
      <c r="AB165" s="134" t="str">
        <f t="shared" si="527"/>
        <v>パステルケーキ</v>
      </c>
      <c r="AC165" s="134" t="str">
        <f t="shared" si="527"/>
        <v>パステルケーキ</v>
      </c>
      <c r="AD165" s="134" t="str">
        <f t="shared" si="527"/>
        <v>パステルケーキ</v>
      </c>
      <c r="AE165" s="135" t="str">
        <f t="shared" si="527"/>
        <v>パステルケーキ</v>
      </c>
      <c r="AF165" s="134" t="str">
        <f t="shared" si="527"/>
        <v>パステルケーキ</v>
      </c>
      <c r="AG165" s="134" t="str">
        <f t="shared" si="527"/>
        <v>パステルケーキ</v>
      </c>
      <c r="AH165" s="133" t="s">
        <v>263</v>
      </c>
      <c r="AI165" s="18" t="str">
        <f t="shared" ref="AI165:AK165" si="528">IF(AI160="","",AH165)</f>
        <v>スンスンがまぐち</v>
      </c>
      <c r="AJ165" s="18" t="str">
        <f t="shared" si="528"/>
        <v>スンスンがまぐち</v>
      </c>
      <c r="AK165" s="18" t="str">
        <f t="shared" si="528"/>
        <v>スンスンがまぐち</v>
      </c>
      <c r="AL165" s="197" t="s">
        <v>267</v>
      </c>
      <c r="AM165" s="18" t="str">
        <f t="shared" ref="AM165:BC165" si="529">IF(AM160="","",AL165)</f>
        <v/>
      </c>
      <c r="AN165" s="18" t="str">
        <f t="shared" si="529"/>
        <v/>
      </c>
      <c r="AO165" s="197" t="str">
        <f t="shared" si="529"/>
        <v/>
      </c>
      <c r="AP165" s="18" t="str">
        <f t="shared" si="529"/>
        <v/>
      </c>
      <c r="AQ165" s="18" t="str">
        <f t="shared" si="529"/>
        <v/>
      </c>
      <c r="AR165" s="18" t="str">
        <f t="shared" si="529"/>
        <v/>
      </c>
      <c r="AS165" s="18" t="str">
        <f t="shared" si="529"/>
        <v/>
      </c>
      <c r="AT165" s="18" t="str">
        <f t="shared" si="529"/>
        <v/>
      </c>
      <c r="AU165" s="18" t="str">
        <f t="shared" si="529"/>
        <v/>
      </c>
      <c r="AV165" s="18" t="str">
        <f t="shared" si="529"/>
        <v/>
      </c>
      <c r="AW165" s="18" t="str">
        <f t="shared" si="529"/>
        <v/>
      </c>
      <c r="AX165" s="18" t="str">
        <f t="shared" si="529"/>
        <v/>
      </c>
      <c r="AY165" s="18" t="str">
        <f t="shared" si="529"/>
        <v/>
      </c>
      <c r="AZ165" s="18" t="str">
        <f t="shared" si="529"/>
        <v/>
      </c>
      <c r="BA165" s="18" t="str">
        <f t="shared" si="529"/>
        <v/>
      </c>
      <c r="BB165" s="18" t="str">
        <f t="shared" si="529"/>
        <v/>
      </c>
      <c r="BC165" s="18" t="str">
        <f t="shared" si="529"/>
        <v/>
      </c>
    </row>
    <row r="166" spans="1:55" ht="11.25" customHeight="1" x14ac:dyDescent="0.2">
      <c r="A166" s="15">
        <f>AVERAGE(C167:AS167)*30*100</f>
        <v>47735.294117647063</v>
      </c>
      <c r="B166" s="11" t="s">
        <v>12</v>
      </c>
      <c r="C166" s="123"/>
      <c r="D166" s="124"/>
      <c r="E166" s="124"/>
      <c r="F166" s="125"/>
      <c r="G166" s="124"/>
      <c r="H166" s="124"/>
      <c r="I166" s="124"/>
      <c r="J166" s="125"/>
      <c r="K166" s="124"/>
      <c r="L166" s="124"/>
      <c r="M166" s="125"/>
      <c r="N166" s="124"/>
      <c r="O166" s="124"/>
      <c r="P166" s="125"/>
      <c r="Q166" s="124"/>
      <c r="R166" s="124"/>
      <c r="S166" s="125" t="s">
        <v>248</v>
      </c>
      <c r="T166" s="124"/>
      <c r="U166" s="125"/>
      <c r="V166" s="124"/>
      <c r="W166" s="124"/>
      <c r="X166" s="125"/>
      <c r="Y166" s="124"/>
      <c r="Z166" s="124"/>
      <c r="AA166" s="125"/>
      <c r="AB166" s="124"/>
      <c r="AC166" s="124"/>
      <c r="AD166" s="124"/>
      <c r="AE166" s="125"/>
      <c r="AF166" s="124"/>
      <c r="AG166" s="124"/>
      <c r="AH166" s="123" t="s">
        <v>104</v>
      </c>
      <c r="AI166" s="12"/>
      <c r="AJ166" s="12"/>
      <c r="AK166" s="12"/>
      <c r="AL166" s="195" t="s">
        <v>268</v>
      </c>
      <c r="AM166" s="12"/>
      <c r="AN166" s="12"/>
      <c r="AO166" s="195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</row>
    <row r="167" spans="1:55" ht="11.25" customHeight="1" x14ac:dyDescent="0.2">
      <c r="A167" s="15">
        <f t="shared" ref="A167:A170" si="530">SUM(C167:AS167)</f>
        <v>541</v>
      </c>
      <c r="B167" s="19" t="s">
        <v>13</v>
      </c>
      <c r="C167" s="123"/>
      <c r="D167" s="137">
        <f t="shared" ref="D167:AG168" si="531">IF(D160="","",D160-C160)</f>
        <v>0</v>
      </c>
      <c r="E167" s="137">
        <f t="shared" si="531"/>
        <v>104</v>
      </c>
      <c r="F167" s="125">
        <f t="shared" si="531"/>
        <v>0</v>
      </c>
      <c r="G167" s="137">
        <f t="shared" si="531"/>
        <v>0</v>
      </c>
      <c r="H167" s="137">
        <f t="shared" si="531"/>
        <v>0</v>
      </c>
      <c r="I167" s="137">
        <f t="shared" si="531"/>
        <v>48</v>
      </c>
      <c r="J167" s="125">
        <f t="shared" si="531"/>
        <v>0</v>
      </c>
      <c r="K167" s="137">
        <f t="shared" si="531"/>
        <v>0</v>
      </c>
      <c r="L167" s="137">
        <f t="shared" si="531"/>
        <v>97</v>
      </c>
      <c r="M167" s="125">
        <f t="shared" si="531"/>
        <v>0</v>
      </c>
      <c r="N167" s="137">
        <f t="shared" si="531"/>
        <v>0</v>
      </c>
      <c r="O167" s="137">
        <f t="shared" si="531"/>
        <v>37</v>
      </c>
      <c r="P167" s="125">
        <f t="shared" si="531"/>
        <v>0</v>
      </c>
      <c r="Q167" s="137">
        <f t="shared" si="531"/>
        <v>0</v>
      </c>
      <c r="R167" s="124">
        <f t="shared" si="531"/>
        <v>89</v>
      </c>
      <c r="S167" s="125">
        <f t="shared" si="531"/>
        <v>0</v>
      </c>
      <c r="T167" s="137">
        <f t="shared" si="531"/>
        <v>38</v>
      </c>
      <c r="U167" s="125">
        <f t="shared" si="531"/>
        <v>0</v>
      </c>
      <c r="V167" s="137">
        <f t="shared" si="531"/>
        <v>0</v>
      </c>
      <c r="W167" s="137">
        <f t="shared" si="531"/>
        <v>22</v>
      </c>
      <c r="X167" s="125">
        <f t="shared" si="531"/>
        <v>0</v>
      </c>
      <c r="Y167" s="137">
        <f t="shared" si="531"/>
        <v>0</v>
      </c>
      <c r="Z167" s="137">
        <f t="shared" si="531"/>
        <v>31</v>
      </c>
      <c r="AA167" s="125">
        <f t="shared" si="531"/>
        <v>0</v>
      </c>
      <c r="AB167" s="137">
        <f t="shared" si="531"/>
        <v>0</v>
      </c>
      <c r="AC167" s="137">
        <f t="shared" si="531"/>
        <v>0</v>
      </c>
      <c r="AD167" s="137">
        <f t="shared" si="531"/>
        <v>49</v>
      </c>
      <c r="AE167" s="125">
        <f t="shared" si="531"/>
        <v>0</v>
      </c>
      <c r="AF167" s="137">
        <f t="shared" si="531"/>
        <v>0</v>
      </c>
      <c r="AG167" s="137">
        <f t="shared" si="531"/>
        <v>19</v>
      </c>
      <c r="AH167" s="123">
        <f>IF(AH160="","",AH160-AG160)</f>
        <v>0</v>
      </c>
      <c r="AI167" s="20">
        <f t="shared" ref="AI167:BC168" si="532">IF(AI160="","",AI160-AH160)</f>
        <v>0</v>
      </c>
      <c r="AJ167" s="20">
        <f t="shared" si="532"/>
        <v>0</v>
      </c>
      <c r="AK167" s="20">
        <f t="shared" si="532"/>
        <v>7</v>
      </c>
      <c r="AL167" s="195" t="str">
        <f t="shared" si="532"/>
        <v/>
      </c>
      <c r="AM167" s="20" t="str">
        <f t="shared" si="532"/>
        <v/>
      </c>
      <c r="AN167" s="20" t="str">
        <f t="shared" si="532"/>
        <v/>
      </c>
      <c r="AO167" s="195" t="str">
        <f t="shared" si="532"/>
        <v/>
      </c>
      <c r="AP167" s="20" t="str">
        <f t="shared" si="532"/>
        <v/>
      </c>
      <c r="AQ167" s="20" t="str">
        <f t="shared" si="532"/>
        <v/>
      </c>
      <c r="AR167" s="20" t="str">
        <f t="shared" si="532"/>
        <v/>
      </c>
      <c r="AS167" s="20" t="str">
        <f t="shared" si="532"/>
        <v/>
      </c>
      <c r="AT167" s="20" t="str">
        <f t="shared" si="532"/>
        <v/>
      </c>
      <c r="AU167" s="20" t="str">
        <f t="shared" si="532"/>
        <v/>
      </c>
      <c r="AV167" s="20" t="str">
        <f t="shared" si="532"/>
        <v/>
      </c>
      <c r="AW167" s="20" t="str">
        <f t="shared" si="532"/>
        <v/>
      </c>
      <c r="AX167" s="20" t="str">
        <f t="shared" si="532"/>
        <v/>
      </c>
      <c r="AY167" s="20" t="str">
        <f t="shared" si="532"/>
        <v/>
      </c>
      <c r="AZ167" s="20" t="str">
        <f t="shared" si="532"/>
        <v/>
      </c>
      <c r="BA167" s="20" t="str">
        <f t="shared" si="532"/>
        <v/>
      </c>
      <c r="BB167" s="20" t="str">
        <f t="shared" si="532"/>
        <v/>
      </c>
      <c r="BC167" s="20" t="str">
        <f t="shared" si="532"/>
        <v/>
      </c>
    </row>
    <row r="168" spans="1:55" ht="11.25" customHeight="1" x14ac:dyDescent="0.2">
      <c r="A168" s="15">
        <f t="shared" si="530"/>
        <v>20</v>
      </c>
      <c r="B168" s="19" t="s">
        <v>14</v>
      </c>
      <c r="C168" s="123">
        <v>0</v>
      </c>
      <c r="D168" s="137">
        <f t="shared" si="531"/>
        <v>0</v>
      </c>
      <c r="E168" s="137">
        <f t="shared" si="531"/>
        <v>3</v>
      </c>
      <c r="F168" s="125">
        <f t="shared" si="531"/>
        <v>0</v>
      </c>
      <c r="G168" s="137">
        <f t="shared" si="531"/>
        <v>0</v>
      </c>
      <c r="H168" s="137">
        <f t="shared" si="531"/>
        <v>0</v>
      </c>
      <c r="I168" s="137">
        <f t="shared" si="531"/>
        <v>0</v>
      </c>
      <c r="J168" s="125">
        <f t="shared" si="531"/>
        <v>0</v>
      </c>
      <c r="K168" s="137">
        <f t="shared" si="531"/>
        <v>0</v>
      </c>
      <c r="L168" s="137">
        <f t="shared" si="531"/>
        <v>2</v>
      </c>
      <c r="M168" s="125">
        <f t="shared" si="531"/>
        <v>0</v>
      </c>
      <c r="N168" s="137">
        <f t="shared" si="531"/>
        <v>0</v>
      </c>
      <c r="O168" s="137">
        <f t="shared" si="531"/>
        <v>3</v>
      </c>
      <c r="P168" s="125">
        <f t="shared" si="531"/>
        <v>0</v>
      </c>
      <c r="Q168" s="137">
        <f t="shared" si="531"/>
        <v>0</v>
      </c>
      <c r="R168" s="124">
        <f t="shared" si="531"/>
        <v>1</v>
      </c>
      <c r="S168" s="125">
        <f t="shared" si="531"/>
        <v>0</v>
      </c>
      <c r="T168" s="137">
        <f t="shared" si="531"/>
        <v>4</v>
      </c>
      <c r="U168" s="125">
        <f t="shared" si="531"/>
        <v>0</v>
      </c>
      <c r="V168" s="137">
        <f t="shared" si="531"/>
        <v>0</v>
      </c>
      <c r="W168" s="137">
        <f t="shared" si="531"/>
        <v>0</v>
      </c>
      <c r="X168" s="125">
        <f t="shared" si="531"/>
        <v>0</v>
      </c>
      <c r="Y168" s="137">
        <f t="shared" si="531"/>
        <v>0</v>
      </c>
      <c r="Z168" s="137">
        <f t="shared" si="531"/>
        <v>4</v>
      </c>
      <c r="AA168" s="125">
        <f t="shared" si="531"/>
        <v>0</v>
      </c>
      <c r="AB168" s="137">
        <f t="shared" si="531"/>
        <v>0</v>
      </c>
      <c r="AC168" s="137">
        <f t="shared" si="531"/>
        <v>0</v>
      </c>
      <c r="AD168" s="137">
        <f t="shared" si="531"/>
        <v>2</v>
      </c>
      <c r="AE168" s="125">
        <f t="shared" si="531"/>
        <v>0</v>
      </c>
      <c r="AF168" s="137">
        <f t="shared" si="531"/>
        <v>0</v>
      </c>
      <c r="AG168" s="137">
        <f t="shared" si="531"/>
        <v>0</v>
      </c>
      <c r="AH168" s="123">
        <f>IF(AH161="","",AH161-AG161)</f>
        <v>0</v>
      </c>
      <c r="AI168" s="20">
        <f t="shared" si="532"/>
        <v>0</v>
      </c>
      <c r="AJ168" s="20">
        <f t="shared" si="532"/>
        <v>0</v>
      </c>
      <c r="AK168" s="20">
        <f t="shared" si="532"/>
        <v>1</v>
      </c>
      <c r="AL168" s="195" t="str">
        <f t="shared" si="532"/>
        <v/>
      </c>
      <c r="AM168" s="20" t="str">
        <f t="shared" si="532"/>
        <v/>
      </c>
      <c r="AN168" s="20" t="str">
        <f t="shared" si="532"/>
        <v/>
      </c>
      <c r="AO168" s="195" t="str">
        <f t="shared" si="532"/>
        <v/>
      </c>
      <c r="AP168" s="20" t="str">
        <f t="shared" si="532"/>
        <v/>
      </c>
      <c r="AQ168" s="20" t="str">
        <f t="shared" si="532"/>
        <v/>
      </c>
      <c r="AR168" s="20" t="str">
        <f t="shared" si="532"/>
        <v/>
      </c>
      <c r="AS168" s="20" t="str">
        <f t="shared" si="532"/>
        <v/>
      </c>
      <c r="AT168" s="20" t="str">
        <f t="shared" si="532"/>
        <v/>
      </c>
      <c r="AU168" s="20" t="str">
        <f t="shared" si="532"/>
        <v/>
      </c>
      <c r="AV168" s="20" t="str">
        <f t="shared" si="532"/>
        <v/>
      </c>
      <c r="AW168" s="20" t="str">
        <f t="shared" si="532"/>
        <v/>
      </c>
      <c r="AX168" s="20" t="str">
        <f t="shared" si="532"/>
        <v/>
      </c>
      <c r="AY168" s="20" t="str">
        <f t="shared" si="532"/>
        <v/>
      </c>
      <c r="AZ168" s="20" t="str">
        <f t="shared" si="532"/>
        <v/>
      </c>
      <c r="BA168" s="20" t="str">
        <f t="shared" si="532"/>
        <v/>
      </c>
      <c r="BB168" s="20" t="str">
        <f t="shared" si="532"/>
        <v/>
      </c>
      <c r="BC168" s="20" t="str">
        <f t="shared" si="532"/>
        <v/>
      </c>
    </row>
    <row r="169" spans="1:55" ht="11.25" customHeight="1" x14ac:dyDescent="0.2">
      <c r="A169" s="15">
        <f t="shared" si="530"/>
        <v>6</v>
      </c>
      <c r="B169" s="19" t="s">
        <v>15</v>
      </c>
      <c r="C169" s="123">
        <v>0</v>
      </c>
      <c r="D169" s="137">
        <f t="shared" ref="D169:AG169" si="533">IF(D162="","",C162+C163-D162)</f>
        <v>0</v>
      </c>
      <c r="E169" s="137">
        <f t="shared" si="533"/>
        <v>0</v>
      </c>
      <c r="F169" s="125">
        <f t="shared" si="533"/>
        <v>0</v>
      </c>
      <c r="G169" s="137">
        <f t="shared" si="533"/>
        <v>0</v>
      </c>
      <c r="H169" s="137">
        <f t="shared" si="533"/>
        <v>0</v>
      </c>
      <c r="I169" s="137">
        <f t="shared" si="533"/>
        <v>0</v>
      </c>
      <c r="J169" s="125">
        <f t="shared" si="533"/>
        <v>0</v>
      </c>
      <c r="K169" s="137">
        <f t="shared" si="533"/>
        <v>0</v>
      </c>
      <c r="L169" s="137">
        <f t="shared" si="533"/>
        <v>2</v>
      </c>
      <c r="M169" s="125">
        <f t="shared" si="533"/>
        <v>0</v>
      </c>
      <c r="N169" s="137">
        <f t="shared" si="533"/>
        <v>0</v>
      </c>
      <c r="O169" s="137">
        <f t="shared" si="533"/>
        <v>0</v>
      </c>
      <c r="P169" s="125">
        <f t="shared" si="533"/>
        <v>0</v>
      </c>
      <c r="Q169" s="137">
        <f t="shared" si="533"/>
        <v>0</v>
      </c>
      <c r="R169" s="124">
        <f t="shared" si="533"/>
        <v>0</v>
      </c>
      <c r="S169" s="125">
        <f t="shared" si="533"/>
        <v>0</v>
      </c>
      <c r="T169" s="137">
        <f t="shared" si="533"/>
        <v>0</v>
      </c>
      <c r="U169" s="125">
        <f t="shared" si="533"/>
        <v>0</v>
      </c>
      <c r="V169" s="137">
        <f t="shared" si="533"/>
        <v>0</v>
      </c>
      <c r="W169" s="137">
        <f t="shared" si="533"/>
        <v>0</v>
      </c>
      <c r="X169" s="125">
        <f t="shared" si="533"/>
        <v>0</v>
      </c>
      <c r="Y169" s="137">
        <f t="shared" si="533"/>
        <v>0</v>
      </c>
      <c r="Z169" s="137">
        <f t="shared" si="533"/>
        <v>1</v>
      </c>
      <c r="AA169" s="125">
        <f t="shared" si="533"/>
        <v>0</v>
      </c>
      <c r="AB169" s="137">
        <f t="shared" si="533"/>
        <v>0</v>
      </c>
      <c r="AC169" s="137">
        <f t="shared" si="533"/>
        <v>0</v>
      </c>
      <c r="AD169" s="137">
        <f t="shared" si="533"/>
        <v>3</v>
      </c>
      <c r="AE169" s="125">
        <f t="shared" si="533"/>
        <v>0</v>
      </c>
      <c r="AF169" s="137">
        <f t="shared" si="533"/>
        <v>0</v>
      </c>
      <c r="AG169" s="137">
        <f t="shared" si="533"/>
        <v>0</v>
      </c>
      <c r="AH169" s="123">
        <f>IF(AH162="","",AG162+AG163-AH162)</f>
        <v>0</v>
      </c>
      <c r="AI169" s="20">
        <f t="shared" ref="AI169:BC169" si="534">IF(AI162="","",AH162+AH163-AI162)</f>
        <v>0</v>
      </c>
      <c r="AJ169" s="20">
        <f t="shared" si="534"/>
        <v>0</v>
      </c>
      <c r="AK169" s="20">
        <f t="shared" si="534"/>
        <v>0</v>
      </c>
      <c r="AL169" s="195" t="str">
        <f t="shared" si="534"/>
        <v/>
      </c>
      <c r="AM169" s="20" t="str">
        <f t="shared" si="534"/>
        <v/>
      </c>
      <c r="AN169" s="20" t="str">
        <f t="shared" si="534"/>
        <v/>
      </c>
      <c r="AO169" s="195" t="str">
        <f t="shared" si="534"/>
        <v/>
      </c>
      <c r="AP169" s="20" t="str">
        <f t="shared" si="534"/>
        <v/>
      </c>
      <c r="AQ169" s="20" t="str">
        <f t="shared" si="534"/>
        <v/>
      </c>
      <c r="AR169" s="20" t="str">
        <f t="shared" si="534"/>
        <v/>
      </c>
      <c r="AS169" s="20" t="str">
        <f t="shared" si="534"/>
        <v/>
      </c>
      <c r="AT169" s="20" t="str">
        <f t="shared" si="534"/>
        <v/>
      </c>
      <c r="AU169" s="20" t="str">
        <f t="shared" si="534"/>
        <v/>
      </c>
      <c r="AV169" s="20" t="str">
        <f t="shared" si="534"/>
        <v/>
      </c>
      <c r="AW169" s="20" t="str">
        <f t="shared" si="534"/>
        <v/>
      </c>
      <c r="AX169" s="20" t="str">
        <f t="shared" si="534"/>
        <v/>
      </c>
      <c r="AY169" s="20" t="str">
        <f t="shared" si="534"/>
        <v/>
      </c>
      <c r="AZ169" s="20" t="str">
        <f t="shared" si="534"/>
        <v/>
      </c>
      <c r="BA169" s="20" t="str">
        <f t="shared" si="534"/>
        <v/>
      </c>
      <c r="BB169" s="20" t="str">
        <f t="shared" si="534"/>
        <v/>
      </c>
      <c r="BC169" s="20" t="str">
        <f t="shared" si="534"/>
        <v/>
      </c>
    </row>
    <row r="170" spans="1:55" ht="11.25" customHeight="1" x14ac:dyDescent="0.2">
      <c r="A170" s="15">
        <f t="shared" si="530"/>
        <v>1440</v>
      </c>
      <c r="B170" s="19" t="s">
        <v>16</v>
      </c>
      <c r="C170" s="123">
        <v>0</v>
      </c>
      <c r="D170" s="137">
        <f t="shared" ref="D170:BC170" si="535">IF(D160="","",D169*D164)</f>
        <v>0</v>
      </c>
      <c r="E170" s="137">
        <f t="shared" si="535"/>
        <v>0</v>
      </c>
      <c r="F170" s="125">
        <f t="shared" si="535"/>
        <v>0</v>
      </c>
      <c r="G170" s="137">
        <f t="shared" si="535"/>
        <v>0</v>
      </c>
      <c r="H170" s="137">
        <f t="shared" si="535"/>
        <v>0</v>
      </c>
      <c r="I170" s="137">
        <f t="shared" si="535"/>
        <v>0</v>
      </c>
      <c r="J170" s="125">
        <f t="shared" si="535"/>
        <v>0</v>
      </c>
      <c r="K170" s="137">
        <f t="shared" si="535"/>
        <v>0</v>
      </c>
      <c r="L170" s="137">
        <f t="shared" si="535"/>
        <v>480</v>
      </c>
      <c r="M170" s="125">
        <f t="shared" si="535"/>
        <v>0</v>
      </c>
      <c r="N170" s="137">
        <f t="shared" si="535"/>
        <v>0</v>
      </c>
      <c r="O170" s="137">
        <f t="shared" si="535"/>
        <v>0</v>
      </c>
      <c r="P170" s="125">
        <f t="shared" si="535"/>
        <v>0</v>
      </c>
      <c r="Q170" s="137">
        <f t="shared" si="535"/>
        <v>0</v>
      </c>
      <c r="R170" s="124">
        <f t="shared" si="535"/>
        <v>0</v>
      </c>
      <c r="S170" s="125">
        <f t="shared" si="535"/>
        <v>0</v>
      </c>
      <c r="T170" s="137">
        <f t="shared" si="535"/>
        <v>0</v>
      </c>
      <c r="U170" s="125">
        <f t="shared" si="535"/>
        <v>0</v>
      </c>
      <c r="V170" s="137">
        <f t="shared" si="535"/>
        <v>0</v>
      </c>
      <c r="W170" s="137">
        <f t="shared" si="535"/>
        <v>0</v>
      </c>
      <c r="X170" s="125">
        <f t="shared" si="535"/>
        <v>0</v>
      </c>
      <c r="Y170" s="137">
        <f t="shared" si="535"/>
        <v>0</v>
      </c>
      <c r="Z170" s="137">
        <f t="shared" si="535"/>
        <v>240</v>
      </c>
      <c r="AA170" s="125">
        <f t="shared" si="535"/>
        <v>0</v>
      </c>
      <c r="AB170" s="137">
        <f t="shared" si="535"/>
        <v>0</v>
      </c>
      <c r="AC170" s="137">
        <f t="shared" si="535"/>
        <v>0</v>
      </c>
      <c r="AD170" s="137">
        <f t="shared" si="535"/>
        <v>720</v>
      </c>
      <c r="AE170" s="125">
        <f t="shared" si="535"/>
        <v>0</v>
      </c>
      <c r="AF170" s="137">
        <f t="shared" si="535"/>
        <v>0</v>
      </c>
      <c r="AG170" s="137">
        <f t="shared" si="535"/>
        <v>0</v>
      </c>
      <c r="AH170" s="123">
        <f>IF(AH160="","",AH169*AH164)</f>
        <v>0</v>
      </c>
      <c r="AI170" s="20">
        <f t="shared" si="535"/>
        <v>0</v>
      </c>
      <c r="AJ170" s="20">
        <f t="shared" si="535"/>
        <v>0</v>
      </c>
      <c r="AK170" s="20">
        <f t="shared" si="535"/>
        <v>0</v>
      </c>
      <c r="AL170" s="195" t="str">
        <f t="shared" si="535"/>
        <v/>
      </c>
      <c r="AM170" s="20" t="str">
        <f t="shared" si="535"/>
        <v/>
      </c>
      <c r="AN170" s="20" t="str">
        <f t="shared" si="535"/>
        <v/>
      </c>
      <c r="AO170" s="195" t="str">
        <f t="shared" si="535"/>
        <v/>
      </c>
      <c r="AP170" s="20" t="str">
        <f t="shared" si="535"/>
        <v/>
      </c>
      <c r="AQ170" s="20" t="str">
        <f t="shared" si="535"/>
        <v/>
      </c>
      <c r="AR170" s="20" t="str">
        <f t="shared" si="535"/>
        <v/>
      </c>
      <c r="AS170" s="20" t="str">
        <f t="shared" si="535"/>
        <v/>
      </c>
      <c r="AT170" s="20" t="str">
        <f t="shared" si="535"/>
        <v/>
      </c>
      <c r="AU170" s="20" t="str">
        <f t="shared" si="535"/>
        <v/>
      </c>
      <c r="AV170" s="20" t="str">
        <f t="shared" si="535"/>
        <v/>
      </c>
      <c r="AW170" s="20" t="str">
        <f t="shared" si="535"/>
        <v/>
      </c>
      <c r="AX170" s="20" t="str">
        <f t="shared" si="535"/>
        <v/>
      </c>
      <c r="AY170" s="20" t="str">
        <f t="shared" si="535"/>
        <v/>
      </c>
      <c r="AZ170" s="20" t="str">
        <f t="shared" si="535"/>
        <v/>
      </c>
      <c r="BA170" s="20" t="str">
        <f t="shared" si="535"/>
        <v/>
      </c>
      <c r="BB170" s="20" t="str">
        <f t="shared" si="535"/>
        <v/>
      </c>
      <c r="BC170" s="20" t="str">
        <f t="shared" si="535"/>
        <v/>
      </c>
    </row>
    <row r="171" spans="1:55" ht="11.25" customHeight="1" thickBot="1" x14ac:dyDescent="0.25">
      <c r="A171" s="21">
        <f>IF(A170="","",A170/(A167*100))</f>
        <v>2.6617375231053605E-2</v>
      </c>
      <c r="B171" s="22" t="s">
        <v>17</v>
      </c>
      <c r="C171" s="140" t="s">
        <v>18</v>
      </c>
      <c r="D171" s="141" t="str">
        <f t="shared" ref="D171:BC171" si="536">IF(D170="","",IF(D170=0,"",D170/(D167*100)))</f>
        <v/>
      </c>
      <c r="E171" s="141" t="str">
        <f t="shared" si="536"/>
        <v/>
      </c>
      <c r="F171" s="142" t="str">
        <f t="shared" si="536"/>
        <v/>
      </c>
      <c r="G171" s="141" t="str">
        <f t="shared" si="536"/>
        <v/>
      </c>
      <c r="H171" s="141" t="str">
        <f t="shared" si="536"/>
        <v/>
      </c>
      <c r="I171" s="141" t="str">
        <f t="shared" si="536"/>
        <v/>
      </c>
      <c r="J171" s="142" t="str">
        <f t="shared" si="536"/>
        <v/>
      </c>
      <c r="K171" s="141" t="str">
        <f t="shared" si="536"/>
        <v/>
      </c>
      <c r="L171" s="141">
        <f t="shared" si="536"/>
        <v>4.9484536082474224E-2</v>
      </c>
      <c r="M171" s="142" t="str">
        <f t="shared" si="536"/>
        <v/>
      </c>
      <c r="N171" s="141" t="str">
        <f t="shared" si="536"/>
        <v/>
      </c>
      <c r="O171" s="141" t="str">
        <f t="shared" si="536"/>
        <v/>
      </c>
      <c r="P171" s="142" t="str">
        <f t="shared" si="536"/>
        <v/>
      </c>
      <c r="Q171" s="141" t="str">
        <f t="shared" si="536"/>
        <v/>
      </c>
      <c r="R171" s="192" t="str">
        <f t="shared" si="536"/>
        <v/>
      </c>
      <c r="S171" s="142" t="str">
        <f t="shared" si="536"/>
        <v/>
      </c>
      <c r="T171" s="141" t="str">
        <f t="shared" si="536"/>
        <v/>
      </c>
      <c r="U171" s="142" t="str">
        <f t="shared" si="536"/>
        <v/>
      </c>
      <c r="V171" s="141" t="str">
        <f t="shared" si="536"/>
        <v/>
      </c>
      <c r="W171" s="141" t="str">
        <f t="shared" si="536"/>
        <v/>
      </c>
      <c r="X171" s="142" t="str">
        <f t="shared" si="536"/>
        <v/>
      </c>
      <c r="Y171" s="141" t="str">
        <f t="shared" si="536"/>
        <v/>
      </c>
      <c r="Z171" s="141">
        <f t="shared" si="536"/>
        <v>7.7419354838709681E-2</v>
      </c>
      <c r="AA171" s="142" t="str">
        <f t="shared" si="536"/>
        <v/>
      </c>
      <c r="AB171" s="141" t="str">
        <f t="shared" si="536"/>
        <v/>
      </c>
      <c r="AC171" s="141" t="str">
        <f t="shared" si="536"/>
        <v/>
      </c>
      <c r="AD171" s="141">
        <f t="shared" si="536"/>
        <v>0.14693877551020409</v>
      </c>
      <c r="AE171" s="142" t="str">
        <f t="shared" si="536"/>
        <v/>
      </c>
      <c r="AF171" s="141" t="str">
        <f t="shared" si="536"/>
        <v/>
      </c>
      <c r="AG171" s="141" t="str">
        <f t="shared" si="536"/>
        <v/>
      </c>
      <c r="AH171" s="140" t="str">
        <f>IF(AH170="","",IF(AH170=0,"",AH170/(AH167*100)))</f>
        <v/>
      </c>
      <c r="AI171" s="23" t="str">
        <f t="shared" si="536"/>
        <v/>
      </c>
      <c r="AJ171" s="23" t="str">
        <f t="shared" si="536"/>
        <v/>
      </c>
      <c r="AK171" s="23" t="str">
        <f t="shared" si="536"/>
        <v/>
      </c>
      <c r="AL171" s="198" t="str">
        <f t="shared" si="536"/>
        <v/>
      </c>
      <c r="AM171" s="23" t="str">
        <f t="shared" si="536"/>
        <v/>
      </c>
      <c r="AN171" s="23" t="str">
        <f t="shared" si="536"/>
        <v/>
      </c>
      <c r="AO171" s="198" t="str">
        <f t="shared" si="536"/>
        <v/>
      </c>
      <c r="AP171" s="23" t="str">
        <f t="shared" si="536"/>
        <v/>
      </c>
      <c r="AQ171" s="23" t="str">
        <f t="shared" si="536"/>
        <v/>
      </c>
      <c r="AR171" s="23" t="str">
        <f t="shared" si="536"/>
        <v/>
      </c>
      <c r="AS171" s="23" t="str">
        <f t="shared" si="536"/>
        <v/>
      </c>
      <c r="AT171" s="23" t="str">
        <f t="shared" si="536"/>
        <v/>
      </c>
      <c r="AU171" s="23" t="str">
        <f t="shared" si="536"/>
        <v/>
      </c>
      <c r="AV171" s="23" t="str">
        <f t="shared" si="536"/>
        <v/>
      </c>
      <c r="AW171" s="23" t="str">
        <f t="shared" si="536"/>
        <v/>
      </c>
      <c r="AX171" s="23" t="str">
        <f t="shared" si="536"/>
        <v/>
      </c>
      <c r="AY171" s="23" t="str">
        <f t="shared" si="536"/>
        <v/>
      </c>
      <c r="AZ171" s="23" t="str">
        <f t="shared" si="536"/>
        <v/>
      </c>
      <c r="BA171" s="23" t="str">
        <f t="shared" si="536"/>
        <v/>
      </c>
      <c r="BB171" s="23" t="str">
        <f t="shared" si="536"/>
        <v/>
      </c>
      <c r="BC171" s="23" t="str">
        <f t="shared" si="536"/>
        <v/>
      </c>
    </row>
    <row r="172" spans="1:55" ht="11.25" customHeight="1" x14ac:dyDescent="0.2">
      <c r="A172" s="7" t="s">
        <v>1</v>
      </c>
      <c r="B172" s="8" t="s">
        <v>2</v>
      </c>
      <c r="C172" s="118">
        <v>22962</v>
      </c>
      <c r="D172" s="119">
        <f t="shared" ref="D172:D173" si="537">IF(D$16="","",C172)</f>
        <v>22962</v>
      </c>
      <c r="E172" s="119">
        <v>23312</v>
      </c>
      <c r="F172" s="120">
        <f t="shared" ref="F172:F173" si="538">IF(F$16="","",E172)</f>
        <v>23312</v>
      </c>
      <c r="G172" s="119">
        <f>IF(G$16="","",F172)</f>
        <v>23312</v>
      </c>
      <c r="H172" s="119">
        <f t="shared" ref="H172:H173" si="539">IF(H$16="","",G172)</f>
        <v>23312</v>
      </c>
      <c r="I172" s="119">
        <v>23643</v>
      </c>
      <c r="J172" s="120">
        <f t="shared" ref="J172:K173" si="540">IF(J$16="","",I172)</f>
        <v>23643</v>
      </c>
      <c r="K172" s="119">
        <f t="shared" si="540"/>
        <v>23643</v>
      </c>
      <c r="L172" s="119">
        <v>24165</v>
      </c>
      <c r="M172" s="120">
        <f t="shared" ref="M172:M173" si="541">IF(M$16="","",L172)</f>
        <v>24165</v>
      </c>
      <c r="N172" s="119">
        <f>IF(N$16="","",M172)</f>
        <v>24165</v>
      </c>
      <c r="O172" s="119">
        <v>24740</v>
      </c>
      <c r="P172" s="120">
        <f t="shared" ref="P172:Q173" si="542">IF(P$16="","",O172)</f>
        <v>24740</v>
      </c>
      <c r="Q172" s="119">
        <f t="shared" si="542"/>
        <v>24740</v>
      </c>
      <c r="R172" s="119">
        <v>25019</v>
      </c>
      <c r="S172" s="120">
        <f t="shared" ref="S172:S173" si="543">IF(S$16="","",R172)</f>
        <v>25019</v>
      </c>
      <c r="T172" s="119">
        <v>25246</v>
      </c>
      <c r="U172" s="120">
        <f>IF(U$16="","",T172)</f>
        <v>25246</v>
      </c>
      <c r="V172" s="119">
        <f t="shared" ref="V172:V173" si="544">IF(V$16="","",U172)</f>
        <v>25246</v>
      </c>
      <c r="W172" s="119">
        <v>25554</v>
      </c>
      <c r="X172" s="120">
        <f t="shared" ref="X172:X173" si="545">IF(X$16="","",W172)</f>
        <v>25554</v>
      </c>
      <c r="Y172" s="119">
        <f>IF(Y$16="","",X172)</f>
        <v>25554</v>
      </c>
      <c r="Z172" s="119">
        <v>25868</v>
      </c>
      <c r="AA172" s="120">
        <f t="shared" ref="AA172:AA173" si="546">IF(AA$16="","",Z172)</f>
        <v>25868</v>
      </c>
      <c r="AB172" s="119">
        <f>IF(AB$16="","",AA172)</f>
        <v>25868</v>
      </c>
      <c r="AC172" s="119">
        <f t="shared" ref="AC172:AC173" si="547">IF(AC$16="","",AB172)</f>
        <v>25868</v>
      </c>
      <c r="AD172" s="119">
        <v>26080</v>
      </c>
      <c r="AE172" s="120">
        <f t="shared" ref="AE172:AE173" si="548">IF(AE$16="","",AD172)</f>
        <v>26080</v>
      </c>
      <c r="AF172" s="119">
        <f>IF(AF$16="","",AE172)</f>
        <v>26080</v>
      </c>
      <c r="AG172" s="119">
        <v>26427</v>
      </c>
      <c r="AH172" s="118">
        <f>IF(AH$16="","",AG172)</f>
        <v>26427</v>
      </c>
      <c r="AI172" s="9">
        <f t="shared" ref="AI172:AJ173" si="549">IF(AI$16="","",AH172)</f>
        <v>26427</v>
      </c>
      <c r="AJ172" s="9">
        <f t="shared" si="549"/>
        <v>26427</v>
      </c>
      <c r="AK172" s="9">
        <v>26983</v>
      </c>
      <c r="AL172" s="194" t="str">
        <f t="shared" ref="AL172:BA173" si="550">IF(AL$16="","",AK172)</f>
        <v/>
      </c>
      <c r="AM172" s="9" t="str">
        <f t="shared" si="550"/>
        <v/>
      </c>
      <c r="AN172" s="9" t="str">
        <f t="shared" si="550"/>
        <v/>
      </c>
      <c r="AO172" s="194" t="str">
        <f t="shared" si="550"/>
        <v/>
      </c>
      <c r="AP172" s="9" t="str">
        <f t="shared" si="550"/>
        <v/>
      </c>
      <c r="AQ172" s="9" t="str">
        <f t="shared" si="550"/>
        <v/>
      </c>
      <c r="AR172" s="9" t="str">
        <f t="shared" si="550"/>
        <v/>
      </c>
      <c r="AS172" s="9" t="str">
        <f t="shared" si="550"/>
        <v/>
      </c>
      <c r="AT172" s="9" t="str">
        <f t="shared" si="550"/>
        <v/>
      </c>
      <c r="AU172" s="9" t="str">
        <f t="shared" si="550"/>
        <v/>
      </c>
      <c r="AV172" s="9" t="str">
        <f t="shared" si="550"/>
        <v/>
      </c>
      <c r="AW172" s="9" t="str">
        <f t="shared" si="550"/>
        <v/>
      </c>
      <c r="AX172" s="9" t="str">
        <f t="shared" si="550"/>
        <v/>
      </c>
      <c r="AY172" s="9" t="str">
        <f t="shared" si="550"/>
        <v/>
      </c>
      <c r="AZ172" s="9" t="str">
        <f t="shared" si="550"/>
        <v/>
      </c>
      <c r="BA172" s="9" t="str">
        <f t="shared" si="550"/>
        <v/>
      </c>
      <c r="BB172" s="9" t="str">
        <f t="shared" ref="BB172:BC173" si="551">IF(BB$16="","",BA172)</f>
        <v/>
      </c>
      <c r="BC172" s="9" t="str">
        <f t="shared" si="551"/>
        <v/>
      </c>
    </row>
    <row r="173" spans="1:55" ht="11.25" customHeight="1" x14ac:dyDescent="0.2">
      <c r="A173" s="10" t="s">
        <v>46</v>
      </c>
      <c r="B173" s="11" t="s">
        <v>4</v>
      </c>
      <c r="C173" s="123">
        <v>420</v>
      </c>
      <c r="D173" s="124">
        <f t="shared" si="537"/>
        <v>420</v>
      </c>
      <c r="E173" s="124">
        <v>424</v>
      </c>
      <c r="F173" s="125">
        <f t="shared" si="538"/>
        <v>424</v>
      </c>
      <c r="G173" s="124">
        <f>IF(G$16="","",F173)</f>
        <v>424</v>
      </c>
      <c r="H173" s="124">
        <f t="shared" si="539"/>
        <v>424</v>
      </c>
      <c r="I173" s="124">
        <v>429</v>
      </c>
      <c r="J173" s="125">
        <f t="shared" si="540"/>
        <v>429</v>
      </c>
      <c r="K173" s="124">
        <f t="shared" si="540"/>
        <v>429</v>
      </c>
      <c r="L173" s="124">
        <v>435</v>
      </c>
      <c r="M173" s="125">
        <f t="shared" si="541"/>
        <v>435</v>
      </c>
      <c r="N173" s="124">
        <f>IF(N$16="","",M173)</f>
        <v>435</v>
      </c>
      <c r="O173" s="124">
        <v>443</v>
      </c>
      <c r="P173" s="125">
        <f t="shared" si="542"/>
        <v>443</v>
      </c>
      <c r="Q173" s="124">
        <f t="shared" si="542"/>
        <v>443</v>
      </c>
      <c r="R173" s="124">
        <v>448</v>
      </c>
      <c r="S173" s="125">
        <f t="shared" si="543"/>
        <v>448</v>
      </c>
      <c r="T173" s="124">
        <v>456</v>
      </c>
      <c r="U173" s="125">
        <f>IF(U$16="","",T173)</f>
        <v>456</v>
      </c>
      <c r="V173" s="124">
        <f t="shared" si="544"/>
        <v>456</v>
      </c>
      <c r="W173" s="124">
        <v>460</v>
      </c>
      <c r="X173" s="125">
        <f t="shared" si="545"/>
        <v>460</v>
      </c>
      <c r="Y173" s="124">
        <f>IF(Y$16="","",X173)</f>
        <v>460</v>
      </c>
      <c r="Z173" s="124">
        <v>466</v>
      </c>
      <c r="AA173" s="125">
        <f t="shared" si="546"/>
        <v>466</v>
      </c>
      <c r="AB173" s="124">
        <f>IF(AB$16="","",AA173)</f>
        <v>466</v>
      </c>
      <c r="AC173" s="124">
        <f t="shared" si="547"/>
        <v>466</v>
      </c>
      <c r="AD173" s="124">
        <v>469</v>
      </c>
      <c r="AE173" s="125">
        <f t="shared" si="548"/>
        <v>469</v>
      </c>
      <c r="AF173" s="124">
        <f>IF(AF$16="","",AE173)</f>
        <v>469</v>
      </c>
      <c r="AG173" s="124">
        <v>472</v>
      </c>
      <c r="AH173" s="123">
        <f>IF(AH$16="","",AG173)</f>
        <v>472</v>
      </c>
      <c r="AI173" s="12">
        <f t="shared" si="549"/>
        <v>472</v>
      </c>
      <c r="AJ173" s="12">
        <f t="shared" si="549"/>
        <v>472</v>
      </c>
      <c r="AK173" s="12">
        <v>479</v>
      </c>
      <c r="AL173" s="195" t="str">
        <f t="shared" si="550"/>
        <v/>
      </c>
      <c r="AM173" s="12" t="str">
        <f t="shared" si="550"/>
        <v/>
      </c>
      <c r="AN173" s="12" t="str">
        <f t="shared" si="550"/>
        <v/>
      </c>
      <c r="AO173" s="195" t="str">
        <f t="shared" si="550"/>
        <v/>
      </c>
      <c r="AP173" s="12" t="str">
        <f t="shared" si="550"/>
        <v/>
      </c>
      <c r="AQ173" s="12" t="str">
        <f t="shared" si="550"/>
        <v/>
      </c>
      <c r="AR173" s="12" t="str">
        <f t="shared" si="550"/>
        <v/>
      </c>
      <c r="AS173" s="12" t="str">
        <f t="shared" si="550"/>
        <v/>
      </c>
      <c r="AT173" s="12" t="str">
        <f t="shared" si="550"/>
        <v/>
      </c>
      <c r="AU173" s="12" t="str">
        <f t="shared" si="550"/>
        <v/>
      </c>
      <c r="AV173" s="12" t="str">
        <f t="shared" si="550"/>
        <v/>
      </c>
      <c r="AW173" s="12" t="str">
        <f t="shared" si="550"/>
        <v/>
      </c>
      <c r="AX173" s="12" t="str">
        <f t="shared" si="550"/>
        <v/>
      </c>
      <c r="AY173" s="12" t="str">
        <f t="shared" si="550"/>
        <v/>
      </c>
      <c r="AZ173" s="12" t="str">
        <f t="shared" si="550"/>
        <v/>
      </c>
      <c r="BA173" s="12" t="str">
        <f t="shared" si="550"/>
        <v/>
      </c>
      <c r="BB173" s="12" t="str">
        <f t="shared" si="551"/>
        <v/>
      </c>
      <c r="BC173" s="12" t="str">
        <f t="shared" si="551"/>
        <v/>
      </c>
    </row>
    <row r="174" spans="1:55" ht="11.25" customHeight="1" x14ac:dyDescent="0.25">
      <c r="A174" s="13"/>
      <c r="B174" s="11" t="s">
        <v>5</v>
      </c>
      <c r="C174" s="123">
        <v>7</v>
      </c>
      <c r="D174" s="124">
        <f t="shared" ref="D174" si="552">IF(D172="","",(C174+C175))</f>
        <v>13</v>
      </c>
      <c r="E174" s="124">
        <v>9</v>
      </c>
      <c r="F174" s="125">
        <f t="shared" ref="F174:H174" si="553">IF(F172="","",(E174+E175))</f>
        <v>14</v>
      </c>
      <c r="G174" s="124">
        <f t="shared" si="553"/>
        <v>14</v>
      </c>
      <c r="H174" s="124">
        <f t="shared" si="553"/>
        <v>14</v>
      </c>
      <c r="I174" s="124">
        <v>9</v>
      </c>
      <c r="J174" s="125">
        <f t="shared" ref="J174:K174" si="554">IF(J172="","",(I174+I175))</f>
        <v>13</v>
      </c>
      <c r="K174" s="124">
        <f t="shared" si="554"/>
        <v>13</v>
      </c>
      <c r="L174" s="124">
        <v>7</v>
      </c>
      <c r="M174" s="125">
        <f t="shared" ref="M174" si="555">IF(M172="","",(L174+L175))</f>
        <v>13</v>
      </c>
      <c r="N174" s="124">
        <f>IF(N172="","",(M174+M175))</f>
        <v>13</v>
      </c>
      <c r="O174" s="124">
        <v>5</v>
      </c>
      <c r="P174" s="125">
        <f t="shared" ref="P174:Q174" si="556">IF(P172="","",(O174+O175))</f>
        <v>12</v>
      </c>
      <c r="Q174" s="124">
        <f t="shared" si="556"/>
        <v>12</v>
      </c>
      <c r="R174" s="124">
        <v>7</v>
      </c>
      <c r="S174" s="125">
        <f t="shared" ref="S174" si="557">IF(S172="","",(R174+R175))</f>
        <v>14</v>
      </c>
      <c r="T174" s="124">
        <v>6</v>
      </c>
      <c r="U174" s="125">
        <f>IF(U172="","",(T174+T175))</f>
        <v>10</v>
      </c>
      <c r="V174" s="124">
        <f t="shared" ref="V174" si="558">IF(V172="","",(U174+U175))</f>
        <v>10</v>
      </c>
      <c r="W174" s="124">
        <v>6</v>
      </c>
      <c r="X174" s="125">
        <f t="shared" ref="X174" si="559">IF(X172="","",(W174+W175))</f>
        <v>14</v>
      </c>
      <c r="Y174" s="124">
        <f>IF(Y172="","",(X174+X175))</f>
        <v>14</v>
      </c>
      <c r="Z174" s="124">
        <v>8</v>
      </c>
      <c r="AA174" s="125">
        <f t="shared" ref="AA174" si="560">IF(AA172="","",(Z174+Z175))</f>
        <v>12</v>
      </c>
      <c r="AB174" s="124">
        <f>IF(AB172="","",(AA174+AA175))</f>
        <v>12</v>
      </c>
      <c r="AC174" s="124">
        <f t="shared" ref="AC174" si="561">IF(AC172="","",(AB174+AB175))</f>
        <v>12</v>
      </c>
      <c r="AD174" s="124">
        <v>9</v>
      </c>
      <c r="AE174" s="125">
        <f t="shared" ref="AE174" si="562">IF(AE172="","",(AD174+AD175))</f>
        <v>17</v>
      </c>
      <c r="AF174" s="124">
        <f>IF(AF172="","",(AE174+AE175))</f>
        <v>17</v>
      </c>
      <c r="AG174" s="124">
        <v>11</v>
      </c>
      <c r="AH174" s="123">
        <f>IF(AH172="","",(AG174+AG175))</f>
        <v>19</v>
      </c>
      <c r="AI174" s="12">
        <f t="shared" ref="AI174:AJ174" si="563">IF(AI172="","",(AH174+AH175))</f>
        <v>19</v>
      </c>
      <c r="AJ174" s="12">
        <f t="shared" si="563"/>
        <v>19</v>
      </c>
      <c r="AK174" s="12">
        <v>12</v>
      </c>
      <c r="AL174" s="195" t="str">
        <f t="shared" ref="AL174:BC174" si="564">IF(AL172="","",(AK174+AK175))</f>
        <v/>
      </c>
      <c r="AM174" s="12" t="str">
        <f t="shared" si="564"/>
        <v/>
      </c>
      <c r="AN174" s="12" t="str">
        <f t="shared" si="564"/>
        <v/>
      </c>
      <c r="AO174" s="195" t="str">
        <f t="shared" si="564"/>
        <v/>
      </c>
      <c r="AP174" s="12" t="str">
        <f t="shared" si="564"/>
        <v/>
      </c>
      <c r="AQ174" s="12" t="str">
        <f t="shared" si="564"/>
        <v/>
      </c>
      <c r="AR174" s="12" t="str">
        <f t="shared" si="564"/>
        <v/>
      </c>
      <c r="AS174" s="12" t="str">
        <f t="shared" si="564"/>
        <v/>
      </c>
      <c r="AT174" s="12" t="str">
        <f t="shared" si="564"/>
        <v/>
      </c>
      <c r="AU174" s="12" t="str">
        <f t="shared" si="564"/>
        <v/>
      </c>
      <c r="AV174" s="12" t="str">
        <f t="shared" si="564"/>
        <v/>
      </c>
      <c r="AW174" s="12" t="str">
        <f t="shared" si="564"/>
        <v/>
      </c>
      <c r="AX174" s="12" t="str">
        <f t="shared" si="564"/>
        <v/>
      </c>
      <c r="AY174" s="12" t="str">
        <f t="shared" si="564"/>
        <v/>
      </c>
      <c r="AZ174" s="12" t="str">
        <f t="shared" si="564"/>
        <v/>
      </c>
      <c r="BA174" s="12" t="str">
        <f t="shared" si="564"/>
        <v/>
      </c>
      <c r="BB174" s="12" t="str">
        <f t="shared" si="564"/>
        <v/>
      </c>
      <c r="BC174" s="12" t="str">
        <f t="shared" si="564"/>
        <v/>
      </c>
    </row>
    <row r="175" spans="1:55" ht="11.25" customHeight="1" x14ac:dyDescent="0.2">
      <c r="A175" s="14"/>
      <c r="B175" s="11" t="s">
        <v>6</v>
      </c>
      <c r="C175" s="123">
        <v>6</v>
      </c>
      <c r="D175" s="124"/>
      <c r="E175" s="124">
        <v>5</v>
      </c>
      <c r="F175" s="125"/>
      <c r="G175" s="124"/>
      <c r="H175" s="124"/>
      <c r="I175" s="124">
        <v>4</v>
      </c>
      <c r="J175" s="125"/>
      <c r="K175" s="124"/>
      <c r="L175" s="124">
        <v>6</v>
      </c>
      <c r="M175" s="125"/>
      <c r="N175" s="124"/>
      <c r="O175" s="124">
        <v>7</v>
      </c>
      <c r="P175" s="125"/>
      <c r="Q175" s="124"/>
      <c r="R175" s="124">
        <v>7</v>
      </c>
      <c r="S175" s="125"/>
      <c r="T175" s="124">
        <v>4</v>
      </c>
      <c r="U175" s="125"/>
      <c r="V175" s="124"/>
      <c r="W175" s="124">
        <v>8</v>
      </c>
      <c r="X175" s="125"/>
      <c r="Y175" s="124"/>
      <c r="Z175" s="124">
        <v>4</v>
      </c>
      <c r="AA175" s="125"/>
      <c r="AB175" s="124"/>
      <c r="AC175" s="124"/>
      <c r="AD175" s="124">
        <v>8</v>
      </c>
      <c r="AE175" s="125"/>
      <c r="AF175" s="124"/>
      <c r="AG175" s="124">
        <v>8</v>
      </c>
      <c r="AH175" s="123"/>
      <c r="AI175" s="12"/>
      <c r="AJ175" s="12"/>
      <c r="AK175" s="12">
        <v>7</v>
      </c>
      <c r="AL175" s="195"/>
      <c r="AM175" s="12"/>
      <c r="AN175" s="12"/>
      <c r="AO175" s="195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</row>
    <row r="176" spans="1:55" ht="11.25" customHeight="1" x14ac:dyDescent="0.2">
      <c r="A176" s="15"/>
      <c r="B176" s="11" t="s">
        <v>8</v>
      </c>
      <c r="C176" s="129">
        <v>1500</v>
      </c>
      <c r="D176" s="130">
        <f t="shared" ref="D176:L176" si="565">IF(D172="","",C176)</f>
        <v>1500</v>
      </c>
      <c r="E176" s="130">
        <f t="shared" si="565"/>
        <v>1500</v>
      </c>
      <c r="F176" s="131">
        <f t="shared" si="565"/>
        <v>1500</v>
      </c>
      <c r="G176" s="130">
        <f t="shared" si="565"/>
        <v>1500</v>
      </c>
      <c r="H176" s="130">
        <f t="shared" si="565"/>
        <v>1500</v>
      </c>
      <c r="I176" s="130">
        <f t="shared" si="565"/>
        <v>1500</v>
      </c>
      <c r="J176" s="131">
        <f t="shared" si="565"/>
        <v>1500</v>
      </c>
      <c r="K176" s="130">
        <f t="shared" si="565"/>
        <v>1500</v>
      </c>
      <c r="L176" s="130">
        <f t="shared" si="565"/>
        <v>1500</v>
      </c>
      <c r="M176" s="131">
        <f>IF(M172="","",L176)</f>
        <v>1500</v>
      </c>
      <c r="N176" s="130">
        <f t="shared" ref="N176:AG176" si="566">IF(N172="","",M176)</f>
        <v>1500</v>
      </c>
      <c r="O176" s="130">
        <f t="shared" si="566"/>
        <v>1500</v>
      </c>
      <c r="P176" s="131">
        <f t="shared" si="566"/>
        <v>1500</v>
      </c>
      <c r="Q176" s="130">
        <f t="shared" si="566"/>
        <v>1500</v>
      </c>
      <c r="R176" s="130">
        <f t="shared" si="566"/>
        <v>1500</v>
      </c>
      <c r="S176" s="131">
        <f t="shared" si="566"/>
        <v>1500</v>
      </c>
      <c r="T176" s="130">
        <f t="shared" si="566"/>
        <v>1500</v>
      </c>
      <c r="U176" s="131">
        <f t="shared" si="566"/>
        <v>1500</v>
      </c>
      <c r="V176" s="130">
        <f t="shared" si="566"/>
        <v>1500</v>
      </c>
      <c r="W176" s="130">
        <f t="shared" si="566"/>
        <v>1500</v>
      </c>
      <c r="X176" s="131">
        <f t="shared" si="566"/>
        <v>1500</v>
      </c>
      <c r="Y176" s="130">
        <f t="shared" si="566"/>
        <v>1500</v>
      </c>
      <c r="Z176" s="130">
        <f t="shared" si="566"/>
        <v>1500</v>
      </c>
      <c r="AA176" s="131">
        <f t="shared" si="566"/>
        <v>1500</v>
      </c>
      <c r="AB176" s="130">
        <f t="shared" si="566"/>
        <v>1500</v>
      </c>
      <c r="AC176" s="130">
        <f t="shared" si="566"/>
        <v>1500</v>
      </c>
      <c r="AD176" s="130">
        <f t="shared" si="566"/>
        <v>1500</v>
      </c>
      <c r="AE176" s="131">
        <f t="shared" si="566"/>
        <v>1500</v>
      </c>
      <c r="AF176" s="130">
        <f t="shared" si="566"/>
        <v>1500</v>
      </c>
      <c r="AG176" s="130">
        <f t="shared" si="566"/>
        <v>1500</v>
      </c>
      <c r="AH176" s="129">
        <f>IF(AH172="","",AG176)</f>
        <v>1500</v>
      </c>
      <c r="AI176" s="16">
        <f t="shared" ref="AI176:BC176" si="567">IF(AI172="","",AH176)</f>
        <v>1500</v>
      </c>
      <c r="AJ176" s="16">
        <f t="shared" si="567"/>
        <v>1500</v>
      </c>
      <c r="AK176" s="16">
        <f t="shared" si="567"/>
        <v>1500</v>
      </c>
      <c r="AL176" s="196" t="str">
        <f t="shared" si="567"/>
        <v/>
      </c>
      <c r="AM176" s="16" t="str">
        <f t="shared" si="567"/>
        <v/>
      </c>
      <c r="AN176" s="16" t="str">
        <f t="shared" si="567"/>
        <v/>
      </c>
      <c r="AO176" s="196" t="str">
        <f t="shared" si="567"/>
        <v/>
      </c>
      <c r="AP176" s="16" t="str">
        <f t="shared" si="567"/>
        <v/>
      </c>
      <c r="AQ176" s="16" t="str">
        <f t="shared" si="567"/>
        <v/>
      </c>
      <c r="AR176" s="16" t="str">
        <f t="shared" si="567"/>
        <v/>
      </c>
      <c r="AS176" s="16" t="str">
        <f t="shared" si="567"/>
        <v/>
      </c>
      <c r="AT176" s="16" t="str">
        <f t="shared" si="567"/>
        <v/>
      </c>
      <c r="AU176" s="16" t="str">
        <f t="shared" si="567"/>
        <v/>
      </c>
      <c r="AV176" s="16" t="str">
        <f t="shared" si="567"/>
        <v/>
      </c>
      <c r="AW176" s="16" t="str">
        <f t="shared" si="567"/>
        <v/>
      </c>
      <c r="AX176" s="16" t="str">
        <f t="shared" si="567"/>
        <v/>
      </c>
      <c r="AY176" s="16" t="str">
        <f t="shared" si="567"/>
        <v/>
      </c>
      <c r="AZ176" s="16" t="str">
        <f t="shared" si="567"/>
        <v/>
      </c>
      <c r="BA176" s="16" t="str">
        <f t="shared" si="567"/>
        <v/>
      </c>
      <c r="BB176" s="16" t="str">
        <f t="shared" si="567"/>
        <v/>
      </c>
      <c r="BC176" s="16" t="str">
        <f t="shared" si="567"/>
        <v/>
      </c>
    </row>
    <row r="177" spans="1:55" ht="11.25" customHeight="1" x14ac:dyDescent="0.2">
      <c r="A177" s="14" t="s">
        <v>9</v>
      </c>
      <c r="B177" s="17" t="s">
        <v>10</v>
      </c>
      <c r="C177" s="133" t="s">
        <v>215</v>
      </c>
      <c r="D177" s="134" t="str">
        <f t="shared" ref="D177:L177" si="568">IF(D172="","",C177)</f>
        <v>ボンドロ</v>
      </c>
      <c r="E177" s="134" t="str">
        <f t="shared" si="568"/>
        <v>ボンドロ</v>
      </c>
      <c r="F177" s="135" t="str">
        <f t="shared" si="568"/>
        <v>ボンドロ</v>
      </c>
      <c r="G177" s="134" t="str">
        <f t="shared" si="568"/>
        <v>ボンドロ</v>
      </c>
      <c r="H177" s="134" t="str">
        <f t="shared" si="568"/>
        <v>ボンドロ</v>
      </c>
      <c r="I177" s="134" t="str">
        <f t="shared" si="568"/>
        <v>ボンドロ</v>
      </c>
      <c r="J177" s="135" t="str">
        <f t="shared" si="568"/>
        <v>ボンドロ</v>
      </c>
      <c r="K177" s="134" t="str">
        <f t="shared" si="568"/>
        <v>ボンドロ</v>
      </c>
      <c r="L177" s="134" t="str">
        <f t="shared" si="568"/>
        <v>ボンドロ</v>
      </c>
      <c r="M177" s="135" t="str">
        <f>IF(M172="","",L177)</f>
        <v>ボンドロ</v>
      </c>
      <c r="N177" s="134" t="str">
        <f t="shared" ref="N177:AG177" si="569">IF(N172="","",M177)</f>
        <v>ボンドロ</v>
      </c>
      <c r="O177" s="134" t="str">
        <f t="shared" si="569"/>
        <v>ボンドロ</v>
      </c>
      <c r="P177" s="135" t="str">
        <f t="shared" si="569"/>
        <v>ボンドロ</v>
      </c>
      <c r="Q177" s="134" t="str">
        <f t="shared" si="569"/>
        <v>ボンドロ</v>
      </c>
      <c r="R177" s="134" t="str">
        <f t="shared" si="569"/>
        <v>ボンドロ</v>
      </c>
      <c r="S177" s="135" t="str">
        <f t="shared" si="569"/>
        <v>ボンドロ</v>
      </c>
      <c r="T177" s="134" t="str">
        <f t="shared" si="569"/>
        <v>ボンドロ</v>
      </c>
      <c r="U177" s="135" t="str">
        <f t="shared" si="569"/>
        <v>ボンドロ</v>
      </c>
      <c r="V177" s="134" t="str">
        <f t="shared" si="569"/>
        <v>ボンドロ</v>
      </c>
      <c r="W177" s="134" t="str">
        <f t="shared" si="569"/>
        <v>ボンドロ</v>
      </c>
      <c r="X177" s="135" t="str">
        <f t="shared" si="569"/>
        <v>ボンドロ</v>
      </c>
      <c r="Y177" s="134" t="str">
        <f t="shared" si="569"/>
        <v>ボンドロ</v>
      </c>
      <c r="Z177" s="134" t="str">
        <f t="shared" si="569"/>
        <v>ボンドロ</v>
      </c>
      <c r="AA177" s="135" t="str">
        <f t="shared" si="569"/>
        <v>ボンドロ</v>
      </c>
      <c r="AB177" s="134" t="str">
        <f t="shared" si="569"/>
        <v>ボンドロ</v>
      </c>
      <c r="AC177" s="134" t="str">
        <f t="shared" si="569"/>
        <v>ボンドロ</v>
      </c>
      <c r="AD177" s="134" t="str">
        <f t="shared" si="569"/>
        <v>ボンドロ</v>
      </c>
      <c r="AE177" s="135" t="str">
        <f t="shared" si="569"/>
        <v>ボンドロ</v>
      </c>
      <c r="AF177" s="134" t="str">
        <f t="shared" si="569"/>
        <v>ボンドロ</v>
      </c>
      <c r="AG177" s="134" t="str">
        <f t="shared" si="569"/>
        <v>ボンドロ</v>
      </c>
      <c r="AH177" s="133" t="str">
        <f>IF(AH172="","",AG177)</f>
        <v>ボンドロ</v>
      </c>
      <c r="AI177" s="18" t="str">
        <f t="shared" ref="AI177:BC177" si="570">IF(AI172="","",AH177)</f>
        <v>ボンドロ</v>
      </c>
      <c r="AJ177" s="18" t="str">
        <f t="shared" si="570"/>
        <v>ボンドロ</v>
      </c>
      <c r="AK177" s="18" t="str">
        <f t="shared" si="570"/>
        <v>ボンドロ</v>
      </c>
      <c r="AL177" s="197" t="str">
        <f t="shared" si="570"/>
        <v/>
      </c>
      <c r="AM177" s="18" t="str">
        <f t="shared" si="570"/>
        <v/>
      </c>
      <c r="AN177" s="18" t="str">
        <f t="shared" si="570"/>
        <v/>
      </c>
      <c r="AO177" s="197" t="str">
        <f t="shared" si="570"/>
        <v/>
      </c>
      <c r="AP177" s="18" t="str">
        <f t="shared" si="570"/>
        <v/>
      </c>
      <c r="AQ177" s="18" t="str">
        <f t="shared" si="570"/>
        <v/>
      </c>
      <c r="AR177" s="18" t="str">
        <f t="shared" si="570"/>
        <v/>
      </c>
      <c r="AS177" s="18" t="str">
        <f t="shared" si="570"/>
        <v/>
      </c>
      <c r="AT177" s="18" t="str">
        <f t="shared" si="570"/>
        <v/>
      </c>
      <c r="AU177" s="18" t="str">
        <f t="shared" si="570"/>
        <v/>
      </c>
      <c r="AV177" s="18" t="str">
        <f t="shared" si="570"/>
        <v/>
      </c>
      <c r="AW177" s="18" t="str">
        <f t="shared" si="570"/>
        <v/>
      </c>
      <c r="AX177" s="18" t="str">
        <f t="shared" si="570"/>
        <v/>
      </c>
      <c r="AY177" s="18" t="str">
        <f t="shared" si="570"/>
        <v/>
      </c>
      <c r="AZ177" s="18" t="str">
        <f t="shared" si="570"/>
        <v/>
      </c>
      <c r="BA177" s="18" t="str">
        <f t="shared" si="570"/>
        <v/>
      </c>
      <c r="BB177" s="18" t="str">
        <f t="shared" si="570"/>
        <v/>
      </c>
      <c r="BC177" s="18" t="str">
        <f t="shared" si="570"/>
        <v/>
      </c>
    </row>
    <row r="178" spans="1:55" ht="11.25" customHeight="1" x14ac:dyDescent="0.2">
      <c r="A178" s="15">
        <f>AVERAGE(C179:AS179)*30*100</f>
        <v>354794.11764705885</v>
      </c>
      <c r="B178" s="11" t="s">
        <v>12</v>
      </c>
      <c r="C178" s="123"/>
      <c r="D178" s="124"/>
      <c r="E178" s="124"/>
      <c r="F178" s="125"/>
      <c r="G178" s="124"/>
      <c r="H178" s="124"/>
      <c r="I178" s="124"/>
      <c r="J178" s="125"/>
      <c r="K178" s="124"/>
      <c r="L178" s="124"/>
      <c r="M178" s="125"/>
      <c r="N178" s="124"/>
      <c r="O178" s="124"/>
      <c r="P178" s="125"/>
      <c r="Q178" s="124"/>
      <c r="R178" s="124"/>
      <c r="S178" s="125"/>
      <c r="T178" s="124"/>
      <c r="U178" s="125"/>
      <c r="V178" s="124"/>
      <c r="W178" s="124"/>
      <c r="X178" s="125"/>
      <c r="Y178" s="124"/>
      <c r="Z178" s="124"/>
      <c r="AA178" s="125"/>
      <c r="AB178" s="124"/>
      <c r="AC178" s="124"/>
      <c r="AD178" s="124"/>
      <c r="AE178" s="125"/>
      <c r="AF178" s="124"/>
      <c r="AG178" s="124"/>
      <c r="AH178" s="123"/>
      <c r="AI178" s="12"/>
      <c r="AJ178" s="12"/>
      <c r="AK178" s="12"/>
      <c r="AL178" s="195"/>
      <c r="AM178" s="12"/>
      <c r="AN178" s="12"/>
      <c r="AO178" s="195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</row>
    <row r="179" spans="1:55" ht="11.25" customHeight="1" x14ac:dyDescent="0.2">
      <c r="A179" s="15">
        <f t="shared" ref="A179:A182" si="571">SUM(C179:AS179)</f>
        <v>4021</v>
      </c>
      <c r="B179" s="19" t="s">
        <v>13</v>
      </c>
      <c r="C179" s="123"/>
      <c r="D179" s="137">
        <f t="shared" ref="D179:AG180" si="572">IF(D172="","",D172-C172)</f>
        <v>0</v>
      </c>
      <c r="E179" s="137">
        <f t="shared" si="572"/>
        <v>350</v>
      </c>
      <c r="F179" s="125">
        <f t="shared" si="572"/>
        <v>0</v>
      </c>
      <c r="G179" s="137">
        <f t="shared" si="572"/>
        <v>0</v>
      </c>
      <c r="H179" s="137">
        <f t="shared" si="572"/>
        <v>0</v>
      </c>
      <c r="I179" s="137">
        <f t="shared" si="572"/>
        <v>331</v>
      </c>
      <c r="J179" s="125">
        <f t="shared" si="572"/>
        <v>0</v>
      </c>
      <c r="K179" s="137">
        <f t="shared" si="572"/>
        <v>0</v>
      </c>
      <c r="L179" s="137">
        <f t="shared" si="572"/>
        <v>522</v>
      </c>
      <c r="M179" s="125">
        <f t="shared" si="572"/>
        <v>0</v>
      </c>
      <c r="N179" s="137">
        <f t="shared" si="572"/>
        <v>0</v>
      </c>
      <c r="O179" s="137">
        <f t="shared" si="572"/>
        <v>575</v>
      </c>
      <c r="P179" s="125">
        <f t="shared" si="572"/>
        <v>0</v>
      </c>
      <c r="Q179" s="137">
        <f t="shared" si="572"/>
        <v>0</v>
      </c>
      <c r="R179" s="124">
        <f t="shared" si="572"/>
        <v>279</v>
      </c>
      <c r="S179" s="125">
        <f t="shared" si="572"/>
        <v>0</v>
      </c>
      <c r="T179" s="137">
        <f t="shared" si="572"/>
        <v>227</v>
      </c>
      <c r="U179" s="125">
        <f t="shared" si="572"/>
        <v>0</v>
      </c>
      <c r="V179" s="137">
        <f t="shared" si="572"/>
        <v>0</v>
      </c>
      <c r="W179" s="137">
        <f t="shared" si="572"/>
        <v>308</v>
      </c>
      <c r="X179" s="125">
        <f t="shared" si="572"/>
        <v>0</v>
      </c>
      <c r="Y179" s="137">
        <f t="shared" si="572"/>
        <v>0</v>
      </c>
      <c r="Z179" s="137">
        <f t="shared" si="572"/>
        <v>314</v>
      </c>
      <c r="AA179" s="125">
        <f t="shared" si="572"/>
        <v>0</v>
      </c>
      <c r="AB179" s="137">
        <f t="shared" si="572"/>
        <v>0</v>
      </c>
      <c r="AC179" s="137">
        <f t="shared" si="572"/>
        <v>0</v>
      </c>
      <c r="AD179" s="137">
        <f t="shared" si="572"/>
        <v>212</v>
      </c>
      <c r="AE179" s="125">
        <f t="shared" si="572"/>
        <v>0</v>
      </c>
      <c r="AF179" s="137">
        <f t="shared" si="572"/>
        <v>0</v>
      </c>
      <c r="AG179" s="137">
        <f t="shared" si="572"/>
        <v>347</v>
      </c>
      <c r="AH179" s="123">
        <f>IF(AH172="","",AH172-AG172)</f>
        <v>0</v>
      </c>
      <c r="AI179" s="20">
        <f t="shared" ref="AI179:BC180" si="573">IF(AI172="","",AI172-AH172)</f>
        <v>0</v>
      </c>
      <c r="AJ179" s="20">
        <f t="shared" si="573"/>
        <v>0</v>
      </c>
      <c r="AK179" s="20">
        <f t="shared" si="573"/>
        <v>556</v>
      </c>
      <c r="AL179" s="195" t="str">
        <f t="shared" si="573"/>
        <v/>
      </c>
      <c r="AM179" s="20" t="str">
        <f t="shared" si="573"/>
        <v/>
      </c>
      <c r="AN179" s="20" t="str">
        <f t="shared" si="573"/>
        <v/>
      </c>
      <c r="AO179" s="195" t="str">
        <f t="shared" si="573"/>
        <v/>
      </c>
      <c r="AP179" s="20" t="str">
        <f t="shared" si="573"/>
        <v/>
      </c>
      <c r="AQ179" s="20" t="str">
        <f t="shared" si="573"/>
        <v/>
      </c>
      <c r="AR179" s="20" t="str">
        <f t="shared" si="573"/>
        <v/>
      </c>
      <c r="AS179" s="20" t="str">
        <f t="shared" si="573"/>
        <v/>
      </c>
      <c r="AT179" s="20" t="str">
        <f t="shared" si="573"/>
        <v/>
      </c>
      <c r="AU179" s="20" t="str">
        <f t="shared" si="573"/>
        <v/>
      </c>
      <c r="AV179" s="20" t="str">
        <f t="shared" si="573"/>
        <v/>
      </c>
      <c r="AW179" s="20" t="str">
        <f t="shared" si="573"/>
        <v/>
      </c>
      <c r="AX179" s="20" t="str">
        <f t="shared" si="573"/>
        <v/>
      </c>
      <c r="AY179" s="20" t="str">
        <f t="shared" si="573"/>
        <v/>
      </c>
      <c r="AZ179" s="20" t="str">
        <f t="shared" si="573"/>
        <v/>
      </c>
      <c r="BA179" s="20" t="str">
        <f t="shared" si="573"/>
        <v/>
      </c>
      <c r="BB179" s="20" t="str">
        <f t="shared" si="573"/>
        <v/>
      </c>
      <c r="BC179" s="20" t="str">
        <f t="shared" si="573"/>
        <v/>
      </c>
    </row>
    <row r="180" spans="1:55" ht="11.25" customHeight="1" x14ac:dyDescent="0.2">
      <c r="A180" s="15">
        <f t="shared" si="571"/>
        <v>59</v>
      </c>
      <c r="B180" s="19" t="s">
        <v>14</v>
      </c>
      <c r="C180" s="123"/>
      <c r="D180" s="137">
        <f t="shared" si="572"/>
        <v>0</v>
      </c>
      <c r="E180" s="137">
        <f t="shared" si="572"/>
        <v>4</v>
      </c>
      <c r="F180" s="125">
        <f t="shared" si="572"/>
        <v>0</v>
      </c>
      <c r="G180" s="137">
        <f t="shared" si="572"/>
        <v>0</v>
      </c>
      <c r="H180" s="137">
        <f t="shared" si="572"/>
        <v>0</v>
      </c>
      <c r="I180" s="137">
        <f t="shared" si="572"/>
        <v>5</v>
      </c>
      <c r="J180" s="125">
        <f t="shared" si="572"/>
        <v>0</v>
      </c>
      <c r="K180" s="137">
        <f t="shared" si="572"/>
        <v>0</v>
      </c>
      <c r="L180" s="137">
        <f t="shared" si="572"/>
        <v>6</v>
      </c>
      <c r="M180" s="125">
        <f t="shared" si="572"/>
        <v>0</v>
      </c>
      <c r="N180" s="137">
        <f t="shared" si="572"/>
        <v>0</v>
      </c>
      <c r="O180" s="137">
        <f t="shared" si="572"/>
        <v>8</v>
      </c>
      <c r="P180" s="125">
        <f t="shared" si="572"/>
        <v>0</v>
      </c>
      <c r="Q180" s="137">
        <f t="shared" si="572"/>
        <v>0</v>
      </c>
      <c r="R180" s="124">
        <f t="shared" si="572"/>
        <v>5</v>
      </c>
      <c r="S180" s="125">
        <f t="shared" si="572"/>
        <v>0</v>
      </c>
      <c r="T180" s="137">
        <f t="shared" si="572"/>
        <v>8</v>
      </c>
      <c r="U180" s="125">
        <f t="shared" si="572"/>
        <v>0</v>
      </c>
      <c r="V180" s="137">
        <f t="shared" si="572"/>
        <v>0</v>
      </c>
      <c r="W180" s="137">
        <f t="shared" si="572"/>
        <v>4</v>
      </c>
      <c r="X180" s="125">
        <f t="shared" si="572"/>
        <v>0</v>
      </c>
      <c r="Y180" s="137">
        <f t="shared" si="572"/>
        <v>0</v>
      </c>
      <c r="Z180" s="137">
        <f t="shared" si="572"/>
        <v>6</v>
      </c>
      <c r="AA180" s="125">
        <f t="shared" si="572"/>
        <v>0</v>
      </c>
      <c r="AB180" s="137">
        <f t="shared" si="572"/>
        <v>0</v>
      </c>
      <c r="AC180" s="137">
        <f t="shared" si="572"/>
        <v>0</v>
      </c>
      <c r="AD180" s="137">
        <f t="shared" si="572"/>
        <v>3</v>
      </c>
      <c r="AE180" s="125">
        <f t="shared" si="572"/>
        <v>0</v>
      </c>
      <c r="AF180" s="137">
        <f t="shared" si="572"/>
        <v>0</v>
      </c>
      <c r="AG180" s="137">
        <f t="shared" si="572"/>
        <v>3</v>
      </c>
      <c r="AH180" s="123">
        <f>IF(AH173="","",AH173-AG173)</f>
        <v>0</v>
      </c>
      <c r="AI180" s="20">
        <f t="shared" si="573"/>
        <v>0</v>
      </c>
      <c r="AJ180" s="20">
        <f t="shared" si="573"/>
        <v>0</v>
      </c>
      <c r="AK180" s="20">
        <f t="shared" si="573"/>
        <v>7</v>
      </c>
      <c r="AL180" s="195" t="str">
        <f t="shared" si="573"/>
        <v/>
      </c>
      <c r="AM180" s="20" t="str">
        <f t="shared" si="573"/>
        <v/>
      </c>
      <c r="AN180" s="20" t="str">
        <f t="shared" si="573"/>
        <v/>
      </c>
      <c r="AO180" s="195" t="str">
        <f t="shared" si="573"/>
        <v/>
      </c>
      <c r="AP180" s="20" t="str">
        <f t="shared" si="573"/>
        <v/>
      </c>
      <c r="AQ180" s="20" t="str">
        <f t="shared" si="573"/>
        <v/>
      </c>
      <c r="AR180" s="20" t="str">
        <f t="shared" si="573"/>
        <v/>
      </c>
      <c r="AS180" s="20" t="str">
        <f t="shared" si="573"/>
        <v/>
      </c>
      <c r="AT180" s="20" t="str">
        <f t="shared" si="573"/>
        <v/>
      </c>
      <c r="AU180" s="20" t="str">
        <f t="shared" si="573"/>
        <v/>
      </c>
      <c r="AV180" s="20" t="str">
        <f t="shared" si="573"/>
        <v/>
      </c>
      <c r="AW180" s="20" t="str">
        <f t="shared" si="573"/>
        <v/>
      </c>
      <c r="AX180" s="20" t="str">
        <f t="shared" si="573"/>
        <v/>
      </c>
      <c r="AY180" s="20" t="str">
        <f t="shared" si="573"/>
        <v/>
      </c>
      <c r="AZ180" s="20" t="str">
        <f t="shared" si="573"/>
        <v/>
      </c>
      <c r="BA180" s="20" t="str">
        <f t="shared" si="573"/>
        <v/>
      </c>
      <c r="BB180" s="20" t="str">
        <f t="shared" si="573"/>
        <v/>
      </c>
      <c r="BC180" s="20" t="str">
        <f t="shared" si="573"/>
        <v/>
      </c>
    </row>
    <row r="181" spans="1:55" ht="11.25" customHeight="1" x14ac:dyDescent="0.2">
      <c r="A181" s="15">
        <f t="shared" si="571"/>
        <v>62</v>
      </c>
      <c r="B181" s="19" t="s">
        <v>15</v>
      </c>
      <c r="C181" s="123"/>
      <c r="D181" s="137">
        <f t="shared" ref="D181:AG181" si="574">IF(D174="","",C174+C175-D174)</f>
        <v>0</v>
      </c>
      <c r="E181" s="137">
        <f t="shared" si="574"/>
        <v>4</v>
      </c>
      <c r="F181" s="125">
        <f t="shared" si="574"/>
        <v>0</v>
      </c>
      <c r="G181" s="137">
        <f t="shared" si="574"/>
        <v>0</v>
      </c>
      <c r="H181" s="137">
        <f t="shared" si="574"/>
        <v>0</v>
      </c>
      <c r="I181" s="137">
        <f t="shared" si="574"/>
        <v>5</v>
      </c>
      <c r="J181" s="125">
        <f t="shared" si="574"/>
        <v>0</v>
      </c>
      <c r="K181" s="137">
        <f t="shared" si="574"/>
        <v>0</v>
      </c>
      <c r="L181" s="137">
        <f t="shared" si="574"/>
        <v>6</v>
      </c>
      <c r="M181" s="125">
        <f t="shared" si="574"/>
        <v>0</v>
      </c>
      <c r="N181" s="137">
        <f t="shared" si="574"/>
        <v>0</v>
      </c>
      <c r="O181" s="137">
        <f t="shared" si="574"/>
        <v>8</v>
      </c>
      <c r="P181" s="125">
        <f t="shared" si="574"/>
        <v>0</v>
      </c>
      <c r="Q181" s="137">
        <f t="shared" si="574"/>
        <v>0</v>
      </c>
      <c r="R181" s="124">
        <f t="shared" si="574"/>
        <v>5</v>
      </c>
      <c r="S181" s="125">
        <f t="shared" si="574"/>
        <v>0</v>
      </c>
      <c r="T181" s="137">
        <f t="shared" si="574"/>
        <v>8</v>
      </c>
      <c r="U181" s="125">
        <f t="shared" si="574"/>
        <v>0</v>
      </c>
      <c r="V181" s="137">
        <f t="shared" si="574"/>
        <v>0</v>
      </c>
      <c r="W181" s="137">
        <f t="shared" si="574"/>
        <v>4</v>
      </c>
      <c r="X181" s="125">
        <f t="shared" si="574"/>
        <v>0</v>
      </c>
      <c r="Y181" s="137">
        <f t="shared" si="574"/>
        <v>0</v>
      </c>
      <c r="Z181" s="137">
        <f t="shared" si="574"/>
        <v>6</v>
      </c>
      <c r="AA181" s="125">
        <f t="shared" si="574"/>
        <v>0</v>
      </c>
      <c r="AB181" s="137">
        <f t="shared" si="574"/>
        <v>0</v>
      </c>
      <c r="AC181" s="137">
        <f t="shared" si="574"/>
        <v>0</v>
      </c>
      <c r="AD181" s="137">
        <f t="shared" si="574"/>
        <v>3</v>
      </c>
      <c r="AE181" s="125">
        <f t="shared" si="574"/>
        <v>0</v>
      </c>
      <c r="AF181" s="137">
        <f t="shared" si="574"/>
        <v>0</v>
      </c>
      <c r="AG181" s="137">
        <f t="shared" si="574"/>
        <v>6</v>
      </c>
      <c r="AH181" s="123">
        <f>IF(AH174="","",AG174+AG175-AH174)</f>
        <v>0</v>
      </c>
      <c r="AI181" s="20">
        <f t="shared" ref="AI181:BC181" si="575">IF(AI174="","",AH174+AH175-AI174)</f>
        <v>0</v>
      </c>
      <c r="AJ181" s="20">
        <f t="shared" si="575"/>
        <v>0</v>
      </c>
      <c r="AK181" s="20">
        <f t="shared" si="575"/>
        <v>7</v>
      </c>
      <c r="AL181" s="195" t="str">
        <f t="shared" si="575"/>
        <v/>
      </c>
      <c r="AM181" s="20" t="str">
        <f t="shared" si="575"/>
        <v/>
      </c>
      <c r="AN181" s="20" t="str">
        <f t="shared" si="575"/>
        <v/>
      </c>
      <c r="AO181" s="195" t="str">
        <f t="shared" si="575"/>
        <v/>
      </c>
      <c r="AP181" s="20" t="str">
        <f t="shared" si="575"/>
        <v/>
      </c>
      <c r="AQ181" s="20" t="str">
        <f t="shared" si="575"/>
        <v/>
      </c>
      <c r="AR181" s="20" t="str">
        <f t="shared" si="575"/>
        <v/>
      </c>
      <c r="AS181" s="20" t="str">
        <f t="shared" si="575"/>
        <v/>
      </c>
      <c r="AT181" s="20" t="str">
        <f t="shared" si="575"/>
        <v/>
      </c>
      <c r="AU181" s="20" t="str">
        <f t="shared" si="575"/>
        <v/>
      </c>
      <c r="AV181" s="20" t="str">
        <f t="shared" si="575"/>
        <v/>
      </c>
      <c r="AW181" s="20" t="str">
        <f t="shared" si="575"/>
        <v/>
      </c>
      <c r="AX181" s="20" t="str">
        <f t="shared" si="575"/>
        <v/>
      </c>
      <c r="AY181" s="20" t="str">
        <f t="shared" si="575"/>
        <v/>
      </c>
      <c r="AZ181" s="20" t="str">
        <f t="shared" si="575"/>
        <v/>
      </c>
      <c r="BA181" s="20" t="str">
        <f t="shared" si="575"/>
        <v/>
      </c>
      <c r="BB181" s="20" t="str">
        <f t="shared" si="575"/>
        <v/>
      </c>
      <c r="BC181" s="20" t="str">
        <f t="shared" si="575"/>
        <v/>
      </c>
    </row>
    <row r="182" spans="1:55" ht="11.25" customHeight="1" x14ac:dyDescent="0.2">
      <c r="A182" s="15">
        <f t="shared" si="571"/>
        <v>93000</v>
      </c>
      <c r="B182" s="19" t="s">
        <v>16</v>
      </c>
      <c r="C182" s="123"/>
      <c r="D182" s="137">
        <f t="shared" ref="D182:BC182" si="576">IF(D172="","",D181*D176)</f>
        <v>0</v>
      </c>
      <c r="E182" s="137">
        <f t="shared" si="576"/>
        <v>6000</v>
      </c>
      <c r="F182" s="125">
        <f t="shared" si="576"/>
        <v>0</v>
      </c>
      <c r="G182" s="137">
        <f t="shared" si="576"/>
        <v>0</v>
      </c>
      <c r="H182" s="137">
        <f t="shared" si="576"/>
        <v>0</v>
      </c>
      <c r="I182" s="137">
        <f t="shared" si="576"/>
        <v>7500</v>
      </c>
      <c r="J182" s="125">
        <f t="shared" si="576"/>
        <v>0</v>
      </c>
      <c r="K182" s="137">
        <f t="shared" si="576"/>
        <v>0</v>
      </c>
      <c r="L182" s="137">
        <f t="shared" si="576"/>
        <v>9000</v>
      </c>
      <c r="M182" s="125">
        <f t="shared" si="576"/>
        <v>0</v>
      </c>
      <c r="N182" s="137">
        <f t="shared" si="576"/>
        <v>0</v>
      </c>
      <c r="O182" s="137">
        <f t="shared" si="576"/>
        <v>12000</v>
      </c>
      <c r="P182" s="125">
        <f t="shared" si="576"/>
        <v>0</v>
      </c>
      <c r="Q182" s="137">
        <f t="shared" si="576"/>
        <v>0</v>
      </c>
      <c r="R182" s="124">
        <f t="shared" si="576"/>
        <v>7500</v>
      </c>
      <c r="S182" s="125">
        <f t="shared" si="576"/>
        <v>0</v>
      </c>
      <c r="T182" s="137">
        <f t="shared" si="576"/>
        <v>12000</v>
      </c>
      <c r="U182" s="125">
        <f t="shared" si="576"/>
        <v>0</v>
      </c>
      <c r="V182" s="137">
        <f t="shared" si="576"/>
        <v>0</v>
      </c>
      <c r="W182" s="137">
        <f t="shared" si="576"/>
        <v>6000</v>
      </c>
      <c r="X182" s="125">
        <f t="shared" si="576"/>
        <v>0</v>
      </c>
      <c r="Y182" s="137">
        <f t="shared" si="576"/>
        <v>0</v>
      </c>
      <c r="Z182" s="137">
        <f t="shared" si="576"/>
        <v>9000</v>
      </c>
      <c r="AA182" s="125">
        <f t="shared" si="576"/>
        <v>0</v>
      </c>
      <c r="AB182" s="137">
        <f t="shared" si="576"/>
        <v>0</v>
      </c>
      <c r="AC182" s="137">
        <f t="shared" si="576"/>
        <v>0</v>
      </c>
      <c r="AD182" s="137">
        <f t="shared" si="576"/>
        <v>4500</v>
      </c>
      <c r="AE182" s="125">
        <f t="shared" si="576"/>
        <v>0</v>
      </c>
      <c r="AF182" s="137">
        <f t="shared" si="576"/>
        <v>0</v>
      </c>
      <c r="AG182" s="137">
        <f t="shared" si="576"/>
        <v>9000</v>
      </c>
      <c r="AH182" s="123">
        <f>IF(AH172="","",AH181*AH176)</f>
        <v>0</v>
      </c>
      <c r="AI182" s="20">
        <f t="shared" si="576"/>
        <v>0</v>
      </c>
      <c r="AJ182" s="20">
        <f t="shared" si="576"/>
        <v>0</v>
      </c>
      <c r="AK182" s="20">
        <f t="shared" si="576"/>
        <v>10500</v>
      </c>
      <c r="AL182" s="195" t="str">
        <f t="shared" si="576"/>
        <v/>
      </c>
      <c r="AM182" s="20" t="str">
        <f t="shared" si="576"/>
        <v/>
      </c>
      <c r="AN182" s="20" t="str">
        <f t="shared" si="576"/>
        <v/>
      </c>
      <c r="AO182" s="195" t="str">
        <f t="shared" si="576"/>
        <v/>
      </c>
      <c r="AP182" s="20" t="str">
        <f t="shared" si="576"/>
        <v/>
      </c>
      <c r="AQ182" s="20" t="str">
        <f t="shared" si="576"/>
        <v/>
      </c>
      <c r="AR182" s="20" t="str">
        <f t="shared" si="576"/>
        <v/>
      </c>
      <c r="AS182" s="20" t="str">
        <f t="shared" si="576"/>
        <v/>
      </c>
      <c r="AT182" s="20" t="str">
        <f t="shared" si="576"/>
        <v/>
      </c>
      <c r="AU182" s="20" t="str">
        <f t="shared" si="576"/>
        <v/>
      </c>
      <c r="AV182" s="20" t="str">
        <f t="shared" si="576"/>
        <v/>
      </c>
      <c r="AW182" s="20" t="str">
        <f t="shared" si="576"/>
        <v/>
      </c>
      <c r="AX182" s="20" t="str">
        <f t="shared" si="576"/>
        <v/>
      </c>
      <c r="AY182" s="20" t="str">
        <f t="shared" si="576"/>
        <v/>
      </c>
      <c r="AZ182" s="20" t="str">
        <f t="shared" si="576"/>
        <v/>
      </c>
      <c r="BA182" s="20" t="str">
        <f t="shared" si="576"/>
        <v/>
      </c>
      <c r="BB182" s="20" t="str">
        <f t="shared" si="576"/>
        <v/>
      </c>
      <c r="BC182" s="20" t="str">
        <f t="shared" si="576"/>
        <v/>
      </c>
    </row>
    <row r="183" spans="1:55" ht="11.25" customHeight="1" thickBot="1" x14ac:dyDescent="0.25">
      <c r="A183" s="21">
        <f>IF(A182="","",A182/(A179*100))</f>
        <v>0.23128574981347924</v>
      </c>
      <c r="B183" s="22" t="s">
        <v>17</v>
      </c>
      <c r="C183" s="140"/>
      <c r="D183" s="141" t="str">
        <f t="shared" ref="D183:BC183" si="577">IF(D182="","",IF(D182=0,"",D182/(D179*100)))</f>
        <v/>
      </c>
      <c r="E183" s="141">
        <f t="shared" si="577"/>
        <v>0.17142857142857143</v>
      </c>
      <c r="F183" s="142" t="str">
        <f t="shared" si="577"/>
        <v/>
      </c>
      <c r="G183" s="141" t="str">
        <f t="shared" si="577"/>
        <v/>
      </c>
      <c r="H183" s="141" t="str">
        <f t="shared" si="577"/>
        <v/>
      </c>
      <c r="I183" s="141">
        <f t="shared" si="577"/>
        <v>0.22658610271903323</v>
      </c>
      <c r="J183" s="142" t="str">
        <f t="shared" si="577"/>
        <v/>
      </c>
      <c r="K183" s="141" t="str">
        <f t="shared" si="577"/>
        <v/>
      </c>
      <c r="L183" s="141">
        <f t="shared" si="577"/>
        <v>0.17241379310344829</v>
      </c>
      <c r="M183" s="142" t="str">
        <f t="shared" si="577"/>
        <v/>
      </c>
      <c r="N183" s="141" t="str">
        <f t="shared" si="577"/>
        <v/>
      </c>
      <c r="O183" s="141">
        <f t="shared" si="577"/>
        <v>0.20869565217391303</v>
      </c>
      <c r="P183" s="142" t="str">
        <f t="shared" si="577"/>
        <v/>
      </c>
      <c r="Q183" s="141" t="str">
        <f t="shared" si="577"/>
        <v/>
      </c>
      <c r="R183" s="192">
        <f t="shared" si="577"/>
        <v>0.26881720430107525</v>
      </c>
      <c r="S183" s="142" t="str">
        <f t="shared" si="577"/>
        <v/>
      </c>
      <c r="T183" s="141">
        <f t="shared" si="577"/>
        <v>0.52863436123348018</v>
      </c>
      <c r="U183" s="142" t="str">
        <f t="shared" si="577"/>
        <v/>
      </c>
      <c r="V183" s="141" t="str">
        <f t="shared" si="577"/>
        <v/>
      </c>
      <c r="W183" s="141">
        <f t="shared" si="577"/>
        <v>0.19480519480519481</v>
      </c>
      <c r="X183" s="142" t="str">
        <f t="shared" si="577"/>
        <v/>
      </c>
      <c r="Y183" s="141" t="str">
        <f t="shared" si="577"/>
        <v/>
      </c>
      <c r="Z183" s="141">
        <f t="shared" si="577"/>
        <v>0.28662420382165604</v>
      </c>
      <c r="AA183" s="142" t="str">
        <f t="shared" si="577"/>
        <v/>
      </c>
      <c r="AB183" s="141" t="str">
        <f t="shared" si="577"/>
        <v/>
      </c>
      <c r="AC183" s="141" t="str">
        <f t="shared" si="577"/>
        <v/>
      </c>
      <c r="AD183" s="141">
        <f t="shared" si="577"/>
        <v>0.21226415094339623</v>
      </c>
      <c r="AE183" s="142" t="str">
        <f t="shared" si="577"/>
        <v/>
      </c>
      <c r="AF183" s="141" t="str">
        <f t="shared" si="577"/>
        <v/>
      </c>
      <c r="AG183" s="141">
        <f t="shared" si="577"/>
        <v>0.25936599423631124</v>
      </c>
      <c r="AH183" s="140" t="str">
        <f>IF(AH182="","",IF(AH182=0,"",AH182/(AH179*100)))</f>
        <v/>
      </c>
      <c r="AI183" s="23" t="str">
        <f t="shared" si="577"/>
        <v/>
      </c>
      <c r="AJ183" s="23" t="str">
        <f t="shared" si="577"/>
        <v/>
      </c>
      <c r="AK183" s="23">
        <f t="shared" si="577"/>
        <v>0.18884892086330934</v>
      </c>
      <c r="AL183" s="198" t="str">
        <f t="shared" si="577"/>
        <v/>
      </c>
      <c r="AM183" s="23" t="str">
        <f t="shared" si="577"/>
        <v/>
      </c>
      <c r="AN183" s="23" t="str">
        <f t="shared" si="577"/>
        <v/>
      </c>
      <c r="AO183" s="198" t="str">
        <f t="shared" si="577"/>
        <v/>
      </c>
      <c r="AP183" s="23" t="str">
        <f t="shared" si="577"/>
        <v/>
      </c>
      <c r="AQ183" s="23" t="str">
        <f t="shared" si="577"/>
        <v/>
      </c>
      <c r="AR183" s="23" t="str">
        <f t="shared" si="577"/>
        <v/>
      </c>
      <c r="AS183" s="23" t="str">
        <f t="shared" si="577"/>
        <v/>
      </c>
      <c r="AT183" s="23" t="str">
        <f t="shared" si="577"/>
        <v/>
      </c>
      <c r="AU183" s="23" t="str">
        <f t="shared" si="577"/>
        <v/>
      </c>
      <c r="AV183" s="23" t="str">
        <f t="shared" si="577"/>
        <v/>
      </c>
      <c r="AW183" s="23" t="str">
        <f t="shared" si="577"/>
        <v/>
      </c>
      <c r="AX183" s="23" t="str">
        <f t="shared" si="577"/>
        <v/>
      </c>
      <c r="AY183" s="23" t="str">
        <f t="shared" si="577"/>
        <v/>
      </c>
      <c r="AZ183" s="23" t="str">
        <f t="shared" si="577"/>
        <v/>
      </c>
      <c r="BA183" s="23" t="str">
        <f t="shared" si="577"/>
        <v/>
      </c>
      <c r="BB183" s="23" t="str">
        <f t="shared" si="577"/>
        <v/>
      </c>
      <c r="BC183" s="23" t="str">
        <f t="shared" si="577"/>
        <v/>
      </c>
    </row>
    <row r="184" spans="1:55" ht="11.25" customHeight="1" x14ac:dyDescent="0.2">
      <c r="A184" s="7" t="s">
        <v>1</v>
      </c>
      <c r="B184" s="8" t="s">
        <v>2</v>
      </c>
      <c r="C184" s="118">
        <v>13987</v>
      </c>
      <c r="D184" s="119">
        <f t="shared" ref="D184:D185" si="578">IF(D$16="","",C184)</f>
        <v>13987</v>
      </c>
      <c r="E184" s="119">
        <v>14029</v>
      </c>
      <c r="F184" s="120">
        <f t="shared" ref="F184:F185" si="579">IF(F$16="","",E184)</f>
        <v>14029</v>
      </c>
      <c r="G184" s="119">
        <f>IF(G$16="","",F184)</f>
        <v>14029</v>
      </c>
      <c r="H184" s="119">
        <f t="shared" ref="H184:H185" si="580">IF(H$16="","",G184)</f>
        <v>14029</v>
      </c>
      <c r="I184" s="119">
        <v>14051</v>
      </c>
      <c r="J184" s="120">
        <f t="shared" ref="J184:K185" si="581">IF(J$16="","",I184)</f>
        <v>14051</v>
      </c>
      <c r="K184" s="119">
        <f t="shared" si="581"/>
        <v>14051</v>
      </c>
      <c r="L184" s="119">
        <v>14077</v>
      </c>
      <c r="M184" s="120">
        <f t="shared" ref="M184:M185" si="582">IF(M$16="","",L184)</f>
        <v>14077</v>
      </c>
      <c r="N184" s="119">
        <f>IF(N$16="","",M184)</f>
        <v>14077</v>
      </c>
      <c r="O184" s="119">
        <v>14101</v>
      </c>
      <c r="P184" s="120">
        <f t="shared" ref="P184:Q185" si="583">IF(P$16="","",O184)</f>
        <v>14101</v>
      </c>
      <c r="Q184" s="119">
        <f t="shared" si="583"/>
        <v>14101</v>
      </c>
      <c r="R184" s="119">
        <v>14146</v>
      </c>
      <c r="S184" s="120">
        <f t="shared" ref="S184:T185" si="584">IF(S$16="","",R184)</f>
        <v>14146</v>
      </c>
      <c r="T184" s="119">
        <v>14201</v>
      </c>
      <c r="U184" s="120">
        <f>IF(U$16="","",T184)</f>
        <v>14201</v>
      </c>
      <c r="V184" s="119">
        <f t="shared" ref="V184:V185" si="585">IF(V$16="","",U184)</f>
        <v>14201</v>
      </c>
      <c r="W184" s="119">
        <v>14273</v>
      </c>
      <c r="X184" s="120">
        <f t="shared" ref="X184:X185" si="586">IF(X$16="","",W184)</f>
        <v>14273</v>
      </c>
      <c r="Y184" s="119">
        <f>IF(Y$16="","",X184)</f>
        <v>14273</v>
      </c>
      <c r="Z184" s="119">
        <v>14347</v>
      </c>
      <c r="AA184" s="120">
        <f t="shared" ref="AA184:AA185" si="587">IF(AA$16="","",Z184)</f>
        <v>14347</v>
      </c>
      <c r="AB184" s="119">
        <f>IF(AB$16="","",AA184)</f>
        <v>14347</v>
      </c>
      <c r="AC184" s="119">
        <f t="shared" ref="AC184:AD185" si="588">IF(AC$16="","",AB184)</f>
        <v>14347</v>
      </c>
      <c r="AD184" s="119">
        <v>14362</v>
      </c>
      <c r="AE184" s="120">
        <f t="shared" ref="AE184:AE185" si="589">IF(AE$16="","",AD184)</f>
        <v>14362</v>
      </c>
      <c r="AF184" s="119">
        <f>IF(AF$16="","",AE184)</f>
        <v>14362</v>
      </c>
      <c r="AG184" s="119">
        <v>14373</v>
      </c>
      <c r="AH184" s="118">
        <f>IF(AH$16="","",AG184)</f>
        <v>14373</v>
      </c>
      <c r="AI184" s="9">
        <f t="shared" ref="AI184:AK185" si="590">IF(AI$16="","",AH184)</f>
        <v>14373</v>
      </c>
      <c r="AJ184" s="9">
        <f t="shared" si="590"/>
        <v>14373</v>
      </c>
      <c r="AK184" s="9">
        <v>14385</v>
      </c>
      <c r="AL184" s="194" t="str">
        <f t="shared" ref="AL184:BA185" si="591">IF(AL$16="","",AK184)</f>
        <v/>
      </c>
      <c r="AM184" s="9" t="str">
        <f t="shared" si="591"/>
        <v/>
      </c>
      <c r="AN184" s="9" t="str">
        <f t="shared" si="591"/>
        <v/>
      </c>
      <c r="AO184" s="194" t="str">
        <f t="shared" si="591"/>
        <v/>
      </c>
      <c r="AP184" s="9" t="str">
        <f t="shared" si="591"/>
        <v/>
      </c>
      <c r="AQ184" s="9" t="str">
        <f t="shared" si="591"/>
        <v/>
      </c>
      <c r="AR184" s="9" t="str">
        <f t="shared" si="591"/>
        <v/>
      </c>
      <c r="AS184" s="9" t="str">
        <f t="shared" si="591"/>
        <v/>
      </c>
      <c r="AT184" s="9" t="str">
        <f t="shared" si="591"/>
        <v/>
      </c>
      <c r="AU184" s="9" t="str">
        <f t="shared" si="591"/>
        <v/>
      </c>
      <c r="AV184" s="9" t="str">
        <f t="shared" si="591"/>
        <v/>
      </c>
      <c r="AW184" s="9" t="str">
        <f t="shared" si="591"/>
        <v/>
      </c>
      <c r="AX184" s="9" t="str">
        <f t="shared" si="591"/>
        <v/>
      </c>
      <c r="AY184" s="9" t="str">
        <f t="shared" si="591"/>
        <v/>
      </c>
      <c r="AZ184" s="9" t="str">
        <f t="shared" si="591"/>
        <v/>
      </c>
      <c r="BA184" s="9" t="str">
        <f t="shared" si="591"/>
        <v/>
      </c>
      <c r="BB184" s="9" t="str">
        <f t="shared" ref="BB184:BC185" si="592">IF(BB$16="","",BA184)</f>
        <v/>
      </c>
      <c r="BC184" s="9" t="str">
        <f t="shared" si="592"/>
        <v/>
      </c>
    </row>
    <row r="185" spans="1:55" ht="11.25" customHeight="1" x14ac:dyDescent="0.2">
      <c r="A185" s="10" t="s">
        <v>47</v>
      </c>
      <c r="B185" s="11" t="s">
        <v>4</v>
      </c>
      <c r="C185" s="123">
        <v>508</v>
      </c>
      <c r="D185" s="124">
        <f t="shared" si="578"/>
        <v>508</v>
      </c>
      <c r="E185" s="124">
        <v>511</v>
      </c>
      <c r="F185" s="125">
        <f t="shared" si="579"/>
        <v>511</v>
      </c>
      <c r="G185" s="124">
        <f>IF(G$16="","",F185)</f>
        <v>511</v>
      </c>
      <c r="H185" s="124">
        <f t="shared" si="580"/>
        <v>511</v>
      </c>
      <c r="I185" s="124">
        <v>513</v>
      </c>
      <c r="J185" s="125">
        <f t="shared" si="581"/>
        <v>513</v>
      </c>
      <c r="K185" s="124">
        <f t="shared" si="581"/>
        <v>513</v>
      </c>
      <c r="L185" s="124">
        <v>514</v>
      </c>
      <c r="M185" s="125">
        <f t="shared" si="582"/>
        <v>514</v>
      </c>
      <c r="N185" s="124">
        <f>IF(N$16="","",M185)</f>
        <v>514</v>
      </c>
      <c r="O185" s="124">
        <v>520</v>
      </c>
      <c r="P185" s="125">
        <f t="shared" si="583"/>
        <v>520</v>
      </c>
      <c r="Q185" s="124">
        <f t="shared" si="583"/>
        <v>520</v>
      </c>
      <c r="R185" s="124">
        <v>530</v>
      </c>
      <c r="S185" s="125">
        <f t="shared" si="584"/>
        <v>530</v>
      </c>
      <c r="T185" s="124">
        <f t="shared" si="584"/>
        <v>530</v>
      </c>
      <c r="U185" s="125">
        <f>IF(U$16="","",T185)</f>
        <v>530</v>
      </c>
      <c r="V185" s="124">
        <f t="shared" si="585"/>
        <v>530</v>
      </c>
      <c r="W185" s="124">
        <v>535</v>
      </c>
      <c r="X185" s="125">
        <f t="shared" si="586"/>
        <v>535</v>
      </c>
      <c r="Y185" s="124">
        <f>IF(Y$16="","",X185)</f>
        <v>535</v>
      </c>
      <c r="Z185" s="124">
        <v>540</v>
      </c>
      <c r="AA185" s="125">
        <f t="shared" si="587"/>
        <v>540</v>
      </c>
      <c r="AB185" s="124">
        <f>IF(AB$16="","",AA185)</f>
        <v>540</v>
      </c>
      <c r="AC185" s="124">
        <f t="shared" si="588"/>
        <v>540</v>
      </c>
      <c r="AD185" s="124">
        <f t="shared" si="588"/>
        <v>540</v>
      </c>
      <c r="AE185" s="125">
        <f t="shared" si="589"/>
        <v>540</v>
      </c>
      <c r="AF185" s="124">
        <f>IF(AF$16="","",AE185)</f>
        <v>540</v>
      </c>
      <c r="AG185" s="124">
        <f t="shared" ref="AG185" si="593">IF(AG$16="","",AF185)</f>
        <v>540</v>
      </c>
      <c r="AH185" s="123">
        <f>IF(AH$16="","",AG185)</f>
        <v>540</v>
      </c>
      <c r="AI185" s="12">
        <f t="shared" si="590"/>
        <v>540</v>
      </c>
      <c r="AJ185" s="12">
        <f t="shared" si="590"/>
        <v>540</v>
      </c>
      <c r="AK185" s="12">
        <f t="shared" si="590"/>
        <v>540</v>
      </c>
      <c r="AL185" s="195" t="str">
        <f t="shared" si="591"/>
        <v/>
      </c>
      <c r="AM185" s="12" t="str">
        <f t="shared" si="591"/>
        <v/>
      </c>
      <c r="AN185" s="12" t="str">
        <f t="shared" si="591"/>
        <v/>
      </c>
      <c r="AO185" s="195" t="str">
        <f t="shared" si="591"/>
        <v/>
      </c>
      <c r="AP185" s="12" t="str">
        <f t="shared" si="591"/>
        <v/>
      </c>
      <c r="AQ185" s="12" t="str">
        <f t="shared" si="591"/>
        <v/>
      </c>
      <c r="AR185" s="12" t="str">
        <f t="shared" si="591"/>
        <v/>
      </c>
      <c r="AS185" s="12" t="str">
        <f t="shared" si="591"/>
        <v/>
      </c>
      <c r="AT185" s="12" t="str">
        <f t="shared" si="591"/>
        <v/>
      </c>
      <c r="AU185" s="12" t="str">
        <f t="shared" si="591"/>
        <v/>
      </c>
      <c r="AV185" s="12" t="str">
        <f t="shared" si="591"/>
        <v/>
      </c>
      <c r="AW185" s="12" t="str">
        <f t="shared" si="591"/>
        <v/>
      </c>
      <c r="AX185" s="12" t="str">
        <f t="shared" si="591"/>
        <v/>
      </c>
      <c r="AY185" s="12" t="str">
        <f t="shared" si="591"/>
        <v/>
      </c>
      <c r="AZ185" s="12" t="str">
        <f t="shared" si="591"/>
        <v/>
      </c>
      <c r="BA185" s="12" t="str">
        <f t="shared" si="591"/>
        <v/>
      </c>
      <c r="BB185" s="12" t="str">
        <f t="shared" si="592"/>
        <v/>
      </c>
      <c r="BC185" s="12" t="str">
        <f t="shared" si="592"/>
        <v/>
      </c>
    </row>
    <row r="186" spans="1:55" ht="11.25" customHeight="1" x14ac:dyDescent="0.25">
      <c r="A186" s="13"/>
      <c r="B186" s="11" t="s">
        <v>5</v>
      </c>
      <c r="C186" s="123">
        <v>20</v>
      </c>
      <c r="D186" s="124">
        <f t="shared" ref="D186" si="594">IF(D184="","",(C186+C187))</f>
        <v>20</v>
      </c>
      <c r="E186" s="124">
        <v>17</v>
      </c>
      <c r="F186" s="125">
        <f t="shared" ref="F186" si="595">IF(F184="","",(E186+E187))</f>
        <v>17</v>
      </c>
      <c r="G186" s="124">
        <f>IF(G184="","",(F186+F187))</f>
        <v>17</v>
      </c>
      <c r="H186" s="124">
        <f t="shared" ref="H186" si="596">IF(H184="","",(G186+G187))</f>
        <v>17</v>
      </c>
      <c r="I186" s="124">
        <v>15</v>
      </c>
      <c r="J186" s="125">
        <f t="shared" ref="J186:M186" si="597">IF(J184="","",(I186+I187))</f>
        <v>35</v>
      </c>
      <c r="K186" s="124">
        <f t="shared" si="597"/>
        <v>35</v>
      </c>
      <c r="L186" s="124">
        <f t="shared" si="597"/>
        <v>35</v>
      </c>
      <c r="M186" s="125">
        <f t="shared" si="597"/>
        <v>35</v>
      </c>
      <c r="N186" s="124">
        <f>IF(N184="","",(M186+M187))</f>
        <v>35</v>
      </c>
      <c r="O186" s="124">
        <f t="shared" ref="O186:Q186" si="598">IF(O184="","",(N186+N187))</f>
        <v>35</v>
      </c>
      <c r="P186" s="125">
        <f t="shared" si="598"/>
        <v>35</v>
      </c>
      <c r="Q186" s="124">
        <f t="shared" si="598"/>
        <v>35</v>
      </c>
      <c r="R186" s="124">
        <f>IF(R184="","",(Q186+Q187))</f>
        <v>35</v>
      </c>
      <c r="S186" s="125">
        <f t="shared" ref="S186:T186" si="599">IF(S184="","",(R186+R187))</f>
        <v>60</v>
      </c>
      <c r="T186" s="124">
        <f t="shared" si="599"/>
        <v>60</v>
      </c>
      <c r="U186" s="125">
        <f>IF(U184="","",(T186+T187))</f>
        <v>60</v>
      </c>
      <c r="V186" s="124">
        <f t="shared" ref="V186:Y186" si="600">IF(V184="","",(U186+U187))</f>
        <v>60</v>
      </c>
      <c r="W186" s="124">
        <f t="shared" si="600"/>
        <v>60</v>
      </c>
      <c r="X186" s="125">
        <f t="shared" si="600"/>
        <v>60</v>
      </c>
      <c r="Y186" s="124">
        <f t="shared" si="600"/>
        <v>60</v>
      </c>
      <c r="Z186" s="124">
        <v>55</v>
      </c>
      <c r="AA186" s="125">
        <f t="shared" ref="AA186" si="601">IF(AA184="","",(Z186+Z187))</f>
        <v>10</v>
      </c>
      <c r="AB186" s="124">
        <f>IF(AB184="","",(AA186+AA187))</f>
        <v>10</v>
      </c>
      <c r="AC186" s="124">
        <f t="shared" ref="AC186:AE186" si="602">IF(AC184="","",(AB186+AB187))</f>
        <v>10</v>
      </c>
      <c r="AD186" s="124">
        <f t="shared" si="602"/>
        <v>10</v>
      </c>
      <c r="AE186" s="125">
        <f t="shared" si="602"/>
        <v>10</v>
      </c>
      <c r="AF186" s="124">
        <f>IF(AF184="","",(AE186+AE187))</f>
        <v>10</v>
      </c>
      <c r="AG186" s="124">
        <f t="shared" ref="AG186" si="603">IF(AG184="","",(AF186+AF187))</f>
        <v>10</v>
      </c>
      <c r="AH186" s="123">
        <f>IF(AH184="","",(AG186+AG187))</f>
        <v>10</v>
      </c>
      <c r="AI186" s="12">
        <f t="shared" ref="AI186:BC186" si="604">IF(AI184="","",(AH186+AH187))</f>
        <v>10</v>
      </c>
      <c r="AJ186" s="12">
        <f t="shared" si="604"/>
        <v>10</v>
      </c>
      <c r="AK186" s="12">
        <f t="shared" si="604"/>
        <v>10</v>
      </c>
      <c r="AL186" s="195" t="str">
        <f t="shared" si="604"/>
        <v/>
      </c>
      <c r="AM186" s="12" t="str">
        <f t="shared" si="604"/>
        <v/>
      </c>
      <c r="AN186" s="12" t="str">
        <f t="shared" si="604"/>
        <v/>
      </c>
      <c r="AO186" s="195" t="str">
        <f t="shared" si="604"/>
        <v/>
      </c>
      <c r="AP186" s="12" t="str">
        <f t="shared" si="604"/>
        <v/>
      </c>
      <c r="AQ186" s="12" t="str">
        <f t="shared" si="604"/>
        <v/>
      </c>
      <c r="AR186" s="12" t="str">
        <f t="shared" si="604"/>
        <v/>
      </c>
      <c r="AS186" s="12" t="str">
        <f t="shared" si="604"/>
        <v/>
      </c>
      <c r="AT186" s="12" t="str">
        <f t="shared" si="604"/>
        <v/>
      </c>
      <c r="AU186" s="12" t="str">
        <f t="shared" si="604"/>
        <v/>
      </c>
      <c r="AV186" s="12" t="str">
        <f t="shared" si="604"/>
        <v/>
      </c>
      <c r="AW186" s="12" t="str">
        <f t="shared" si="604"/>
        <v/>
      </c>
      <c r="AX186" s="12" t="str">
        <f t="shared" si="604"/>
        <v/>
      </c>
      <c r="AY186" s="12" t="str">
        <f t="shared" si="604"/>
        <v/>
      </c>
      <c r="AZ186" s="12" t="str">
        <f t="shared" si="604"/>
        <v/>
      </c>
      <c r="BA186" s="12" t="str">
        <f t="shared" si="604"/>
        <v/>
      </c>
      <c r="BB186" s="12" t="str">
        <f t="shared" si="604"/>
        <v/>
      </c>
      <c r="BC186" s="12" t="str">
        <f t="shared" si="604"/>
        <v/>
      </c>
    </row>
    <row r="187" spans="1:55" ht="11.25" customHeight="1" x14ac:dyDescent="0.2">
      <c r="A187" s="14"/>
      <c r="B187" s="11" t="s">
        <v>6</v>
      </c>
      <c r="C187" s="123"/>
      <c r="D187" s="124"/>
      <c r="E187" s="124"/>
      <c r="F187" s="125"/>
      <c r="G187" s="124"/>
      <c r="H187" s="124"/>
      <c r="I187" s="124">
        <v>20</v>
      </c>
      <c r="J187" s="125"/>
      <c r="K187" s="124"/>
      <c r="L187" s="124"/>
      <c r="M187" s="125"/>
      <c r="N187" s="124"/>
      <c r="O187" s="124"/>
      <c r="P187" s="125"/>
      <c r="Q187" s="124"/>
      <c r="R187" s="124">
        <v>25</v>
      </c>
      <c r="S187" s="125"/>
      <c r="T187" s="124"/>
      <c r="U187" s="125"/>
      <c r="V187" s="124"/>
      <c r="W187" s="124"/>
      <c r="X187" s="125"/>
      <c r="Y187" s="124"/>
      <c r="Z187" s="124">
        <v>-45</v>
      </c>
      <c r="AA187" s="125"/>
      <c r="AB187" s="124"/>
      <c r="AC187" s="124"/>
      <c r="AD187" s="124"/>
      <c r="AE187" s="125"/>
      <c r="AF187" s="124"/>
      <c r="AG187" s="124"/>
      <c r="AH187" s="123"/>
      <c r="AI187" s="12"/>
      <c r="AJ187" s="12"/>
      <c r="AK187" s="12"/>
      <c r="AL187" s="195"/>
      <c r="AM187" s="12"/>
      <c r="AN187" s="12"/>
      <c r="AO187" s="195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</row>
    <row r="188" spans="1:55" ht="11.25" customHeight="1" x14ac:dyDescent="0.2">
      <c r="A188" s="15"/>
      <c r="B188" s="11" t="s">
        <v>8</v>
      </c>
      <c r="C188" s="129">
        <v>500</v>
      </c>
      <c r="D188" s="130">
        <f t="shared" ref="D188:R188" si="605">IF(D184="","",C188)</f>
        <v>500</v>
      </c>
      <c r="E188" s="130">
        <f t="shared" si="605"/>
        <v>500</v>
      </c>
      <c r="F188" s="131">
        <f t="shared" si="605"/>
        <v>500</v>
      </c>
      <c r="G188" s="130">
        <f t="shared" si="605"/>
        <v>500</v>
      </c>
      <c r="H188" s="130">
        <f t="shared" si="605"/>
        <v>500</v>
      </c>
      <c r="I188" s="130">
        <f t="shared" si="605"/>
        <v>500</v>
      </c>
      <c r="J188" s="131">
        <f t="shared" si="605"/>
        <v>500</v>
      </c>
      <c r="K188" s="130">
        <f t="shared" si="605"/>
        <v>500</v>
      </c>
      <c r="L188" s="130">
        <f t="shared" si="605"/>
        <v>500</v>
      </c>
      <c r="M188" s="131">
        <f t="shared" si="605"/>
        <v>500</v>
      </c>
      <c r="N188" s="130">
        <f t="shared" si="605"/>
        <v>500</v>
      </c>
      <c r="O188" s="130">
        <f t="shared" si="605"/>
        <v>500</v>
      </c>
      <c r="P188" s="131">
        <f t="shared" si="605"/>
        <v>500</v>
      </c>
      <c r="Q188" s="130">
        <f t="shared" si="605"/>
        <v>500</v>
      </c>
      <c r="R188" s="130">
        <f t="shared" si="605"/>
        <v>500</v>
      </c>
      <c r="S188" s="131">
        <f>IF(S184="","",R188)</f>
        <v>500</v>
      </c>
      <c r="T188" s="130">
        <f t="shared" ref="T188:Z188" si="606">IF(T184="","",S188)</f>
        <v>500</v>
      </c>
      <c r="U188" s="131">
        <f t="shared" si="606"/>
        <v>500</v>
      </c>
      <c r="V188" s="130">
        <f t="shared" si="606"/>
        <v>500</v>
      </c>
      <c r="W188" s="130">
        <f t="shared" si="606"/>
        <v>500</v>
      </c>
      <c r="X188" s="131">
        <f t="shared" si="606"/>
        <v>500</v>
      </c>
      <c r="Y188" s="130">
        <f t="shared" si="606"/>
        <v>500</v>
      </c>
      <c r="Z188" s="130">
        <f t="shared" si="606"/>
        <v>500</v>
      </c>
      <c r="AA188" s="131">
        <v>1100</v>
      </c>
      <c r="AB188" s="130">
        <f t="shared" ref="AB188:AG188" si="607">IF(AB184="","",AA188)</f>
        <v>1100</v>
      </c>
      <c r="AC188" s="130">
        <f t="shared" si="607"/>
        <v>1100</v>
      </c>
      <c r="AD188" s="130">
        <f t="shared" si="607"/>
        <v>1100</v>
      </c>
      <c r="AE188" s="131">
        <f t="shared" si="607"/>
        <v>1100</v>
      </c>
      <c r="AF188" s="130">
        <f t="shared" si="607"/>
        <v>1100</v>
      </c>
      <c r="AG188" s="130">
        <f t="shared" si="607"/>
        <v>1100</v>
      </c>
      <c r="AH188" s="129">
        <f>IF(AH184="","",AG188)</f>
        <v>1100</v>
      </c>
      <c r="AI188" s="16">
        <f t="shared" ref="AI188:BC188" si="608">IF(AI184="","",AH188)</f>
        <v>1100</v>
      </c>
      <c r="AJ188" s="16">
        <f t="shared" si="608"/>
        <v>1100</v>
      </c>
      <c r="AK188" s="16">
        <f t="shared" si="608"/>
        <v>1100</v>
      </c>
      <c r="AL188" s="196" t="str">
        <f t="shared" si="608"/>
        <v/>
      </c>
      <c r="AM188" s="16" t="str">
        <f t="shared" si="608"/>
        <v/>
      </c>
      <c r="AN188" s="16" t="str">
        <f t="shared" si="608"/>
        <v/>
      </c>
      <c r="AO188" s="196" t="str">
        <f t="shared" si="608"/>
        <v/>
      </c>
      <c r="AP188" s="16" t="str">
        <f t="shared" si="608"/>
        <v/>
      </c>
      <c r="AQ188" s="16" t="str">
        <f t="shared" si="608"/>
        <v/>
      </c>
      <c r="AR188" s="16" t="str">
        <f t="shared" si="608"/>
        <v/>
      </c>
      <c r="AS188" s="16" t="str">
        <f t="shared" si="608"/>
        <v/>
      </c>
      <c r="AT188" s="16" t="str">
        <f t="shared" si="608"/>
        <v/>
      </c>
      <c r="AU188" s="16" t="str">
        <f t="shared" si="608"/>
        <v/>
      </c>
      <c r="AV188" s="16" t="str">
        <f t="shared" si="608"/>
        <v/>
      </c>
      <c r="AW188" s="16" t="str">
        <f t="shared" si="608"/>
        <v/>
      </c>
      <c r="AX188" s="16" t="str">
        <f t="shared" si="608"/>
        <v/>
      </c>
      <c r="AY188" s="16" t="str">
        <f t="shared" si="608"/>
        <v/>
      </c>
      <c r="AZ188" s="16" t="str">
        <f t="shared" si="608"/>
        <v/>
      </c>
      <c r="BA188" s="16" t="str">
        <f t="shared" si="608"/>
        <v/>
      </c>
      <c r="BB188" s="16" t="str">
        <f t="shared" si="608"/>
        <v/>
      </c>
      <c r="BC188" s="16" t="str">
        <f t="shared" si="608"/>
        <v/>
      </c>
    </row>
    <row r="189" spans="1:55" ht="11.25" customHeight="1" x14ac:dyDescent="0.2">
      <c r="A189" s="14" t="s">
        <v>9</v>
      </c>
      <c r="B189" s="17" t="s">
        <v>10</v>
      </c>
      <c r="C189" s="133" t="s">
        <v>48</v>
      </c>
      <c r="D189" s="134" t="str">
        <f t="shared" ref="D189:R189" si="609">IF(D184="","",C189)</f>
        <v>サンリオポーチ</v>
      </c>
      <c r="E189" s="134" t="str">
        <f t="shared" si="609"/>
        <v>サンリオポーチ</v>
      </c>
      <c r="F189" s="135" t="str">
        <f t="shared" si="609"/>
        <v>サンリオポーチ</v>
      </c>
      <c r="G189" s="134" t="str">
        <f t="shared" si="609"/>
        <v>サンリオポーチ</v>
      </c>
      <c r="H189" s="134" t="str">
        <f t="shared" si="609"/>
        <v>サンリオポーチ</v>
      </c>
      <c r="I189" s="134" t="str">
        <f t="shared" si="609"/>
        <v>サンリオポーチ</v>
      </c>
      <c r="J189" s="135" t="str">
        <f t="shared" si="609"/>
        <v>サンリオポーチ</v>
      </c>
      <c r="K189" s="134" t="str">
        <f t="shared" si="609"/>
        <v>サンリオポーチ</v>
      </c>
      <c r="L189" s="134" t="str">
        <f t="shared" si="609"/>
        <v>サンリオポーチ</v>
      </c>
      <c r="M189" s="135" t="str">
        <f t="shared" si="609"/>
        <v>サンリオポーチ</v>
      </c>
      <c r="N189" s="134" t="str">
        <f t="shared" si="609"/>
        <v>サンリオポーチ</v>
      </c>
      <c r="O189" s="134" t="str">
        <f t="shared" si="609"/>
        <v>サンリオポーチ</v>
      </c>
      <c r="P189" s="135" t="str">
        <f t="shared" si="609"/>
        <v>サンリオポーチ</v>
      </c>
      <c r="Q189" s="134" t="str">
        <f t="shared" si="609"/>
        <v>サンリオポーチ</v>
      </c>
      <c r="R189" s="134" t="str">
        <f t="shared" si="609"/>
        <v>サンリオポーチ</v>
      </c>
      <c r="S189" s="135" t="s">
        <v>35</v>
      </c>
      <c r="T189" s="134" t="str">
        <f t="shared" ref="T189:Z189" si="610">IF(T184="","",S189)</f>
        <v>バタースクイーズ</v>
      </c>
      <c r="U189" s="135" t="str">
        <f t="shared" si="610"/>
        <v>バタースクイーズ</v>
      </c>
      <c r="V189" s="134" t="str">
        <f t="shared" si="610"/>
        <v>バタースクイーズ</v>
      </c>
      <c r="W189" s="134" t="str">
        <f t="shared" si="610"/>
        <v>バタースクイーズ</v>
      </c>
      <c r="X189" s="135" t="str">
        <f t="shared" si="610"/>
        <v>バタースクイーズ</v>
      </c>
      <c r="Y189" s="134" t="str">
        <f t="shared" si="610"/>
        <v>バタースクイーズ</v>
      </c>
      <c r="Z189" s="134" t="str">
        <f t="shared" si="610"/>
        <v>バタースクイーズ</v>
      </c>
      <c r="AA189" s="135" t="s">
        <v>258</v>
      </c>
      <c r="AB189" s="134" t="str">
        <f t="shared" ref="AB189:AG189" si="611">IF(AB184="","",AA189)</f>
        <v>極とろアイススクイーズ</v>
      </c>
      <c r="AC189" s="134" t="str">
        <f t="shared" si="611"/>
        <v>極とろアイススクイーズ</v>
      </c>
      <c r="AD189" s="134" t="str">
        <f t="shared" si="611"/>
        <v>極とろアイススクイーズ</v>
      </c>
      <c r="AE189" s="135" t="str">
        <f t="shared" si="611"/>
        <v>極とろアイススクイーズ</v>
      </c>
      <c r="AF189" s="134" t="str">
        <f t="shared" si="611"/>
        <v>極とろアイススクイーズ</v>
      </c>
      <c r="AG189" s="134" t="str">
        <f t="shared" si="611"/>
        <v>極とろアイススクイーズ</v>
      </c>
      <c r="AH189" s="133" t="str">
        <f>IF(AH184="","",AG189)</f>
        <v>極とろアイススクイーズ</v>
      </c>
      <c r="AI189" s="18" t="str">
        <f t="shared" ref="AI189:BC189" si="612">IF(AI184="","",AH189)</f>
        <v>極とろアイススクイーズ</v>
      </c>
      <c r="AJ189" s="18" t="str">
        <f t="shared" si="612"/>
        <v>極とろアイススクイーズ</v>
      </c>
      <c r="AK189" s="18" t="str">
        <f t="shared" si="612"/>
        <v>極とろアイススクイーズ</v>
      </c>
      <c r="AL189" s="197" t="str">
        <f t="shared" si="612"/>
        <v/>
      </c>
      <c r="AM189" s="18" t="str">
        <f t="shared" si="612"/>
        <v/>
      </c>
      <c r="AN189" s="18" t="str">
        <f t="shared" si="612"/>
        <v/>
      </c>
      <c r="AO189" s="197" t="str">
        <f t="shared" si="612"/>
        <v/>
      </c>
      <c r="AP189" s="18" t="str">
        <f t="shared" si="612"/>
        <v/>
      </c>
      <c r="AQ189" s="18" t="str">
        <f t="shared" si="612"/>
        <v/>
      </c>
      <c r="AR189" s="18" t="str">
        <f t="shared" si="612"/>
        <v/>
      </c>
      <c r="AS189" s="18" t="str">
        <f t="shared" si="612"/>
        <v/>
      </c>
      <c r="AT189" s="18" t="str">
        <f t="shared" si="612"/>
        <v/>
      </c>
      <c r="AU189" s="18" t="str">
        <f t="shared" si="612"/>
        <v/>
      </c>
      <c r="AV189" s="18" t="str">
        <f t="shared" si="612"/>
        <v/>
      </c>
      <c r="AW189" s="18" t="str">
        <f t="shared" si="612"/>
        <v/>
      </c>
      <c r="AX189" s="18" t="str">
        <f t="shared" si="612"/>
        <v/>
      </c>
      <c r="AY189" s="18" t="str">
        <f t="shared" si="612"/>
        <v/>
      </c>
      <c r="AZ189" s="18" t="str">
        <f t="shared" si="612"/>
        <v/>
      </c>
      <c r="BA189" s="18" t="str">
        <f t="shared" si="612"/>
        <v/>
      </c>
      <c r="BB189" s="18" t="str">
        <f t="shared" si="612"/>
        <v/>
      </c>
      <c r="BC189" s="18" t="str">
        <f t="shared" si="612"/>
        <v/>
      </c>
    </row>
    <row r="190" spans="1:55" ht="11.25" customHeight="1" x14ac:dyDescent="0.2">
      <c r="A190" s="15">
        <f>AVERAGE(C191:AS191)*30*100</f>
        <v>35117.647058823524</v>
      </c>
      <c r="B190" s="11" t="s">
        <v>12</v>
      </c>
      <c r="C190" s="123"/>
      <c r="D190" s="124"/>
      <c r="E190" s="124"/>
      <c r="F190" s="125"/>
      <c r="G190" s="124"/>
      <c r="H190" s="124"/>
      <c r="I190" s="124"/>
      <c r="J190" s="125"/>
      <c r="K190" s="124"/>
      <c r="L190" s="124"/>
      <c r="M190" s="125"/>
      <c r="N190" s="124"/>
      <c r="O190" s="124"/>
      <c r="P190" s="125"/>
      <c r="Q190" s="124"/>
      <c r="R190" s="124"/>
      <c r="S190" s="125" t="s">
        <v>249</v>
      </c>
      <c r="T190" s="124"/>
      <c r="U190" s="125"/>
      <c r="V190" s="124"/>
      <c r="W190" s="124"/>
      <c r="X190" s="125"/>
      <c r="Y190" s="124"/>
      <c r="Z190" s="124"/>
      <c r="AA190" s="125" t="s">
        <v>259</v>
      </c>
      <c r="AB190" s="124"/>
      <c r="AC190" s="124"/>
      <c r="AD190" s="124"/>
      <c r="AE190" s="125"/>
      <c r="AF190" s="124"/>
      <c r="AG190" s="124"/>
      <c r="AH190" s="123" t="s">
        <v>264</v>
      </c>
      <c r="AI190" s="12"/>
      <c r="AJ190" s="12"/>
      <c r="AK190" s="12"/>
      <c r="AL190" s="195"/>
      <c r="AM190" s="12"/>
      <c r="AN190" s="12"/>
      <c r="AO190" s="195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</row>
    <row r="191" spans="1:55" ht="11.25" customHeight="1" x14ac:dyDescent="0.2">
      <c r="A191" s="15">
        <f t="shared" ref="A191:A194" si="613">SUM(C191:AS191)</f>
        <v>398</v>
      </c>
      <c r="B191" s="19" t="s">
        <v>13</v>
      </c>
      <c r="C191" s="123"/>
      <c r="D191" s="137">
        <f t="shared" ref="D191:AG192" si="614">IF(D184="","",D184-C184)</f>
        <v>0</v>
      </c>
      <c r="E191" s="137">
        <f t="shared" si="614"/>
        <v>42</v>
      </c>
      <c r="F191" s="125">
        <f t="shared" si="614"/>
        <v>0</v>
      </c>
      <c r="G191" s="137">
        <f t="shared" si="614"/>
        <v>0</v>
      </c>
      <c r="H191" s="137">
        <f t="shared" si="614"/>
        <v>0</v>
      </c>
      <c r="I191" s="137">
        <f t="shared" si="614"/>
        <v>22</v>
      </c>
      <c r="J191" s="125">
        <f t="shared" si="614"/>
        <v>0</v>
      </c>
      <c r="K191" s="137">
        <f t="shared" si="614"/>
        <v>0</v>
      </c>
      <c r="L191" s="137">
        <f t="shared" si="614"/>
        <v>26</v>
      </c>
      <c r="M191" s="125">
        <f t="shared" si="614"/>
        <v>0</v>
      </c>
      <c r="N191" s="137">
        <f t="shared" si="614"/>
        <v>0</v>
      </c>
      <c r="O191" s="137">
        <f t="shared" si="614"/>
        <v>24</v>
      </c>
      <c r="P191" s="125">
        <f t="shared" si="614"/>
        <v>0</v>
      </c>
      <c r="Q191" s="137">
        <f t="shared" si="614"/>
        <v>0</v>
      </c>
      <c r="R191" s="124">
        <f t="shared" si="614"/>
        <v>45</v>
      </c>
      <c r="S191" s="125">
        <f t="shared" si="614"/>
        <v>0</v>
      </c>
      <c r="T191" s="137">
        <f t="shared" si="614"/>
        <v>55</v>
      </c>
      <c r="U191" s="125">
        <f t="shared" si="614"/>
        <v>0</v>
      </c>
      <c r="V191" s="137">
        <f t="shared" si="614"/>
        <v>0</v>
      </c>
      <c r="W191" s="137">
        <f t="shared" si="614"/>
        <v>72</v>
      </c>
      <c r="X191" s="125">
        <f t="shared" si="614"/>
        <v>0</v>
      </c>
      <c r="Y191" s="137">
        <f t="shared" si="614"/>
        <v>0</v>
      </c>
      <c r="Z191" s="137">
        <f t="shared" si="614"/>
        <v>74</v>
      </c>
      <c r="AA191" s="125">
        <f t="shared" si="614"/>
        <v>0</v>
      </c>
      <c r="AB191" s="137">
        <f t="shared" si="614"/>
        <v>0</v>
      </c>
      <c r="AC191" s="137">
        <f t="shared" si="614"/>
        <v>0</v>
      </c>
      <c r="AD191" s="137">
        <f t="shared" si="614"/>
        <v>15</v>
      </c>
      <c r="AE191" s="125">
        <f t="shared" si="614"/>
        <v>0</v>
      </c>
      <c r="AF191" s="137">
        <f t="shared" si="614"/>
        <v>0</v>
      </c>
      <c r="AG191" s="137">
        <f t="shared" si="614"/>
        <v>11</v>
      </c>
      <c r="AH191" s="123">
        <f>IF(AH184="","",AH184-AG184)</f>
        <v>0</v>
      </c>
      <c r="AI191" s="20">
        <f t="shared" ref="AI191:BC192" si="615">IF(AI184="","",AI184-AH184)</f>
        <v>0</v>
      </c>
      <c r="AJ191" s="20">
        <f t="shared" si="615"/>
        <v>0</v>
      </c>
      <c r="AK191" s="20">
        <f t="shared" si="615"/>
        <v>12</v>
      </c>
      <c r="AL191" s="195" t="str">
        <f t="shared" si="615"/>
        <v/>
      </c>
      <c r="AM191" s="20" t="str">
        <f t="shared" si="615"/>
        <v/>
      </c>
      <c r="AN191" s="20" t="str">
        <f t="shared" si="615"/>
        <v/>
      </c>
      <c r="AO191" s="195" t="str">
        <f t="shared" si="615"/>
        <v/>
      </c>
      <c r="AP191" s="20" t="str">
        <f t="shared" si="615"/>
        <v/>
      </c>
      <c r="AQ191" s="20" t="str">
        <f t="shared" si="615"/>
        <v/>
      </c>
      <c r="AR191" s="20" t="str">
        <f t="shared" si="615"/>
        <v/>
      </c>
      <c r="AS191" s="20" t="str">
        <f t="shared" si="615"/>
        <v/>
      </c>
      <c r="AT191" s="20" t="str">
        <f t="shared" si="615"/>
        <v/>
      </c>
      <c r="AU191" s="20" t="str">
        <f t="shared" si="615"/>
        <v/>
      </c>
      <c r="AV191" s="20" t="str">
        <f t="shared" si="615"/>
        <v/>
      </c>
      <c r="AW191" s="20" t="str">
        <f t="shared" si="615"/>
        <v/>
      </c>
      <c r="AX191" s="20" t="str">
        <f t="shared" si="615"/>
        <v/>
      </c>
      <c r="AY191" s="20" t="str">
        <f t="shared" si="615"/>
        <v/>
      </c>
      <c r="AZ191" s="20" t="str">
        <f t="shared" si="615"/>
        <v/>
      </c>
      <c r="BA191" s="20" t="str">
        <f t="shared" si="615"/>
        <v/>
      </c>
      <c r="BB191" s="20" t="str">
        <f t="shared" si="615"/>
        <v/>
      </c>
      <c r="BC191" s="20" t="str">
        <f t="shared" si="615"/>
        <v/>
      </c>
    </row>
    <row r="192" spans="1:55" ht="11.25" customHeight="1" x14ac:dyDescent="0.2">
      <c r="A192" s="15">
        <f t="shared" si="613"/>
        <v>32</v>
      </c>
      <c r="B192" s="19" t="s">
        <v>14</v>
      </c>
      <c r="C192" s="123"/>
      <c r="D192" s="137">
        <f t="shared" si="614"/>
        <v>0</v>
      </c>
      <c r="E192" s="137">
        <f t="shared" si="614"/>
        <v>3</v>
      </c>
      <c r="F192" s="125">
        <f t="shared" si="614"/>
        <v>0</v>
      </c>
      <c r="G192" s="137">
        <f t="shared" si="614"/>
        <v>0</v>
      </c>
      <c r="H192" s="137">
        <f t="shared" si="614"/>
        <v>0</v>
      </c>
      <c r="I192" s="137">
        <f t="shared" si="614"/>
        <v>2</v>
      </c>
      <c r="J192" s="125">
        <f t="shared" si="614"/>
        <v>0</v>
      </c>
      <c r="K192" s="137">
        <f t="shared" si="614"/>
        <v>0</v>
      </c>
      <c r="L192" s="137">
        <f t="shared" si="614"/>
        <v>1</v>
      </c>
      <c r="M192" s="125">
        <f t="shared" si="614"/>
        <v>0</v>
      </c>
      <c r="N192" s="137">
        <f t="shared" si="614"/>
        <v>0</v>
      </c>
      <c r="O192" s="137">
        <f t="shared" si="614"/>
        <v>6</v>
      </c>
      <c r="P192" s="125">
        <f t="shared" si="614"/>
        <v>0</v>
      </c>
      <c r="Q192" s="137">
        <f t="shared" si="614"/>
        <v>0</v>
      </c>
      <c r="R192" s="124">
        <f t="shared" si="614"/>
        <v>10</v>
      </c>
      <c r="S192" s="125">
        <f t="shared" si="614"/>
        <v>0</v>
      </c>
      <c r="T192" s="137">
        <f t="shared" si="614"/>
        <v>0</v>
      </c>
      <c r="U192" s="125">
        <f t="shared" si="614"/>
        <v>0</v>
      </c>
      <c r="V192" s="137">
        <f t="shared" si="614"/>
        <v>0</v>
      </c>
      <c r="W192" s="137">
        <f t="shared" si="614"/>
        <v>5</v>
      </c>
      <c r="X192" s="125">
        <f t="shared" si="614"/>
        <v>0</v>
      </c>
      <c r="Y192" s="137">
        <f t="shared" si="614"/>
        <v>0</v>
      </c>
      <c r="Z192" s="137">
        <f t="shared" si="614"/>
        <v>5</v>
      </c>
      <c r="AA192" s="125">
        <f t="shared" si="614"/>
        <v>0</v>
      </c>
      <c r="AB192" s="137">
        <f t="shared" si="614"/>
        <v>0</v>
      </c>
      <c r="AC192" s="137">
        <f t="shared" si="614"/>
        <v>0</v>
      </c>
      <c r="AD192" s="137">
        <f t="shared" si="614"/>
        <v>0</v>
      </c>
      <c r="AE192" s="125">
        <f t="shared" si="614"/>
        <v>0</v>
      </c>
      <c r="AF192" s="137">
        <f t="shared" si="614"/>
        <v>0</v>
      </c>
      <c r="AG192" s="137">
        <f t="shared" si="614"/>
        <v>0</v>
      </c>
      <c r="AH192" s="123">
        <f>IF(AH185="","",AH185-AG185)</f>
        <v>0</v>
      </c>
      <c r="AI192" s="20">
        <f t="shared" si="615"/>
        <v>0</v>
      </c>
      <c r="AJ192" s="20">
        <f t="shared" si="615"/>
        <v>0</v>
      </c>
      <c r="AK192" s="20">
        <f t="shared" si="615"/>
        <v>0</v>
      </c>
      <c r="AL192" s="195" t="str">
        <f t="shared" si="615"/>
        <v/>
      </c>
      <c r="AM192" s="20" t="str">
        <f t="shared" si="615"/>
        <v/>
      </c>
      <c r="AN192" s="20" t="str">
        <f t="shared" si="615"/>
        <v/>
      </c>
      <c r="AO192" s="195" t="str">
        <f t="shared" si="615"/>
        <v/>
      </c>
      <c r="AP192" s="20" t="str">
        <f t="shared" si="615"/>
        <v/>
      </c>
      <c r="AQ192" s="20" t="str">
        <f t="shared" si="615"/>
        <v/>
      </c>
      <c r="AR192" s="20" t="str">
        <f t="shared" si="615"/>
        <v/>
      </c>
      <c r="AS192" s="20" t="str">
        <f t="shared" si="615"/>
        <v/>
      </c>
      <c r="AT192" s="20" t="str">
        <f t="shared" si="615"/>
        <v/>
      </c>
      <c r="AU192" s="20" t="str">
        <f t="shared" si="615"/>
        <v/>
      </c>
      <c r="AV192" s="20" t="str">
        <f t="shared" si="615"/>
        <v/>
      </c>
      <c r="AW192" s="20" t="str">
        <f t="shared" si="615"/>
        <v/>
      </c>
      <c r="AX192" s="20" t="str">
        <f t="shared" si="615"/>
        <v/>
      </c>
      <c r="AY192" s="20" t="str">
        <f t="shared" si="615"/>
        <v/>
      </c>
      <c r="AZ192" s="20" t="str">
        <f t="shared" si="615"/>
        <v/>
      </c>
      <c r="BA192" s="20" t="str">
        <f t="shared" si="615"/>
        <v/>
      </c>
      <c r="BB192" s="20" t="str">
        <f t="shared" si="615"/>
        <v/>
      </c>
      <c r="BC192" s="20" t="str">
        <f t="shared" si="615"/>
        <v/>
      </c>
    </row>
    <row r="193" spans="1:55" ht="11.25" customHeight="1" x14ac:dyDescent="0.2">
      <c r="A193" s="15">
        <f t="shared" si="613"/>
        <v>10</v>
      </c>
      <c r="B193" s="19" t="s">
        <v>15</v>
      </c>
      <c r="C193" s="123"/>
      <c r="D193" s="137">
        <f t="shared" ref="D193:AG193" si="616">IF(D186="","",C186+C187-D186)</f>
        <v>0</v>
      </c>
      <c r="E193" s="137">
        <f t="shared" si="616"/>
        <v>3</v>
      </c>
      <c r="F193" s="125">
        <f t="shared" si="616"/>
        <v>0</v>
      </c>
      <c r="G193" s="137">
        <f t="shared" si="616"/>
        <v>0</v>
      </c>
      <c r="H193" s="137">
        <f t="shared" si="616"/>
        <v>0</v>
      </c>
      <c r="I193" s="137">
        <f t="shared" si="616"/>
        <v>2</v>
      </c>
      <c r="J193" s="125">
        <f t="shared" si="616"/>
        <v>0</v>
      </c>
      <c r="K193" s="137">
        <f t="shared" si="616"/>
        <v>0</v>
      </c>
      <c r="L193" s="137">
        <f t="shared" si="616"/>
        <v>0</v>
      </c>
      <c r="M193" s="125">
        <f t="shared" si="616"/>
        <v>0</v>
      </c>
      <c r="N193" s="137">
        <f t="shared" si="616"/>
        <v>0</v>
      </c>
      <c r="O193" s="137">
        <f t="shared" si="616"/>
        <v>0</v>
      </c>
      <c r="P193" s="125">
        <f t="shared" si="616"/>
        <v>0</v>
      </c>
      <c r="Q193" s="137">
        <f t="shared" si="616"/>
        <v>0</v>
      </c>
      <c r="R193" s="124">
        <f t="shared" si="616"/>
        <v>0</v>
      </c>
      <c r="S193" s="125">
        <f t="shared" si="616"/>
        <v>0</v>
      </c>
      <c r="T193" s="137">
        <f t="shared" si="616"/>
        <v>0</v>
      </c>
      <c r="U193" s="125">
        <f t="shared" si="616"/>
        <v>0</v>
      </c>
      <c r="V193" s="137">
        <f t="shared" si="616"/>
        <v>0</v>
      </c>
      <c r="W193" s="137">
        <f t="shared" si="616"/>
        <v>0</v>
      </c>
      <c r="X193" s="125">
        <f t="shared" si="616"/>
        <v>0</v>
      </c>
      <c r="Y193" s="137">
        <f t="shared" si="616"/>
        <v>0</v>
      </c>
      <c r="Z193" s="137">
        <f t="shared" si="616"/>
        <v>5</v>
      </c>
      <c r="AA193" s="125">
        <f t="shared" si="616"/>
        <v>0</v>
      </c>
      <c r="AB193" s="137">
        <f t="shared" si="616"/>
        <v>0</v>
      </c>
      <c r="AC193" s="137">
        <f t="shared" si="616"/>
        <v>0</v>
      </c>
      <c r="AD193" s="137">
        <f t="shared" si="616"/>
        <v>0</v>
      </c>
      <c r="AE193" s="125">
        <f t="shared" si="616"/>
        <v>0</v>
      </c>
      <c r="AF193" s="137">
        <f t="shared" si="616"/>
        <v>0</v>
      </c>
      <c r="AG193" s="137">
        <f t="shared" si="616"/>
        <v>0</v>
      </c>
      <c r="AH193" s="123">
        <f>IF(AH186="","",AG186+AG187-AH186)</f>
        <v>0</v>
      </c>
      <c r="AI193" s="20">
        <f t="shared" ref="AI193:BC193" si="617">IF(AI186="","",AH186+AH187-AI186)</f>
        <v>0</v>
      </c>
      <c r="AJ193" s="20">
        <f t="shared" si="617"/>
        <v>0</v>
      </c>
      <c r="AK193" s="20">
        <f t="shared" si="617"/>
        <v>0</v>
      </c>
      <c r="AL193" s="195" t="str">
        <f t="shared" si="617"/>
        <v/>
      </c>
      <c r="AM193" s="20" t="str">
        <f t="shared" si="617"/>
        <v/>
      </c>
      <c r="AN193" s="20" t="str">
        <f t="shared" si="617"/>
        <v/>
      </c>
      <c r="AO193" s="195" t="str">
        <f t="shared" si="617"/>
        <v/>
      </c>
      <c r="AP193" s="20" t="str">
        <f t="shared" si="617"/>
        <v/>
      </c>
      <c r="AQ193" s="20" t="str">
        <f t="shared" si="617"/>
        <v/>
      </c>
      <c r="AR193" s="20" t="str">
        <f t="shared" si="617"/>
        <v/>
      </c>
      <c r="AS193" s="20" t="str">
        <f t="shared" si="617"/>
        <v/>
      </c>
      <c r="AT193" s="20" t="str">
        <f t="shared" si="617"/>
        <v/>
      </c>
      <c r="AU193" s="20" t="str">
        <f t="shared" si="617"/>
        <v/>
      </c>
      <c r="AV193" s="20" t="str">
        <f t="shared" si="617"/>
        <v/>
      </c>
      <c r="AW193" s="20" t="str">
        <f t="shared" si="617"/>
        <v/>
      </c>
      <c r="AX193" s="20" t="str">
        <f t="shared" si="617"/>
        <v/>
      </c>
      <c r="AY193" s="20" t="str">
        <f t="shared" si="617"/>
        <v/>
      </c>
      <c r="AZ193" s="20" t="str">
        <f t="shared" si="617"/>
        <v/>
      </c>
      <c r="BA193" s="20" t="str">
        <f t="shared" si="617"/>
        <v/>
      </c>
      <c r="BB193" s="20" t="str">
        <f t="shared" si="617"/>
        <v/>
      </c>
      <c r="BC193" s="20" t="str">
        <f t="shared" si="617"/>
        <v/>
      </c>
    </row>
    <row r="194" spans="1:55" ht="11.25" customHeight="1" x14ac:dyDescent="0.2">
      <c r="A194" s="15">
        <f t="shared" si="613"/>
        <v>5000</v>
      </c>
      <c r="B194" s="19" t="s">
        <v>16</v>
      </c>
      <c r="C194" s="123"/>
      <c r="D194" s="137">
        <f t="shared" ref="D194:BC194" si="618">IF(D184="","",D193*D188)</f>
        <v>0</v>
      </c>
      <c r="E194" s="137">
        <f t="shared" si="618"/>
        <v>1500</v>
      </c>
      <c r="F194" s="125">
        <f t="shared" si="618"/>
        <v>0</v>
      </c>
      <c r="G194" s="137">
        <f t="shared" si="618"/>
        <v>0</v>
      </c>
      <c r="H194" s="137">
        <f t="shared" si="618"/>
        <v>0</v>
      </c>
      <c r="I194" s="137">
        <f t="shared" si="618"/>
        <v>1000</v>
      </c>
      <c r="J194" s="125">
        <f t="shared" si="618"/>
        <v>0</v>
      </c>
      <c r="K194" s="137">
        <f t="shared" si="618"/>
        <v>0</v>
      </c>
      <c r="L194" s="137">
        <f t="shared" si="618"/>
        <v>0</v>
      </c>
      <c r="M194" s="125">
        <f t="shared" si="618"/>
        <v>0</v>
      </c>
      <c r="N194" s="137">
        <f t="shared" si="618"/>
        <v>0</v>
      </c>
      <c r="O194" s="137">
        <f t="shared" si="618"/>
        <v>0</v>
      </c>
      <c r="P194" s="125">
        <f t="shared" si="618"/>
        <v>0</v>
      </c>
      <c r="Q194" s="137">
        <f t="shared" si="618"/>
        <v>0</v>
      </c>
      <c r="R194" s="124">
        <f t="shared" si="618"/>
        <v>0</v>
      </c>
      <c r="S194" s="125">
        <f t="shared" si="618"/>
        <v>0</v>
      </c>
      <c r="T194" s="137">
        <f t="shared" si="618"/>
        <v>0</v>
      </c>
      <c r="U194" s="125">
        <f t="shared" si="618"/>
        <v>0</v>
      </c>
      <c r="V194" s="137">
        <f t="shared" si="618"/>
        <v>0</v>
      </c>
      <c r="W194" s="137">
        <f t="shared" si="618"/>
        <v>0</v>
      </c>
      <c r="X194" s="125">
        <f t="shared" si="618"/>
        <v>0</v>
      </c>
      <c r="Y194" s="137">
        <f t="shared" si="618"/>
        <v>0</v>
      </c>
      <c r="Z194" s="137">
        <f t="shared" si="618"/>
        <v>2500</v>
      </c>
      <c r="AA194" s="125">
        <f t="shared" si="618"/>
        <v>0</v>
      </c>
      <c r="AB194" s="137">
        <f t="shared" si="618"/>
        <v>0</v>
      </c>
      <c r="AC194" s="137">
        <f t="shared" si="618"/>
        <v>0</v>
      </c>
      <c r="AD194" s="137">
        <f t="shared" si="618"/>
        <v>0</v>
      </c>
      <c r="AE194" s="125">
        <f t="shared" si="618"/>
        <v>0</v>
      </c>
      <c r="AF194" s="137">
        <f t="shared" si="618"/>
        <v>0</v>
      </c>
      <c r="AG194" s="137">
        <f t="shared" si="618"/>
        <v>0</v>
      </c>
      <c r="AH194" s="123">
        <f>IF(AH184="","",AH193*AH188)</f>
        <v>0</v>
      </c>
      <c r="AI194" s="20">
        <f t="shared" si="618"/>
        <v>0</v>
      </c>
      <c r="AJ194" s="20">
        <f t="shared" si="618"/>
        <v>0</v>
      </c>
      <c r="AK194" s="20">
        <f t="shared" si="618"/>
        <v>0</v>
      </c>
      <c r="AL194" s="195" t="str">
        <f t="shared" si="618"/>
        <v/>
      </c>
      <c r="AM194" s="20" t="str">
        <f t="shared" si="618"/>
        <v/>
      </c>
      <c r="AN194" s="20" t="str">
        <f t="shared" si="618"/>
        <v/>
      </c>
      <c r="AO194" s="195" t="str">
        <f t="shared" si="618"/>
        <v/>
      </c>
      <c r="AP194" s="20" t="str">
        <f t="shared" si="618"/>
        <v/>
      </c>
      <c r="AQ194" s="20" t="str">
        <f t="shared" si="618"/>
        <v/>
      </c>
      <c r="AR194" s="20" t="str">
        <f t="shared" si="618"/>
        <v/>
      </c>
      <c r="AS194" s="20" t="str">
        <f t="shared" si="618"/>
        <v/>
      </c>
      <c r="AT194" s="20" t="str">
        <f t="shared" si="618"/>
        <v/>
      </c>
      <c r="AU194" s="20" t="str">
        <f t="shared" si="618"/>
        <v/>
      </c>
      <c r="AV194" s="20" t="str">
        <f t="shared" si="618"/>
        <v/>
      </c>
      <c r="AW194" s="20" t="str">
        <f t="shared" si="618"/>
        <v/>
      </c>
      <c r="AX194" s="20" t="str">
        <f t="shared" si="618"/>
        <v/>
      </c>
      <c r="AY194" s="20" t="str">
        <f t="shared" si="618"/>
        <v/>
      </c>
      <c r="AZ194" s="20" t="str">
        <f t="shared" si="618"/>
        <v/>
      </c>
      <c r="BA194" s="20" t="str">
        <f t="shared" si="618"/>
        <v/>
      </c>
      <c r="BB194" s="20" t="str">
        <f t="shared" si="618"/>
        <v/>
      </c>
      <c r="BC194" s="20" t="str">
        <f t="shared" si="618"/>
        <v/>
      </c>
    </row>
    <row r="195" spans="1:55" ht="11.25" customHeight="1" thickBot="1" x14ac:dyDescent="0.25">
      <c r="A195" s="21">
        <f>IF(A194="","",A194/(A191*100))</f>
        <v>0.12562814070351758</v>
      </c>
      <c r="B195" s="22" t="s">
        <v>17</v>
      </c>
      <c r="C195" s="140"/>
      <c r="D195" s="141" t="str">
        <f t="shared" ref="D195:BC195" si="619">IF(D194="","",IF(D194=0,"",D194/(D191*100)))</f>
        <v/>
      </c>
      <c r="E195" s="141">
        <f t="shared" si="619"/>
        <v>0.35714285714285715</v>
      </c>
      <c r="F195" s="142" t="str">
        <f t="shared" si="619"/>
        <v/>
      </c>
      <c r="G195" s="141" t="str">
        <f t="shared" si="619"/>
        <v/>
      </c>
      <c r="H195" s="141" t="str">
        <f t="shared" si="619"/>
        <v/>
      </c>
      <c r="I195" s="141">
        <f t="shared" si="619"/>
        <v>0.45454545454545453</v>
      </c>
      <c r="J195" s="142" t="str">
        <f t="shared" si="619"/>
        <v/>
      </c>
      <c r="K195" s="141" t="str">
        <f t="shared" si="619"/>
        <v/>
      </c>
      <c r="L195" s="141" t="str">
        <f t="shared" si="619"/>
        <v/>
      </c>
      <c r="M195" s="142" t="str">
        <f t="shared" si="619"/>
        <v/>
      </c>
      <c r="N195" s="141" t="str">
        <f t="shared" si="619"/>
        <v/>
      </c>
      <c r="O195" s="141" t="str">
        <f t="shared" si="619"/>
        <v/>
      </c>
      <c r="P195" s="142" t="str">
        <f t="shared" si="619"/>
        <v/>
      </c>
      <c r="Q195" s="141" t="str">
        <f t="shared" si="619"/>
        <v/>
      </c>
      <c r="R195" s="192" t="str">
        <f t="shared" si="619"/>
        <v/>
      </c>
      <c r="S195" s="142" t="str">
        <f t="shared" si="619"/>
        <v/>
      </c>
      <c r="T195" s="141" t="str">
        <f t="shared" si="619"/>
        <v/>
      </c>
      <c r="U195" s="142" t="str">
        <f t="shared" si="619"/>
        <v/>
      </c>
      <c r="V195" s="141" t="str">
        <f t="shared" si="619"/>
        <v/>
      </c>
      <c r="W195" s="141" t="str">
        <f t="shared" si="619"/>
        <v/>
      </c>
      <c r="X195" s="142" t="str">
        <f t="shared" si="619"/>
        <v/>
      </c>
      <c r="Y195" s="141" t="str">
        <f t="shared" si="619"/>
        <v/>
      </c>
      <c r="Z195" s="141">
        <f t="shared" si="619"/>
        <v>0.33783783783783783</v>
      </c>
      <c r="AA195" s="142" t="str">
        <f t="shared" si="619"/>
        <v/>
      </c>
      <c r="AB195" s="141" t="str">
        <f t="shared" si="619"/>
        <v/>
      </c>
      <c r="AC195" s="141" t="str">
        <f t="shared" si="619"/>
        <v/>
      </c>
      <c r="AD195" s="141" t="str">
        <f t="shared" si="619"/>
        <v/>
      </c>
      <c r="AE195" s="142" t="str">
        <f t="shared" si="619"/>
        <v/>
      </c>
      <c r="AF195" s="141" t="str">
        <f t="shared" si="619"/>
        <v/>
      </c>
      <c r="AG195" s="141" t="str">
        <f t="shared" si="619"/>
        <v/>
      </c>
      <c r="AH195" s="140" t="str">
        <f>IF(AH194="","",IF(AH194=0,"",AH194/(AH191*100)))</f>
        <v/>
      </c>
      <c r="AI195" s="23" t="str">
        <f t="shared" si="619"/>
        <v/>
      </c>
      <c r="AJ195" s="23" t="str">
        <f t="shared" si="619"/>
        <v/>
      </c>
      <c r="AK195" s="23" t="str">
        <f t="shared" si="619"/>
        <v/>
      </c>
      <c r="AL195" s="198" t="str">
        <f t="shared" si="619"/>
        <v/>
      </c>
      <c r="AM195" s="23" t="str">
        <f t="shared" si="619"/>
        <v/>
      </c>
      <c r="AN195" s="23" t="str">
        <f t="shared" si="619"/>
        <v/>
      </c>
      <c r="AO195" s="198" t="str">
        <f t="shared" si="619"/>
        <v/>
      </c>
      <c r="AP195" s="23" t="str">
        <f t="shared" si="619"/>
        <v/>
      </c>
      <c r="AQ195" s="23" t="str">
        <f t="shared" si="619"/>
        <v/>
      </c>
      <c r="AR195" s="23" t="str">
        <f t="shared" si="619"/>
        <v/>
      </c>
      <c r="AS195" s="23" t="str">
        <f t="shared" si="619"/>
        <v/>
      </c>
      <c r="AT195" s="23" t="str">
        <f t="shared" si="619"/>
        <v/>
      </c>
      <c r="AU195" s="23" t="str">
        <f t="shared" si="619"/>
        <v/>
      </c>
      <c r="AV195" s="23" t="str">
        <f t="shared" si="619"/>
        <v/>
      </c>
      <c r="AW195" s="23" t="str">
        <f t="shared" si="619"/>
        <v/>
      </c>
      <c r="AX195" s="23" t="str">
        <f t="shared" si="619"/>
        <v/>
      </c>
      <c r="AY195" s="23" t="str">
        <f t="shared" si="619"/>
        <v/>
      </c>
      <c r="AZ195" s="23" t="str">
        <f t="shared" si="619"/>
        <v/>
      </c>
      <c r="BA195" s="23" t="str">
        <f t="shared" si="619"/>
        <v/>
      </c>
      <c r="BB195" s="23" t="str">
        <f t="shared" si="619"/>
        <v/>
      </c>
      <c r="BC195" s="23" t="str">
        <f t="shared" si="619"/>
        <v/>
      </c>
    </row>
    <row r="196" spans="1:55" ht="11.25" customHeight="1" x14ac:dyDescent="0.2">
      <c r="A196" s="7" t="s">
        <v>1</v>
      </c>
      <c r="B196" s="8" t="s">
        <v>2</v>
      </c>
      <c r="C196" s="118">
        <v>4872</v>
      </c>
      <c r="D196" s="119">
        <f t="shared" ref="D196:D197" si="620">IF(D$16="","",C196)</f>
        <v>4872</v>
      </c>
      <c r="E196" s="119">
        <v>4963</v>
      </c>
      <c r="F196" s="120">
        <f t="shared" ref="F196:F197" si="621">IF(F$16="","",E196)</f>
        <v>4963</v>
      </c>
      <c r="G196" s="119">
        <f>IF(G$16="","",F196)</f>
        <v>4963</v>
      </c>
      <c r="H196" s="119">
        <f t="shared" ref="H196:H197" si="622">IF(H$16="","",G196)</f>
        <v>4963</v>
      </c>
      <c r="I196" s="119">
        <v>5010</v>
      </c>
      <c r="J196" s="120">
        <f t="shared" ref="J196:K197" si="623">IF(J$16="","",I196)</f>
        <v>5010</v>
      </c>
      <c r="K196" s="119">
        <f t="shared" si="623"/>
        <v>5010</v>
      </c>
      <c r="L196" s="119">
        <v>5131</v>
      </c>
      <c r="M196" s="120">
        <f t="shared" ref="M196:M197" si="624">IF(M$16="","",L196)</f>
        <v>5131</v>
      </c>
      <c r="N196" s="119">
        <f>IF(N$16="","",M196)</f>
        <v>5131</v>
      </c>
      <c r="O196" s="119">
        <v>5221</v>
      </c>
      <c r="P196" s="120">
        <f t="shared" ref="P196:Q197" si="625">IF(P$16="","",O196)</f>
        <v>5221</v>
      </c>
      <c r="Q196" s="119">
        <f t="shared" si="625"/>
        <v>5221</v>
      </c>
      <c r="R196" s="119">
        <v>5377</v>
      </c>
      <c r="S196" s="120">
        <f t="shared" ref="S196:S197" si="626">IF(S$16="","",R196)</f>
        <v>5377</v>
      </c>
      <c r="T196" s="119">
        <v>5504</v>
      </c>
      <c r="U196" s="120">
        <f>IF(U$16="","",T196)</f>
        <v>5504</v>
      </c>
      <c r="V196" s="119">
        <f t="shared" ref="V196:V197" si="627">IF(V$16="","",U196)</f>
        <v>5504</v>
      </c>
      <c r="W196" s="119">
        <v>5669</v>
      </c>
      <c r="X196" s="120">
        <f t="shared" ref="X196:X197" si="628">IF(X$16="","",W196)</f>
        <v>5669</v>
      </c>
      <c r="Y196" s="119">
        <f>IF(Y$16="","",X196)</f>
        <v>5669</v>
      </c>
      <c r="Z196" s="119">
        <v>6079</v>
      </c>
      <c r="AA196" s="120">
        <f t="shared" ref="AA196:AA197" si="629">IF(AA$16="","",Z196)</f>
        <v>6079</v>
      </c>
      <c r="AB196" s="119">
        <f>IF(AB$16="","",AA196)</f>
        <v>6079</v>
      </c>
      <c r="AC196" s="119">
        <f t="shared" ref="AC196:AD197" si="630">IF(AC$16="","",AB196)</f>
        <v>6079</v>
      </c>
      <c r="AD196" s="119">
        <v>6292</v>
      </c>
      <c r="AE196" s="120">
        <f t="shared" ref="AE196:AE197" si="631">IF(AE$16="","",AD196)</f>
        <v>6292</v>
      </c>
      <c r="AF196" s="119">
        <f>IF(AF$16="","",AE196)</f>
        <v>6292</v>
      </c>
      <c r="AG196" s="119">
        <v>6478</v>
      </c>
      <c r="AH196" s="118">
        <f>IF(AH$16="","",AG196)</f>
        <v>6478</v>
      </c>
      <c r="AI196" s="9">
        <f t="shared" ref="AI196:AJ197" si="632">IF(AI$16="","",AH196)</f>
        <v>6478</v>
      </c>
      <c r="AJ196" s="9">
        <f t="shared" si="632"/>
        <v>6478</v>
      </c>
      <c r="AK196" s="9">
        <v>6723</v>
      </c>
      <c r="AL196" s="194" t="str">
        <f t="shared" ref="AL196:BA197" si="633">IF(AL$16="","",AK196)</f>
        <v/>
      </c>
      <c r="AM196" s="9" t="str">
        <f t="shared" si="633"/>
        <v/>
      </c>
      <c r="AN196" s="9" t="str">
        <f t="shared" si="633"/>
        <v/>
      </c>
      <c r="AO196" s="194" t="str">
        <f t="shared" si="633"/>
        <v/>
      </c>
      <c r="AP196" s="9" t="str">
        <f t="shared" si="633"/>
        <v/>
      </c>
      <c r="AQ196" s="9" t="str">
        <f t="shared" si="633"/>
        <v/>
      </c>
      <c r="AR196" s="9" t="str">
        <f t="shared" si="633"/>
        <v/>
      </c>
      <c r="AS196" s="9" t="str">
        <f t="shared" si="633"/>
        <v/>
      </c>
      <c r="AT196" s="9" t="str">
        <f t="shared" si="633"/>
        <v/>
      </c>
      <c r="AU196" s="9" t="str">
        <f t="shared" si="633"/>
        <v/>
      </c>
      <c r="AV196" s="9" t="str">
        <f t="shared" si="633"/>
        <v/>
      </c>
      <c r="AW196" s="9" t="str">
        <f t="shared" si="633"/>
        <v/>
      </c>
      <c r="AX196" s="9" t="str">
        <f t="shared" si="633"/>
        <v/>
      </c>
      <c r="AY196" s="9" t="str">
        <f t="shared" si="633"/>
        <v/>
      </c>
      <c r="AZ196" s="9" t="str">
        <f t="shared" si="633"/>
        <v/>
      </c>
      <c r="BA196" s="9" t="str">
        <f t="shared" si="633"/>
        <v/>
      </c>
      <c r="BB196" s="9" t="str">
        <f t="shared" ref="BB196:BC197" si="634">IF(BB$16="","",BA196)</f>
        <v/>
      </c>
      <c r="BC196" s="9" t="str">
        <f t="shared" si="634"/>
        <v/>
      </c>
    </row>
    <row r="197" spans="1:55" ht="11.25" customHeight="1" x14ac:dyDescent="0.2">
      <c r="A197" s="10" t="s">
        <v>49</v>
      </c>
      <c r="B197" s="11" t="s">
        <v>4</v>
      </c>
      <c r="C197" s="123">
        <v>458</v>
      </c>
      <c r="D197" s="124">
        <f t="shared" si="620"/>
        <v>458</v>
      </c>
      <c r="E197" s="124">
        <v>465</v>
      </c>
      <c r="F197" s="125">
        <f t="shared" si="621"/>
        <v>465</v>
      </c>
      <c r="G197" s="124">
        <f>IF(G$16="","",F197)</f>
        <v>465</v>
      </c>
      <c r="H197" s="124">
        <f t="shared" si="622"/>
        <v>465</v>
      </c>
      <c r="I197" s="124">
        <v>467</v>
      </c>
      <c r="J197" s="125">
        <f t="shared" si="623"/>
        <v>467</v>
      </c>
      <c r="K197" s="124">
        <f t="shared" si="623"/>
        <v>467</v>
      </c>
      <c r="L197" s="124">
        <v>474</v>
      </c>
      <c r="M197" s="125">
        <f t="shared" si="624"/>
        <v>474</v>
      </c>
      <c r="N197" s="124">
        <f>IF(N$16="","",M197)</f>
        <v>474</v>
      </c>
      <c r="O197" s="124">
        <v>477</v>
      </c>
      <c r="P197" s="125">
        <f t="shared" si="625"/>
        <v>477</v>
      </c>
      <c r="Q197" s="124">
        <f t="shared" si="625"/>
        <v>477</v>
      </c>
      <c r="R197" s="124">
        <v>488</v>
      </c>
      <c r="S197" s="125">
        <f t="shared" si="626"/>
        <v>488</v>
      </c>
      <c r="T197" s="124">
        <v>493</v>
      </c>
      <c r="U197" s="125">
        <f>IF(U$16="","",T197)</f>
        <v>493</v>
      </c>
      <c r="V197" s="124">
        <f t="shared" si="627"/>
        <v>493</v>
      </c>
      <c r="W197" s="124">
        <v>495</v>
      </c>
      <c r="X197" s="125">
        <f t="shared" si="628"/>
        <v>495</v>
      </c>
      <c r="Y197" s="124">
        <f>IF(Y$16="","",X197)</f>
        <v>495</v>
      </c>
      <c r="Z197" s="124">
        <v>501</v>
      </c>
      <c r="AA197" s="125">
        <f t="shared" si="629"/>
        <v>501</v>
      </c>
      <c r="AB197" s="124">
        <f>IF(AB$16="","",AA197)</f>
        <v>501</v>
      </c>
      <c r="AC197" s="124">
        <f t="shared" si="630"/>
        <v>501</v>
      </c>
      <c r="AD197" s="124">
        <f t="shared" si="630"/>
        <v>501</v>
      </c>
      <c r="AE197" s="125">
        <f t="shared" si="631"/>
        <v>501</v>
      </c>
      <c r="AF197" s="124">
        <f>IF(AF$16="","",AE197)</f>
        <v>501</v>
      </c>
      <c r="AG197" s="124">
        <v>506</v>
      </c>
      <c r="AH197" s="123">
        <f>IF(AH$16="","",AG197)</f>
        <v>506</v>
      </c>
      <c r="AI197" s="12">
        <f t="shared" si="632"/>
        <v>506</v>
      </c>
      <c r="AJ197" s="12">
        <f t="shared" si="632"/>
        <v>506</v>
      </c>
      <c r="AK197" s="12">
        <v>511</v>
      </c>
      <c r="AL197" s="195" t="str">
        <f t="shared" si="633"/>
        <v/>
      </c>
      <c r="AM197" s="12" t="str">
        <f t="shared" si="633"/>
        <v/>
      </c>
      <c r="AN197" s="12" t="str">
        <f t="shared" si="633"/>
        <v/>
      </c>
      <c r="AO197" s="195" t="str">
        <f t="shared" si="633"/>
        <v/>
      </c>
      <c r="AP197" s="12" t="str">
        <f t="shared" si="633"/>
        <v/>
      </c>
      <c r="AQ197" s="12" t="str">
        <f t="shared" si="633"/>
        <v/>
      </c>
      <c r="AR197" s="12" t="str">
        <f t="shared" si="633"/>
        <v/>
      </c>
      <c r="AS197" s="12" t="str">
        <f t="shared" si="633"/>
        <v/>
      </c>
      <c r="AT197" s="12" t="str">
        <f t="shared" si="633"/>
        <v/>
      </c>
      <c r="AU197" s="12" t="str">
        <f t="shared" si="633"/>
        <v/>
      </c>
      <c r="AV197" s="12" t="str">
        <f t="shared" si="633"/>
        <v/>
      </c>
      <c r="AW197" s="12" t="str">
        <f t="shared" si="633"/>
        <v/>
      </c>
      <c r="AX197" s="12" t="str">
        <f t="shared" si="633"/>
        <v/>
      </c>
      <c r="AY197" s="12" t="str">
        <f t="shared" si="633"/>
        <v/>
      </c>
      <c r="AZ197" s="12" t="str">
        <f t="shared" si="633"/>
        <v/>
      </c>
      <c r="BA197" s="12" t="str">
        <f t="shared" si="633"/>
        <v/>
      </c>
      <c r="BB197" s="12" t="str">
        <f t="shared" si="634"/>
        <v/>
      </c>
      <c r="BC197" s="12" t="str">
        <f t="shared" si="634"/>
        <v/>
      </c>
    </row>
    <row r="198" spans="1:55" ht="11.25" customHeight="1" x14ac:dyDescent="0.25">
      <c r="A198" s="13"/>
      <c r="B198" s="11" t="s">
        <v>5</v>
      </c>
      <c r="C198" s="123">
        <v>23</v>
      </c>
      <c r="D198" s="124">
        <f t="shared" ref="D198" si="635">IF(D196="","",(C198+C199))</f>
        <v>23</v>
      </c>
      <c r="E198" s="124">
        <v>16</v>
      </c>
      <c r="F198" s="125">
        <f t="shared" ref="F198:H198" si="636">IF(F196="","",(E198+E199))</f>
        <v>16</v>
      </c>
      <c r="G198" s="124">
        <f t="shared" si="636"/>
        <v>16</v>
      </c>
      <c r="H198" s="124">
        <f t="shared" si="636"/>
        <v>16</v>
      </c>
      <c r="I198" s="124">
        <v>12</v>
      </c>
      <c r="J198" s="125">
        <f t="shared" ref="J198:K198" si="637">IF(J196="","",(I198+I199))</f>
        <v>20</v>
      </c>
      <c r="K198" s="124">
        <f t="shared" si="637"/>
        <v>20</v>
      </c>
      <c r="L198" s="124">
        <v>13</v>
      </c>
      <c r="M198" s="125">
        <f t="shared" ref="M198" si="638">IF(M196="","",(L198+L199))</f>
        <v>13</v>
      </c>
      <c r="N198" s="124">
        <f>IF(N196="","",(M198+M199))</f>
        <v>13</v>
      </c>
      <c r="O198" s="124">
        <v>10</v>
      </c>
      <c r="P198" s="125">
        <f t="shared" ref="P198:Q198" si="639">IF(P196="","",(O198+O199))</f>
        <v>13</v>
      </c>
      <c r="Q198" s="124">
        <f t="shared" si="639"/>
        <v>13</v>
      </c>
      <c r="R198" s="124">
        <v>2</v>
      </c>
      <c r="S198" s="125">
        <f t="shared" ref="S198:T198" si="640">IF(S196="","",(R198+R199))</f>
        <v>7</v>
      </c>
      <c r="T198" s="124">
        <f t="shared" si="640"/>
        <v>7</v>
      </c>
      <c r="U198" s="125">
        <f>IF(U196="","",(T198+T199))</f>
        <v>12</v>
      </c>
      <c r="V198" s="124">
        <f t="shared" ref="V198" si="641">IF(V196="","",(U198+U199))</f>
        <v>12</v>
      </c>
      <c r="W198" s="124">
        <v>11</v>
      </c>
      <c r="X198" s="125">
        <f t="shared" ref="X198" si="642">IF(X196="","",(W198+W199))</f>
        <v>11</v>
      </c>
      <c r="Y198" s="124">
        <f>IF(Y196="","",(X198+X199))</f>
        <v>11</v>
      </c>
      <c r="Z198" s="124">
        <v>5</v>
      </c>
      <c r="AA198" s="125">
        <f t="shared" ref="AA198" si="643">IF(AA196="","",(Z198+Z199))</f>
        <v>18</v>
      </c>
      <c r="AB198" s="124">
        <f>IF(AB196="","",(AA198+AA199))</f>
        <v>18</v>
      </c>
      <c r="AC198" s="124">
        <f t="shared" ref="AC198:AE198" si="644">IF(AC196="","",(AB198+AB199))</f>
        <v>18</v>
      </c>
      <c r="AD198" s="124">
        <f t="shared" si="644"/>
        <v>18</v>
      </c>
      <c r="AE198" s="125">
        <f t="shared" si="644"/>
        <v>18</v>
      </c>
      <c r="AF198" s="124">
        <f>IF(AF196="","",(AE198+AE199))</f>
        <v>18</v>
      </c>
      <c r="AG198" s="124">
        <v>13</v>
      </c>
      <c r="AH198" s="123">
        <f>IF(AH196="","",(AG198+AG199))</f>
        <v>13</v>
      </c>
      <c r="AI198" s="12">
        <f t="shared" ref="AI198:AJ198" si="645">IF(AI196="","",(AH198+AH199))</f>
        <v>13</v>
      </c>
      <c r="AJ198" s="12">
        <f t="shared" si="645"/>
        <v>13</v>
      </c>
      <c r="AK198" s="12">
        <v>8</v>
      </c>
      <c r="AL198" s="195" t="str">
        <f t="shared" ref="AL198:BC198" si="646">IF(AL196="","",(AK198+AK199))</f>
        <v/>
      </c>
      <c r="AM198" s="12" t="str">
        <f t="shared" si="646"/>
        <v/>
      </c>
      <c r="AN198" s="12" t="str">
        <f t="shared" si="646"/>
        <v/>
      </c>
      <c r="AO198" s="195" t="str">
        <f t="shared" si="646"/>
        <v/>
      </c>
      <c r="AP198" s="12" t="str">
        <f t="shared" si="646"/>
        <v/>
      </c>
      <c r="AQ198" s="12" t="str">
        <f t="shared" si="646"/>
        <v/>
      </c>
      <c r="AR198" s="12" t="str">
        <f t="shared" si="646"/>
        <v/>
      </c>
      <c r="AS198" s="12" t="str">
        <f t="shared" si="646"/>
        <v/>
      </c>
      <c r="AT198" s="12" t="str">
        <f t="shared" si="646"/>
        <v/>
      </c>
      <c r="AU198" s="12" t="str">
        <f t="shared" si="646"/>
        <v/>
      </c>
      <c r="AV198" s="12" t="str">
        <f t="shared" si="646"/>
        <v/>
      </c>
      <c r="AW198" s="12" t="str">
        <f t="shared" si="646"/>
        <v/>
      </c>
      <c r="AX198" s="12" t="str">
        <f t="shared" si="646"/>
        <v/>
      </c>
      <c r="AY198" s="12" t="str">
        <f t="shared" si="646"/>
        <v/>
      </c>
      <c r="AZ198" s="12" t="str">
        <f t="shared" si="646"/>
        <v/>
      </c>
      <c r="BA198" s="12" t="str">
        <f t="shared" si="646"/>
        <v/>
      </c>
      <c r="BB198" s="12" t="str">
        <f t="shared" si="646"/>
        <v/>
      </c>
      <c r="BC198" s="12" t="str">
        <f t="shared" si="646"/>
        <v/>
      </c>
    </row>
    <row r="199" spans="1:55" ht="11.25" customHeight="1" x14ac:dyDescent="0.2">
      <c r="A199" s="14"/>
      <c r="B199" s="11" t="s">
        <v>6</v>
      </c>
      <c r="C199" s="123"/>
      <c r="D199" s="124"/>
      <c r="E199" s="124"/>
      <c r="F199" s="125"/>
      <c r="G199" s="124"/>
      <c r="H199" s="124"/>
      <c r="I199" s="124">
        <v>8</v>
      </c>
      <c r="J199" s="125"/>
      <c r="K199" s="124"/>
      <c r="L199" s="124"/>
      <c r="M199" s="125"/>
      <c r="N199" s="124"/>
      <c r="O199" s="124">
        <v>3</v>
      </c>
      <c r="P199" s="125"/>
      <c r="Q199" s="124"/>
      <c r="R199" s="124">
        <v>5</v>
      </c>
      <c r="S199" s="125"/>
      <c r="T199" s="124">
        <v>5</v>
      </c>
      <c r="U199" s="125"/>
      <c r="V199" s="124"/>
      <c r="W199" s="124"/>
      <c r="X199" s="125"/>
      <c r="Y199" s="124"/>
      <c r="Z199" s="124">
        <v>13</v>
      </c>
      <c r="AA199" s="125"/>
      <c r="AB199" s="124"/>
      <c r="AC199" s="124"/>
      <c r="AD199" s="124"/>
      <c r="AE199" s="125"/>
      <c r="AF199" s="124"/>
      <c r="AG199" s="124"/>
      <c r="AH199" s="123"/>
      <c r="AI199" s="12"/>
      <c r="AJ199" s="12"/>
      <c r="AK199" s="12">
        <v>9</v>
      </c>
      <c r="AL199" s="195"/>
      <c r="AM199" s="12"/>
      <c r="AN199" s="12"/>
      <c r="AO199" s="195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</row>
    <row r="200" spans="1:55" ht="11.25" customHeight="1" x14ac:dyDescent="0.2">
      <c r="A200" s="15"/>
      <c r="B200" s="11" t="s">
        <v>8</v>
      </c>
      <c r="C200" s="129">
        <v>400</v>
      </c>
      <c r="D200" s="130">
        <f t="shared" ref="D200:T200" si="647">IF(D196="","",C200)</f>
        <v>400</v>
      </c>
      <c r="E200" s="130">
        <f t="shared" si="647"/>
        <v>400</v>
      </c>
      <c r="F200" s="131">
        <f t="shared" si="647"/>
        <v>400</v>
      </c>
      <c r="G200" s="130">
        <f t="shared" si="647"/>
        <v>400</v>
      </c>
      <c r="H200" s="130">
        <f t="shared" si="647"/>
        <v>400</v>
      </c>
      <c r="I200" s="130">
        <f t="shared" si="647"/>
        <v>400</v>
      </c>
      <c r="J200" s="131">
        <f t="shared" si="647"/>
        <v>400</v>
      </c>
      <c r="K200" s="130">
        <f t="shared" si="647"/>
        <v>400</v>
      </c>
      <c r="L200" s="130">
        <f t="shared" si="647"/>
        <v>400</v>
      </c>
      <c r="M200" s="131">
        <f t="shared" si="647"/>
        <v>400</v>
      </c>
      <c r="N200" s="130">
        <f t="shared" si="647"/>
        <v>400</v>
      </c>
      <c r="O200" s="130">
        <f t="shared" si="647"/>
        <v>400</v>
      </c>
      <c r="P200" s="131">
        <f t="shared" si="647"/>
        <v>400</v>
      </c>
      <c r="Q200" s="130">
        <f t="shared" si="647"/>
        <v>400</v>
      </c>
      <c r="R200" s="130">
        <f t="shared" si="647"/>
        <v>400</v>
      </c>
      <c r="S200" s="131">
        <f t="shared" si="647"/>
        <v>400</v>
      </c>
      <c r="T200" s="130">
        <f t="shared" si="647"/>
        <v>400</v>
      </c>
      <c r="U200" s="131">
        <v>1000</v>
      </c>
      <c r="V200" s="130">
        <f t="shared" ref="V200:AF200" si="648">IF(V196="","",U200)</f>
        <v>1000</v>
      </c>
      <c r="W200" s="130">
        <f t="shared" si="648"/>
        <v>1000</v>
      </c>
      <c r="X200" s="131">
        <f t="shared" si="648"/>
        <v>1000</v>
      </c>
      <c r="Y200" s="130">
        <f t="shared" si="648"/>
        <v>1000</v>
      </c>
      <c r="Z200" s="130">
        <f t="shared" si="648"/>
        <v>1000</v>
      </c>
      <c r="AA200" s="131">
        <f t="shared" si="648"/>
        <v>1000</v>
      </c>
      <c r="AB200" s="130">
        <f t="shared" si="648"/>
        <v>1000</v>
      </c>
      <c r="AC200" s="130">
        <f t="shared" si="648"/>
        <v>1000</v>
      </c>
      <c r="AD200" s="130">
        <f t="shared" si="648"/>
        <v>1000</v>
      </c>
      <c r="AE200" s="131">
        <f t="shared" si="648"/>
        <v>1000</v>
      </c>
      <c r="AF200" s="130">
        <f t="shared" si="648"/>
        <v>1000</v>
      </c>
      <c r="AG200" s="130">
        <f>IF(AG196="","",AF200)</f>
        <v>1000</v>
      </c>
      <c r="AH200" s="129">
        <f>IF(AH196="","",AG200)</f>
        <v>1000</v>
      </c>
      <c r="AI200" s="16">
        <f t="shared" ref="AI200:BC200" si="649">IF(AI196="","",AH200)</f>
        <v>1000</v>
      </c>
      <c r="AJ200" s="16">
        <f t="shared" si="649"/>
        <v>1000</v>
      </c>
      <c r="AK200" s="16">
        <f t="shared" si="649"/>
        <v>1000</v>
      </c>
      <c r="AL200" s="196" t="str">
        <f t="shared" si="649"/>
        <v/>
      </c>
      <c r="AM200" s="16" t="str">
        <f t="shared" si="649"/>
        <v/>
      </c>
      <c r="AN200" s="16" t="str">
        <f t="shared" si="649"/>
        <v/>
      </c>
      <c r="AO200" s="196" t="str">
        <f t="shared" si="649"/>
        <v/>
      </c>
      <c r="AP200" s="16" t="str">
        <f t="shared" si="649"/>
        <v/>
      </c>
      <c r="AQ200" s="16" t="str">
        <f t="shared" si="649"/>
        <v/>
      </c>
      <c r="AR200" s="16" t="str">
        <f t="shared" si="649"/>
        <v/>
      </c>
      <c r="AS200" s="16" t="str">
        <f t="shared" si="649"/>
        <v/>
      </c>
      <c r="AT200" s="16" t="str">
        <f t="shared" si="649"/>
        <v/>
      </c>
      <c r="AU200" s="16" t="str">
        <f t="shared" si="649"/>
        <v/>
      </c>
      <c r="AV200" s="16" t="str">
        <f t="shared" si="649"/>
        <v/>
      </c>
      <c r="AW200" s="16" t="str">
        <f t="shared" si="649"/>
        <v/>
      </c>
      <c r="AX200" s="16" t="str">
        <f t="shared" si="649"/>
        <v/>
      </c>
      <c r="AY200" s="16" t="str">
        <f t="shared" si="649"/>
        <v/>
      </c>
      <c r="AZ200" s="16" t="str">
        <f t="shared" si="649"/>
        <v/>
      </c>
      <c r="BA200" s="16" t="str">
        <f t="shared" si="649"/>
        <v/>
      </c>
      <c r="BB200" s="16" t="str">
        <f t="shared" si="649"/>
        <v/>
      </c>
      <c r="BC200" s="16" t="str">
        <f t="shared" si="649"/>
        <v/>
      </c>
    </row>
    <row r="201" spans="1:55" ht="11.25" customHeight="1" x14ac:dyDescent="0.2">
      <c r="A201" s="14" t="s">
        <v>9</v>
      </c>
      <c r="B201" s="17" t="s">
        <v>10</v>
      </c>
      <c r="C201" s="133" t="s">
        <v>237</v>
      </c>
      <c r="D201" s="134" t="str">
        <f t="shared" ref="D201:T201" si="650">IF(D196="","",C201)</f>
        <v>チョコスクイーズ)</v>
      </c>
      <c r="E201" s="134" t="str">
        <f t="shared" si="650"/>
        <v>チョコスクイーズ)</v>
      </c>
      <c r="F201" s="135" t="str">
        <f t="shared" si="650"/>
        <v>チョコスクイーズ)</v>
      </c>
      <c r="G201" s="134" t="str">
        <f t="shared" si="650"/>
        <v>チョコスクイーズ)</v>
      </c>
      <c r="H201" s="134" t="str">
        <f t="shared" si="650"/>
        <v>チョコスクイーズ)</v>
      </c>
      <c r="I201" s="134" t="str">
        <f t="shared" si="650"/>
        <v>チョコスクイーズ)</v>
      </c>
      <c r="J201" s="135" t="str">
        <f t="shared" si="650"/>
        <v>チョコスクイーズ)</v>
      </c>
      <c r="K201" s="134" t="str">
        <f t="shared" si="650"/>
        <v>チョコスクイーズ)</v>
      </c>
      <c r="L201" s="134" t="str">
        <f t="shared" si="650"/>
        <v>チョコスクイーズ)</v>
      </c>
      <c r="M201" s="135" t="str">
        <f t="shared" si="650"/>
        <v>チョコスクイーズ)</v>
      </c>
      <c r="N201" s="134" t="str">
        <f t="shared" si="650"/>
        <v>チョコスクイーズ)</v>
      </c>
      <c r="O201" s="134" t="str">
        <f t="shared" si="650"/>
        <v>チョコスクイーズ)</v>
      </c>
      <c r="P201" s="135" t="str">
        <f t="shared" si="650"/>
        <v>チョコスクイーズ)</v>
      </c>
      <c r="Q201" s="134" t="str">
        <f t="shared" si="650"/>
        <v>チョコスクイーズ)</v>
      </c>
      <c r="R201" s="134" t="str">
        <f t="shared" si="650"/>
        <v>チョコスクイーズ)</v>
      </c>
      <c r="S201" s="135" t="str">
        <f t="shared" si="650"/>
        <v>チョコスクイーズ)</v>
      </c>
      <c r="T201" s="134" t="str">
        <f t="shared" si="650"/>
        <v>チョコスクイーズ)</v>
      </c>
      <c r="U201" s="135" t="s">
        <v>252</v>
      </c>
      <c r="V201" s="134" t="str">
        <f t="shared" ref="V201:AF201" si="651">IF(V196="","",U201)</f>
        <v>極とろスクイーズ</v>
      </c>
      <c r="W201" s="134" t="str">
        <f t="shared" si="651"/>
        <v>極とろスクイーズ</v>
      </c>
      <c r="X201" s="135" t="str">
        <f t="shared" si="651"/>
        <v>極とろスクイーズ</v>
      </c>
      <c r="Y201" s="134" t="str">
        <f t="shared" si="651"/>
        <v>極とろスクイーズ</v>
      </c>
      <c r="Z201" s="134" t="str">
        <f t="shared" si="651"/>
        <v>極とろスクイーズ</v>
      </c>
      <c r="AA201" s="135" t="str">
        <f t="shared" si="651"/>
        <v>極とろスクイーズ</v>
      </c>
      <c r="AB201" s="134" t="str">
        <f t="shared" si="651"/>
        <v>極とろスクイーズ</v>
      </c>
      <c r="AC201" s="134" t="str">
        <f t="shared" si="651"/>
        <v>極とろスクイーズ</v>
      </c>
      <c r="AD201" s="134" t="str">
        <f t="shared" si="651"/>
        <v>極とろスクイーズ</v>
      </c>
      <c r="AE201" s="135" t="str">
        <f t="shared" si="651"/>
        <v>極とろスクイーズ</v>
      </c>
      <c r="AF201" s="134" t="str">
        <f t="shared" si="651"/>
        <v>極とろスクイーズ</v>
      </c>
      <c r="AG201" s="134" t="str">
        <f>IF(AG196="","",AF201)</f>
        <v>極とろスクイーズ</v>
      </c>
      <c r="AH201" s="133" t="str">
        <f>IF(AH196="","",AG201)</f>
        <v>極とろスクイーズ</v>
      </c>
      <c r="AI201" s="18" t="str">
        <f t="shared" ref="AI201:BC201" si="652">IF(AI196="","",AH201)</f>
        <v>極とろスクイーズ</v>
      </c>
      <c r="AJ201" s="18" t="str">
        <f t="shared" si="652"/>
        <v>極とろスクイーズ</v>
      </c>
      <c r="AK201" s="18" t="str">
        <f t="shared" si="652"/>
        <v>極とろスクイーズ</v>
      </c>
      <c r="AL201" s="197" t="str">
        <f t="shared" si="652"/>
        <v/>
      </c>
      <c r="AM201" s="18" t="str">
        <f t="shared" si="652"/>
        <v/>
      </c>
      <c r="AN201" s="18" t="str">
        <f t="shared" si="652"/>
        <v/>
      </c>
      <c r="AO201" s="197" t="str">
        <f t="shared" si="652"/>
        <v/>
      </c>
      <c r="AP201" s="18" t="str">
        <f t="shared" si="652"/>
        <v/>
      </c>
      <c r="AQ201" s="18" t="str">
        <f t="shared" si="652"/>
        <v/>
      </c>
      <c r="AR201" s="18" t="str">
        <f t="shared" si="652"/>
        <v/>
      </c>
      <c r="AS201" s="18" t="str">
        <f t="shared" si="652"/>
        <v/>
      </c>
      <c r="AT201" s="18" t="str">
        <f t="shared" si="652"/>
        <v/>
      </c>
      <c r="AU201" s="18" t="str">
        <f t="shared" si="652"/>
        <v/>
      </c>
      <c r="AV201" s="18" t="str">
        <f t="shared" si="652"/>
        <v/>
      </c>
      <c r="AW201" s="18" t="str">
        <f t="shared" si="652"/>
        <v/>
      </c>
      <c r="AX201" s="18" t="str">
        <f t="shared" si="652"/>
        <v/>
      </c>
      <c r="AY201" s="18" t="str">
        <f t="shared" si="652"/>
        <v/>
      </c>
      <c r="AZ201" s="18" t="str">
        <f t="shared" si="652"/>
        <v/>
      </c>
      <c r="BA201" s="18" t="str">
        <f t="shared" si="652"/>
        <v/>
      </c>
      <c r="BB201" s="18" t="str">
        <f t="shared" si="652"/>
        <v/>
      </c>
      <c r="BC201" s="18" t="str">
        <f t="shared" si="652"/>
        <v/>
      </c>
    </row>
    <row r="202" spans="1:55" ht="11.25" customHeight="1" x14ac:dyDescent="0.2">
      <c r="A202" s="15">
        <f>AVERAGE(C203:AS203)*30*100</f>
        <v>163323.5294117647</v>
      </c>
      <c r="B202" s="11" t="s">
        <v>12</v>
      </c>
      <c r="C202" s="123" t="s">
        <v>238</v>
      </c>
      <c r="D202" s="124"/>
      <c r="E202" s="124"/>
      <c r="F202" s="125"/>
      <c r="G202" s="124"/>
      <c r="H202" s="124"/>
      <c r="I202" s="124"/>
      <c r="J202" s="125"/>
      <c r="K202" s="124"/>
      <c r="L202" s="124"/>
      <c r="M202" s="125"/>
      <c r="N202" s="124"/>
      <c r="O202" s="124"/>
      <c r="P202" s="125"/>
      <c r="Q202" s="124"/>
      <c r="R202" s="124"/>
      <c r="S202" s="125"/>
      <c r="T202" s="124"/>
      <c r="U202" s="125" t="s">
        <v>253</v>
      </c>
      <c r="V202" s="124"/>
      <c r="W202" s="124"/>
      <c r="X202" s="125"/>
      <c r="Y202" s="124"/>
      <c r="Z202" s="124"/>
      <c r="AA202" s="125"/>
      <c r="AB202" s="124"/>
      <c r="AC202" s="124"/>
      <c r="AD202" s="124"/>
      <c r="AE202" s="125"/>
      <c r="AF202" s="124"/>
      <c r="AG202" s="124"/>
      <c r="AH202" s="123" t="s">
        <v>266</v>
      </c>
      <c r="AI202" s="12"/>
      <c r="AJ202" s="12"/>
      <c r="AK202" s="12"/>
      <c r="AL202" s="195"/>
      <c r="AM202" s="12"/>
      <c r="AN202" s="12"/>
      <c r="AO202" s="195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</row>
    <row r="203" spans="1:55" ht="11.25" customHeight="1" x14ac:dyDescent="0.2">
      <c r="A203" s="15">
        <f t="shared" ref="A203:A206" si="653">SUM(C203:AS203)</f>
        <v>1851</v>
      </c>
      <c r="B203" s="19" t="s">
        <v>13</v>
      </c>
      <c r="C203" s="123"/>
      <c r="D203" s="137">
        <f t="shared" ref="D203:AG204" si="654">IF(D196="","",D196-C196)</f>
        <v>0</v>
      </c>
      <c r="E203" s="137">
        <f t="shared" si="654"/>
        <v>91</v>
      </c>
      <c r="F203" s="125">
        <f t="shared" si="654"/>
        <v>0</v>
      </c>
      <c r="G203" s="137">
        <f t="shared" si="654"/>
        <v>0</v>
      </c>
      <c r="H203" s="137">
        <f t="shared" si="654"/>
        <v>0</v>
      </c>
      <c r="I203" s="137">
        <f t="shared" si="654"/>
        <v>47</v>
      </c>
      <c r="J203" s="125">
        <f t="shared" si="654"/>
        <v>0</v>
      </c>
      <c r="K203" s="137">
        <f t="shared" si="654"/>
        <v>0</v>
      </c>
      <c r="L203" s="137">
        <f t="shared" si="654"/>
        <v>121</v>
      </c>
      <c r="M203" s="125">
        <f t="shared" si="654"/>
        <v>0</v>
      </c>
      <c r="N203" s="137">
        <f t="shared" si="654"/>
        <v>0</v>
      </c>
      <c r="O203" s="137">
        <f t="shared" si="654"/>
        <v>90</v>
      </c>
      <c r="P203" s="125">
        <f t="shared" si="654"/>
        <v>0</v>
      </c>
      <c r="Q203" s="137">
        <f t="shared" si="654"/>
        <v>0</v>
      </c>
      <c r="R203" s="124">
        <f t="shared" si="654"/>
        <v>156</v>
      </c>
      <c r="S203" s="125">
        <f t="shared" si="654"/>
        <v>0</v>
      </c>
      <c r="T203" s="137">
        <f t="shared" si="654"/>
        <v>127</v>
      </c>
      <c r="U203" s="125">
        <f t="shared" si="654"/>
        <v>0</v>
      </c>
      <c r="V203" s="137">
        <f t="shared" si="654"/>
        <v>0</v>
      </c>
      <c r="W203" s="137">
        <f t="shared" si="654"/>
        <v>165</v>
      </c>
      <c r="X203" s="125">
        <f t="shared" si="654"/>
        <v>0</v>
      </c>
      <c r="Y203" s="137">
        <f t="shared" si="654"/>
        <v>0</v>
      </c>
      <c r="Z203" s="137">
        <f t="shared" si="654"/>
        <v>410</v>
      </c>
      <c r="AA203" s="125">
        <f t="shared" si="654"/>
        <v>0</v>
      </c>
      <c r="AB203" s="137">
        <f t="shared" si="654"/>
        <v>0</v>
      </c>
      <c r="AC203" s="137">
        <f t="shared" si="654"/>
        <v>0</v>
      </c>
      <c r="AD203" s="137">
        <f t="shared" si="654"/>
        <v>213</v>
      </c>
      <c r="AE203" s="125">
        <f t="shared" si="654"/>
        <v>0</v>
      </c>
      <c r="AF203" s="137">
        <f t="shared" si="654"/>
        <v>0</v>
      </c>
      <c r="AG203" s="137">
        <f t="shared" si="654"/>
        <v>186</v>
      </c>
      <c r="AH203" s="123">
        <f>IF(AH196="","",AH196-AG196)</f>
        <v>0</v>
      </c>
      <c r="AI203" s="20">
        <f t="shared" ref="AI203:BC204" si="655">IF(AI196="","",AI196-AH196)</f>
        <v>0</v>
      </c>
      <c r="AJ203" s="20">
        <f t="shared" si="655"/>
        <v>0</v>
      </c>
      <c r="AK203" s="20">
        <f t="shared" si="655"/>
        <v>245</v>
      </c>
      <c r="AL203" s="195" t="str">
        <f t="shared" si="655"/>
        <v/>
      </c>
      <c r="AM203" s="20" t="str">
        <f t="shared" si="655"/>
        <v/>
      </c>
      <c r="AN203" s="20" t="str">
        <f t="shared" si="655"/>
        <v/>
      </c>
      <c r="AO203" s="195" t="str">
        <f t="shared" si="655"/>
        <v/>
      </c>
      <c r="AP203" s="20" t="str">
        <f t="shared" si="655"/>
        <v/>
      </c>
      <c r="AQ203" s="20" t="str">
        <f t="shared" si="655"/>
        <v/>
      </c>
      <c r="AR203" s="20" t="str">
        <f t="shared" si="655"/>
        <v/>
      </c>
      <c r="AS203" s="20" t="str">
        <f t="shared" si="655"/>
        <v/>
      </c>
      <c r="AT203" s="20" t="str">
        <f t="shared" si="655"/>
        <v/>
      </c>
      <c r="AU203" s="20" t="str">
        <f t="shared" si="655"/>
        <v/>
      </c>
      <c r="AV203" s="20" t="str">
        <f t="shared" si="655"/>
        <v/>
      </c>
      <c r="AW203" s="20" t="str">
        <f t="shared" si="655"/>
        <v/>
      </c>
      <c r="AX203" s="20" t="str">
        <f t="shared" si="655"/>
        <v/>
      </c>
      <c r="AY203" s="20" t="str">
        <f t="shared" si="655"/>
        <v/>
      </c>
      <c r="AZ203" s="20" t="str">
        <f t="shared" si="655"/>
        <v/>
      </c>
      <c r="BA203" s="20" t="str">
        <f t="shared" si="655"/>
        <v/>
      </c>
      <c r="BB203" s="20" t="str">
        <f t="shared" si="655"/>
        <v/>
      </c>
      <c r="BC203" s="20" t="str">
        <f t="shared" si="655"/>
        <v/>
      </c>
    </row>
    <row r="204" spans="1:55" ht="11.25" customHeight="1" x14ac:dyDescent="0.2">
      <c r="A204" s="15">
        <f t="shared" si="653"/>
        <v>53</v>
      </c>
      <c r="B204" s="19" t="s">
        <v>14</v>
      </c>
      <c r="C204" s="123"/>
      <c r="D204" s="137">
        <f t="shared" si="654"/>
        <v>0</v>
      </c>
      <c r="E204" s="137">
        <f t="shared" si="654"/>
        <v>7</v>
      </c>
      <c r="F204" s="125">
        <f t="shared" si="654"/>
        <v>0</v>
      </c>
      <c r="G204" s="137">
        <f t="shared" si="654"/>
        <v>0</v>
      </c>
      <c r="H204" s="137">
        <f t="shared" si="654"/>
        <v>0</v>
      </c>
      <c r="I204" s="137">
        <f t="shared" si="654"/>
        <v>2</v>
      </c>
      <c r="J204" s="125">
        <f t="shared" si="654"/>
        <v>0</v>
      </c>
      <c r="K204" s="137">
        <f t="shared" si="654"/>
        <v>0</v>
      </c>
      <c r="L204" s="137">
        <f t="shared" si="654"/>
        <v>7</v>
      </c>
      <c r="M204" s="125">
        <f t="shared" si="654"/>
        <v>0</v>
      </c>
      <c r="N204" s="137">
        <f t="shared" si="654"/>
        <v>0</v>
      </c>
      <c r="O204" s="137">
        <f t="shared" si="654"/>
        <v>3</v>
      </c>
      <c r="P204" s="125">
        <f t="shared" si="654"/>
        <v>0</v>
      </c>
      <c r="Q204" s="137">
        <f t="shared" si="654"/>
        <v>0</v>
      </c>
      <c r="R204" s="124">
        <f t="shared" si="654"/>
        <v>11</v>
      </c>
      <c r="S204" s="125">
        <f t="shared" si="654"/>
        <v>0</v>
      </c>
      <c r="T204" s="137">
        <f t="shared" si="654"/>
        <v>5</v>
      </c>
      <c r="U204" s="125">
        <f t="shared" si="654"/>
        <v>0</v>
      </c>
      <c r="V204" s="137">
        <f t="shared" si="654"/>
        <v>0</v>
      </c>
      <c r="W204" s="137">
        <f t="shared" si="654"/>
        <v>2</v>
      </c>
      <c r="X204" s="125">
        <f t="shared" si="654"/>
        <v>0</v>
      </c>
      <c r="Y204" s="137">
        <f t="shared" si="654"/>
        <v>0</v>
      </c>
      <c r="Z204" s="137">
        <f t="shared" si="654"/>
        <v>6</v>
      </c>
      <c r="AA204" s="125">
        <f t="shared" si="654"/>
        <v>0</v>
      </c>
      <c r="AB204" s="137">
        <f t="shared" si="654"/>
        <v>0</v>
      </c>
      <c r="AC204" s="137">
        <f t="shared" si="654"/>
        <v>0</v>
      </c>
      <c r="AD204" s="137">
        <f t="shared" si="654"/>
        <v>0</v>
      </c>
      <c r="AE204" s="125">
        <f t="shared" si="654"/>
        <v>0</v>
      </c>
      <c r="AF204" s="137">
        <f t="shared" si="654"/>
        <v>0</v>
      </c>
      <c r="AG204" s="137">
        <f t="shared" si="654"/>
        <v>5</v>
      </c>
      <c r="AH204" s="123">
        <f>IF(AH197="","",AH197-AG197)</f>
        <v>0</v>
      </c>
      <c r="AI204" s="20">
        <f t="shared" si="655"/>
        <v>0</v>
      </c>
      <c r="AJ204" s="20">
        <f t="shared" si="655"/>
        <v>0</v>
      </c>
      <c r="AK204" s="20">
        <f t="shared" si="655"/>
        <v>5</v>
      </c>
      <c r="AL204" s="195" t="str">
        <f t="shared" si="655"/>
        <v/>
      </c>
      <c r="AM204" s="20" t="str">
        <f t="shared" si="655"/>
        <v/>
      </c>
      <c r="AN204" s="20" t="str">
        <f t="shared" si="655"/>
        <v/>
      </c>
      <c r="AO204" s="195" t="str">
        <f t="shared" si="655"/>
        <v/>
      </c>
      <c r="AP204" s="20" t="str">
        <f t="shared" si="655"/>
        <v/>
      </c>
      <c r="AQ204" s="20" t="str">
        <f t="shared" si="655"/>
        <v/>
      </c>
      <c r="AR204" s="20" t="str">
        <f t="shared" si="655"/>
        <v/>
      </c>
      <c r="AS204" s="20" t="str">
        <f t="shared" si="655"/>
        <v/>
      </c>
      <c r="AT204" s="20" t="str">
        <f t="shared" si="655"/>
        <v/>
      </c>
      <c r="AU204" s="20" t="str">
        <f t="shared" si="655"/>
        <v/>
      </c>
      <c r="AV204" s="20" t="str">
        <f t="shared" si="655"/>
        <v/>
      </c>
      <c r="AW204" s="20" t="str">
        <f t="shared" si="655"/>
        <v/>
      </c>
      <c r="AX204" s="20" t="str">
        <f t="shared" si="655"/>
        <v/>
      </c>
      <c r="AY204" s="20" t="str">
        <f t="shared" si="655"/>
        <v/>
      </c>
      <c r="AZ204" s="20" t="str">
        <f t="shared" si="655"/>
        <v/>
      </c>
      <c r="BA204" s="20" t="str">
        <f t="shared" si="655"/>
        <v/>
      </c>
      <c r="BB204" s="20" t="str">
        <f t="shared" si="655"/>
        <v/>
      </c>
      <c r="BC204" s="20" t="str">
        <f t="shared" si="655"/>
        <v/>
      </c>
    </row>
    <row r="205" spans="1:55" ht="11.25" customHeight="1" x14ac:dyDescent="0.2">
      <c r="A205" s="15">
        <f t="shared" si="653"/>
        <v>49</v>
      </c>
      <c r="B205" s="19" t="s">
        <v>15</v>
      </c>
      <c r="C205" s="123"/>
      <c r="D205" s="137">
        <f t="shared" ref="D205:AG205" si="656">IF(D198="","",C198+C199-D198)</f>
        <v>0</v>
      </c>
      <c r="E205" s="137">
        <f t="shared" si="656"/>
        <v>7</v>
      </c>
      <c r="F205" s="125">
        <f t="shared" si="656"/>
        <v>0</v>
      </c>
      <c r="G205" s="137">
        <f t="shared" si="656"/>
        <v>0</v>
      </c>
      <c r="H205" s="137">
        <f t="shared" si="656"/>
        <v>0</v>
      </c>
      <c r="I205" s="137">
        <f t="shared" si="656"/>
        <v>4</v>
      </c>
      <c r="J205" s="125">
        <f t="shared" si="656"/>
        <v>0</v>
      </c>
      <c r="K205" s="137">
        <f t="shared" si="656"/>
        <v>0</v>
      </c>
      <c r="L205" s="137">
        <f t="shared" si="656"/>
        <v>7</v>
      </c>
      <c r="M205" s="125">
        <f t="shared" si="656"/>
        <v>0</v>
      </c>
      <c r="N205" s="137">
        <f t="shared" si="656"/>
        <v>0</v>
      </c>
      <c r="O205" s="137">
        <f t="shared" si="656"/>
        <v>3</v>
      </c>
      <c r="P205" s="125">
        <f t="shared" si="656"/>
        <v>0</v>
      </c>
      <c r="Q205" s="137">
        <f t="shared" si="656"/>
        <v>0</v>
      </c>
      <c r="R205" s="124">
        <f t="shared" si="656"/>
        <v>11</v>
      </c>
      <c r="S205" s="125">
        <f t="shared" si="656"/>
        <v>0</v>
      </c>
      <c r="T205" s="137">
        <f t="shared" si="656"/>
        <v>0</v>
      </c>
      <c r="U205" s="125">
        <f t="shared" si="656"/>
        <v>0</v>
      </c>
      <c r="V205" s="137">
        <f t="shared" si="656"/>
        <v>0</v>
      </c>
      <c r="W205" s="137">
        <f t="shared" si="656"/>
        <v>1</v>
      </c>
      <c r="X205" s="125">
        <f t="shared" si="656"/>
        <v>0</v>
      </c>
      <c r="Y205" s="137">
        <f t="shared" si="656"/>
        <v>0</v>
      </c>
      <c r="Z205" s="137">
        <f t="shared" si="656"/>
        <v>6</v>
      </c>
      <c r="AA205" s="125">
        <f t="shared" si="656"/>
        <v>0</v>
      </c>
      <c r="AB205" s="137">
        <f t="shared" si="656"/>
        <v>0</v>
      </c>
      <c r="AC205" s="137">
        <f t="shared" si="656"/>
        <v>0</v>
      </c>
      <c r="AD205" s="137">
        <f t="shared" si="656"/>
        <v>0</v>
      </c>
      <c r="AE205" s="125">
        <f t="shared" si="656"/>
        <v>0</v>
      </c>
      <c r="AF205" s="137">
        <f t="shared" si="656"/>
        <v>0</v>
      </c>
      <c r="AG205" s="137">
        <f t="shared" si="656"/>
        <v>5</v>
      </c>
      <c r="AH205" s="123">
        <f>IF(AH198="","",AG198+AG199-AH198)</f>
        <v>0</v>
      </c>
      <c r="AI205" s="20">
        <f t="shared" ref="AI205:BC205" si="657">IF(AI198="","",AH198+AH199-AI198)</f>
        <v>0</v>
      </c>
      <c r="AJ205" s="20">
        <f t="shared" si="657"/>
        <v>0</v>
      </c>
      <c r="AK205" s="20">
        <f t="shared" si="657"/>
        <v>5</v>
      </c>
      <c r="AL205" s="195" t="str">
        <f t="shared" si="657"/>
        <v/>
      </c>
      <c r="AM205" s="20" t="str">
        <f t="shared" si="657"/>
        <v/>
      </c>
      <c r="AN205" s="20" t="str">
        <f t="shared" si="657"/>
        <v/>
      </c>
      <c r="AO205" s="195" t="str">
        <f t="shared" si="657"/>
        <v/>
      </c>
      <c r="AP205" s="20" t="str">
        <f t="shared" si="657"/>
        <v/>
      </c>
      <c r="AQ205" s="20" t="str">
        <f t="shared" si="657"/>
        <v/>
      </c>
      <c r="AR205" s="20" t="str">
        <f t="shared" si="657"/>
        <v/>
      </c>
      <c r="AS205" s="20" t="str">
        <f t="shared" si="657"/>
        <v/>
      </c>
      <c r="AT205" s="20" t="str">
        <f t="shared" si="657"/>
        <v/>
      </c>
      <c r="AU205" s="20" t="str">
        <f t="shared" si="657"/>
        <v/>
      </c>
      <c r="AV205" s="20" t="str">
        <f t="shared" si="657"/>
        <v/>
      </c>
      <c r="AW205" s="20" t="str">
        <f t="shared" si="657"/>
        <v/>
      </c>
      <c r="AX205" s="20" t="str">
        <f t="shared" si="657"/>
        <v/>
      </c>
      <c r="AY205" s="20" t="str">
        <f t="shared" si="657"/>
        <v/>
      </c>
      <c r="AZ205" s="20" t="str">
        <f t="shared" si="657"/>
        <v/>
      </c>
      <c r="BA205" s="20" t="str">
        <f t="shared" si="657"/>
        <v/>
      </c>
      <c r="BB205" s="20" t="str">
        <f t="shared" si="657"/>
        <v/>
      </c>
      <c r="BC205" s="20" t="str">
        <f t="shared" si="657"/>
        <v/>
      </c>
    </row>
    <row r="206" spans="1:55" ht="11.25" customHeight="1" x14ac:dyDescent="0.2">
      <c r="A206" s="15">
        <f t="shared" si="653"/>
        <v>29800</v>
      </c>
      <c r="B206" s="19" t="s">
        <v>16</v>
      </c>
      <c r="C206" s="123"/>
      <c r="D206" s="137">
        <f t="shared" ref="D206:BC206" si="658">IF(D196="","",D205*D200)</f>
        <v>0</v>
      </c>
      <c r="E206" s="137">
        <f t="shared" si="658"/>
        <v>2800</v>
      </c>
      <c r="F206" s="125">
        <f t="shared" si="658"/>
        <v>0</v>
      </c>
      <c r="G206" s="137">
        <f t="shared" si="658"/>
        <v>0</v>
      </c>
      <c r="H206" s="137">
        <f t="shared" si="658"/>
        <v>0</v>
      </c>
      <c r="I206" s="137">
        <f t="shared" si="658"/>
        <v>1600</v>
      </c>
      <c r="J206" s="125">
        <f t="shared" si="658"/>
        <v>0</v>
      </c>
      <c r="K206" s="137">
        <f t="shared" si="658"/>
        <v>0</v>
      </c>
      <c r="L206" s="137">
        <f t="shared" si="658"/>
        <v>2800</v>
      </c>
      <c r="M206" s="125">
        <f t="shared" si="658"/>
        <v>0</v>
      </c>
      <c r="N206" s="137">
        <f t="shared" si="658"/>
        <v>0</v>
      </c>
      <c r="O206" s="137">
        <f t="shared" si="658"/>
        <v>1200</v>
      </c>
      <c r="P206" s="125">
        <f t="shared" si="658"/>
        <v>0</v>
      </c>
      <c r="Q206" s="137">
        <f t="shared" si="658"/>
        <v>0</v>
      </c>
      <c r="R206" s="124">
        <f t="shared" si="658"/>
        <v>4400</v>
      </c>
      <c r="S206" s="125">
        <f t="shared" si="658"/>
        <v>0</v>
      </c>
      <c r="T206" s="137">
        <f t="shared" si="658"/>
        <v>0</v>
      </c>
      <c r="U206" s="125">
        <f t="shared" si="658"/>
        <v>0</v>
      </c>
      <c r="V206" s="137">
        <f t="shared" si="658"/>
        <v>0</v>
      </c>
      <c r="W206" s="137">
        <f t="shared" si="658"/>
        <v>1000</v>
      </c>
      <c r="X206" s="125">
        <f t="shared" si="658"/>
        <v>0</v>
      </c>
      <c r="Y206" s="137">
        <f t="shared" si="658"/>
        <v>0</v>
      </c>
      <c r="Z206" s="137">
        <f t="shared" si="658"/>
        <v>6000</v>
      </c>
      <c r="AA206" s="125">
        <f t="shared" si="658"/>
        <v>0</v>
      </c>
      <c r="AB206" s="137">
        <f t="shared" si="658"/>
        <v>0</v>
      </c>
      <c r="AC206" s="137">
        <f t="shared" si="658"/>
        <v>0</v>
      </c>
      <c r="AD206" s="137">
        <f t="shared" si="658"/>
        <v>0</v>
      </c>
      <c r="AE206" s="125">
        <f t="shared" si="658"/>
        <v>0</v>
      </c>
      <c r="AF206" s="137">
        <f t="shared" si="658"/>
        <v>0</v>
      </c>
      <c r="AG206" s="137">
        <f t="shared" si="658"/>
        <v>5000</v>
      </c>
      <c r="AH206" s="123">
        <f>IF(AH196="","",AH205*AH200)</f>
        <v>0</v>
      </c>
      <c r="AI206" s="20">
        <f t="shared" si="658"/>
        <v>0</v>
      </c>
      <c r="AJ206" s="20">
        <f t="shared" si="658"/>
        <v>0</v>
      </c>
      <c r="AK206" s="20">
        <f t="shared" si="658"/>
        <v>5000</v>
      </c>
      <c r="AL206" s="195" t="str">
        <f t="shared" si="658"/>
        <v/>
      </c>
      <c r="AM206" s="20" t="str">
        <f t="shared" si="658"/>
        <v/>
      </c>
      <c r="AN206" s="20" t="str">
        <f t="shared" si="658"/>
        <v/>
      </c>
      <c r="AO206" s="195" t="str">
        <f t="shared" si="658"/>
        <v/>
      </c>
      <c r="AP206" s="20" t="str">
        <f t="shared" si="658"/>
        <v/>
      </c>
      <c r="AQ206" s="20" t="str">
        <f t="shared" si="658"/>
        <v/>
      </c>
      <c r="AR206" s="20" t="str">
        <f t="shared" si="658"/>
        <v/>
      </c>
      <c r="AS206" s="20" t="str">
        <f t="shared" si="658"/>
        <v/>
      </c>
      <c r="AT206" s="20" t="str">
        <f t="shared" si="658"/>
        <v/>
      </c>
      <c r="AU206" s="20" t="str">
        <f t="shared" si="658"/>
        <v/>
      </c>
      <c r="AV206" s="20" t="str">
        <f t="shared" si="658"/>
        <v/>
      </c>
      <c r="AW206" s="20" t="str">
        <f t="shared" si="658"/>
        <v/>
      </c>
      <c r="AX206" s="20" t="str">
        <f t="shared" si="658"/>
        <v/>
      </c>
      <c r="AY206" s="20" t="str">
        <f t="shared" si="658"/>
        <v/>
      </c>
      <c r="AZ206" s="20" t="str">
        <f t="shared" si="658"/>
        <v/>
      </c>
      <c r="BA206" s="20" t="str">
        <f t="shared" si="658"/>
        <v/>
      </c>
      <c r="BB206" s="20" t="str">
        <f t="shared" si="658"/>
        <v/>
      </c>
      <c r="BC206" s="20" t="str">
        <f t="shared" si="658"/>
        <v/>
      </c>
    </row>
    <row r="207" spans="1:55" ht="11.25" customHeight="1" thickBot="1" x14ac:dyDescent="0.25">
      <c r="A207" s="21">
        <f>IF(A206="","",A206/(A203*100))</f>
        <v>0.16099405726634253</v>
      </c>
      <c r="B207" s="22" t="s">
        <v>17</v>
      </c>
      <c r="C207" s="140"/>
      <c r="D207" s="141" t="str">
        <f t="shared" ref="D207:BC207" si="659">IF(D206="","",IF(D206=0,"",D206/(D203*100)))</f>
        <v/>
      </c>
      <c r="E207" s="141">
        <f t="shared" si="659"/>
        <v>0.30769230769230771</v>
      </c>
      <c r="F207" s="142" t="str">
        <f t="shared" si="659"/>
        <v/>
      </c>
      <c r="G207" s="141" t="str">
        <f t="shared" si="659"/>
        <v/>
      </c>
      <c r="H207" s="141" t="str">
        <f t="shared" si="659"/>
        <v/>
      </c>
      <c r="I207" s="141">
        <f t="shared" si="659"/>
        <v>0.34042553191489361</v>
      </c>
      <c r="J207" s="142" t="str">
        <f t="shared" si="659"/>
        <v/>
      </c>
      <c r="K207" s="141" t="str">
        <f t="shared" si="659"/>
        <v/>
      </c>
      <c r="L207" s="141">
        <f t="shared" si="659"/>
        <v>0.23140495867768596</v>
      </c>
      <c r="M207" s="142" t="str">
        <f t="shared" si="659"/>
        <v/>
      </c>
      <c r="N207" s="141" t="str">
        <f t="shared" si="659"/>
        <v/>
      </c>
      <c r="O207" s="141">
        <f t="shared" si="659"/>
        <v>0.13333333333333333</v>
      </c>
      <c r="P207" s="142" t="str">
        <f t="shared" si="659"/>
        <v/>
      </c>
      <c r="Q207" s="141" t="str">
        <f t="shared" si="659"/>
        <v/>
      </c>
      <c r="R207" s="192">
        <f t="shared" si="659"/>
        <v>0.28205128205128205</v>
      </c>
      <c r="S207" s="142" t="str">
        <f t="shared" si="659"/>
        <v/>
      </c>
      <c r="T207" s="141" t="str">
        <f t="shared" si="659"/>
        <v/>
      </c>
      <c r="U207" s="142" t="str">
        <f t="shared" si="659"/>
        <v/>
      </c>
      <c r="V207" s="141" t="str">
        <f t="shared" si="659"/>
        <v/>
      </c>
      <c r="W207" s="141">
        <f t="shared" si="659"/>
        <v>6.0606060606060608E-2</v>
      </c>
      <c r="X207" s="142" t="str">
        <f t="shared" si="659"/>
        <v/>
      </c>
      <c r="Y207" s="141" t="str">
        <f t="shared" si="659"/>
        <v/>
      </c>
      <c r="Z207" s="141">
        <f t="shared" si="659"/>
        <v>0.14634146341463414</v>
      </c>
      <c r="AA207" s="142" t="str">
        <f t="shared" si="659"/>
        <v/>
      </c>
      <c r="AB207" s="141" t="str">
        <f t="shared" si="659"/>
        <v/>
      </c>
      <c r="AC207" s="141" t="str">
        <f t="shared" si="659"/>
        <v/>
      </c>
      <c r="AD207" s="141" t="str">
        <f t="shared" si="659"/>
        <v/>
      </c>
      <c r="AE207" s="142" t="str">
        <f t="shared" si="659"/>
        <v/>
      </c>
      <c r="AF207" s="141" t="str">
        <f t="shared" si="659"/>
        <v/>
      </c>
      <c r="AG207" s="141">
        <f t="shared" si="659"/>
        <v>0.26881720430107525</v>
      </c>
      <c r="AH207" s="140" t="str">
        <f>IF(AH206="","",IF(AH206=0,"",AH206/(AH203*100)))</f>
        <v/>
      </c>
      <c r="AI207" s="23" t="str">
        <f t="shared" si="659"/>
        <v/>
      </c>
      <c r="AJ207" s="23" t="str">
        <f t="shared" si="659"/>
        <v/>
      </c>
      <c r="AK207" s="23">
        <f t="shared" si="659"/>
        <v>0.20408163265306123</v>
      </c>
      <c r="AL207" s="198" t="str">
        <f t="shared" si="659"/>
        <v/>
      </c>
      <c r="AM207" s="23" t="str">
        <f t="shared" si="659"/>
        <v/>
      </c>
      <c r="AN207" s="23" t="str">
        <f t="shared" si="659"/>
        <v/>
      </c>
      <c r="AO207" s="198" t="str">
        <f t="shared" si="659"/>
        <v/>
      </c>
      <c r="AP207" s="23" t="str">
        <f t="shared" si="659"/>
        <v/>
      </c>
      <c r="AQ207" s="23" t="str">
        <f t="shared" si="659"/>
        <v/>
      </c>
      <c r="AR207" s="23" t="str">
        <f t="shared" si="659"/>
        <v/>
      </c>
      <c r="AS207" s="23" t="str">
        <f t="shared" si="659"/>
        <v/>
      </c>
      <c r="AT207" s="23" t="str">
        <f t="shared" si="659"/>
        <v/>
      </c>
      <c r="AU207" s="23" t="str">
        <f t="shared" si="659"/>
        <v/>
      </c>
      <c r="AV207" s="23" t="str">
        <f t="shared" si="659"/>
        <v/>
      </c>
      <c r="AW207" s="23" t="str">
        <f t="shared" si="659"/>
        <v/>
      </c>
      <c r="AX207" s="23" t="str">
        <f t="shared" si="659"/>
        <v/>
      </c>
      <c r="AY207" s="23" t="str">
        <f t="shared" si="659"/>
        <v/>
      </c>
      <c r="AZ207" s="23" t="str">
        <f t="shared" si="659"/>
        <v/>
      </c>
      <c r="BA207" s="23" t="str">
        <f t="shared" si="659"/>
        <v/>
      </c>
      <c r="BB207" s="23" t="str">
        <f t="shared" si="659"/>
        <v/>
      </c>
      <c r="BC207" s="23" t="str">
        <f t="shared" si="659"/>
        <v/>
      </c>
    </row>
    <row r="208" spans="1:55" ht="15" customHeight="1" thickBot="1" x14ac:dyDescent="0.25">
      <c r="A208" s="151"/>
      <c r="B208" s="152" t="s">
        <v>0</v>
      </c>
      <c r="C208" s="153">
        <v>46098</v>
      </c>
      <c r="D208" s="153">
        <v>46099</v>
      </c>
      <c r="E208" s="153">
        <v>46100</v>
      </c>
      <c r="F208" s="153">
        <v>46101</v>
      </c>
      <c r="G208" s="153">
        <v>46102</v>
      </c>
      <c r="H208" s="153">
        <v>46103</v>
      </c>
      <c r="I208" s="153">
        <v>46104</v>
      </c>
      <c r="J208" s="153">
        <v>46105</v>
      </c>
      <c r="K208" s="153">
        <v>46106</v>
      </c>
      <c r="L208" s="153">
        <v>46107</v>
      </c>
      <c r="M208" s="153">
        <v>46108</v>
      </c>
      <c r="N208" s="153">
        <v>46109</v>
      </c>
      <c r="O208" s="153">
        <v>46110</v>
      </c>
      <c r="P208" s="153">
        <v>46111</v>
      </c>
      <c r="Q208" s="153">
        <v>46112</v>
      </c>
      <c r="R208" s="153">
        <v>46113</v>
      </c>
      <c r="S208" s="153">
        <v>46114</v>
      </c>
      <c r="T208" s="153">
        <v>46115</v>
      </c>
      <c r="U208" s="153">
        <v>46116</v>
      </c>
      <c r="V208" s="153">
        <v>46117</v>
      </c>
      <c r="W208" s="153">
        <v>46118</v>
      </c>
      <c r="X208" s="153">
        <v>46119</v>
      </c>
      <c r="Y208" s="153">
        <v>46120</v>
      </c>
      <c r="Z208" s="153">
        <v>46121</v>
      </c>
      <c r="AA208" s="153">
        <v>46122</v>
      </c>
      <c r="AB208" s="153">
        <v>46123</v>
      </c>
      <c r="AC208" s="153">
        <v>46124</v>
      </c>
      <c r="AD208" s="153">
        <v>46125</v>
      </c>
      <c r="AE208" s="153">
        <v>46126</v>
      </c>
      <c r="AF208" s="153">
        <v>46127</v>
      </c>
      <c r="AG208" s="153">
        <v>46128</v>
      </c>
      <c r="AH208" s="153">
        <v>46129</v>
      </c>
      <c r="AI208" s="153">
        <v>46130</v>
      </c>
      <c r="AJ208" s="153">
        <v>46131</v>
      </c>
      <c r="AK208" s="153">
        <v>46132</v>
      </c>
      <c r="AL208" s="153">
        <v>46133</v>
      </c>
      <c r="AM208" s="153">
        <v>46134</v>
      </c>
      <c r="AN208" s="153">
        <v>46135</v>
      </c>
      <c r="AO208" s="153">
        <v>46136</v>
      </c>
      <c r="AP208" s="153">
        <v>46137</v>
      </c>
      <c r="AQ208" s="153">
        <v>46138</v>
      </c>
      <c r="AR208" s="153">
        <v>46139</v>
      </c>
      <c r="AS208" s="153">
        <v>46140</v>
      </c>
      <c r="AT208" s="153">
        <v>46141</v>
      </c>
      <c r="AU208" s="153">
        <v>46142</v>
      </c>
    </row>
    <row r="209" spans="1:55" ht="15" customHeight="1" x14ac:dyDescent="0.2">
      <c r="A209" s="116" t="s">
        <v>1</v>
      </c>
      <c r="B209" s="117" t="s">
        <v>53</v>
      </c>
      <c r="C209" s="119">
        <v>6097</v>
      </c>
      <c r="D209" s="119">
        <v>6106</v>
      </c>
      <c r="E209" s="119">
        <v>6106</v>
      </c>
      <c r="F209" s="119">
        <v>6133</v>
      </c>
      <c r="G209" s="119">
        <v>6144</v>
      </c>
      <c r="H209" s="119">
        <v>6154</v>
      </c>
      <c r="I209" s="119">
        <v>6161</v>
      </c>
      <c r="J209" s="119">
        <v>6191</v>
      </c>
      <c r="K209" s="119">
        <v>6210</v>
      </c>
      <c r="L209" s="119">
        <v>6222</v>
      </c>
      <c r="M209" s="119">
        <v>6227</v>
      </c>
      <c r="N209" s="119">
        <v>6248</v>
      </c>
      <c r="O209" s="119">
        <v>6260</v>
      </c>
      <c r="P209" s="119">
        <v>6277</v>
      </c>
      <c r="Q209" s="119">
        <v>6293</v>
      </c>
      <c r="R209" s="119">
        <v>6296</v>
      </c>
      <c r="S209" s="119">
        <v>6300</v>
      </c>
      <c r="T209" s="119">
        <v>6305</v>
      </c>
      <c r="U209" s="119">
        <v>6305</v>
      </c>
      <c r="V209" s="119">
        <v>6315</v>
      </c>
      <c r="W209" s="119">
        <v>6319</v>
      </c>
      <c r="X209" s="119">
        <v>6326</v>
      </c>
      <c r="Y209" s="119">
        <v>6326</v>
      </c>
      <c r="Z209" s="119">
        <v>6334</v>
      </c>
      <c r="AA209" s="119">
        <v>6334</v>
      </c>
      <c r="AB209" s="119">
        <v>6352</v>
      </c>
      <c r="AC209" s="119">
        <v>6352</v>
      </c>
      <c r="AD209" s="119">
        <v>6367</v>
      </c>
      <c r="AE209" s="119">
        <v>6370</v>
      </c>
      <c r="AF209" s="119">
        <v>6374</v>
      </c>
      <c r="AG209" s="119">
        <v>6377</v>
      </c>
      <c r="AH209" s="119">
        <v>6380</v>
      </c>
      <c r="AI209" s="119"/>
      <c r="AJ209" s="119"/>
      <c r="AK209" s="119"/>
      <c r="AL209" s="119"/>
      <c r="AM209" s="119"/>
      <c r="AN209" s="119"/>
      <c r="AO209" s="119"/>
      <c r="AP209" s="119"/>
      <c r="AQ209" s="119"/>
      <c r="AR209" s="119"/>
      <c r="AS209" s="119"/>
      <c r="AT209" s="119"/>
      <c r="AU209" s="119"/>
    </row>
    <row r="210" spans="1:55" ht="15" customHeight="1" x14ac:dyDescent="0.2">
      <c r="A210" s="121" t="s">
        <v>54</v>
      </c>
      <c r="B210" s="122" t="s">
        <v>55</v>
      </c>
      <c r="C210" s="124">
        <v>1711</v>
      </c>
      <c r="D210" s="124">
        <v>1712</v>
      </c>
      <c r="E210" s="124">
        <v>1712</v>
      </c>
      <c r="F210" s="124">
        <v>1718</v>
      </c>
      <c r="G210" s="124">
        <v>1719</v>
      </c>
      <c r="H210" s="124">
        <v>1720</v>
      </c>
      <c r="I210" s="124">
        <v>1722</v>
      </c>
      <c r="J210" s="124">
        <v>1727</v>
      </c>
      <c r="K210" s="124">
        <v>1734</v>
      </c>
      <c r="L210" s="124">
        <v>1736</v>
      </c>
      <c r="M210" s="124">
        <v>1738</v>
      </c>
      <c r="N210" s="124">
        <v>1745</v>
      </c>
      <c r="O210" s="124">
        <v>1748</v>
      </c>
      <c r="P210" s="124">
        <v>1751</v>
      </c>
      <c r="Q210" s="124">
        <v>1755</v>
      </c>
      <c r="R210" s="124">
        <v>1755</v>
      </c>
      <c r="S210" s="124">
        <v>1755</v>
      </c>
      <c r="T210" s="124">
        <v>1755</v>
      </c>
      <c r="U210" s="124">
        <v>1755</v>
      </c>
      <c r="V210" s="124">
        <v>1758</v>
      </c>
      <c r="W210" s="124">
        <v>1758</v>
      </c>
      <c r="X210" s="124">
        <v>1761</v>
      </c>
      <c r="Y210" s="124">
        <v>1761</v>
      </c>
      <c r="Z210" s="124">
        <v>1762</v>
      </c>
      <c r="AA210" s="124">
        <v>1762</v>
      </c>
      <c r="AB210" s="124">
        <v>1765</v>
      </c>
      <c r="AC210" s="124">
        <v>1765</v>
      </c>
      <c r="AD210" s="124">
        <v>1770</v>
      </c>
      <c r="AE210" s="124">
        <v>1771</v>
      </c>
      <c r="AF210" s="124">
        <v>1771</v>
      </c>
      <c r="AG210" s="124">
        <v>1771</v>
      </c>
      <c r="AH210" s="124">
        <v>1772</v>
      </c>
      <c r="AI210" s="124"/>
      <c r="AJ210" s="124"/>
      <c r="AK210" s="124"/>
      <c r="AL210" s="124"/>
      <c r="AM210" s="124"/>
      <c r="AN210" s="124"/>
      <c r="AO210" s="124"/>
      <c r="AP210" s="124"/>
      <c r="AQ210" s="124"/>
      <c r="AR210" s="124"/>
      <c r="AS210" s="124"/>
      <c r="AT210" s="124"/>
      <c r="AU210" s="124"/>
    </row>
    <row r="211" spans="1:55" ht="15" customHeight="1" x14ac:dyDescent="0.25">
      <c r="A211" s="126">
        <v>283000</v>
      </c>
      <c r="B211" s="122" t="s">
        <v>56</v>
      </c>
      <c r="C211" s="124">
        <v>2942</v>
      </c>
      <c r="D211" s="124">
        <v>2949</v>
      </c>
      <c r="E211" s="124">
        <v>2949</v>
      </c>
      <c r="F211" s="124">
        <v>2964</v>
      </c>
      <c r="G211" s="124">
        <v>2973</v>
      </c>
      <c r="H211" s="124">
        <v>2981</v>
      </c>
      <c r="I211" s="124">
        <v>2984</v>
      </c>
      <c r="J211" s="124">
        <v>3004</v>
      </c>
      <c r="K211" s="124">
        <v>3007</v>
      </c>
      <c r="L211" s="124">
        <v>3015</v>
      </c>
      <c r="M211" s="124">
        <v>3016</v>
      </c>
      <c r="N211" s="124">
        <v>3030</v>
      </c>
      <c r="O211" s="124">
        <v>3036</v>
      </c>
      <c r="P211" s="124">
        <v>3047</v>
      </c>
      <c r="Q211" s="124">
        <v>3055</v>
      </c>
      <c r="R211" s="124">
        <v>3058</v>
      </c>
      <c r="S211" s="124">
        <v>3062</v>
      </c>
      <c r="T211" s="124">
        <v>3067</v>
      </c>
      <c r="U211" s="124">
        <v>3067</v>
      </c>
      <c r="V211" s="124">
        <v>3071</v>
      </c>
      <c r="W211" s="124">
        <v>3075</v>
      </c>
      <c r="X211" s="124">
        <v>3076</v>
      </c>
      <c r="Y211" s="124">
        <v>3076</v>
      </c>
      <c r="Z211" s="124">
        <v>3082</v>
      </c>
      <c r="AA211" s="124">
        <v>3082</v>
      </c>
      <c r="AB211" s="124">
        <v>3094</v>
      </c>
      <c r="AC211" s="124">
        <v>3094</v>
      </c>
      <c r="AD211" s="124">
        <v>3099</v>
      </c>
      <c r="AE211" s="124">
        <v>3100</v>
      </c>
      <c r="AF211" s="124">
        <v>3102</v>
      </c>
      <c r="AG211" s="124">
        <v>3103</v>
      </c>
      <c r="AH211" s="124">
        <v>3106</v>
      </c>
      <c r="AI211" s="124"/>
      <c r="AJ211" s="124"/>
      <c r="AK211" s="124"/>
      <c r="AL211" s="124"/>
      <c r="AM211" s="124"/>
      <c r="AN211" s="124"/>
      <c r="AO211" s="124"/>
      <c r="AP211" s="124"/>
      <c r="AQ211" s="124"/>
      <c r="AR211" s="124"/>
      <c r="AS211" s="124"/>
      <c r="AT211" s="124"/>
      <c r="AU211" s="124"/>
    </row>
    <row r="212" spans="1:55" ht="15" customHeight="1" x14ac:dyDescent="0.2">
      <c r="A212" s="127" t="s">
        <v>9</v>
      </c>
      <c r="B212" s="122" t="s">
        <v>6</v>
      </c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  <c r="AC212" s="124"/>
      <c r="AD212" s="124"/>
      <c r="AE212" s="124"/>
      <c r="AF212" s="124"/>
      <c r="AG212" s="124"/>
      <c r="AH212" s="124"/>
      <c r="AI212" s="124"/>
      <c r="AJ212" s="124"/>
      <c r="AK212" s="124"/>
      <c r="AL212" s="124"/>
      <c r="AM212" s="124"/>
      <c r="AN212" s="124"/>
      <c r="AO212" s="124"/>
      <c r="AP212" s="124"/>
      <c r="AQ212" s="124"/>
      <c r="AR212" s="124"/>
      <c r="AS212" s="124"/>
      <c r="AT212" s="124"/>
      <c r="AU212" s="124"/>
    </row>
    <row r="213" spans="1:55" ht="15" customHeight="1" x14ac:dyDescent="0.2">
      <c r="A213" s="128">
        <v>273870.96774193551</v>
      </c>
      <c r="B213" s="122" t="s">
        <v>8</v>
      </c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  <c r="AC213" s="124"/>
      <c r="AD213" s="124"/>
      <c r="AE213" s="124"/>
      <c r="AF213" s="124"/>
      <c r="AG213" s="124"/>
      <c r="AH213" s="124"/>
      <c r="AI213" s="124"/>
      <c r="AJ213" s="124"/>
      <c r="AK213" s="124"/>
      <c r="AL213" s="124"/>
      <c r="AM213" s="124"/>
      <c r="AN213" s="124"/>
      <c r="AO213" s="124"/>
      <c r="AP213" s="124"/>
      <c r="AQ213" s="124"/>
      <c r="AR213" s="124"/>
      <c r="AS213" s="124"/>
      <c r="AT213" s="124"/>
      <c r="AU213" s="124"/>
    </row>
    <row r="214" spans="1:55" ht="15" customHeight="1" x14ac:dyDescent="0.25">
      <c r="A214" s="126"/>
      <c r="B214" s="132" t="s">
        <v>57</v>
      </c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  <c r="AO214" s="134"/>
      <c r="AP214" s="134"/>
      <c r="AQ214" s="134"/>
      <c r="AR214" s="134"/>
      <c r="AS214" s="134"/>
      <c r="AT214" s="134"/>
      <c r="AU214" s="134"/>
    </row>
    <row r="215" spans="1:55" ht="15" customHeight="1" x14ac:dyDescent="0.25">
      <c r="A215" s="154"/>
      <c r="B215" s="122" t="s">
        <v>58</v>
      </c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  <c r="AC215" s="124"/>
      <c r="AD215" s="124"/>
      <c r="AE215" s="124"/>
      <c r="AF215" s="124"/>
      <c r="AG215" s="124"/>
      <c r="AH215" s="124"/>
      <c r="AI215" s="124"/>
      <c r="AJ215" s="124"/>
      <c r="AK215" s="124"/>
      <c r="AL215" s="124"/>
      <c r="AM215" s="124"/>
      <c r="AN215" s="124"/>
      <c r="AO215" s="124"/>
      <c r="AP215" s="124"/>
      <c r="AQ215" s="124"/>
      <c r="AR215" s="124"/>
      <c r="AS215" s="124"/>
      <c r="AT215" s="124"/>
      <c r="AU215" s="124"/>
    </row>
    <row r="216" spans="1:55" ht="15" customHeight="1" x14ac:dyDescent="0.2">
      <c r="A216" s="128">
        <v>283</v>
      </c>
      <c r="B216" s="155" t="s">
        <v>59</v>
      </c>
      <c r="C216" s="156"/>
      <c r="D216" s="156">
        <v>9</v>
      </c>
      <c r="E216" s="156">
        <v>0</v>
      </c>
      <c r="F216" s="156">
        <v>27</v>
      </c>
      <c r="G216" s="156">
        <v>11</v>
      </c>
      <c r="H216" s="156">
        <v>10</v>
      </c>
      <c r="I216" s="156">
        <v>7</v>
      </c>
      <c r="J216" s="156">
        <v>30</v>
      </c>
      <c r="K216" s="156">
        <v>19</v>
      </c>
      <c r="L216" s="156">
        <v>12</v>
      </c>
      <c r="M216" s="156">
        <v>5</v>
      </c>
      <c r="N216" s="156">
        <v>21</v>
      </c>
      <c r="O216" s="156">
        <v>12</v>
      </c>
      <c r="P216" s="156">
        <v>17</v>
      </c>
      <c r="Q216" s="156">
        <v>16</v>
      </c>
      <c r="R216" s="156">
        <v>3</v>
      </c>
      <c r="S216" s="156">
        <v>4</v>
      </c>
      <c r="T216" s="156">
        <v>5</v>
      </c>
      <c r="U216" s="156">
        <v>0</v>
      </c>
      <c r="V216" s="156">
        <v>10</v>
      </c>
      <c r="W216" s="156">
        <v>4</v>
      </c>
      <c r="X216" s="156">
        <v>7</v>
      </c>
      <c r="Y216" s="156">
        <v>0</v>
      </c>
      <c r="Z216" s="156">
        <v>8</v>
      </c>
      <c r="AA216" s="156">
        <v>0</v>
      </c>
      <c r="AB216" s="156">
        <v>18</v>
      </c>
      <c r="AC216" s="156">
        <v>0</v>
      </c>
      <c r="AD216" s="156">
        <v>15</v>
      </c>
      <c r="AE216" s="156">
        <v>3</v>
      </c>
      <c r="AF216" s="156">
        <v>4</v>
      </c>
      <c r="AG216" s="156">
        <v>3</v>
      </c>
      <c r="AH216" s="156">
        <v>3</v>
      </c>
      <c r="AI216" s="156" t="s">
        <v>18</v>
      </c>
      <c r="AJ216" s="156" t="s">
        <v>18</v>
      </c>
      <c r="AK216" s="156" t="s">
        <v>18</v>
      </c>
      <c r="AL216" s="156" t="s">
        <v>18</v>
      </c>
      <c r="AM216" s="156" t="s">
        <v>18</v>
      </c>
      <c r="AN216" s="156" t="s">
        <v>18</v>
      </c>
      <c r="AO216" s="156" t="s">
        <v>18</v>
      </c>
      <c r="AP216" s="156" t="s">
        <v>18</v>
      </c>
      <c r="AQ216" s="156" t="s">
        <v>18</v>
      </c>
      <c r="AR216" s="156" t="s">
        <v>18</v>
      </c>
      <c r="AS216" s="156" t="s">
        <v>18</v>
      </c>
      <c r="AT216" s="156" t="s">
        <v>18</v>
      </c>
      <c r="AU216" s="156" t="s">
        <v>18</v>
      </c>
    </row>
    <row r="217" spans="1:55" ht="15" customHeight="1" x14ac:dyDescent="0.2">
      <c r="A217" s="128">
        <v>61</v>
      </c>
      <c r="B217" s="155" t="s">
        <v>60</v>
      </c>
      <c r="C217" s="156"/>
      <c r="D217" s="156">
        <v>1</v>
      </c>
      <c r="E217" s="156">
        <v>0</v>
      </c>
      <c r="F217" s="156">
        <v>6</v>
      </c>
      <c r="G217" s="156">
        <v>1</v>
      </c>
      <c r="H217" s="156">
        <v>1</v>
      </c>
      <c r="I217" s="156">
        <v>2</v>
      </c>
      <c r="J217" s="156">
        <v>5</v>
      </c>
      <c r="K217" s="156">
        <v>7</v>
      </c>
      <c r="L217" s="156">
        <v>2</v>
      </c>
      <c r="M217" s="156">
        <v>2</v>
      </c>
      <c r="N217" s="156">
        <v>7</v>
      </c>
      <c r="O217" s="156">
        <v>3</v>
      </c>
      <c r="P217" s="156">
        <v>3</v>
      </c>
      <c r="Q217" s="156">
        <v>4</v>
      </c>
      <c r="R217" s="156">
        <v>0</v>
      </c>
      <c r="S217" s="156">
        <v>0</v>
      </c>
      <c r="T217" s="156">
        <v>0</v>
      </c>
      <c r="U217" s="156">
        <v>0</v>
      </c>
      <c r="V217" s="156">
        <v>3</v>
      </c>
      <c r="W217" s="156">
        <v>0</v>
      </c>
      <c r="X217" s="156">
        <v>3</v>
      </c>
      <c r="Y217" s="156">
        <v>0</v>
      </c>
      <c r="Z217" s="156">
        <v>1</v>
      </c>
      <c r="AA217" s="156">
        <v>0</v>
      </c>
      <c r="AB217" s="156">
        <v>3</v>
      </c>
      <c r="AC217" s="156">
        <v>0</v>
      </c>
      <c r="AD217" s="156">
        <v>5</v>
      </c>
      <c r="AE217" s="156">
        <v>1</v>
      </c>
      <c r="AF217" s="156">
        <v>0</v>
      </c>
      <c r="AG217" s="156">
        <v>0</v>
      </c>
      <c r="AH217" s="156">
        <v>1</v>
      </c>
      <c r="AI217" s="156" t="s">
        <v>18</v>
      </c>
      <c r="AJ217" s="156" t="s">
        <v>18</v>
      </c>
      <c r="AK217" s="156" t="s">
        <v>18</v>
      </c>
      <c r="AL217" s="156" t="s">
        <v>18</v>
      </c>
      <c r="AM217" s="156" t="s">
        <v>18</v>
      </c>
      <c r="AN217" s="156" t="s">
        <v>18</v>
      </c>
      <c r="AO217" s="156" t="s">
        <v>18</v>
      </c>
      <c r="AP217" s="156" t="s">
        <v>18</v>
      </c>
      <c r="AQ217" s="156" t="s">
        <v>18</v>
      </c>
      <c r="AR217" s="156" t="s">
        <v>18</v>
      </c>
      <c r="AS217" s="156" t="s">
        <v>18</v>
      </c>
      <c r="AT217" s="156" t="s">
        <v>18</v>
      </c>
      <c r="AU217" s="156" t="s">
        <v>18</v>
      </c>
    </row>
    <row r="218" spans="1:55" ht="15" customHeight="1" x14ac:dyDescent="0.2">
      <c r="A218" s="128">
        <v>164</v>
      </c>
      <c r="B218" s="155" t="s">
        <v>61</v>
      </c>
      <c r="C218" s="156"/>
      <c r="D218" s="156">
        <v>7</v>
      </c>
      <c r="E218" s="156">
        <v>0</v>
      </c>
      <c r="F218" s="156">
        <v>15</v>
      </c>
      <c r="G218" s="156">
        <v>9</v>
      </c>
      <c r="H218" s="156">
        <v>8</v>
      </c>
      <c r="I218" s="156">
        <v>3</v>
      </c>
      <c r="J218" s="156">
        <v>20</v>
      </c>
      <c r="K218" s="156">
        <v>3</v>
      </c>
      <c r="L218" s="156">
        <v>8</v>
      </c>
      <c r="M218" s="156">
        <v>1</v>
      </c>
      <c r="N218" s="156">
        <v>14</v>
      </c>
      <c r="O218" s="156">
        <v>6</v>
      </c>
      <c r="P218" s="156">
        <v>11</v>
      </c>
      <c r="Q218" s="156">
        <v>8</v>
      </c>
      <c r="R218" s="156">
        <v>3</v>
      </c>
      <c r="S218" s="156">
        <v>4</v>
      </c>
      <c r="T218" s="156">
        <v>5</v>
      </c>
      <c r="U218" s="156">
        <v>0</v>
      </c>
      <c r="V218" s="156">
        <v>4</v>
      </c>
      <c r="W218" s="156">
        <v>4</v>
      </c>
      <c r="X218" s="156">
        <v>1</v>
      </c>
      <c r="Y218" s="156">
        <v>0</v>
      </c>
      <c r="Z218" s="156">
        <v>6</v>
      </c>
      <c r="AA218" s="156">
        <v>0</v>
      </c>
      <c r="AB218" s="156">
        <v>12</v>
      </c>
      <c r="AC218" s="156">
        <v>0</v>
      </c>
      <c r="AD218" s="156">
        <v>5</v>
      </c>
      <c r="AE218" s="156">
        <v>1</v>
      </c>
      <c r="AF218" s="156">
        <v>2</v>
      </c>
      <c r="AG218" s="156">
        <v>1</v>
      </c>
      <c r="AH218" s="156">
        <v>3</v>
      </c>
      <c r="AI218" s="156" t="s">
        <v>18</v>
      </c>
      <c r="AJ218" s="156" t="s">
        <v>18</v>
      </c>
      <c r="AK218" s="156" t="s">
        <v>18</v>
      </c>
      <c r="AL218" s="156" t="s">
        <v>18</v>
      </c>
      <c r="AM218" s="156" t="s">
        <v>18</v>
      </c>
      <c r="AN218" s="156" t="s">
        <v>18</v>
      </c>
      <c r="AO218" s="156" t="s">
        <v>18</v>
      </c>
      <c r="AP218" s="156" t="s">
        <v>18</v>
      </c>
      <c r="AQ218" s="156" t="s">
        <v>18</v>
      </c>
      <c r="AR218" s="156" t="s">
        <v>18</v>
      </c>
      <c r="AS218" s="156" t="s">
        <v>18</v>
      </c>
      <c r="AT218" s="156" t="s">
        <v>18</v>
      </c>
      <c r="AU218" s="156" t="s">
        <v>18</v>
      </c>
    </row>
    <row r="219" spans="1:55" ht="15" customHeight="1" x14ac:dyDescent="0.2">
      <c r="A219" s="128">
        <v>0</v>
      </c>
      <c r="B219" s="155" t="s">
        <v>16</v>
      </c>
      <c r="C219" s="156"/>
      <c r="D219" s="156" t="s">
        <v>18</v>
      </c>
      <c r="E219" s="156" t="s">
        <v>18</v>
      </c>
      <c r="F219" s="156" t="s">
        <v>18</v>
      </c>
      <c r="G219" s="156" t="s">
        <v>18</v>
      </c>
      <c r="H219" s="156" t="s">
        <v>18</v>
      </c>
      <c r="I219" s="156" t="s">
        <v>18</v>
      </c>
      <c r="J219" s="156" t="s">
        <v>18</v>
      </c>
      <c r="K219" s="156" t="s">
        <v>18</v>
      </c>
      <c r="L219" s="156" t="s">
        <v>18</v>
      </c>
      <c r="M219" s="156" t="s">
        <v>18</v>
      </c>
      <c r="N219" s="156" t="s">
        <v>18</v>
      </c>
      <c r="O219" s="156" t="s">
        <v>18</v>
      </c>
      <c r="P219" s="156" t="s">
        <v>18</v>
      </c>
      <c r="Q219" s="156" t="s">
        <v>18</v>
      </c>
      <c r="R219" s="156" t="s">
        <v>18</v>
      </c>
      <c r="S219" s="156" t="s">
        <v>18</v>
      </c>
      <c r="T219" s="156" t="s">
        <v>18</v>
      </c>
      <c r="U219" s="156" t="s">
        <v>18</v>
      </c>
      <c r="V219" s="156" t="s">
        <v>18</v>
      </c>
      <c r="W219" s="156" t="s">
        <v>18</v>
      </c>
      <c r="X219" s="156" t="s">
        <v>18</v>
      </c>
      <c r="Y219" s="156" t="s">
        <v>18</v>
      </c>
      <c r="Z219" s="156" t="s">
        <v>18</v>
      </c>
      <c r="AA219" s="156" t="s">
        <v>18</v>
      </c>
      <c r="AB219" s="156" t="s">
        <v>18</v>
      </c>
      <c r="AC219" s="156" t="s">
        <v>18</v>
      </c>
      <c r="AD219" s="156" t="s">
        <v>18</v>
      </c>
      <c r="AE219" s="156" t="s">
        <v>18</v>
      </c>
      <c r="AF219" s="156" t="s">
        <v>18</v>
      </c>
      <c r="AG219" s="156" t="s">
        <v>18</v>
      </c>
      <c r="AH219" s="156" t="s">
        <v>18</v>
      </c>
      <c r="AI219" s="156" t="s">
        <v>18</v>
      </c>
      <c r="AJ219" s="156" t="s">
        <v>18</v>
      </c>
      <c r="AK219" s="156" t="s">
        <v>18</v>
      </c>
      <c r="AL219" s="156" t="s">
        <v>18</v>
      </c>
      <c r="AM219" s="156" t="s">
        <v>18</v>
      </c>
      <c r="AN219" s="156" t="s">
        <v>18</v>
      </c>
      <c r="AO219" s="156" t="s">
        <v>18</v>
      </c>
      <c r="AP219" s="156" t="s">
        <v>18</v>
      </c>
      <c r="AQ219" s="156" t="s">
        <v>18</v>
      </c>
      <c r="AR219" s="156" t="s">
        <v>18</v>
      </c>
      <c r="AS219" s="156" t="s">
        <v>18</v>
      </c>
      <c r="AT219" s="156" t="s">
        <v>18</v>
      </c>
      <c r="AU219" s="156" t="s">
        <v>18</v>
      </c>
    </row>
    <row r="220" spans="1:55" ht="15" customHeight="1" thickBot="1" x14ac:dyDescent="0.25">
      <c r="A220" s="138">
        <v>0</v>
      </c>
      <c r="B220" s="157" t="s">
        <v>17</v>
      </c>
      <c r="C220" s="158" t="s">
        <v>18</v>
      </c>
      <c r="D220" s="158" t="s">
        <v>18</v>
      </c>
      <c r="E220" s="158" t="s">
        <v>18</v>
      </c>
      <c r="F220" s="158" t="s">
        <v>18</v>
      </c>
      <c r="G220" s="158" t="s">
        <v>18</v>
      </c>
      <c r="H220" s="158" t="s">
        <v>18</v>
      </c>
      <c r="I220" s="158" t="s">
        <v>18</v>
      </c>
      <c r="J220" s="158" t="s">
        <v>18</v>
      </c>
      <c r="K220" s="158" t="s">
        <v>18</v>
      </c>
      <c r="L220" s="158" t="s">
        <v>18</v>
      </c>
      <c r="M220" s="158" t="s">
        <v>18</v>
      </c>
      <c r="N220" s="158" t="s">
        <v>18</v>
      </c>
      <c r="O220" s="158" t="s">
        <v>18</v>
      </c>
      <c r="P220" s="158" t="s">
        <v>18</v>
      </c>
      <c r="Q220" s="158" t="s">
        <v>18</v>
      </c>
      <c r="R220" s="158" t="s">
        <v>18</v>
      </c>
      <c r="S220" s="158" t="s">
        <v>18</v>
      </c>
      <c r="T220" s="158" t="s">
        <v>18</v>
      </c>
      <c r="U220" s="158" t="s">
        <v>18</v>
      </c>
      <c r="V220" s="158" t="s">
        <v>18</v>
      </c>
      <c r="W220" s="158" t="s">
        <v>18</v>
      </c>
      <c r="X220" s="158" t="s">
        <v>18</v>
      </c>
      <c r="Y220" s="158" t="s">
        <v>18</v>
      </c>
      <c r="Z220" s="158" t="s">
        <v>18</v>
      </c>
      <c r="AA220" s="158" t="s">
        <v>18</v>
      </c>
      <c r="AB220" s="158" t="s">
        <v>18</v>
      </c>
      <c r="AC220" s="158" t="s">
        <v>18</v>
      </c>
      <c r="AD220" s="158" t="s">
        <v>18</v>
      </c>
      <c r="AE220" s="158" t="s">
        <v>18</v>
      </c>
      <c r="AF220" s="158" t="s">
        <v>18</v>
      </c>
      <c r="AG220" s="158" t="s">
        <v>18</v>
      </c>
      <c r="AH220" s="158" t="s">
        <v>18</v>
      </c>
      <c r="AI220" s="158" t="s">
        <v>18</v>
      </c>
      <c r="AJ220" s="158" t="s">
        <v>18</v>
      </c>
      <c r="AK220" s="158" t="s">
        <v>18</v>
      </c>
      <c r="AL220" s="158" t="s">
        <v>18</v>
      </c>
      <c r="AM220" s="158" t="s">
        <v>18</v>
      </c>
      <c r="AN220" s="158" t="s">
        <v>18</v>
      </c>
      <c r="AO220" s="158" t="s">
        <v>18</v>
      </c>
      <c r="AP220" s="158" t="s">
        <v>18</v>
      </c>
      <c r="AQ220" s="158" t="s">
        <v>18</v>
      </c>
      <c r="AR220" s="158" t="s">
        <v>18</v>
      </c>
      <c r="AS220" s="158" t="s">
        <v>18</v>
      </c>
      <c r="AT220" s="158" t="s">
        <v>18</v>
      </c>
      <c r="AU220" s="158" t="s">
        <v>18</v>
      </c>
    </row>
    <row r="221" spans="1:55" ht="15" customHeight="1" x14ac:dyDescent="0.2">
      <c r="A221" s="116" t="s">
        <v>1</v>
      </c>
      <c r="B221" s="117" t="s">
        <v>2</v>
      </c>
      <c r="C221" s="118">
        <v>32104</v>
      </c>
      <c r="D221" s="119">
        <v>32104</v>
      </c>
      <c r="E221" s="119">
        <v>32158</v>
      </c>
      <c r="F221" s="120">
        <v>32158</v>
      </c>
      <c r="G221" s="119">
        <v>32180</v>
      </c>
      <c r="H221" s="120">
        <v>32180</v>
      </c>
      <c r="I221" s="119">
        <v>32180</v>
      </c>
      <c r="J221" s="119">
        <v>32180</v>
      </c>
      <c r="K221" s="119">
        <v>32180</v>
      </c>
      <c r="L221" s="119">
        <v>32227</v>
      </c>
      <c r="M221" s="120">
        <v>32227</v>
      </c>
      <c r="N221" s="119">
        <v>32385</v>
      </c>
      <c r="O221" s="120">
        <v>32385</v>
      </c>
      <c r="P221" s="119">
        <v>32385</v>
      </c>
      <c r="Q221" s="119">
        <v>32385</v>
      </c>
      <c r="R221" s="119">
        <v>32474</v>
      </c>
      <c r="S221" s="120">
        <v>32474</v>
      </c>
      <c r="T221" s="119">
        <v>32474</v>
      </c>
      <c r="U221" s="119">
        <v>32539</v>
      </c>
      <c r="V221" s="120">
        <v>32539</v>
      </c>
      <c r="W221" s="119">
        <v>32539</v>
      </c>
      <c r="X221" s="119">
        <v>32539</v>
      </c>
      <c r="Y221" s="119">
        <v>32607</v>
      </c>
      <c r="Z221" s="120">
        <v>32607</v>
      </c>
      <c r="AA221" s="119">
        <v>32607</v>
      </c>
      <c r="AB221" s="119">
        <v>32660</v>
      </c>
      <c r="AC221" s="120">
        <v>32660</v>
      </c>
      <c r="AD221" s="119">
        <v>32660</v>
      </c>
      <c r="AE221" s="119">
        <v>32660</v>
      </c>
      <c r="AF221" s="119">
        <v>32748</v>
      </c>
      <c r="AG221" s="120">
        <v>32769</v>
      </c>
      <c r="AH221" s="118"/>
      <c r="AI221" s="119"/>
      <c r="AJ221" s="119"/>
      <c r="AK221" s="119"/>
      <c r="AL221" s="119"/>
      <c r="AM221" s="119"/>
      <c r="AN221" s="119"/>
      <c r="AO221" s="119"/>
      <c r="AP221" s="119"/>
      <c r="AQ221" s="119"/>
      <c r="AR221" s="119"/>
      <c r="AS221" s="119"/>
      <c r="AT221" s="119"/>
      <c r="AU221" s="119"/>
      <c r="AV221" s="119"/>
      <c r="AW221" s="119"/>
      <c r="AX221" s="119"/>
      <c r="AY221" s="119"/>
      <c r="AZ221" s="119"/>
      <c r="BA221" s="119"/>
      <c r="BB221" s="119"/>
      <c r="BC221" s="119"/>
    </row>
    <row r="222" spans="1:55" ht="15" customHeight="1" x14ac:dyDescent="0.2">
      <c r="A222" s="121" t="s">
        <v>3</v>
      </c>
      <c r="B222" s="122" t="s">
        <v>4</v>
      </c>
      <c r="C222" s="123">
        <v>1158</v>
      </c>
      <c r="D222" s="124">
        <v>1158</v>
      </c>
      <c r="E222" s="124">
        <v>1162</v>
      </c>
      <c r="F222" s="125">
        <v>1162</v>
      </c>
      <c r="G222" s="124">
        <v>1165</v>
      </c>
      <c r="H222" s="125">
        <v>1165</v>
      </c>
      <c r="I222" s="124">
        <v>1165</v>
      </c>
      <c r="J222" s="124">
        <v>1165</v>
      </c>
      <c r="K222" s="124">
        <v>1165</v>
      </c>
      <c r="L222" s="124">
        <v>1166</v>
      </c>
      <c r="M222" s="125">
        <v>1166</v>
      </c>
      <c r="N222" s="124">
        <v>1168</v>
      </c>
      <c r="O222" s="125">
        <v>1168</v>
      </c>
      <c r="P222" s="124">
        <v>1168</v>
      </c>
      <c r="Q222" s="124">
        <v>1168</v>
      </c>
      <c r="R222" s="124">
        <v>1171</v>
      </c>
      <c r="S222" s="125">
        <v>1171</v>
      </c>
      <c r="T222" s="124">
        <v>1171</v>
      </c>
      <c r="U222" s="124">
        <v>1172</v>
      </c>
      <c r="V222" s="125">
        <v>1172</v>
      </c>
      <c r="W222" s="124">
        <v>1172</v>
      </c>
      <c r="X222" s="124">
        <v>1172</v>
      </c>
      <c r="Y222" s="124">
        <v>1174</v>
      </c>
      <c r="Z222" s="125">
        <v>1174</v>
      </c>
      <c r="AA222" s="124">
        <v>1174</v>
      </c>
      <c r="AB222" s="124">
        <v>1176</v>
      </c>
      <c r="AC222" s="125">
        <v>1176</v>
      </c>
      <c r="AD222" s="124">
        <v>1176</v>
      </c>
      <c r="AE222" s="124">
        <v>1176</v>
      </c>
      <c r="AF222" s="124">
        <v>1179</v>
      </c>
      <c r="AG222" s="125">
        <v>1181</v>
      </c>
      <c r="AH222" s="123" t="s">
        <v>18</v>
      </c>
      <c r="AI222" s="124" t="s">
        <v>18</v>
      </c>
      <c r="AJ222" s="124" t="s">
        <v>18</v>
      </c>
      <c r="AK222" s="124" t="s">
        <v>18</v>
      </c>
      <c r="AL222" s="124" t="s">
        <v>18</v>
      </c>
      <c r="AM222" s="124" t="s">
        <v>18</v>
      </c>
      <c r="AN222" s="124" t="s">
        <v>18</v>
      </c>
      <c r="AO222" s="124" t="s">
        <v>18</v>
      </c>
      <c r="AP222" s="124" t="s">
        <v>18</v>
      </c>
      <c r="AQ222" s="124" t="s">
        <v>18</v>
      </c>
      <c r="AR222" s="124" t="s">
        <v>18</v>
      </c>
      <c r="AS222" s="124" t="s">
        <v>18</v>
      </c>
      <c r="AT222" s="124" t="s">
        <v>18</v>
      </c>
      <c r="AU222" s="124" t="s">
        <v>18</v>
      </c>
      <c r="AV222" s="124" t="s">
        <v>18</v>
      </c>
      <c r="AW222" s="124" t="s">
        <v>18</v>
      </c>
      <c r="AX222" s="124" t="s">
        <v>18</v>
      </c>
      <c r="AY222" s="124" t="s">
        <v>18</v>
      </c>
      <c r="AZ222" s="124" t="s">
        <v>18</v>
      </c>
      <c r="BA222" s="124" t="s">
        <v>18</v>
      </c>
      <c r="BB222" s="124" t="s">
        <v>18</v>
      </c>
      <c r="BC222" s="124" t="s">
        <v>18</v>
      </c>
    </row>
    <row r="223" spans="1:55" ht="15" customHeight="1" x14ac:dyDescent="0.25">
      <c r="A223" s="126"/>
      <c r="B223" s="122" t="s">
        <v>5</v>
      </c>
      <c r="C223" s="123">
        <v>33</v>
      </c>
      <c r="D223" s="124">
        <v>33</v>
      </c>
      <c r="E223" s="124">
        <v>33</v>
      </c>
      <c r="F223" s="125">
        <v>33</v>
      </c>
      <c r="G223" s="124">
        <v>30</v>
      </c>
      <c r="H223" s="125">
        <v>30</v>
      </c>
      <c r="I223" s="124">
        <v>30</v>
      </c>
      <c r="J223" s="124">
        <v>30</v>
      </c>
      <c r="K223" s="124">
        <v>30</v>
      </c>
      <c r="L223" s="124">
        <v>29</v>
      </c>
      <c r="M223" s="125">
        <v>29</v>
      </c>
      <c r="N223" s="124">
        <v>29</v>
      </c>
      <c r="O223" s="125">
        <v>29</v>
      </c>
      <c r="P223" s="124">
        <v>29</v>
      </c>
      <c r="Q223" s="124">
        <v>29</v>
      </c>
      <c r="R223" s="124">
        <v>26</v>
      </c>
      <c r="S223" s="125">
        <v>26</v>
      </c>
      <c r="T223" s="124">
        <v>26</v>
      </c>
      <c r="U223" s="124">
        <v>25</v>
      </c>
      <c r="V223" s="125">
        <v>30</v>
      </c>
      <c r="W223" s="124">
        <v>30</v>
      </c>
      <c r="X223" s="124">
        <v>30</v>
      </c>
      <c r="Y223" s="124">
        <v>28</v>
      </c>
      <c r="Z223" s="125">
        <v>28</v>
      </c>
      <c r="AA223" s="124">
        <v>28</v>
      </c>
      <c r="AB223" s="124">
        <v>26</v>
      </c>
      <c r="AC223" s="125">
        <v>26</v>
      </c>
      <c r="AD223" s="124">
        <v>26</v>
      </c>
      <c r="AE223" s="124">
        <v>26</v>
      </c>
      <c r="AF223" s="124">
        <v>23</v>
      </c>
      <c r="AG223" s="125">
        <v>23</v>
      </c>
      <c r="AH223" s="123" t="s">
        <v>18</v>
      </c>
      <c r="AI223" s="124" t="s">
        <v>18</v>
      </c>
      <c r="AJ223" s="124" t="s">
        <v>18</v>
      </c>
      <c r="AK223" s="124" t="s">
        <v>18</v>
      </c>
      <c r="AL223" s="124" t="s">
        <v>18</v>
      </c>
      <c r="AM223" s="124" t="s">
        <v>18</v>
      </c>
      <c r="AN223" s="124" t="s">
        <v>18</v>
      </c>
      <c r="AO223" s="124" t="s">
        <v>18</v>
      </c>
      <c r="AP223" s="124" t="s">
        <v>18</v>
      </c>
      <c r="AQ223" s="124" t="s">
        <v>18</v>
      </c>
      <c r="AR223" s="124" t="s">
        <v>18</v>
      </c>
      <c r="AS223" s="124" t="s">
        <v>18</v>
      </c>
      <c r="AT223" s="124" t="s">
        <v>18</v>
      </c>
      <c r="AU223" s="124" t="s">
        <v>18</v>
      </c>
      <c r="AV223" s="124" t="s">
        <v>18</v>
      </c>
      <c r="AW223" s="124" t="s">
        <v>18</v>
      </c>
      <c r="AX223" s="124" t="s">
        <v>18</v>
      </c>
      <c r="AY223" s="124" t="s">
        <v>18</v>
      </c>
      <c r="AZ223" s="124" t="s">
        <v>18</v>
      </c>
      <c r="BA223" s="124" t="s">
        <v>18</v>
      </c>
      <c r="BB223" s="124" t="s">
        <v>18</v>
      </c>
      <c r="BC223" s="124" t="s">
        <v>18</v>
      </c>
    </row>
    <row r="224" spans="1:55" ht="15" customHeight="1" x14ac:dyDescent="0.2">
      <c r="A224" s="127"/>
      <c r="B224" s="122" t="s">
        <v>6</v>
      </c>
      <c r="C224" s="123"/>
      <c r="D224" s="124"/>
      <c r="E224" s="124"/>
      <c r="F224" s="125"/>
      <c r="G224" s="124"/>
      <c r="H224" s="125"/>
      <c r="I224" s="124"/>
      <c r="J224" s="124"/>
      <c r="K224" s="124"/>
      <c r="L224" s="124"/>
      <c r="M224" s="125"/>
      <c r="N224" s="124"/>
      <c r="O224" s="125"/>
      <c r="P224" s="124"/>
      <c r="Q224" s="124"/>
      <c r="R224" s="124"/>
      <c r="S224" s="125"/>
      <c r="T224" s="124"/>
      <c r="U224" s="124">
        <v>5</v>
      </c>
      <c r="V224" s="125"/>
      <c r="W224" s="124"/>
      <c r="X224" s="124"/>
      <c r="Y224" s="124"/>
      <c r="Z224" s="125"/>
      <c r="AA224" s="124"/>
      <c r="AB224" s="124"/>
      <c r="AC224" s="125"/>
      <c r="AD224" s="124"/>
      <c r="AE224" s="124"/>
      <c r="AF224" s="124"/>
      <c r="AG224" s="125"/>
      <c r="AH224" s="123"/>
      <c r="AI224" s="124"/>
      <c r="AJ224" s="124"/>
      <c r="AK224" s="124"/>
      <c r="AL224" s="124"/>
      <c r="AM224" s="124"/>
      <c r="AN224" s="124"/>
      <c r="AO224" s="124"/>
      <c r="AP224" s="124"/>
      <c r="AQ224" s="124"/>
      <c r="AR224" s="124"/>
      <c r="AS224" s="124"/>
      <c r="AT224" s="124"/>
      <c r="AU224" s="124"/>
      <c r="AV224" s="124"/>
      <c r="AW224" s="124"/>
      <c r="AX224" s="124"/>
      <c r="AY224" s="124"/>
      <c r="AZ224" s="124"/>
      <c r="BA224" s="124"/>
      <c r="BB224" s="124"/>
      <c r="BC224" s="124"/>
    </row>
    <row r="225" spans="1:55" ht="15" customHeight="1" x14ac:dyDescent="0.2">
      <c r="A225" s="128"/>
      <c r="B225" s="122" t="s">
        <v>8</v>
      </c>
      <c r="C225" s="129">
        <v>1100</v>
      </c>
      <c r="D225" s="130">
        <v>1100</v>
      </c>
      <c r="E225" s="130">
        <v>1100</v>
      </c>
      <c r="F225" s="131">
        <v>1100</v>
      </c>
      <c r="G225" s="130">
        <v>1100</v>
      </c>
      <c r="H225" s="131">
        <v>1100</v>
      </c>
      <c r="I225" s="130">
        <v>1100</v>
      </c>
      <c r="J225" s="130">
        <v>1100</v>
      </c>
      <c r="K225" s="130">
        <v>1100</v>
      </c>
      <c r="L225" s="130">
        <v>1100</v>
      </c>
      <c r="M225" s="131">
        <v>1100</v>
      </c>
      <c r="N225" s="130">
        <v>1100</v>
      </c>
      <c r="O225" s="131">
        <v>1100</v>
      </c>
      <c r="P225" s="130">
        <v>1100</v>
      </c>
      <c r="Q225" s="130">
        <v>1100</v>
      </c>
      <c r="R225" s="130">
        <v>1100</v>
      </c>
      <c r="S225" s="131">
        <v>1100</v>
      </c>
      <c r="T225" s="130">
        <v>1100</v>
      </c>
      <c r="U225" s="130">
        <v>1100</v>
      </c>
      <c r="V225" s="131">
        <v>1100</v>
      </c>
      <c r="W225" s="130">
        <v>1100</v>
      </c>
      <c r="X225" s="130">
        <v>1100</v>
      </c>
      <c r="Y225" s="130">
        <v>1100</v>
      </c>
      <c r="Z225" s="131">
        <v>1100</v>
      </c>
      <c r="AA225" s="130">
        <v>1100</v>
      </c>
      <c r="AB225" s="130">
        <v>1100</v>
      </c>
      <c r="AC225" s="131">
        <v>1100</v>
      </c>
      <c r="AD225" s="130">
        <v>1100</v>
      </c>
      <c r="AE225" s="130">
        <v>1100</v>
      </c>
      <c r="AF225" s="130">
        <v>1100</v>
      </c>
      <c r="AG225" s="131">
        <v>1100</v>
      </c>
      <c r="AH225" s="129" t="s">
        <v>18</v>
      </c>
      <c r="AI225" s="130" t="s">
        <v>18</v>
      </c>
      <c r="AJ225" s="130" t="s">
        <v>18</v>
      </c>
      <c r="AK225" s="130" t="s">
        <v>18</v>
      </c>
      <c r="AL225" s="130" t="s">
        <v>18</v>
      </c>
      <c r="AM225" s="130" t="s">
        <v>18</v>
      </c>
      <c r="AN225" s="130" t="s">
        <v>18</v>
      </c>
      <c r="AO225" s="130" t="s">
        <v>18</v>
      </c>
      <c r="AP225" s="130" t="s">
        <v>18</v>
      </c>
      <c r="AQ225" s="130" t="s">
        <v>18</v>
      </c>
      <c r="AR225" s="130" t="s">
        <v>18</v>
      </c>
      <c r="AS225" s="130" t="s">
        <v>18</v>
      </c>
      <c r="AT225" s="130" t="s">
        <v>18</v>
      </c>
      <c r="AU225" s="130" t="s">
        <v>18</v>
      </c>
      <c r="AV225" s="130" t="s">
        <v>18</v>
      </c>
      <c r="AW225" s="130" t="s">
        <v>18</v>
      </c>
      <c r="AX225" s="130" t="s">
        <v>18</v>
      </c>
      <c r="AY225" s="130" t="s">
        <v>18</v>
      </c>
      <c r="AZ225" s="130" t="s">
        <v>18</v>
      </c>
      <c r="BA225" s="130" t="s">
        <v>18</v>
      </c>
      <c r="BB225" s="130" t="s">
        <v>18</v>
      </c>
      <c r="BC225" s="130" t="s">
        <v>18</v>
      </c>
    </row>
    <row r="226" spans="1:55" ht="15" customHeight="1" x14ac:dyDescent="0.2">
      <c r="A226" s="127" t="s">
        <v>9</v>
      </c>
      <c r="B226" s="132" t="s">
        <v>10</v>
      </c>
      <c r="C226" s="133" t="s">
        <v>11</v>
      </c>
      <c r="D226" s="134" t="s">
        <v>11</v>
      </c>
      <c r="E226" s="134" t="s">
        <v>11</v>
      </c>
      <c r="F226" s="135" t="s">
        <v>11</v>
      </c>
      <c r="G226" s="134" t="s">
        <v>11</v>
      </c>
      <c r="H226" s="135" t="s">
        <v>11</v>
      </c>
      <c r="I226" s="134" t="s">
        <v>11</v>
      </c>
      <c r="J226" s="134" t="s">
        <v>11</v>
      </c>
      <c r="K226" s="134" t="s">
        <v>11</v>
      </c>
      <c r="L226" s="134" t="s">
        <v>11</v>
      </c>
      <c r="M226" s="135" t="s">
        <v>11</v>
      </c>
      <c r="N226" s="134" t="s">
        <v>11</v>
      </c>
      <c r="O226" s="135" t="s">
        <v>11</v>
      </c>
      <c r="P226" s="134" t="s">
        <v>11</v>
      </c>
      <c r="Q226" s="134" t="s">
        <v>11</v>
      </c>
      <c r="R226" s="134" t="s">
        <v>11</v>
      </c>
      <c r="S226" s="135" t="s">
        <v>11</v>
      </c>
      <c r="T226" s="134" t="s">
        <v>11</v>
      </c>
      <c r="U226" s="134" t="s">
        <v>11</v>
      </c>
      <c r="V226" s="135" t="s">
        <v>11</v>
      </c>
      <c r="W226" s="134" t="s">
        <v>11</v>
      </c>
      <c r="X226" s="134" t="s">
        <v>11</v>
      </c>
      <c r="Y226" s="134" t="s">
        <v>11</v>
      </c>
      <c r="Z226" s="135" t="s">
        <v>11</v>
      </c>
      <c r="AA226" s="134" t="s">
        <v>11</v>
      </c>
      <c r="AB226" s="134" t="s">
        <v>11</v>
      </c>
      <c r="AC226" s="135" t="s">
        <v>11</v>
      </c>
      <c r="AD226" s="134" t="s">
        <v>11</v>
      </c>
      <c r="AE226" s="134" t="s">
        <v>11</v>
      </c>
      <c r="AF226" s="134" t="s">
        <v>11</v>
      </c>
      <c r="AG226" s="135" t="s">
        <v>11</v>
      </c>
      <c r="AH226" s="133" t="s">
        <v>18</v>
      </c>
      <c r="AI226" s="134" t="s">
        <v>18</v>
      </c>
      <c r="AJ226" s="134" t="s">
        <v>18</v>
      </c>
      <c r="AK226" s="134" t="s">
        <v>18</v>
      </c>
      <c r="AL226" s="134" t="s">
        <v>18</v>
      </c>
      <c r="AM226" s="134" t="s">
        <v>18</v>
      </c>
      <c r="AN226" s="134" t="s">
        <v>18</v>
      </c>
      <c r="AO226" s="134" t="s">
        <v>18</v>
      </c>
      <c r="AP226" s="134" t="s">
        <v>18</v>
      </c>
      <c r="AQ226" s="134" t="s">
        <v>18</v>
      </c>
      <c r="AR226" s="134" t="s">
        <v>18</v>
      </c>
      <c r="AS226" s="134" t="s">
        <v>18</v>
      </c>
      <c r="AT226" s="134" t="s">
        <v>18</v>
      </c>
      <c r="AU226" s="134" t="s">
        <v>18</v>
      </c>
      <c r="AV226" s="134" t="s">
        <v>18</v>
      </c>
      <c r="AW226" s="134" t="s">
        <v>18</v>
      </c>
      <c r="AX226" s="134" t="s">
        <v>18</v>
      </c>
      <c r="AY226" s="134" t="s">
        <v>18</v>
      </c>
      <c r="AZ226" s="134" t="s">
        <v>18</v>
      </c>
      <c r="BA226" s="134" t="s">
        <v>18</v>
      </c>
      <c r="BB226" s="134" t="s">
        <v>18</v>
      </c>
      <c r="BC226" s="134" t="s">
        <v>18</v>
      </c>
    </row>
    <row r="227" spans="1:55" ht="15" customHeight="1" x14ac:dyDescent="0.2">
      <c r="A227" s="128">
        <v>64354.838709677424</v>
      </c>
      <c r="B227" s="122" t="s">
        <v>12</v>
      </c>
      <c r="C227" s="123"/>
      <c r="D227" s="124"/>
      <c r="E227" s="124"/>
      <c r="F227" s="125"/>
      <c r="G227" s="124"/>
      <c r="H227" s="125" t="s">
        <v>210</v>
      </c>
      <c r="I227" s="124"/>
      <c r="J227" s="124"/>
      <c r="K227" s="124"/>
      <c r="L227" s="124" t="s">
        <v>221</v>
      </c>
      <c r="M227" s="125"/>
      <c r="N227" s="124" t="s">
        <v>220</v>
      </c>
      <c r="O227" s="125"/>
      <c r="P227" s="124"/>
      <c r="Q227" s="124"/>
      <c r="R227" s="124"/>
      <c r="S227" s="125"/>
      <c r="T227" s="124"/>
      <c r="U227" s="124"/>
      <c r="V227" s="125"/>
      <c r="W227" s="124"/>
      <c r="X227" s="124"/>
      <c r="Y227" s="124"/>
      <c r="Z227" s="125"/>
      <c r="AA227" s="124"/>
      <c r="AB227" s="124"/>
      <c r="AC227" s="125"/>
      <c r="AD227" s="124"/>
      <c r="AE227" s="124"/>
      <c r="AF227" s="124"/>
      <c r="AG227" s="125"/>
      <c r="AH227" s="123"/>
      <c r="AI227" s="124"/>
      <c r="AJ227" s="124"/>
      <c r="AK227" s="124"/>
      <c r="AL227" s="124"/>
      <c r="AM227" s="124"/>
      <c r="AN227" s="124"/>
      <c r="AO227" s="124"/>
      <c r="AP227" s="124"/>
      <c r="AQ227" s="124"/>
      <c r="AR227" s="124"/>
      <c r="AS227" s="124"/>
      <c r="AT227" s="124"/>
      <c r="AU227" s="124"/>
      <c r="AV227" s="124"/>
      <c r="AW227" s="124"/>
      <c r="AX227" s="124"/>
      <c r="AY227" s="124"/>
      <c r="AZ227" s="124"/>
      <c r="BA227" s="124"/>
      <c r="BB227" s="124"/>
      <c r="BC227" s="124"/>
    </row>
    <row r="228" spans="1:55" ht="15" customHeight="1" x14ac:dyDescent="0.2">
      <c r="A228" s="128">
        <v>665</v>
      </c>
      <c r="B228" s="136" t="s">
        <v>13</v>
      </c>
      <c r="C228" s="123">
        <v>0</v>
      </c>
      <c r="D228" s="137">
        <v>0</v>
      </c>
      <c r="E228" s="137">
        <v>54</v>
      </c>
      <c r="F228" s="125">
        <v>0</v>
      </c>
      <c r="G228" s="137">
        <v>22</v>
      </c>
      <c r="H228" s="125">
        <v>0</v>
      </c>
      <c r="I228" s="137">
        <v>0</v>
      </c>
      <c r="J228" s="137">
        <v>0</v>
      </c>
      <c r="K228" s="137">
        <v>0</v>
      </c>
      <c r="L228" s="137">
        <v>47</v>
      </c>
      <c r="M228" s="125">
        <v>0</v>
      </c>
      <c r="N228" s="137">
        <v>158</v>
      </c>
      <c r="O228" s="125">
        <v>0</v>
      </c>
      <c r="P228" s="137">
        <v>0</v>
      </c>
      <c r="Q228" s="137">
        <v>0</v>
      </c>
      <c r="R228" s="137">
        <v>89</v>
      </c>
      <c r="S228" s="125">
        <v>0</v>
      </c>
      <c r="T228" s="137">
        <v>0</v>
      </c>
      <c r="U228" s="137">
        <v>65</v>
      </c>
      <c r="V228" s="125">
        <v>0</v>
      </c>
      <c r="W228" s="137">
        <v>0</v>
      </c>
      <c r="X228" s="137">
        <v>0</v>
      </c>
      <c r="Y228" s="137">
        <v>68</v>
      </c>
      <c r="Z228" s="125">
        <v>0</v>
      </c>
      <c r="AA228" s="137">
        <v>0</v>
      </c>
      <c r="AB228" s="137">
        <v>53</v>
      </c>
      <c r="AC228" s="125">
        <v>0</v>
      </c>
      <c r="AD228" s="137">
        <v>0</v>
      </c>
      <c r="AE228" s="137">
        <v>0</v>
      </c>
      <c r="AF228" s="137">
        <v>88</v>
      </c>
      <c r="AG228" s="125">
        <v>21</v>
      </c>
      <c r="AH228" s="123" t="s">
        <v>18</v>
      </c>
      <c r="AI228" s="137" t="s">
        <v>18</v>
      </c>
      <c r="AJ228" s="137" t="s">
        <v>18</v>
      </c>
      <c r="AK228" s="137" t="s">
        <v>18</v>
      </c>
      <c r="AL228" s="137" t="s">
        <v>18</v>
      </c>
      <c r="AM228" s="137" t="s">
        <v>18</v>
      </c>
      <c r="AN228" s="137" t="s">
        <v>18</v>
      </c>
      <c r="AO228" s="137" t="s">
        <v>18</v>
      </c>
      <c r="AP228" s="137" t="s">
        <v>18</v>
      </c>
      <c r="AQ228" s="137" t="s">
        <v>18</v>
      </c>
      <c r="AR228" s="137" t="s">
        <v>18</v>
      </c>
      <c r="AS228" s="137" t="s">
        <v>18</v>
      </c>
      <c r="AT228" s="137" t="s">
        <v>18</v>
      </c>
      <c r="AU228" s="137" t="s">
        <v>18</v>
      </c>
      <c r="AV228" s="137" t="s">
        <v>18</v>
      </c>
      <c r="AW228" s="137" t="s">
        <v>18</v>
      </c>
      <c r="AX228" s="137" t="s">
        <v>18</v>
      </c>
      <c r="AY228" s="137" t="s">
        <v>18</v>
      </c>
      <c r="AZ228" s="137" t="s">
        <v>18</v>
      </c>
      <c r="BA228" s="137" t="s">
        <v>18</v>
      </c>
      <c r="BB228" s="137" t="s">
        <v>18</v>
      </c>
      <c r="BC228" s="137" t="s">
        <v>18</v>
      </c>
    </row>
    <row r="229" spans="1:55" ht="15" customHeight="1" x14ac:dyDescent="0.2">
      <c r="A229" s="128">
        <v>23</v>
      </c>
      <c r="B229" s="136" t="s">
        <v>14</v>
      </c>
      <c r="C229" s="123">
        <v>0</v>
      </c>
      <c r="D229" s="137">
        <v>0</v>
      </c>
      <c r="E229" s="137">
        <v>4</v>
      </c>
      <c r="F229" s="125">
        <v>0</v>
      </c>
      <c r="G229" s="137">
        <v>3</v>
      </c>
      <c r="H229" s="125">
        <v>0</v>
      </c>
      <c r="I229" s="137">
        <v>0</v>
      </c>
      <c r="J229" s="137">
        <v>0</v>
      </c>
      <c r="K229" s="137">
        <v>0</v>
      </c>
      <c r="L229" s="137">
        <v>1</v>
      </c>
      <c r="M229" s="125">
        <v>0</v>
      </c>
      <c r="N229" s="137">
        <v>2</v>
      </c>
      <c r="O229" s="125">
        <v>0</v>
      </c>
      <c r="P229" s="137">
        <v>0</v>
      </c>
      <c r="Q229" s="137">
        <v>0</v>
      </c>
      <c r="R229" s="137">
        <v>3</v>
      </c>
      <c r="S229" s="125">
        <v>0</v>
      </c>
      <c r="T229" s="137">
        <v>0</v>
      </c>
      <c r="U229" s="137">
        <v>1</v>
      </c>
      <c r="V229" s="125">
        <v>0</v>
      </c>
      <c r="W229" s="137">
        <v>0</v>
      </c>
      <c r="X229" s="137">
        <v>0</v>
      </c>
      <c r="Y229" s="137">
        <v>2</v>
      </c>
      <c r="Z229" s="125">
        <v>0</v>
      </c>
      <c r="AA229" s="137">
        <v>0</v>
      </c>
      <c r="AB229" s="137">
        <v>2</v>
      </c>
      <c r="AC229" s="125">
        <v>0</v>
      </c>
      <c r="AD229" s="137">
        <v>0</v>
      </c>
      <c r="AE229" s="137">
        <v>0</v>
      </c>
      <c r="AF229" s="137">
        <v>3</v>
      </c>
      <c r="AG229" s="125">
        <v>2</v>
      </c>
      <c r="AH229" s="123" t="s">
        <v>18</v>
      </c>
      <c r="AI229" s="137" t="s">
        <v>18</v>
      </c>
      <c r="AJ229" s="137" t="s">
        <v>18</v>
      </c>
      <c r="AK229" s="137" t="s">
        <v>18</v>
      </c>
      <c r="AL229" s="137" t="s">
        <v>18</v>
      </c>
      <c r="AM229" s="137" t="s">
        <v>18</v>
      </c>
      <c r="AN229" s="137" t="s">
        <v>18</v>
      </c>
      <c r="AO229" s="137" t="s">
        <v>18</v>
      </c>
      <c r="AP229" s="137" t="s">
        <v>18</v>
      </c>
      <c r="AQ229" s="137" t="s">
        <v>18</v>
      </c>
      <c r="AR229" s="137" t="s">
        <v>18</v>
      </c>
      <c r="AS229" s="137" t="s">
        <v>18</v>
      </c>
      <c r="AT229" s="137" t="s">
        <v>18</v>
      </c>
      <c r="AU229" s="137" t="s">
        <v>18</v>
      </c>
      <c r="AV229" s="137" t="s">
        <v>18</v>
      </c>
      <c r="AW229" s="137" t="s">
        <v>18</v>
      </c>
      <c r="AX229" s="137" t="s">
        <v>18</v>
      </c>
      <c r="AY229" s="137" t="s">
        <v>18</v>
      </c>
      <c r="AZ229" s="137" t="s">
        <v>18</v>
      </c>
      <c r="BA229" s="137" t="s">
        <v>18</v>
      </c>
      <c r="BB229" s="137" t="s">
        <v>18</v>
      </c>
      <c r="BC229" s="137" t="s">
        <v>18</v>
      </c>
    </row>
    <row r="230" spans="1:55" ht="15" customHeight="1" x14ac:dyDescent="0.2">
      <c r="A230" s="128">
        <v>15</v>
      </c>
      <c r="B230" s="136" t="s">
        <v>15</v>
      </c>
      <c r="C230" s="123">
        <v>0</v>
      </c>
      <c r="D230" s="137">
        <v>0</v>
      </c>
      <c r="E230" s="137">
        <v>0</v>
      </c>
      <c r="F230" s="125">
        <v>0</v>
      </c>
      <c r="G230" s="137">
        <v>3</v>
      </c>
      <c r="H230" s="125">
        <v>0</v>
      </c>
      <c r="I230" s="137">
        <v>0</v>
      </c>
      <c r="J230" s="137">
        <v>0</v>
      </c>
      <c r="K230" s="137">
        <v>0</v>
      </c>
      <c r="L230" s="137">
        <v>1</v>
      </c>
      <c r="M230" s="125">
        <v>0</v>
      </c>
      <c r="N230" s="137">
        <v>0</v>
      </c>
      <c r="O230" s="125">
        <v>0</v>
      </c>
      <c r="P230" s="137">
        <v>0</v>
      </c>
      <c r="Q230" s="137">
        <v>0</v>
      </c>
      <c r="R230" s="137">
        <v>3</v>
      </c>
      <c r="S230" s="125">
        <v>0</v>
      </c>
      <c r="T230" s="137">
        <v>0</v>
      </c>
      <c r="U230" s="137">
        <v>1</v>
      </c>
      <c r="V230" s="125">
        <v>0</v>
      </c>
      <c r="W230" s="137">
        <v>0</v>
      </c>
      <c r="X230" s="137">
        <v>0</v>
      </c>
      <c r="Y230" s="137">
        <v>2</v>
      </c>
      <c r="Z230" s="125">
        <v>0</v>
      </c>
      <c r="AA230" s="137">
        <v>0</v>
      </c>
      <c r="AB230" s="137">
        <v>2</v>
      </c>
      <c r="AC230" s="125">
        <v>0</v>
      </c>
      <c r="AD230" s="137">
        <v>0</v>
      </c>
      <c r="AE230" s="137">
        <v>0</v>
      </c>
      <c r="AF230" s="137">
        <v>3</v>
      </c>
      <c r="AG230" s="125">
        <v>0</v>
      </c>
      <c r="AH230" s="123" t="s">
        <v>18</v>
      </c>
      <c r="AI230" s="137" t="s">
        <v>18</v>
      </c>
      <c r="AJ230" s="137" t="s">
        <v>18</v>
      </c>
      <c r="AK230" s="137" t="s">
        <v>18</v>
      </c>
      <c r="AL230" s="137" t="s">
        <v>18</v>
      </c>
      <c r="AM230" s="137" t="s">
        <v>18</v>
      </c>
      <c r="AN230" s="137" t="s">
        <v>18</v>
      </c>
      <c r="AO230" s="137" t="s">
        <v>18</v>
      </c>
      <c r="AP230" s="137" t="s">
        <v>18</v>
      </c>
      <c r="AQ230" s="137" t="s">
        <v>18</v>
      </c>
      <c r="AR230" s="137" t="s">
        <v>18</v>
      </c>
      <c r="AS230" s="137" t="s">
        <v>18</v>
      </c>
      <c r="AT230" s="137" t="s">
        <v>18</v>
      </c>
      <c r="AU230" s="137" t="s">
        <v>18</v>
      </c>
      <c r="AV230" s="137" t="s">
        <v>18</v>
      </c>
      <c r="AW230" s="137" t="s">
        <v>18</v>
      </c>
      <c r="AX230" s="137" t="s">
        <v>18</v>
      </c>
      <c r="AY230" s="137" t="s">
        <v>18</v>
      </c>
      <c r="AZ230" s="137" t="s">
        <v>18</v>
      </c>
      <c r="BA230" s="137" t="s">
        <v>18</v>
      </c>
      <c r="BB230" s="137" t="s">
        <v>18</v>
      </c>
      <c r="BC230" s="137" t="s">
        <v>18</v>
      </c>
    </row>
    <row r="231" spans="1:55" ht="15" customHeight="1" x14ac:dyDescent="0.2">
      <c r="A231" s="128">
        <v>16500</v>
      </c>
      <c r="B231" s="136" t="s">
        <v>16</v>
      </c>
      <c r="C231" s="123">
        <v>0</v>
      </c>
      <c r="D231" s="137">
        <v>0</v>
      </c>
      <c r="E231" s="137">
        <v>0</v>
      </c>
      <c r="F231" s="125">
        <v>0</v>
      </c>
      <c r="G231" s="137">
        <v>3300</v>
      </c>
      <c r="H231" s="125">
        <v>0</v>
      </c>
      <c r="I231" s="137">
        <v>0</v>
      </c>
      <c r="J231" s="137">
        <v>0</v>
      </c>
      <c r="K231" s="137">
        <v>0</v>
      </c>
      <c r="L231" s="137">
        <v>1100</v>
      </c>
      <c r="M231" s="125">
        <v>0</v>
      </c>
      <c r="N231" s="137">
        <v>0</v>
      </c>
      <c r="O231" s="125">
        <v>0</v>
      </c>
      <c r="P231" s="137">
        <v>0</v>
      </c>
      <c r="Q231" s="137">
        <v>0</v>
      </c>
      <c r="R231" s="137">
        <v>3300</v>
      </c>
      <c r="S231" s="125">
        <v>0</v>
      </c>
      <c r="T231" s="137">
        <v>0</v>
      </c>
      <c r="U231" s="137">
        <v>1100</v>
      </c>
      <c r="V231" s="125">
        <v>0</v>
      </c>
      <c r="W231" s="137">
        <v>0</v>
      </c>
      <c r="X231" s="137">
        <v>0</v>
      </c>
      <c r="Y231" s="137">
        <v>2200</v>
      </c>
      <c r="Z231" s="125">
        <v>0</v>
      </c>
      <c r="AA231" s="137">
        <v>0</v>
      </c>
      <c r="AB231" s="137">
        <v>2200</v>
      </c>
      <c r="AC231" s="125">
        <v>0</v>
      </c>
      <c r="AD231" s="137">
        <v>0</v>
      </c>
      <c r="AE231" s="137">
        <v>0</v>
      </c>
      <c r="AF231" s="137">
        <v>3300</v>
      </c>
      <c r="AG231" s="125">
        <v>0</v>
      </c>
      <c r="AH231" s="123" t="s">
        <v>18</v>
      </c>
      <c r="AI231" s="137" t="s">
        <v>18</v>
      </c>
      <c r="AJ231" s="137" t="s">
        <v>18</v>
      </c>
      <c r="AK231" s="137" t="s">
        <v>18</v>
      </c>
      <c r="AL231" s="137" t="s">
        <v>18</v>
      </c>
      <c r="AM231" s="137" t="s">
        <v>18</v>
      </c>
      <c r="AN231" s="137" t="s">
        <v>18</v>
      </c>
      <c r="AO231" s="137" t="s">
        <v>18</v>
      </c>
      <c r="AP231" s="137" t="s">
        <v>18</v>
      </c>
      <c r="AQ231" s="137" t="s">
        <v>18</v>
      </c>
      <c r="AR231" s="137" t="s">
        <v>18</v>
      </c>
      <c r="AS231" s="137" t="s">
        <v>18</v>
      </c>
      <c r="AT231" s="137" t="s">
        <v>18</v>
      </c>
      <c r="AU231" s="137" t="s">
        <v>18</v>
      </c>
      <c r="AV231" s="137" t="s">
        <v>18</v>
      </c>
      <c r="AW231" s="137" t="s">
        <v>18</v>
      </c>
      <c r="AX231" s="137" t="s">
        <v>18</v>
      </c>
      <c r="AY231" s="137" t="s">
        <v>18</v>
      </c>
      <c r="AZ231" s="137" t="s">
        <v>18</v>
      </c>
      <c r="BA231" s="137" t="s">
        <v>18</v>
      </c>
      <c r="BB231" s="137" t="s">
        <v>18</v>
      </c>
      <c r="BC231" s="137" t="s">
        <v>18</v>
      </c>
    </row>
    <row r="232" spans="1:55" ht="15" customHeight="1" thickBot="1" x14ac:dyDescent="0.25">
      <c r="A232" s="138">
        <v>0.24812030075187969</v>
      </c>
      <c r="B232" s="139" t="s">
        <v>17</v>
      </c>
      <c r="C232" s="140" t="s">
        <v>18</v>
      </c>
      <c r="D232" s="141" t="s">
        <v>18</v>
      </c>
      <c r="E232" s="141" t="s">
        <v>18</v>
      </c>
      <c r="F232" s="142" t="s">
        <v>18</v>
      </c>
      <c r="G232" s="141">
        <v>1.5</v>
      </c>
      <c r="H232" s="142" t="s">
        <v>18</v>
      </c>
      <c r="I232" s="141" t="s">
        <v>18</v>
      </c>
      <c r="J232" s="141" t="s">
        <v>18</v>
      </c>
      <c r="K232" s="141" t="s">
        <v>18</v>
      </c>
      <c r="L232" s="141">
        <v>0.23404255319148937</v>
      </c>
      <c r="M232" s="142" t="s">
        <v>18</v>
      </c>
      <c r="N232" s="141" t="s">
        <v>18</v>
      </c>
      <c r="O232" s="142" t="s">
        <v>18</v>
      </c>
      <c r="P232" s="141" t="s">
        <v>18</v>
      </c>
      <c r="Q232" s="141" t="s">
        <v>18</v>
      </c>
      <c r="R232" s="141">
        <v>0.3707865168539326</v>
      </c>
      <c r="S232" s="142" t="s">
        <v>18</v>
      </c>
      <c r="T232" s="141" t="s">
        <v>18</v>
      </c>
      <c r="U232" s="141">
        <v>0.16923076923076924</v>
      </c>
      <c r="V232" s="142" t="s">
        <v>18</v>
      </c>
      <c r="W232" s="141" t="s">
        <v>18</v>
      </c>
      <c r="X232" s="141" t="s">
        <v>18</v>
      </c>
      <c r="Y232" s="141">
        <v>0.3235294117647059</v>
      </c>
      <c r="Z232" s="142" t="s">
        <v>18</v>
      </c>
      <c r="AA232" s="141" t="s">
        <v>18</v>
      </c>
      <c r="AB232" s="141">
        <v>0.41509433962264153</v>
      </c>
      <c r="AC232" s="142" t="s">
        <v>18</v>
      </c>
      <c r="AD232" s="141" t="s">
        <v>18</v>
      </c>
      <c r="AE232" s="141" t="s">
        <v>18</v>
      </c>
      <c r="AF232" s="141">
        <v>0.375</v>
      </c>
      <c r="AG232" s="142" t="s">
        <v>18</v>
      </c>
      <c r="AH232" s="140" t="s">
        <v>18</v>
      </c>
      <c r="AI232" s="141" t="s">
        <v>18</v>
      </c>
      <c r="AJ232" s="141" t="s">
        <v>18</v>
      </c>
      <c r="AK232" s="141" t="s">
        <v>18</v>
      </c>
      <c r="AL232" s="141" t="s">
        <v>18</v>
      </c>
      <c r="AM232" s="141" t="s">
        <v>18</v>
      </c>
      <c r="AN232" s="141" t="s">
        <v>18</v>
      </c>
      <c r="AO232" s="141" t="s">
        <v>18</v>
      </c>
      <c r="AP232" s="141" t="s">
        <v>18</v>
      </c>
      <c r="AQ232" s="141" t="s">
        <v>18</v>
      </c>
      <c r="AR232" s="141" t="s">
        <v>18</v>
      </c>
      <c r="AS232" s="141" t="s">
        <v>18</v>
      </c>
      <c r="AT232" s="141" t="s">
        <v>18</v>
      </c>
      <c r="AU232" s="141" t="s">
        <v>18</v>
      </c>
      <c r="AV232" s="141" t="s">
        <v>18</v>
      </c>
      <c r="AW232" s="141" t="s">
        <v>18</v>
      </c>
      <c r="AX232" s="141" t="s">
        <v>18</v>
      </c>
      <c r="AY232" s="141" t="s">
        <v>18</v>
      </c>
      <c r="AZ232" s="141" t="s">
        <v>18</v>
      </c>
      <c r="BA232" s="141" t="s">
        <v>18</v>
      </c>
      <c r="BB232" s="141" t="s">
        <v>18</v>
      </c>
      <c r="BC232" s="141" t="s">
        <v>18</v>
      </c>
    </row>
    <row r="233" spans="1:55" ht="15" customHeight="1" x14ac:dyDescent="0.2">
      <c r="A233" s="116" t="s">
        <v>1</v>
      </c>
      <c r="B233" s="117" t="s">
        <v>2</v>
      </c>
      <c r="C233" s="118">
        <v>26713</v>
      </c>
      <c r="D233" s="119">
        <v>26713</v>
      </c>
      <c r="E233" s="119">
        <v>26817</v>
      </c>
      <c r="F233" s="120">
        <v>26817</v>
      </c>
      <c r="G233" s="119">
        <v>26849</v>
      </c>
      <c r="H233" s="120">
        <v>26849</v>
      </c>
      <c r="I233" s="119">
        <v>26849</v>
      </c>
      <c r="J233" s="119">
        <v>26849</v>
      </c>
      <c r="K233" s="119">
        <v>26849</v>
      </c>
      <c r="L233" s="119">
        <v>26934</v>
      </c>
      <c r="M233" s="120">
        <v>26934</v>
      </c>
      <c r="N233" s="119">
        <v>27005</v>
      </c>
      <c r="O233" s="120">
        <v>27005</v>
      </c>
      <c r="P233" s="119">
        <v>27005</v>
      </c>
      <c r="Q233" s="119">
        <v>27005</v>
      </c>
      <c r="R233" s="119">
        <v>27110</v>
      </c>
      <c r="S233" s="120">
        <v>27110</v>
      </c>
      <c r="T233" s="119">
        <v>27110</v>
      </c>
      <c r="U233" s="119">
        <v>27152</v>
      </c>
      <c r="V233" s="120">
        <v>27152</v>
      </c>
      <c r="W233" s="119">
        <v>27152</v>
      </c>
      <c r="X233" s="119">
        <v>27152</v>
      </c>
      <c r="Y233" s="119">
        <v>27241</v>
      </c>
      <c r="Z233" s="120">
        <v>27241</v>
      </c>
      <c r="AA233" s="119">
        <v>27241</v>
      </c>
      <c r="AB233" s="119">
        <v>27276</v>
      </c>
      <c r="AC233" s="120">
        <v>27276</v>
      </c>
      <c r="AD233" s="119">
        <v>27276</v>
      </c>
      <c r="AE233" s="119">
        <v>27276</v>
      </c>
      <c r="AF233" s="119">
        <v>27349</v>
      </c>
      <c r="AG233" s="120">
        <v>27401</v>
      </c>
      <c r="AH233" s="118" t="s">
        <v>18</v>
      </c>
      <c r="AI233" s="119" t="s">
        <v>18</v>
      </c>
      <c r="AJ233" s="119" t="s">
        <v>18</v>
      </c>
      <c r="AK233" s="119" t="s">
        <v>18</v>
      </c>
      <c r="AL233" s="119" t="s">
        <v>18</v>
      </c>
      <c r="AM233" s="119" t="s">
        <v>18</v>
      </c>
      <c r="AN233" s="119" t="s">
        <v>18</v>
      </c>
      <c r="AO233" s="119" t="s">
        <v>18</v>
      </c>
      <c r="AP233" s="119" t="s">
        <v>18</v>
      </c>
      <c r="AQ233" s="119" t="s">
        <v>18</v>
      </c>
      <c r="AR233" s="119" t="s">
        <v>18</v>
      </c>
      <c r="AS233" s="119" t="s">
        <v>18</v>
      </c>
      <c r="AT233" s="119" t="s">
        <v>18</v>
      </c>
      <c r="AU233" s="119" t="s">
        <v>18</v>
      </c>
      <c r="AV233" s="119" t="s">
        <v>18</v>
      </c>
      <c r="AW233" s="119" t="s">
        <v>18</v>
      </c>
      <c r="AX233" s="119" t="s">
        <v>18</v>
      </c>
      <c r="AY233" s="119" t="s">
        <v>18</v>
      </c>
      <c r="AZ233" s="119" t="s">
        <v>18</v>
      </c>
      <c r="BA233" s="119" t="s">
        <v>18</v>
      </c>
      <c r="BB233" s="119" t="s">
        <v>18</v>
      </c>
      <c r="BC233" s="119" t="s">
        <v>18</v>
      </c>
    </row>
    <row r="234" spans="1:55" ht="15" customHeight="1" x14ac:dyDescent="0.2">
      <c r="A234" s="121" t="s">
        <v>19</v>
      </c>
      <c r="B234" s="122" t="s">
        <v>4</v>
      </c>
      <c r="C234" s="123">
        <v>948</v>
      </c>
      <c r="D234" s="124">
        <v>948</v>
      </c>
      <c r="E234" s="124">
        <v>950</v>
      </c>
      <c r="F234" s="125">
        <v>950</v>
      </c>
      <c r="G234" s="124">
        <v>950</v>
      </c>
      <c r="H234" s="125">
        <v>950</v>
      </c>
      <c r="I234" s="124">
        <v>950</v>
      </c>
      <c r="J234" s="124">
        <v>950</v>
      </c>
      <c r="K234" s="124">
        <v>950</v>
      </c>
      <c r="L234" s="124">
        <v>951</v>
      </c>
      <c r="M234" s="125">
        <v>951</v>
      </c>
      <c r="N234" s="124">
        <v>954</v>
      </c>
      <c r="O234" s="125">
        <v>954</v>
      </c>
      <c r="P234" s="124">
        <v>954</v>
      </c>
      <c r="Q234" s="124">
        <v>954</v>
      </c>
      <c r="R234" s="124">
        <v>955</v>
      </c>
      <c r="S234" s="125">
        <v>955</v>
      </c>
      <c r="T234" s="124">
        <v>955</v>
      </c>
      <c r="U234" s="124">
        <v>956</v>
      </c>
      <c r="V234" s="125">
        <v>956</v>
      </c>
      <c r="W234" s="124">
        <v>956</v>
      </c>
      <c r="X234" s="124">
        <v>956</v>
      </c>
      <c r="Y234" s="124">
        <v>957</v>
      </c>
      <c r="Z234" s="125">
        <v>957</v>
      </c>
      <c r="AA234" s="124">
        <v>957</v>
      </c>
      <c r="AB234" s="124">
        <v>957</v>
      </c>
      <c r="AC234" s="125">
        <v>957</v>
      </c>
      <c r="AD234" s="124">
        <v>957</v>
      </c>
      <c r="AE234" s="124">
        <v>957</v>
      </c>
      <c r="AF234" s="124">
        <v>962</v>
      </c>
      <c r="AG234" s="125">
        <v>965</v>
      </c>
      <c r="AH234" s="123" t="s">
        <v>18</v>
      </c>
      <c r="AI234" s="124" t="s">
        <v>18</v>
      </c>
      <c r="AJ234" s="124" t="s">
        <v>18</v>
      </c>
      <c r="AK234" s="124" t="s">
        <v>18</v>
      </c>
      <c r="AL234" s="124" t="s">
        <v>18</v>
      </c>
      <c r="AM234" s="124" t="s">
        <v>18</v>
      </c>
      <c r="AN234" s="124" t="s">
        <v>18</v>
      </c>
      <c r="AO234" s="124" t="s">
        <v>18</v>
      </c>
      <c r="AP234" s="124" t="s">
        <v>18</v>
      </c>
      <c r="AQ234" s="124" t="s">
        <v>18</v>
      </c>
      <c r="AR234" s="124" t="s">
        <v>18</v>
      </c>
      <c r="AS234" s="124" t="s">
        <v>18</v>
      </c>
      <c r="AT234" s="124" t="s">
        <v>18</v>
      </c>
      <c r="AU234" s="124" t="s">
        <v>18</v>
      </c>
      <c r="AV234" s="124" t="s">
        <v>18</v>
      </c>
      <c r="AW234" s="124" t="s">
        <v>18</v>
      </c>
      <c r="AX234" s="124" t="s">
        <v>18</v>
      </c>
      <c r="AY234" s="124" t="s">
        <v>18</v>
      </c>
      <c r="AZ234" s="124" t="s">
        <v>18</v>
      </c>
      <c r="BA234" s="124" t="s">
        <v>18</v>
      </c>
      <c r="BB234" s="124" t="s">
        <v>18</v>
      </c>
      <c r="BC234" s="124" t="s">
        <v>18</v>
      </c>
    </row>
    <row r="235" spans="1:55" ht="15" customHeight="1" x14ac:dyDescent="0.25">
      <c r="A235" s="143">
        <v>1</v>
      </c>
      <c r="B235" s="122" t="s">
        <v>5</v>
      </c>
      <c r="C235" s="123">
        <v>12</v>
      </c>
      <c r="D235" s="124">
        <v>12</v>
      </c>
      <c r="E235" s="124">
        <v>10</v>
      </c>
      <c r="F235" s="125">
        <v>11</v>
      </c>
      <c r="G235" s="124">
        <v>11</v>
      </c>
      <c r="H235" s="125">
        <v>11</v>
      </c>
      <c r="I235" s="124">
        <v>11</v>
      </c>
      <c r="J235" s="124">
        <v>11</v>
      </c>
      <c r="K235" s="124">
        <v>11</v>
      </c>
      <c r="L235" s="124">
        <v>11</v>
      </c>
      <c r="M235" s="125">
        <v>11</v>
      </c>
      <c r="N235" s="124">
        <v>7</v>
      </c>
      <c r="O235" s="125">
        <v>7</v>
      </c>
      <c r="P235" s="124">
        <v>7</v>
      </c>
      <c r="Q235" s="124">
        <v>7</v>
      </c>
      <c r="R235" s="124">
        <v>6</v>
      </c>
      <c r="S235" s="125">
        <v>11</v>
      </c>
      <c r="T235" s="124">
        <v>11</v>
      </c>
      <c r="U235" s="124">
        <v>10</v>
      </c>
      <c r="V235" s="125">
        <v>10</v>
      </c>
      <c r="W235" s="124">
        <v>10</v>
      </c>
      <c r="X235" s="124">
        <v>10</v>
      </c>
      <c r="Y235" s="124">
        <v>9</v>
      </c>
      <c r="Z235" s="125">
        <v>9</v>
      </c>
      <c r="AA235" s="124">
        <v>9</v>
      </c>
      <c r="AB235" s="124">
        <v>9</v>
      </c>
      <c r="AC235" s="125">
        <v>11</v>
      </c>
      <c r="AD235" s="124">
        <v>11</v>
      </c>
      <c r="AE235" s="124">
        <v>11</v>
      </c>
      <c r="AF235" s="124">
        <v>10</v>
      </c>
      <c r="AG235" s="125">
        <v>11</v>
      </c>
      <c r="AH235" s="123" t="s">
        <v>18</v>
      </c>
      <c r="AI235" s="124" t="s">
        <v>18</v>
      </c>
      <c r="AJ235" s="124" t="s">
        <v>18</v>
      </c>
      <c r="AK235" s="124" t="s">
        <v>18</v>
      </c>
      <c r="AL235" s="124" t="s">
        <v>18</v>
      </c>
      <c r="AM235" s="124" t="s">
        <v>18</v>
      </c>
      <c r="AN235" s="124" t="s">
        <v>18</v>
      </c>
      <c r="AO235" s="124" t="s">
        <v>18</v>
      </c>
      <c r="AP235" s="124" t="s">
        <v>18</v>
      </c>
      <c r="AQ235" s="124" t="s">
        <v>18</v>
      </c>
      <c r="AR235" s="124" t="s">
        <v>18</v>
      </c>
      <c r="AS235" s="124" t="s">
        <v>18</v>
      </c>
      <c r="AT235" s="124" t="s">
        <v>18</v>
      </c>
      <c r="AU235" s="124" t="s">
        <v>18</v>
      </c>
      <c r="AV235" s="124" t="s">
        <v>18</v>
      </c>
      <c r="AW235" s="124" t="s">
        <v>18</v>
      </c>
      <c r="AX235" s="124" t="s">
        <v>18</v>
      </c>
      <c r="AY235" s="124" t="s">
        <v>18</v>
      </c>
      <c r="AZ235" s="124" t="s">
        <v>18</v>
      </c>
      <c r="BA235" s="124" t="s">
        <v>18</v>
      </c>
      <c r="BB235" s="124" t="s">
        <v>18</v>
      </c>
      <c r="BC235" s="124" t="s">
        <v>18</v>
      </c>
    </row>
    <row r="236" spans="1:55" ht="15" customHeight="1" x14ac:dyDescent="0.25">
      <c r="A236" s="144" t="s">
        <v>20</v>
      </c>
      <c r="B236" s="122" t="s">
        <v>6</v>
      </c>
      <c r="C236" s="123"/>
      <c r="D236" s="124"/>
      <c r="E236" s="124">
        <v>1</v>
      </c>
      <c r="F236" s="125"/>
      <c r="G236" s="124"/>
      <c r="H236" s="125"/>
      <c r="I236" s="124"/>
      <c r="J236" s="124"/>
      <c r="K236" s="124"/>
      <c r="L236" s="124"/>
      <c r="M236" s="125"/>
      <c r="N236" s="124"/>
      <c r="O236" s="125"/>
      <c r="P236" s="124"/>
      <c r="Q236" s="124"/>
      <c r="R236" s="124">
        <v>5</v>
      </c>
      <c r="S236" s="125"/>
      <c r="T236" s="124"/>
      <c r="U236" s="124"/>
      <c r="V236" s="125"/>
      <c r="W236" s="124"/>
      <c r="X236" s="124"/>
      <c r="Y236" s="124"/>
      <c r="Z236" s="125"/>
      <c r="AA236" s="124"/>
      <c r="AB236" s="124">
        <v>2</v>
      </c>
      <c r="AC236" s="125"/>
      <c r="AD236" s="124"/>
      <c r="AE236" s="124"/>
      <c r="AF236" s="124">
        <v>2</v>
      </c>
      <c r="AG236" s="125">
        <v>1</v>
      </c>
      <c r="AH236" s="123"/>
      <c r="AI236" s="124"/>
      <c r="AJ236" s="124"/>
      <c r="AK236" s="124"/>
      <c r="AL236" s="124"/>
      <c r="AM236" s="124"/>
      <c r="AN236" s="124"/>
      <c r="AO236" s="124"/>
      <c r="AP236" s="124"/>
      <c r="AQ236" s="124"/>
      <c r="AR236" s="124"/>
      <c r="AS236" s="124"/>
      <c r="AT236" s="124"/>
      <c r="AU236" s="124"/>
      <c r="AV236" s="124"/>
      <c r="AW236" s="124"/>
      <c r="AX236" s="124"/>
      <c r="AY236" s="124"/>
      <c r="AZ236" s="124"/>
      <c r="BA236" s="124"/>
      <c r="BB236" s="124"/>
      <c r="BC236" s="124"/>
    </row>
    <row r="237" spans="1:55" ht="15" customHeight="1" x14ac:dyDescent="0.25">
      <c r="A237" s="145">
        <v>309400</v>
      </c>
      <c r="B237" s="122" t="s">
        <v>8</v>
      </c>
      <c r="C237" s="129">
        <v>780</v>
      </c>
      <c r="D237" s="130">
        <v>780</v>
      </c>
      <c r="E237" s="130">
        <v>780</v>
      </c>
      <c r="F237" s="131">
        <v>780</v>
      </c>
      <c r="G237" s="130">
        <v>780</v>
      </c>
      <c r="H237" s="131">
        <v>780</v>
      </c>
      <c r="I237" s="130">
        <v>780</v>
      </c>
      <c r="J237" s="130">
        <v>780</v>
      </c>
      <c r="K237" s="130">
        <v>780</v>
      </c>
      <c r="L237" s="130">
        <v>780</v>
      </c>
      <c r="M237" s="131">
        <v>780</v>
      </c>
      <c r="N237" s="130">
        <v>780</v>
      </c>
      <c r="O237" s="131">
        <v>780</v>
      </c>
      <c r="P237" s="130">
        <v>780</v>
      </c>
      <c r="Q237" s="130">
        <v>780</v>
      </c>
      <c r="R237" s="130">
        <v>780</v>
      </c>
      <c r="S237" s="131">
        <v>780</v>
      </c>
      <c r="T237" s="130">
        <v>780</v>
      </c>
      <c r="U237" s="130">
        <v>780</v>
      </c>
      <c r="V237" s="131">
        <v>780</v>
      </c>
      <c r="W237" s="130">
        <v>780</v>
      </c>
      <c r="X237" s="130">
        <v>780</v>
      </c>
      <c r="Y237" s="130">
        <v>780</v>
      </c>
      <c r="Z237" s="131">
        <v>780</v>
      </c>
      <c r="AA237" s="130">
        <v>780</v>
      </c>
      <c r="AB237" s="130">
        <v>780</v>
      </c>
      <c r="AC237" s="131">
        <v>1100</v>
      </c>
      <c r="AD237" s="130">
        <v>1100</v>
      </c>
      <c r="AE237" s="130">
        <v>1100</v>
      </c>
      <c r="AF237" s="130">
        <v>1100</v>
      </c>
      <c r="AG237" s="131">
        <v>1100</v>
      </c>
      <c r="AH237" s="129" t="s">
        <v>18</v>
      </c>
      <c r="AI237" s="130" t="s">
        <v>18</v>
      </c>
      <c r="AJ237" s="130" t="s">
        <v>18</v>
      </c>
      <c r="AK237" s="130" t="s">
        <v>18</v>
      </c>
      <c r="AL237" s="130" t="s">
        <v>18</v>
      </c>
      <c r="AM237" s="130" t="s">
        <v>18</v>
      </c>
      <c r="AN237" s="130" t="s">
        <v>18</v>
      </c>
      <c r="AO237" s="130" t="s">
        <v>18</v>
      </c>
      <c r="AP237" s="130" t="s">
        <v>18</v>
      </c>
      <c r="AQ237" s="130" t="s">
        <v>18</v>
      </c>
      <c r="AR237" s="130" t="s">
        <v>18</v>
      </c>
      <c r="AS237" s="130" t="s">
        <v>18</v>
      </c>
      <c r="AT237" s="130" t="s">
        <v>18</v>
      </c>
      <c r="AU237" s="130" t="s">
        <v>18</v>
      </c>
      <c r="AV237" s="130" t="s">
        <v>18</v>
      </c>
      <c r="AW237" s="130" t="s">
        <v>18</v>
      </c>
      <c r="AX237" s="130" t="s">
        <v>18</v>
      </c>
      <c r="AY237" s="130" t="s">
        <v>18</v>
      </c>
      <c r="AZ237" s="130" t="s">
        <v>18</v>
      </c>
      <c r="BA237" s="130" t="s">
        <v>18</v>
      </c>
      <c r="BB237" s="130" t="s">
        <v>18</v>
      </c>
      <c r="BC237" s="130" t="s">
        <v>18</v>
      </c>
    </row>
    <row r="238" spans="1:55" ht="15" customHeight="1" x14ac:dyDescent="0.2">
      <c r="A238" s="127" t="s">
        <v>9</v>
      </c>
      <c r="B238" s="132" t="s">
        <v>10</v>
      </c>
      <c r="C238" s="133" t="s">
        <v>21</v>
      </c>
      <c r="D238" s="134" t="s">
        <v>21</v>
      </c>
      <c r="E238" s="134" t="s">
        <v>21</v>
      </c>
      <c r="F238" s="135" t="s">
        <v>21</v>
      </c>
      <c r="G238" s="134" t="s">
        <v>21</v>
      </c>
      <c r="H238" s="135" t="s">
        <v>21</v>
      </c>
      <c r="I238" s="134" t="s">
        <v>21</v>
      </c>
      <c r="J238" s="134" t="s">
        <v>21</v>
      </c>
      <c r="K238" s="134" t="s">
        <v>21</v>
      </c>
      <c r="L238" s="134" t="s">
        <v>21</v>
      </c>
      <c r="M238" s="135" t="s">
        <v>21</v>
      </c>
      <c r="N238" s="134" t="s">
        <v>21</v>
      </c>
      <c r="O238" s="135" t="s">
        <v>21</v>
      </c>
      <c r="P238" s="134" t="s">
        <v>21</v>
      </c>
      <c r="Q238" s="134" t="s">
        <v>21</v>
      </c>
      <c r="R238" s="134" t="s">
        <v>21</v>
      </c>
      <c r="S238" s="135" t="s">
        <v>21</v>
      </c>
      <c r="T238" s="134" t="s">
        <v>21</v>
      </c>
      <c r="U238" s="134" t="s">
        <v>21</v>
      </c>
      <c r="V238" s="135" t="s">
        <v>21</v>
      </c>
      <c r="W238" s="134" t="s">
        <v>21</v>
      </c>
      <c r="X238" s="134" t="s">
        <v>21</v>
      </c>
      <c r="Y238" s="134" t="s">
        <v>21</v>
      </c>
      <c r="Z238" s="135" t="s">
        <v>21</v>
      </c>
      <c r="AA238" s="134" t="s">
        <v>21</v>
      </c>
      <c r="AB238" s="134" t="s">
        <v>21</v>
      </c>
      <c r="AC238" s="135" t="s">
        <v>154</v>
      </c>
      <c r="AD238" s="134" t="s">
        <v>154</v>
      </c>
      <c r="AE238" s="134" t="s">
        <v>154</v>
      </c>
      <c r="AF238" s="134" t="s">
        <v>154</v>
      </c>
      <c r="AG238" s="135" t="s">
        <v>154</v>
      </c>
      <c r="AH238" s="133" t="s">
        <v>18</v>
      </c>
      <c r="AI238" s="134" t="s">
        <v>18</v>
      </c>
      <c r="AJ238" s="134" t="s">
        <v>18</v>
      </c>
      <c r="AK238" s="134" t="s">
        <v>18</v>
      </c>
      <c r="AL238" s="134" t="s">
        <v>18</v>
      </c>
      <c r="AM238" s="134" t="s">
        <v>18</v>
      </c>
      <c r="AN238" s="134" t="s">
        <v>18</v>
      </c>
      <c r="AO238" s="134" t="s">
        <v>18</v>
      </c>
      <c r="AP238" s="134" t="s">
        <v>18</v>
      </c>
      <c r="AQ238" s="134" t="s">
        <v>18</v>
      </c>
      <c r="AR238" s="134" t="s">
        <v>18</v>
      </c>
      <c r="AS238" s="134" t="s">
        <v>18</v>
      </c>
      <c r="AT238" s="134" t="s">
        <v>18</v>
      </c>
      <c r="AU238" s="134" t="s">
        <v>18</v>
      </c>
      <c r="AV238" s="134" t="s">
        <v>18</v>
      </c>
      <c r="AW238" s="134" t="s">
        <v>18</v>
      </c>
      <c r="AX238" s="134" t="s">
        <v>18</v>
      </c>
      <c r="AY238" s="134" t="s">
        <v>18</v>
      </c>
      <c r="AZ238" s="134" t="s">
        <v>18</v>
      </c>
      <c r="BA238" s="134" t="s">
        <v>18</v>
      </c>
      <c r="BB238" s="134" t="s">
        <v>18</v>
      </c>
      <c r="BC238" s="134" t="s">
        <v>18</v>
      </c>
    </row>
    <row r="239" spans="1:55" ht="15" customHeight="1" x14ac:dyDescent="0.2">
      <c r="A239" s="128">
        <v>66580.645161290333</v>
      </c>
      <c r="B239" s="122" t="s">
        <v>12</v>
      </c>
      <c r="C239" s="123"/>
      <c r="D239" s="124"/>
      <c r="E239" s="124"/>
      <c r="F239" s="125"/>
      <c r="G239" s="124"/>
      <c r="H239" s="125"/>
      <c r="I239" s="124"/>
      <c r="J239" s="124"/>
      <c r="K239" s="124"/>
      <c r="L239" s="124"/>
      <c r="M239" s="125"/>
      <c r="N239" s="124"/>
      <c r="O239" s="125"/>
      <c r="P239" s="124"/>
      <c r="Q239" s="124"/>
      <c r="R239" s="124"/>
      <c r="S239" s="125"/>
      <c r="T239" s="124"/>
      <c r="U239" s="124"/>
      <c r="V239" s="125"/>
      <c r="W239" s="124"/>
      <c r="X239" s="124"/>
      <c r="Y239" s="124"/>
      <c r="Z239" s="125"/>
      <c r="AA239" s="124"/>
      <c r="AB239" s="124"/>
      <c r="AC239" s="125" t="s">
        <v>230</v>
      </c>
      <c r="AD239" s="124"/>
      <c r="AE239" s="124"/>
      <c r="AF239" s="124"/>
      <c r="AG239" s="125"/>
      <c r="AH239" s="123"/>
      <c r="AI239" s="124"/>
      <c r="AJ239" s="124"/>
      <c r="AK239" s="124"/>
      <c r="AL239" s="124"/>
      <c r="AM239" s="124"/>
      <c r="AN239" s="124"/>
      <c r="AO239" s="124"/>
      <c r="AP239" s="124"/>
      <c r="AQ239" s="124"/>
      <c r="AR239" s="124"/>
      <c r="AS239" s="124"/>
      <c r="AT239" s="124"/>
      <c r="AU239" s="124"/>
      <c r="AV239" s="124"/>
      <c r="AW239" s="124"/>
      <c r="AX239" s="124"/>
      <c r="AY239" s="124"/>
      <c r="AZ239" s="124"/>
      <c r="BA239" s="124"/>
      <c r="BB239" s="124"/>
      <c r="BC239" s="124"/>
    </row>
    <row r="240" spans="1:55" ht="15" customHeight="1" x14ac:dyDescent="0.2">
      <c r="A240" s="128">
        <v>688</v>
      </c>
      <c r="B240" s="136" t="s">
        <v>13</v>
      </c>
      <c r="C240" s="123">
        <v>0</v>
      </c>
      <c r="D240" s="137">
        <v>0</v>
      </c>
      <c r="E240" s="137">
        <v>104</v>
      </c>
      <c r="F240" s="125">
        <v>0</v>
      </c>
      <c r="G240" s="137">
        <v>32</v>
      </c>
      <c r="H240" s="125">
        <v>0</v>
      </c>
      <c r="I240" s="137">
        <v>0</v>
      </c>
      <c r="J240" s="137">
        <v>0</v>
      </c>
      <c r="K240" s="137">
        <v>0</v>
      </c>
      <c r="L240" s="137">
        <v>85</v>
      </c>
      <c r="M240" s="125">
        <v>0</v>
      </c>
      <c r="N240" s="137">
        <v>71</v>
      </c>
      <c r="O240" s="125">
        <v>0</v>
      </c>
      <c r="P240" s="137">
        <v>0</v>
      </c>
      <c r="Q240" s="137">
        <v>0</v>
      </c>
      <c r="R240" s="137">
        <v>105</v>
      </c>
      <c r="S240" s="125">
        <v>0</v>
      </c>
      <c r="T240" s="137">
        <v>0</v>
      </c>
      <c r="U240" s="137">
        <v>42</v>
      </c>
      <c r="V240" s="125">
        <v>0</v>
      </c>
      <c r="W240" s="137">
        <v>0</v>
      </c>
      <c r="X240" s="137">
        <v>0</v>
      </c>
      <c r="Y240" s="137">
        <v>89</v>
      </c>
      <c r="Z240" s="125">
        <v>0</v>
      </c>
      <c r="AA240" s="137">
        <v>0</v>
      </c>
      <c r="AB240" s="137">
        <v>35</v>
      </c>
      <c r="AC240" s="125">
        <v>0</v>
      </c>
      <c r="AD240" s="137">
        <v>0</v>
      </c>
      <c r="AE240" s="137">
        <v>0</v>
      </c>
      <c r="AF240" s="137">
        <v>73</v>
      </c>
      <c r="AG240" s="125">
        <v>52</v>
      </c>
      <c r="AH240" s="123" t="s">
        <v>18</v>
      </c>
      <c r="AI240" s="137" t="s">
        <v>18</v>
      </c>
      <c r="AJ240" s="137" t="s">
        <v>18</v>
      </c>
      <c r="AK240" s="137" t="s">
        <v>18</v>
      </c>
      <c r="AL240" s="137" t="s">
        <v>18</v>
      </c>
      <c r="AM240" s="137" t="s">
        <v>18</v>
      </c>
      <c r="AN240" s="137" t="s">
        <v>18</v>
      </c>
      <c r="AO240" s="137" t="s">
        <v>18</v>
      </c>
      <c r="AP240" s="137" t="s">
        <v>18</v>
      </c>
      <c r="AQ240" s="137" t="s">
        <v>18</v>
      </c>
      <c r="AR240" s="137" t="s">
        <v>18</v>
      </c>
      <c r="AS240" s="137" t="s">
        <v>18</v>
      </c>
      <c r="AT240" s="137" t="s">
        <v>18</v>
      </c>
      <c r="AU240" s="137" t="s">
        <v>18</v>
      </c>
      <c r="AV240" s="137" t="s">
        <v>18</v>
      </c>
      <c r="AW240" s="137" t="s">
        <v>18</v>
      </c>
      <c r="AX240" s="137" t="s">
        <v>18</v>
      </c>
      <c r="AY240" s="137" t="s">
        <v>18</v>
      </c>
      <c r="AZ240" s="137" t="s">
        <v>18</v>
      </c>
      <c r="BA240" s="137" t="s">
        <v>18</v>
      </c>
      <c r="BB240" s="137" t="s">
        <v>18</v>
      </c>
      <c r="BC240" s="137" t="s">
        <v>18</v>
      </c>
    </row>
    <row r="241" spans="1:55" ht="15" customHeight="1" x14ac:dyDescent="0.2">
      <c r="A241" s="128">
        <v>17</v>
      </c>
      <c r="B241" s="136" t="s">
        <v>14</v>
      </c>
      <c r="C241" s="123">
        <v>0</v>
      </c>
      <c r="D241" s="137">
        <v>0</v>
      </c>
      <c r="E241" s="137">
        <v>2</v>
      </c>
      <c r="F241" s="125">
        <v>0</v>
      </c>
      <c r="G241" s="137">
        <v>0</v>
      </c>
      <c r="H241" s="125">
        <v>0</v>
      </c>
      <c r="I241" s="137">
        <v>0</v>
      </c>
      <c r="J241" s="137">
        <v>0</v>
      </c>
      <c r="K241" s="137">
        <v>0</v>
      </c>
      <c r="L241" s="137">
        <v>1</v>
      </c>
      <c r="M241" s="125">
        <v>0</v>
      </c>
      <c r="N241" s="137">
        <v>3</v>
      </c>
      <c r="O241" s="125">
        <v>0</v>
      </c>
      <c r="P241" s="137">
        <v>0</v>
      </c>
      <c r="Q241" s="137">
        <v>0</v>
      </c>
      <c r="R241" s="137">
        <v>1</v>
      </c>
      <c r="S241" s="125">
        <v>0</v>
      </c>
      <c r="T241" s="137">
        <v>0</v>
      </c>
      <c r="U241" s="137">
        <v>1</v>
      </c>
      <c r="V241" s="125">
        <v>0</v>
      </c>
      <c r="W241" s="137">
        <v>0</v>
      </c>
      <c r="X241" s="137">
        <v>0</v>
      </c>
      <c r="Y241" s="137">
        <v>1</v>
      </c>
      <c r="Z241" s="125">
        <v>0</v>
      </c>
      <c r="AA241" s="137">
        <v>0</v>
      </c>
      <c r="AB241" s="137">
        <v>0</v>
      </c>
      <c r="AC241" s="125">
        <v>0</v>
      </c>
      <c r="AD241" s="137">
        <v>0</v>
      </c>
      <c r="AE241" s="137">
        <v>0</v>
      </c>
      <c r="AF241" s="137">
        <v>5</v>
      </c>
      <c r="AG241" s="125">
        <v>3</v>
      </c>
      <c r="AH241" s="123" t="s">
        <v>18</v>
      </c>
      <c r="AI241" s="137" t="s">
        <v>18</v>
      </c>
      <c r="AJ241" s="137" t="s">
        <v>18</v>
      </c>
      <c r="AK241" s="137" t="s">
        <v>18</v>
      </c>
      <c r="AL241" s="137" t="s">
        <v>18</v>
      </c>
      <c r="AM241" s="137" t="s">
        <v>18</v>
      </c>
      <c r="AN241" s="137" t="s">
        <v>18</v>
      </c>
      <c r="AO241" s="137" t="s">
        <v>18</v>
      </c>
      <c r="AP241" s="137" t="s">
        <v>18</v>
      </c>
      <c r="AQ241" s="137" t="s">
        <v>18</v>
      </c>
      <c r="AR241" s="137" t="s">
        <v>18</v>
      </c>
      <c r="AS241" s="137" t="s">
        <v>18</v>
      </c>
      <c r="AT241" s="137" t="s">
        <v>18</v>
      </c>
      <c r="AU241" s="137" t="s">
        <v>18</v>
      </c>
      <c r="AV241" s="137" t="s">
        <v>18</v>
      </c>
      <c r="AW241" s="137" t="s">
        <v>18</v>
      </c>
      <c r="AX241" s="137" t="s">
        <v>18</v>
      </c>
      <c r="AY241" s="137" t="s">
        <v>18</v>
      </c>
      <c r="AZ241" s="137" t="s">
        <v>18</v>
      </c>
      <c r="BA241" s="137" t="s">
        <v>18</v>
      </c>
      <c r="BB241" s="137" t="s">
        <v>18</v>
      </c>
      <c r="BC241" s="137" t="s">
        <v>18</v>
      </c>
    </row>
    <row r="242" spans="1:55" ht="15" customHeight="1" x14ac:dyDescent="0.2">
      <c r="A242" s="128">
        <v>11</v>
      </c>
      <c r="B242" s="136" t="s">
        <v>15</v>
      </c>
      <c r="C242" s="123">
        <v>0</v>
      </c>
      <c r="D242" s="137">
        <v>0</v>
      </c>
      <c r="E242" s="137">
        <v>2</v>
      </c>
      <c r="F242" s="125">
        <v>0</v>
      </c>
      <c r="G242" s="137">
        <v>0</v>
      </c>
      <c r="H242" s="125">
        <v>0</v>
      </c>
      <c r="I242" s="137">
        <v>0</v>
      </c>
      <c r="J242" s="137">
        <v>0</v>
      </c>
      <c r="K242" s="137">
        <v>0</v>
      </c>
      <c r="L242" s="137">
        <v>0</v>
      </c>
      <c r="M242" s="125">
        <v>0</v>
      </c>
      <c r="N242" s="137">
        <v>4</v>
      </c>
      <c r="O242" s="125">
        <v>0</v>
      </c>
      <c r="P242" s="137">
        <v>0</v>
      </c>
      <c r="Q242" s="137">
        <v>0</v>
      </c>
      <c r="R242" s="137">
        <v>1</v>
      </c>
      <c r="S242" s="125">
        <v>0</v>
      </c>
      <c r="T242" s="137">
        <v>0</v>
      </c>
      <c r="U242" s="137">
        <v>1</v>
      </c>
      <c r="V242" s="125">
        <v>0</v>
      </c>
      <c r="W242" s="137">
        <v>0</v>
      </c>
      <c r="X242" s="137">
        <v>0</v>
      </c>
      <c r="Y242" s="137">
        <v>1</v>
      </c>
      <c r="Z242" s="125">
        <v>0</v>
      </c>
      <c r="AA242" s="137">
        <v>0</v>
      </c>
      <c r="AB242" s="137">
        <v>0</v>
      </c>
      <c r="AC242" s="125">
        <v>0</v>
      </c>
      <c r="AD242" s="137">
        <v>0</v>
      </c>
      <c r="AE242" s="137">
        <v>0</v>
      </c>
      <c r="AF242" s="137">
        <v>1</v>
      </c>
      <c r="AG242" s="125">
        <v>1</v>
      </c>
      <c r="AH242" s="123" t="s">
        <v>18</v>
      </c>
      <c r="AI242" s="137" t="s">
        <v>18</v>
      </c>
      <c r="AJ242" s="137" t="s">
        <v>18</v>
      </c>
      <c r="AK242" s="137" t="s">
        <v>18</v>
      </c>
      <c r="AL242" s="137" t="s">
        <v>18</v>
      </c>
      <c r="AM242" s="137" t="s">
        <v>18</v>
      </c>
      <c r="AN242" s="137" t="s">
        <v>18</v>
      </c>
      <c r="AO242" s="137" t="s">
        <v>18</v>
      </c>
      <c r="AP242" s="137" t="s">
        <v>18</v>
      </c>
      <c r="AQ242" s="137" t="s">
        <v>18</v>
      </c>
      <c r="AR242" s="137" t="s">
        <v>18</v>
      </c>
      <c r="AS242" s="137" t="s">
        <v>18</v>
      </c>
      <c r="AT242" s="137" t="s">
        <v>18</v>
      </c>
      <c r="AU242" s="137" t="s">
        <v>18</v>
      </c>
      <c r="AV242" s="137" t="s">
        <v>18</v>
      </c>
      <c r="AW242" s="137" t="s">
        <v>18</v>
      </c>
      <c r="AX242" s="137" t="s">
        <v>18</v>
      </c>
      <c r="AY242" s="137" t="s">
        <v>18</v>
      </c>
      <c r="AZ242" s="137" t="s">
        <v>18</v>
      </c>
      <c r="BA242" s="137" t="s">
        <v>18</v>
      </c>
      <c r="BB242" s="137" t="s">
        <v>18</v>
      </c>
      <c r="BC242" s="137" t="s">
        <v>18</v>
      </c>
    </row>
    <row r="243" spans="1:55" ht="15" customHeight="1" x14ac:dyDescent="0.2">
      <c r="A243" s="128">
        <v>9220</v>
      </c>
      <c r="B243" s="136" t="s">
        <v>16</v>
      </c>
      <c r="C243" s="123">
        <v>0</v>
      </c>
      <c r="D243" s="137">
        <v>0</v>
      </c>
      <c r="E243" s="137">
        <v>1560</v>
      </c>
      <c r="F243" s="125">
        <v>0</v>
      </c>
      <c r="G243" s="137">
        <v>0</v>
      </c>
      <c r="H243" s="125">
        <v>0</v>
      </c>
      <c r="I243" s="137">
        <v>0</v>
      </c>
      <c r="J243" s="137">
        <v>0</v>
      </c>
      <c r="K243" s="137">
        <v>0</v>
      </c>
      <c r="L243" s="137">
        <v>0</v>
      </c>
      <c r="M243" s="125">
        <v>0</v>
      </c>
      <c r="N243" s="137">
        <v>3120</v>
      </c>
      <c r="O243" s="125">
        <v>0</v>
      </c>
      <c r="P243" s="137">
        <v>0</v>
      </c>
      <c r="Q243" s="137">
        <v>0</v>
      </c>
      <c r="R243" s="137">
        <v>780</v>
      </c>
      <c r="S243" s="125">
        <v>0</v>
      </c>
      <c r="T243" s="137">
        <v>0</v>
      </c>
      <c r="U243" s="137">
        <v>780</v>
      </c>
      <c r="V243" s="125">
        <v>0</v>
      </c>
      <c r="W243" s="137">
        <v>0</v>
      </c>
      <c r="X243" s="137">
        <v>0</v>
      </c>
      <c r="Y243" s="137">
        <v>780</v>
      </c>
      <c r="Z243" s="125">
        <v>0</v>
      </c>
      <c r="AA243" s="137">
        <v>0</v>
      </c>
      <c r="AB243" s="137">
        <v>0</v>
      </c>
      <c r="AC243" s="125">
        <v>0</v>
      </c>
      <c r="AD243" s="137">
        <v>0</v>
      </c>
      <c r="AE243" s="137">
        <v>0</v>
      </c>
      <c r="AF243" s="137">
        <v>1100</v>
      </c>
      <c r="AG243" s="125">
        <v>1100</v>
      </c>
      <c r="AH243" s="123" t="s">
        <v>18</v>
      </c>
      <c r="AI243" s="137" t="s">
        <v>18</v>
      </c>
      <c r="AJ243" s="137" t="s">
        <v>18</v>
      </c>
      <c r="AK243" s="137" t="s">
        <v>18</v>
      </c>
      <c r="AL243" s="137" t="s">
        <v>18</v>
      </c>
      <c r="AM243" s="137" t="s">
        <v>18</v>
      </c>
      <c r="AN243" s="137" t="s">
        <v>18</v>
      </c>
      <c r="AO243" s="137" t="s">
        <v>18</v>
      </c>
      <c r="AP243" s="137" t="s">
        <v>18</v>
      </c>
      <c r="AQ243" s="137" t="s">
        <v>18</v>
      </c>
      <c r="AR243" s="137" t="s">
        <v>18</v>
      </c>
      <c r="AS243" s="137" t="s">
        <v>18</v>
      </c>
      <c r="AT243" s="137" t="s">
        <v>18</v>
      </c>
      <c r="AU243" s="137" t="s">
        <v>18</v>
      </c>
      <c r="AV243" s="137" t="s">
        <v>18</v>
      </c>
      <c r="AW243" s="137" t="s">
        <v>18</v>
      </c>
      <c r="AX243" s="137" t="s">
        <v>18</v>
      </c>
      <c r="AY243" s="137" t="s">
        <v>18</v>
      </c>
      <c r="AZ243" s="137" t="s">
        <v>18</v>
      </c>
      <c r="BA243" s="137" t="s">
        <v>18</v>
      </c>
      <c r="BB243" s="137" t="s">
        <v>18</v>
      </c>
      <c r="BC243" s="137" t="s">
        <v>18</v>
      </c>
    </row>
    <row r="244" spans="1:55" ht="15" customHeight="1" thickBot="1" x14ac:dyDescent="0.25">
      <c r="A244" s="138">
        <v>0.13401162790697674</v>
      </c>
      <c r="B244" s="136" t="s">
        <v>17</v>
      </c>
      <c r="C244" s="146" t="s">
        <v>18</v>
      </c>
      <c r="D244" s="147" t="s">
        <v>18</v>
      </c>
      <c r="E244" s="147">
        <v>0.15</v>
      </c>
      <c r="F244" s="148" t="s">
        <v>18</v>
      </c>
      <c r="G244" s="147" t="s">
        <v>18</v>
      </c>
      <c r="H244" s="148" t="s">
        <v>18</v>
      </c>
      <c r="I244" s="147" t="s">
        <v>18</v>
      </c>
      <c r="J244" s="147" t="s">
        <v>18</v>
      </c>
      <c r="K244" s="147" t="s">
        <v>18</v>
      </c>
      <c r="L244" s="147" t="s">
        <v>18</v>
      </c>
      <c r="M244" s="148" t="s">
        <v>18</v>
      </c>
      <c r="N244" s="147">
        <v>0.43943661971830988</v>
      </c>
      <c r="O244" s="148" t="s">
        <v>18</v>
      </c>
      <c r="P244" s="147" t="s">
        <v>18</v>
      </c>
      <c r="Q244" s="147" t="s">
        <v>18</v>
      </c>
      <c r="R244" s="147">
        <v>7.4285714285714288E-2</v>
      </c>
      <c r="S244" s="148" t="s">
        <v>18</v>
      </c>
      <c r="T244" s="147" t="s">
        <v>18</v>
      </c>
      <c r="U244" s="147">
        <v>0.18571428571428572</v>
      </c>
      <c r="V244" s="148" t="s">
        <v>18</v>
      </c>
      <c r="W244" s="147" t="s">
        <v>18</v>
      </c>
      <c r="X244" s="147" t="s">
        <v>18</v>
      </c>
      <c r="Y244" s="147">
        <v>8.7640449438202248E-2</v>
      </c>
      <c r="Z244" s="148" t="s">
        <v>18</v>
      </c>
      <c r="AA244" s="147" t="s">
        <v>18</v>
      </c>
      <c r="AB244" s="147" t="s">
        <v>18</v>
      </c>
      <c r="AC244" s="148" t="s">
        <v>18</v>
      </c>
      <c r="AD244" s="147" t="s">
        <v>18</v>
      </c>
      <c r="AE244" s="147" t="s">
        <v>18</v>
      </c>
      <c r="AF244" s="147">
        <v>0.15068493150684931</v>
      </c>
      <c r="AG244" s="148">
        <v>0.21153846153846154</v>
      </c>
      <c r="AH244" s="146" t="s">
        <v>18</v>
      </c>
      <c r="AI244" s="147" t="s">
        <v>18</v>
      </c>
      <c r="AJ244" s="147" t="s">
        <v>18</v>
      </c>
      <c r="AK244" s="147" t="s">
        <v>18</v>
      </c>
      <c r="AL244" s="147" t="s">
        <v>18</v>
      </c>
      <c r="AM244" s="147" t="s">
        <v>18</v>
      </c>
      <c r="AN244" s="147" t="s">
        <v>18</v>
      </c>
      <c r="AO244" s="147" t="s">
        <v>18</v>
      </c>
      <c r="AP244" s="147" t="s">
        <v>18</v>
      </c>
      <c r="AQ244" s="147" t="s">
        <v>18</v>
      </c>
      <c r="AR244" s="147" t="s">
        <v>18</v>
      </c>
      <c r="AS244" s="147" t="s">
        <v>18</v>
      </c>
      <c r="AT244" s="147" t="s">
        <v>18</v>
      </c>
      <c r="AU244" s="147" t="s">
        <v>18</v>
      </c>
      <c r="AV244" s="147" t="s">
        <v>18</v>
      </c>
      <c r="AW244" s="147" t="s">
        <v>18</v>
      </c>
      <c r="AX244" s="147" t="s">
        <v>18</v>
      </c>
      <c r="AY244" s="147" t="s">
        <v>18</v>
      </c>
      <c r="AZ244" s="147" t="s">
        <v>18</v>
      </c>
      <c r="BA244" s="147" t="s">
        <v>18</v>
      </c>
      <c r="BB244" s="147" t="s">
        <v>18</v>
      </c>
      <c r="BC244" s="147" t="s">
        <v>18</v>
      </c>
    </row>
    <row r="245" spans="1:55" ht="15" customHeight="1" x14ac:dyDescent="0.2">
      <c r="A245" s="149" t="s">
        <v>1</v>
      </c>
      <c r="B245" s="150" t="s">
        <v>2</v>
      </c>
      <c r="C245" s="129">
        <v>19595</v>
      </c>
      <c r="D245" s="130">
        <v>19595</v>
      </c>
      <c r="E245" s="130">
        <v>19774</v>
      </c>
      <c r="F245" s="131">
        <v>19774</v>
      </c>
      <c r="G245" s="130">
        <v>19845</v>
      </c>
      <c r="H245" s="131">
        <v>19845</v>
      </c>
      <c r="I245" s="130">
        <v>19845</v>
      </c>
      <c r="J245" s="130">
        <v>19845</v>
      </c>
      <c r="K245" s="130">
        <v>19845</v>
      </c>
      <c r="L245" s="130">
        <v>20018</v>
      </c>
      <c r="M245" s="131">
        <v>20018</v>
      </c>
      <c r="N245" s="130">
        <v>20089</v>
      </c>
      <c r="O245" s="131">
        <v>20089</v>
      </c>
      <c r="P245" s="130">
        <v>20089</v>
      </c>
      <c r="Q245" s="130">
        <v>20089</v>
      </c>
      <c r="R245" s="130">
        <v>20252</v>
      </c>
      <c r="S245" s="131">
        <v>20252</v>
      </c>
      <c r="T245" s="130">
        <v>20252</v>
      </c>
      <c r="U245" s="130">
        <v>20331</v>
      </c>
      <c r="V245" s="131">
        <v>20331</v>
      </c>
      <c r="W245" s="130">
        <v>20331</v>
      </c>
      <c r="X245" s="130">
        <v>20331</v>
      </c>
      <c r="Y245" s="130">
        <v>20434</v>
      </c>
      <c r="Z245" s="131">
        <v>20434</v>
      </c>
      <c r="AA245" s="130">
        <v>20434</v>
      </c>
      <c r="AB245" s="130">
        <v>20668</v>
      </c>
      <c r="AC245" s="131">
        <v>20668</v>
      </c>
      <c r="AD245" s="130">
        <v>20668</v>
      </c>
      <c r="AE245" s="130">
        <v>20668</v>
      </c>
      <c r="AF245" s="130">
        <v>20818</v>
      </c>
      <c r="AG245" s="131">
        <v>20828</v>
      </c>
      <c r="AH245" s="129" t="s">
        <v>18</v>
      </c>
      <c r="AI245" s="130" t="s">
        <v>18</v>
      </c>
      <c r="AJ245" s="130" t="s">
        <v>18</v>
      </c>
      <c r="AK245" s="130" t="s">
        <v>18</v>
      </c>
      <c r="AL245" s="130" t="s">
        <v>18</v>
      </c>
      <c r="AM245" s="130" t="s">
        <v>18</v>
      </c>
      <c r="AN245" s="130" t="s">
        <v>18</v>
      </c>
      <c r="AO245" s="130" t="s">
        <v>18</v>
      </c>
      <c r="AP245" s="130" t="s">
        <v>18</v>
      </c>
      <c r="AQ245" s="130" t="s">
        <v>18</v>
      </c>
      <c r="AR245" s="130" t="s">
        <v>18</v>
      </c>
      <c r="AS245" s="130" t="s">
        <v>18</v>
      </c>
      <c r="AT245" s="130" t="s">
        <v>18</v>
      </c>
      <c r="AU245" s="130" t="s">
        <v>18</v>
      </c>
      <c r="AV245" s="130" t="s">
        <v>18</v>
      </c>
      <c r="AW245" s="130" t="s">
        <v>18</v>
      </c>
      <c r="AX245" s="130" t="s">
        <v>18</v>
      </c>
      <c r="AY245" s="130" t="s">
        <v>18</v>
      </c>
      <c r="AZ245" s="130" t="s">
        <v>18</v>
      </c>
      <c r="BA245" s="130" t="s">
        <v>18</v>
      </c>
      <c r="BB245" s="130" t="s">
        <v>18</v>
      </c>
      <c r="BC245" s="130" t="s">
        <v>18</v>
      </c>
    </row>
    <row r="246" spans="1:55" ht="15" customHeight="1" x14ac:dyDescent="0.2">
      <c r="A246" s="121" t="s">
        <v>19</v>
      </c>
      <c r="B246" s="122" t="s">
        <v>4</v>
      </c>
      <c r="C246" s="123">
        <v>924</v>
      </c>
      <c r="D246" s="124">
        <v>924</v>
      </c>
      <c r="E246" s="124">
        <v>934</v>
      </c>
      <c r="F246" s="125">
        <v>934</v>
      </c>
      <c r="G246" s="124">
        <v>939</v>
      </c>
      <c r="H246" s="125">
        <v>939</v>
      </c>
      <c r="I246" s="124">
        <v>939</v>
      </c>
      <c r="J246" s="124">
        <v>939</v>
      </c>
      <c r="K246" s="124">
        <v>939</v>
      </c>
      <c r="L246" s="124">
        <v>942</v>
      </c>
      <c r="M246" s="125">
        <v>942</v>
      </c>
      <c r="N246" s="124">
        <v>943</v>
      </c>
      <c r="O246" s="125">
        <v>943</v>
      </c>
      <c r="P246" s="124">
        <v>943</v>
      </c>
      <c r="Q246" s="124">
        <v>943</v>
      </c>
      <c r="R246" s="124">
        <v>949</v>
      </c>
      <c r="S246" s="125">
        <v>949</v>
      </c>
      <c r="T246" s="124">
        <v>949</v>
      </c>
      <c r="U246" s="124">
        <v>951</v>
      </c>
      <c r="V246" s="125">
        <v>951</v>
      </c>
      <c r="W246" s="124">
        <v>951</v>
      </c>
      <c r="X246" s="124">
        <v>951</v>
      </c>
      <c r="Y246" s="124">
        <v>952</v>
      </c>
      <c r="Z246" s="125">
        <v>952</v>
      </c>
      <c r="AA246" s="124">
        <v>952</v>
      </c>
      <c r="AB246" s="124">
        <v>957</v>
      </c>
      <c r="AC246" s="125">
        <v>957</v>
      </c>
      <c r="AD246" s="124">
        <v>957</v>
      </c>
      <c r="AE246" s="124">
        <v>957</v>
      </c>
      <c r="AF246" s="124">
        <v>962</v>
      </c>
      <c r="AG246" s="125">
        <v>962</v>
      </c>
      <c r="AH246" s="123" t="s">
        <v>18</v>
      </c>
      <c r="AI246" s="124" t="s">
        <v>18</v>
      </c>
      <c r="AJ246" s="124" t="s">
        <v>18</v>
      </c>
      <c r="AK246" s="124" t="s">
        <v>18</v>
      </c>
      <c r="AL246" s="124" t="s">
        <v>18</v>
      </c>
      <c r="AM246" s="124" t="s">
        <v>18</v>
      </c>
      <c r="AN246" s="124" t="s">
        <v>18</v>
      </c>
      <c r="AO246" s="124" t="s">
        <v>18</v>
      </c>
      <c r="AP246" s="124" t="s">
        <v>18</v>
      </c>
      <c r="AQ246" s="124" t="s">
        <v>18</v>
      </c>
      <c r="AR246" s="124" t="s">
        <v>18</v>
      </c>
      <c r="AS246" s="124" t="s">
        <v>18</v>
      </c>
      <c r="AT246" s="124" t="s">
        <v>18</v>
      </c>
      <c r="AU246" s="124" t="s">
        <v>18</v>
      </c>
      <c r="AV246" s="124" t="s">
        <v>18</v>
      </c>
      <c r="AW246" s="124" t="s">
        <v>18</v>
      </c>
      <c r="AX246" s="124" t="s">
        <v>18</v>
      </c>
      <c r="AY246" s="124" t="s">
        <v>18</v>
      </c>
      <c r="AZ246" s="124" t="s">
        <v>18</v>
      </c>
      <c r="BA246" s="124" t="s">
        <v>18</v>
      </c>
      <c r="BB246" s="124" t="s">
        <v>18</v>
      </c>
      <c r="BC246" s="124" t="s">
        <v>18</v>
      </c>
    </row>
    <row r="247" spans="1:55" ht="15" customHeight="1" x14ac:dyDescent="0.25">
      <c r="A247" s="143">
        <v>2</v>
      </c>
      <c r="B247" s="122" t="s">
        <v>5</v>
      </c>
      <c r="C247" s="123">
        <v>10</v>
      </c>
      <c r="D247" s="124">
        <v>10</v>
      </c>
      <c r="E247" s="124">
        <v>0</v>
      </c>
      <c r="F247" s="125">
        <v>7</v>
      </c>
      <c r="G247" s="124">
        <v>5</v>
      </c>
      <c r="H247" s="125">
        <v>12</v>
      </c>
      <c r="I247" s="124">
        <v>12</v>
      </c>
      <c r="J247" s="124">
        <v>12</v>
      </c>
      <c r="K247" s="124">
        <v>12</v>
      </c>
      <c r="L247" s="124">
        <v>9</v>
      </c>
      <c r="M247" s="125">
        <v>12</v>
      </c>
      <c r="N247" s="124">
        <v>11</v>
      </c>
      <c r="O247" s="125">
        <v>11</v>
      </c>
      <c r="P247" s="124">
        <v>11</v>
      </c>
      <c r="Q247" s="124">
        <v>11</v>
      </c>
      <c r="R247" s="124">
        <v>5</v>
      </c>
      <c r="S247" s="125">
        <v>13</v>
      </c>
      <c r="T247" s="124">
        <v>13</v>
      </c>
      <c r="U247" s="124">
        <v>11</v>
      </c>
      <c r="V247" s="125">
        <v>11</v>
      </c>
      <c r="W247" s="124">
        <v>11</v>
      </c>
      <c r="X247" s="124">
        <v>11</v>
      </c>
      <c r="Y247" s="124">
        <v>10</v>
      </c>
      <c r="Z247" s="125">
        <v>17</v>
      </c>
      <c r="AA247" s="124">
        <v>17</v>
      </c>
      <c r="AB247" s="124">
        <v>12</v>
      </c>
      <c r="AC247" s="125">
        <v>12</v>
      </c>
      <c r="AD247" s="124">
        <v>12</v>
      </c>
      <c r="AE247" s="124">
        <v>12</v>
      </c>
      <c r="AF247" s="124">
        <v>7</v>
      </c>
      <c r="AG247" s="125">
        <v>7</v>
      </c>
      <c r="AH247" s="123" t="s">
        <v>18</v>
      </c>
      <c r="AI247" s="124" t="s">
        <v>18</v>
      </c>
      <c r="AJ247" s="124" t="s">
        <v>18</v>
      </c>
      <c r="AK247" s="124" t="s">
        <v>18</v>
      </c>
      <c r="AL247" s="124" t="s">
        <v>18</v>
      </c>
      <c r="AM247" s="124" t="s">
        <v>18</v>
      </c>
      <c r="AN247" s="124" t="s">
        <v>18</v>
      </c>
      <c r="AO247" s="124" t="s">
        <v>18</v>
      </c>
      <c r="AP247" s="124" t="s">
        <v>18</v>
      </c>
      <c r="AQ247" s="124" t="s">
        <v>18</v>
      </c>
      <c r="AR247" s="124" t="s">
        <v>18</v>
      </c>
      <c r="AS247" s="124" t="s">
        <v>18</v>
      </c>
      <c r="AT247" s="124" t="s">
        <v>18</v>
      </c>
      <c r="AU247" s="124" t="s">
        <v>18</v>
      </c>
      <c r="AV247" s="124" t="s">
        <v>18</v>
      </c>
      <c r="AW247" s="124" t="s">
        <v>18</v>
      </c>
      <c r="AX247" s="124" t="s">
        <v>18</v>
      </c>
      <c r="AY247" s="124" t="s">
        <v>18</v>
      </c>
      <c r="AZ247" s="124" t="s">
        <v>18</v>
      </c>
      <c r="BA247" s="124" t="s">
        <v>18</v>
      </c>
      <c r="BB247" s="124" t="s">
        <v>18</v>
      </c>
      <c r="BC247" s="124" t="s">
        <v>18</v>
      </c>
    </row>
    <row r="248" spans="1:55" ht="15" customHeight="1" x14ac:dyDescent="0.2">
      <c r="A248" s="127"/>
      <c r="B248" s="122" t="s">
        <v>6</v>
      </c>
      <c r="C248" s="123"/>
      <c r="D248" s="124"/>
      <c r="E248" s="124">
        <v>7</v>
      </c>
      <c r="F248" s="125"/>
      <c r="G248" s="124">
        <v>7</v>
      </c>
      <c r="H248" s="125"/>
      <c r="I248" s="124"/>
      <c r="J248" s="124"/>
      <c r="K248" s="124"/>
      <c r="L248" s="124">
        <v>3</v>
      </c>
      <c r="M248" s="125"/>
      <c r="N248" s="124"/>
      <c r="O248" s="125"/>
      <c r="P248" s="124"/>
      <c r="Q248" s="124"/>
      <c r="R248" s="124">
        <v>8</v>
      </c>
      <c r="S248" s="125"/>
      <c r="T248" s="124"/>
      <c r="U248" s="124"/>
      <c r="V248" s="125"/>
      <c r="W248" s="124"/>
      <c r="X248" s="124"/>
      <c r="Y248" s="124">
        <v>7</v>
      </c>
      <c r="Z248" s="125"/>
      <c r="AA248" s="124"/>
      <c r="AB248" s="124"/>
      <c r="AC248" s="125"/>
      <c r="AD248" s="124"/>
      <c r="AE248" s="124"/>
      <c r="AF248" s="124"/>
      <c r="AG248" s="125"/>
      <c r="AH248" s="123"/>
      <c r="AI248" s="124"/>
      <c r="AJ248" s="124"/>
      <c r="AK248" s="124"/>
      <c r="AL248" s="124"/>
      <c r="AM248" s="124"/>
      <c r="AN248" s="124"/>
      <c r="AO248" s="124"/>
      <c r="AP248" s="124"/>
      <c r="AQ248" s="124"/>
      <c r="AR248" s="124"/>
      <c r="AS248" s="124"/>
      <c r="AT248" s="124"/>
      <c r="AU248" s="124"/>
      <c r="AV248" s="124"/>
      <c r="AW248" s="124"/>
      <c r="AX248" s="124"/>
      <c r="AY248" s="124"/>
      <c r="AZ248" s="124"/>
      <c r="BA248" s="124"/>
      <c r="BB248" s="124"/>
      <c r="BC248" s="124"/>
    </row>
    <row r="249" spans="1:55" ht="15" customHeight="1" x14ac:dyDescent="0.2">
      <c r="A249" s="128"/>
      <c r="B249" s="122" t="s">
        <v>8</v>
      </c>
      <c r="C249" s="129">
        <v>500</v>
      </c>
      <c r="D249" s="130">
        <v>500</v>
      </c>
      <c r="E249" s="130">
        <v>500</v>
      </c>
      <c r="F249" s="131">
        <v>500</v>
      </c>
      <c r="G249" s="130">
        <v>500</v>
      </c>
      <c r="H249" s="131">
        <v>500</v>
      </c>
      <c r="I249" s="130">
        <v>500</v>
      </c>
      <c r="J249" s="130">
        <v>500</v>
      </c>
      <c r="K249" s="130">
        <v>500</v>
      </c>
      <c r="L249" s="130">
        <v>500</v>
      </c>
      <c r="M249" s="131">
        <v>500</v>
      </c>
      <c r="N249" s="130">
        <v>500</v>
      </c>
      <c r="O249" s="131">
        <v>500</v>
      </c>
      <c r="P249" s="130">
        <v>500</v>
      </c>
      <c r="Q249" s="130">
        <v>500</v>
      </c>
      <c r="R249" s="130">
        <v>500</v>
      </c>
      <c r="S249" s="131">
        <v>500</v>
      </c>
      <c r="T249" s="130">
        <v>500</v>
      </c>
      <c r="U249" s="130">
        <v>500</v>
      </c>
      <c r="V249" s="131">
        <v>500</v>
      </c>
      <c r="W249" s="130">
        <v>500</v>
      </c>
      <c r="X249" s="130">
        <v>500</v>
      </c>
      <c r="Y249" s="130">
        <v>500</v>
      </c>
      <c r="Z249" s="131">
        <v>500</v>
      </c>
      <c r="AA249" s="130">
        <v>500</v>
      </c>
      <c r="AB249" s="130">
        <v>500</v>
      </c>
      <c r="AC249" s="131">
        <v>500</v>
      </c>
      <c r="AD249" s="130">
        <v>500</v>
      </c>
      <c r="AE249" s="130">
        <v>500</v>
      </c>
      <c r="AF249" s="130">
        <v>500</v>
      </c>
      <c r="AG249" s="131">
        <v>500</v>
      </c>
      <c r="AH249" s="129" t="s">
        <v>18</v>
      </c>
      <c r="AI249" s="130" t="s">
        <v>18</v>
      </c>
      <c r="AJ249" s="130" t="s">
        <v>18</v>
      </c>
      <c r="AK249" s="130" t="s">
        <v>18</v>
      </c>
      <c r="AL249" s="130" t="s">
        <v>18</v>
      </c>
      <c r="AM249" s="130" t="s">
        <v>18</v>
      </c>
      <c r="AN249" s="130" t="s">
        <v>18</v>
      </c>
      <c r="AO249" s="130" t="s">
        <v>18</v>
      </c>
      <c r="AP249" s="130" t="s">
        <v>18</v>
      </c>
      <c r="AQ249" s="130" t="s">
        <v>18</v>
      </c>
      <c r="AR249" s="130" t="s">
        <v>18</v>
      </c>
      <c r="AS249" s="130" t="s">
        <v>18</v>
      </c>
      <c r="AT249" s="130" t="s">
        <v>18</v>
      </c>
      <c r="AU249" s="130" t="s">
        <v>18</v>
      </c>
      <c r="AV249" s="130" t="s">
        <v>18</v>
      </c>
      <c r="AW249" s="130" t="s">
        <v>18</v>
      </c>
      <c r="AX249" s="130" t="s">
        <v>18</v>
      </c>
      <c r="AY249" s="130" t="s">
        <v>18</v>
      </c>
      <c r="AZ249" s="130" t="s">
        <v>18</v>
      </c>
      <c r="BA249" s="130" t="s">
        <v>18</v>
      </c>
      <c r="BB249" s="130" t="s">
        <v>18</v>
      </c>
      <c r="BC249" s="130" t="s">
        <v>18</v>
      </c>
    </row>
    <row r="250" spans="1:55" ht="15" customHeight="1" x14ac:dyDescent="0.2">
      <c r="A250" s="127" t="s">
        <v>9</v>
      </c>
      <c r="B250" s="132" t="s">
        <v>10</v>
      </c>
      <c r="C250" s="133" t="s">
        <v>207</v>
      </c>
      <c r="D250" s="134" t="s">
        <v>207</v>
      </c>
      <c r="E250" s="134" t="s">
        <v>207</v>
      </c>
      <c r="F250" s="135" t="s">
        <v>207</v>
      </c>
      <c r="G250" s="134" t="s">
        <v>207</v>
      </c>
      <c r="H250" s="135" t="s">
        <v>207</v>
      </c>
      <c r="I250" s="134" t="s">
        <v>207</v>
      </c>
      <c r="J250" s="134" t="s">
        <v>207</v>
      </c>
      <c r="K250" s="134" t="s">
        <v>207</v>
      </c>
      <c r="L250" s="134" t="s">
        <v>207</v>
      </c>
      <c r="M250" s="135" t="s">
        <v>207</v>
      </c>
      <c r="N250" s="134" t="s">
        <v>207</v>
      </c>
      <c r="O250" s="135" t="s">
        <v>207</v>
      </c>
      <c r="P250" s="134" t="s">
        <v>207</v>
      </c>
      <c r="Q250" s="134" t="s">
        <v>207</v>
      </c>
      <c r="R250" s="134" t="s">
        <v>207</v>
      </c>
      <c r="S250" s="135" t="s">
        <v>207</v>
      </c>
      <c r="T250" s="134" t="s">
        <v>207</v>
      </c>
      <c r="U250" s="134" t="s">
        <v>207</v>
      </c>
      <c r="V250" s="135" t="s">
        <v>207</v>
      </c>
      <c r="W250" s="134" t="s">
        <v>207</v>
      </c>
      <c r="X250" s="134" t="s">
        <v>207</v>
      </c>
      <c r="Y250" s="134" t="s">
        <v>207</v>
      </c>
      <c r="Z250" s="135" t="s">
        <v>207</v>
      </c>
      <c r="AA250" s="134" t="s">
        <v>207</v>
      </c>
      <c r="AB250" s="134" t="s">
        <v>207</v>
      </c>
      <c r="AC250" s="135" t="s">
        <v>207</v>
      </c>
      <c r="AD250" s="134" t="s">
        <v>207</v>
      </c>
      <c r="AE250" s="134" t="s">
        <v>207</v>
      </c>
      <c r="AF250" s="134" t="s">
        <v>207</v>
      </c>
      <c r="AG250" s="135" t="s">
        <v>207</v>
      </c>
      <c r="AH250" s="133" t="s">
        <v>18</v>
      </c>
      <c r="AI250" s="134" t="s">
        <v>18</v>
      </c>
      <c r="AJ250" s="134" t="s">
        <v>18</v>
      </c>
      <c r="AK250" s="134" t="s">
        <v>18</v>
      </c>
      <c r="AL250" s="134" t="s">
        <v>18</v>
      </c>
      <c r="AM250" s="134" t="s">
        <v>18</v>
      </c>
      <c r="AN250" s="134" t="s">
        <v>18</v>
      </c>
      <c r="AO250" s="134" t="s">
        <v>18</v>
      </c>
      <c r="AP250" s="134" t="s">
        <v>18</v>
      </c>
      <c r="AQ250" s="134" t="s">
        <v>18</v>
      </c>
      <c r="AR250" s="134" t="s">
        <v>18</v>
      </c>
      <c r="AS250" s="134" t="s">
        <v>18</v>
      </c>
      <c r="AT250" s="134" t="s">
        <v>18</v>
      </c>
      <c r="AU250" s="134" t="s">
        <v>18</v>
      </c>
      <c r="AV250" s="134" t="s">
        <v>18</v>
      </c>
      <c r="AW250" s="134" t="s">
        <v>18</v>
      </c>
      <c r="AX250" s="134" t="s">
        <v>18</v>
      </c>
      <c r="AY250" s="134" t="s">
        <v>18</v>
      </c>
      <c r="AZ250" s="134" t="s">
        <v>18</v>
      </c>
      <c r="BA250" s="134" t="s">
        <v>18</v>
      </c>
      <c r="BB250" s="134" t="s">
        <v>18</v>
      </c>
      <c r="BC250" s="134" t="s">
        <v>18</v>
      </c>
    </row>
    <row r="251" spans="1:55" ht="15" customHeight="1" x14ac:dyDescent="0.2">
      <c r="A251" s="128">
        <v>119322.58064516129</v>
      </c>
      <c r="B251" s="122" t="s">
        <v>12</v>
      </c>
      <c r="C251" s="123" t="s">
        <v>208</v>
      </c>
      <c r="D251" s="124"/>
      <c r="E251" s="124"/>
      <c r="F251" s="125"/>
      <c r="G251" s="124"/>
      <c r="H251" s="125"/>
      <c r="I251" s="124"/>
      <c r="J251" s="124"/>
      <c r="K251" s="124"/>
      <c r="L251" s="124"/>
      <c r="M251" s="125"/>
      <c r="N251" s="124"/>
      <c r="O251" s="125"/>
      <c r="P251" s="124"/>
      <c r="Q251" s="124"/>
      <c r="R251" s="124"/>
      <c r="S251" s="125"/>
      <c r="T251" s="124"/>
      <c r="U251" s="124"/>
      <c r="V251" s="125"/>
      <c r="W251" s="124"/>
      <c r="X251" s="124"/>
      <c r="Y251" s="124"/>
      <c r="Z251" s="125"/>
      <c r="AA251" s="124"/>
      <c r="AB251" s="124"/>
      <c r="AC251" s="125"/>
      <c r="AD251" s="124"/>
      <c r="AE251" s="124"/>
      <c r="AF251" s="124"/>
      <c r="AG251" s="125"/>
      <c r="AH251" s="123"/>
      <c r="AI251" s="124"/>
      <c r="AJ251" s="124"/>
      <c r="AK251" s="124"/>
      <c r="AL251" s="124"/>
      <c r="AM251" s="124"/>
      <c r="AN251" s="124"/>
      <c r="AO251" s="124"/>
      <c r="AP251" s="124"/>
      <c r="AQ251" s="124"/>
      <c r="AR251" s="124"/>
      <c r="AS251" s="124"/>
      <c r="AT251" s="124"/>
      <c r="AU251" s="124"/>
      <c r="AV251" s="124"/>
      <c r="AW251" s="124"/>
      <c r="AX251" s="124"/>
      <c r="AY251" s="124"/>
      <c r="AZ251" s="124"/>
      <c r="BA251" s="124"/>
      <c r="BB251" s="124"/>
      <c r="BC251" s="124"/>
    </row>
    <row r="252" spans="1:55" ht="15" customHeight="1" x14ac:dyDescent="0.2">
      <c r="A252" s="128">
        <v>1233</v>
      </c>
      <c r="B252" s="136" t="s">
        <v>13</v>
      </c>
      <c r="C252" s="123">
        <v>0</v>
      </c>
      <c r="D252" s="137">
        <v>0</v>
      </c>
      <c r="E252" s="137">
        <v>179</v>
      </c>
      <c r="F252" s="125">
        <v>0</v>
      </c>
      <c r="G252" s="137">
        <v>71</v>
      </c>
      <c r="H252" s="125">
        <v>0</v>
      </c>
      <c r="I252" s="137">
        <v>0</v>
      </c>
      <c r="J252" s="137">
        <v>0</v>
      </c>
      <c r="K252" s="137">
        <v>0</v>
      </c>
      <c r="L252" s="137">
        <v>173</v>
      </c>
      <c r="M252" s="125">
        <v>0</v>
      </c>
      <c r="N252" s="137">
        <v>71</v>
      </c>
      <c r="O252" s="125">
        <v>0</v>
      </c>
      <c r="P252" s="137">
        <v>0</v>
      </c>
      <c r="Q252" s="137">
        <v>0</v>
      </c>
      <c r="R252" s="137">
        <v>163</v>
      </c>
      <c r="S252" s="125">
        <v>0</v>
      </c>
      <c r="T252" s="137">
        <v>0</v>
      </c>
      <c r="U252" s="137">
        <v>79</v>
      </c>
      <c r="V252" s="125">
        <v>0</v>
      </c>
      <c r="W252" s="137">
        <v>0</v>
      </c>
      <c r="X252" s="137">
        <v>0</v>
      </c>
      <c r="Y252" s="137">
        <v>103</v>
      </c>
      <c r="Z252" s="125">
        <v>0</v>
      </c>
      <c r="AA252" s="137">
        <v>0</v>
      </c>
      <c r="AB252" s="137">
        <v>234</v>
      </c>
      <c r="AC252" s="125">
        <v>0</v>
      </c>
      <c r="AD252" s="137">
        <v>0</v>
      </c>
      <c r="AE252" s="137">
        <v>0</v>
      </c>
      <c r="AF252" s="137">
        <v>150</v>
      </c>
      <c r="AG252" s="125">
        <v>10</v>
      </c>
      <c r="AH252" s="123" t="s">
        <v>18</v>
      </c>
      <c r="AI252" s="137" t="s">
        <v>18</v>
      </c>
      <c r="AJ252" s="137" t="s">
        <v>18</v>
      </c>
      <c r="AK252" s="137" t="s">
        <v>18</v>
      </c>
      <c r="AL252" s="137" t="s">
        <v>18</v>
      </c>
      <c r="AM252" s="137" t="s">
        <v>18</v>
      </c>
      <c r="AN252" s="137" t="s">
        <v>18</v>
      </c>
      <c r="AO252" s="137" t="s">
        <v>18</v>
      </c>
      <c r="AP252" s="137" t="s">
        <v>18</v>
      </c>
      <c r="AQ252" s="137" t="s">
        <v>18</v>
      </c>
      <c r="AR252" s="137" t="s">
        <v>18</v>
      </c>
      <c r="AS252" s="137" t="s">
        <v>18</v>
      </c>
      <c r="AT252" s="137" t="s">
        <v>18</v>
      </c>
      <c r="AU252" s="137" t="s">
        <v>18</v>
      </c>
      <c r="AV252" s="137" t="s">
        <v>18</v>
      </c>
      <c r="AW252" s="137" t="s">
        <v>18</v>
      </c>
      <c r="AX252" s="137" t="s">
        <v>18</v>
      </c>
      <c r="AY252" s="137" t="s">
        <v>18</v>
      </c>
      <c r="AZ252" s="137" t="s">
        <v>18</v>
      </c>
      <c r="BA252" s="137" t="s">
        <v>18</v>
      </c>
      <c r="BB252" s="137" t="s">
        <v>18</v>
      </c>
      <c r="BC252" s="137" t="s">
        <v>18</v>
      </c>
    </row>
    <row r="253" spans="1:55" ht="15" customHeight="1" x14ac:dyDescent="0.2">
      <c r="A253" s="128">
        <v>38</v>
      </c>
      <c r="B253" s="136" t="s">
        <v>14</v>
      </c>
      <c r="C253" s="123">
        <v>0</v>
      </c>
      <c r="D253" s="137">
        <v>0</v>
      </c>
      <c r="E253" s="137">
        <v>10</v>
      </c>
      <c r="F253" s="125">
        <v>0</v>
      </c>
      <c r="G253" s="137">
        <v>5</v>
      </c>
      <c r="H253" s="125">
        <v>0</v>
      </c>
      <c r="I253" s="137">
        <v>0</v>
      </c>
      <c r="J253" s="137">
        <v>0</v>
      </c>
      <c r="K253" s="137">
        <v>0</v>
      </c>
      <c r="L253" s="137">
        <v>3</v>
      </c>
      <c r="M253" s="125">
        <v>0</v>
      </c>
      <c r="N253" s="137">
        <v>1</v>
      </c>
      <c r="O253" s="125">
        <v>0</v>
      </c>
      <c r="P253" s="137">
        <v>0</v>
      </c>
      <c r="Q253" s="137">
        <v>0</v>
      </c>
      <c r="R253" s="137">
        <v>6</v>
      </c>
      <c r="S253" s="125">
        <v>0</v>
      </c>
      <c r="T253" s="137">
        <v>0</v>
      </c>
      <c r="U253" s="137">
        <v>2</v>
      </c>
      <c r="V253" s="125">
        <v>0</v>
      </c>
      <c r="W253" s="137">
        <v>0</v>
      </c>
      <c r="X253" s="137">
        <v>0</v>
      </c>
      <c r="Y253" s="137">
        <v>1</v>
      </c>
      <c r="Z253" s="125">
        <v>0</v>
      </c>
      <c r="AA253" s="137">
        <v>0</v>
      </c>
      <c r="AB253" s="137">
        <v>5</v>
      </c>
      <c r="AC253" s="125">
        <v>0</v>
      </c>
      <c r="AD253" s="137">
        <v>0</v>
      </c>
      <c r="AE253" s="137">
        <v>0</v>
      </c>
      <c r="AF253" s="137">
        <v>5</v>
      </c>
      <c r="AG253" s="125">
        <v>0</v>
      </c>
      <c r="AH253" s="123" t="s">
        <v>18</v>
      </c>
      <c r="AI253" s="137" t="s">
        <v>18</v>
      </c>
      <c r="AJ253" s="137" t="s">
        <v>18</v>
      </c>
      <c r="AK253" s="137" t="s">
        <v>18</v>
      </c>
      <c r="AL253" s="137" t="s">
        <v>18</v>
      </c>
      <c r="AM253" s="137" t="s">
        <v>18</v>
      </c>
      <c r="AN253" s="137" t="s">
        <v>18</v>
      </c>
      <c r="AO253" s="137" t="s">
        <v>18</v>
      </c>
      <c r="AP253" s="137" t="s">
        <v>18</v>
      </c>
      <c r="AQ253" s="137" t="s">
        <v>18</v>
      </c>
      <c r="AR253" s="137" t="s">
        <v>18</v>
      </c>
      <c r="AS253" s="137" t="s">
        <v>18</v>
      </c>
      <c r="AT253" s="137" t="s">
        <v>18</v>
      </c>
      <c r="AU253" s="137" t="s">
        <v>18</v>
      </c>
      <c r="AV253" s="137" t="s">
        <v>18</v>
      </c>
      <c r="AW253" s="137" t="s">
        <v>18</v>
      </c>
      <c r="AX253" s="137" t="s">
        <v>18</v>
      </c>
      <c r="AY253" s="137" t="s">
        <v>18</v>
      </c>
      <c r="AZ253" s="137" t="s">
        <v>18</v>
      </c>
      <c r="BA253" s="137" t="s">
        <v>18</v>
      </c>
      <c r="BB253" s="137" t="s">
        <v>18</v>
      </c>
      <c r="BC253" s="137" t="s">
        <v>18</v>
      </c>
    </row>
    <row r="254" spans="1:55" ht="15" customHeight="1" x14ac:dyDescent="0.2">
      <c r="A254" s="128">
        <v>35</v>
      </c>
      <c r="B254" s="136" t="s">
        <v>15</v>
      </c>
      <c r="C254" s="123">
        <v>0</v>
      </c>
      <c r="D254" s="137">
        <v>0</v>
      </c>
      <c r="E254" s="137">
        <v>10</v>
      </c>
      <c r="F254" s="125">
        <v>0</v>
      </c>
      <c r="G254" s="137">
        <v>2</v>
      </c>
      <c r="H254" s="125">
        <v>0</v>
      </c>
      <c r="I254" s="137">
        <v>0</v>
      </c>
      <c r="J254" s="137">
        <v>0</v>
      </c>
      <c r="K254" s="137">
        <v>0</v>
      </c>
      <c r="L254" s="137">
        <v>3</v>
      </c>
      <c r="M254" s="125">
        <v>0</v>
      </c>
      <c r="N254" s="137">
        <v>1</v>
      </c>
      <c r="O254" s="125">
        <v>0</v>
      </c>
      <c r="P254" s="137">
        <v>0</v>
      </c>
      <c r="Q254" s="137">
        <v>0</v>
      </c>
      <c r="R254" s="137">
        <v>6</v>
      </c>
      <c r="S254" s="125">
        <v>0</v>
      </c>
      <c r="T254" s="137">
        <v>0</v>
      </c>
      <c r="U254" s="137">
        <v>2</v>
      </c>
      <c r="V254" s="125">
        <v>0</v>
      </c>
      <c r="W254" s="137">
        <v>0</v>
      </c>
      <c r="X254" s="137">
        <v>0</v>
      </c>
      <c r="Y254" s="137">
        <v>1</v>
      </c>
      <c r="Z254" s="125">
        <v>0</v>
      </c>
      <c r="AA254" s="137">
        <v>0</v>
      </c>
      <c r="AB254" s="137">
        <v>5</v>
      </c>
      <c r="AC254" s="125">
        <v>0</v>
      </c>
      <c r="AD254" s="137">
        <v>0</v>
      </c>
      <c r="AE254" s="137">
        <v>0</v>
      </c>
      <c r="AF254" s="137">
        <v>5</v>
      </c>
      <c r="AG254" s="125">
        <v>0</v>
      </c>
      <c r="AH254" s="123" t="s">
        <v>18</v>
      </c>
      <c r="AI254" s="137" t="s">
        <v>18</v>
      </c>
      <c r="AJ254" s="137" t="s">
        <v>18</v>
      </c>
      <c r="AK254" s="137" t="s">
        <v>18</v>
      </c>
      <c r="AL254" s="137" t="s">
        <v>18</v>
      </c>
      <c r="AM254" s="137" t="s">
        <v>18</v>
      </c>
      <c r="AN254" s="137" t="s">
        <v>18</v>
      </c>
      <c r="AO254" s="137" t="s">
        <v>18</v>
      </c>
      <c r="AP254" s="137" t="s">
        <v>18</v>
      </c>
      <c r="AQ254" s="137" t="s">
        <v>18</v>
      </c>
      <c r="AR254" s="137" t="s">
        <v>18</v>
      </c>
      <c r="AS254" s="137" t="s">
        <v>18</v>
      </c>
      <c r="AT254" s="137" t="s">
        <v>18</v>
      </c>
      <c r="AU254" s="137" t="s">
        <v>18</v>
      </c>
      <c r="AV254" s="137" t="s">
        <v>18</v>
      </c>
      <c r="AW254" s="137" t="s">
        <v>18</v>
      </c>
      <c r="AX254" s="137" t="s">
        <v>18</v>
      </c>
      <c r="AY254" s="137" t="s">
        <v>18</v>
      </c>
      <c r="AZ254" s="137" t="s">
        <v>18</v>
      </c>
      <c r="BA254" s="137" t="s">
        <v>18</v>
      </c>
      <c r="BB254" s="137" t="s">
        <v>18</v>
      </c>
      <c r="BC254" s="137" t="s">
        <v>18</v>
      </c>
    </row>
    <row r="255" spans="1:55" ht="15" customHeight="1" x14ac:dyDescent="0.2">
      <c r="A255" s="128">
        <v>17500</v>
      </c>
      <c r="B255" s="136" t="s">
        <v>16</v>
      </c>
      <c r="C255" s="123">
        <v>0</v>
      </c>
      <c r="D255" s="137">
        <v>0</v>
      </c>
      <c r="E255" s="137">
        <v>5000</v>
      </c>
      <c r="F255" s="125">
        <v>0</v>
      </c>
      <c r="G255" s="137">
        <v>1000</v>
      </c>
      <c r="H255" s="125">
        <v>0</v>
      </c>
      <c r="I255" s="137">
        <v>0</v>
      </c>
      <c r="J255" s="137">
        <v>0</v>
      </c>
      <c r="K255" s="137">
        <v>0</v>
      </c>
      <c r="L255" s="137">
        <v>1500</v>
      </c>
      <c r="M255" s="125">
        <v>0</v>
      </c>
      <c r="N255" s="137">
        <v>500</v>
      </c>
      <c r="O255" s="125">
        <v>0</v>
      </c>
      <c r="P255" s="137">
        <v>0</v>
      </c>
      <c r="Q255" s="137">
        <v>0</v>
      </c>
      <c r="R255" s="137">
        <v>3000</v>
      </c>
      <c r="S255" s="125">
        <v>0</v>
      </c>
      <c r="T255" s="137">
        <v>0</v>
      </c>
      <c r="U255" s="137">
        <v>1000</v>
      </c>
      <c r="V255" s="125">
        <v>0</v>
      </c>
      <c r="W255" s="137">
        <v>0</v>
      </c>
      <c r="X255" s="137">
        <v>0</v>
      </c>
      <c r="Y255" s="137">
        <v>500</v>
      </c>
      <c r="Z255" s="125">
        <v>0</v>
      </c>
      <c r="AA255" s="137">
        <v>0</v>
      </c>
      <c r="AB255" s="137">
        <v>2500</v>
      </c>
      <c r="AC255" s="125">
        <v>0</v>
      </c>
      <c r="AD255" s="137">
        <v>0</v>
      </c>
      <c r="AE255" s="137">
        <v>0</v>
      </c>
      <c r="AF255" s="137">
        <v>2500</v>
      </c>
      <c r="AG255" s="125">
        <v>0</v>
      </c>
      <c r="AH255" s="123" t="s">
        <v>18</v>
      </c>
      <c r="AI255" s="137" t="s">
        <v>18</v>
      </c>
      <c r="AJ255" s="137" t="s">
        <v>18</v>
      </c>
      <c r="AK255" s="137" t="s">
        <v>18</v>
      </c>
      <c r="AL255" s="137" t="s">
        <v>18</v>
      </c>
      <c r="AM255" s="137" t="s">
        <v>18</v>
      </c>
      <c r="AN255" s="137" t="s">
        <v>18</v>
      </c>
      <c r="AO255" s="137" t="s">
        <v>18</v>
      </c>
      <c r="AP255" s="137" t="s">
        <v>18</v>
      </c>
      <c r="AQ255" s="137" t="s">
        <v>18</v>
      </c>
      <c r="AR255" s="137" t="s">
        <v>18</v>
      </c>
      <c r="AS255" s="137" t="s">
        <v>18</v>
      </c>
      <c r="AT255" s="137" t="s">
        <v>18</v>
      </c>
      <c r="AU255" s="137" t="s">
        <v>18</v>
      </c>
      <c r="AV255" s="137" t="s">
        <v>18</v>
      </c>
      <c r="AW255" s="137" t="s">
        <v>18</v>
      </c>
      <c r="AX255" s="137" t="s">
        <v>18</v>
      </c>
      <c r="AY255" s="137" t="s">
        <v>18</v>
      </c>
      <c r="AZ255" s="137" t="s">
        <v>18</v>
      </c>
      <c r="BA255" s="137" t="s">
        <v>18</v>
      </c>
      <c r="BB255" s="137" t="s">
        <v>18</v>
      </c>
      <c r="BC255" s="137" t="s">
        <v>18</v>
      </c>
    </row>
    <row r="256" spans="1:55" ht="15" customHeight="1" thickBot="1" x14ac:dyDescent="0.25">
      <c r="A256" s="138">
        <v>0.14193025141930252</v>
      </c>
      <c r="B256" s="136" t="s">
        <v>17</v>
      </c>
      <c r="C256" s="146" t="s">
        <v>18</v>
      </c>
      <c r="D256" s="147" t="s">
        <v>18</v>
      </c>
      <c r="E256" s="147">
        <v>0.27932960893854747</v>
      </c>
      <c r="F256" s="148" t="s">
        <v>18</v>
      </c>
      <c r="G256" s="147">
        <v>0.14084507042253522</v>
      </c>
      <c r="H256" s="148" t="s">
        <v>18</v>
      </c>
      <c r="I256" s="147" t="s">
        <v>18</v>
      </c>
      <c r="J256" s="147" t="s">
        <v>18</v>
      </c>
      <c r="K256" s="147" t="s">
        <v>18</v>
      </c>
      <c r="L256" s="147">
        <v>8.6705202312138727E-2</v>
      </c>
      <c r="M256" s="148" t="s">
        <v>18</v>
      </c>
      <c r="N256" s="147">
        <v>7.0422535211267609E-2</v>
      </c>
      <c r="O256" s="148" t="s">
        <v>18</v>
      </c>
      <c r="P256" s="147" t="s">
        <v>18</v>
      </c>
      <c r="Q256" s="147" t="s">
        <v>18</v>
      </c>
      <c r="R256" s="147">
        <v>0.18404907975460122</v>
      </c>
      <c r="S256" s="148" t="s">
        <v>18</v>
      </c>
      <c r="T256" s="147" t="s">
        <v>18</v>
      </c>
      <c r="U256" s="147">
        <v>0.12658227848101267</v>
      </c>
      <c r="V256" s="148" t="s">
        <v>18</v>
      </c>
      <c r="W256" s="147" t="s">
        <v>18</v>
      </c>
      <c r="X256" s="147" t="s">
        <v>18</v>
      </c>
      <c r="Y256" s="147">
        <v>4.8543689320388349E-2</v>
      </c>
      <c r="Z256" s="148" t="s">
        <v>18</v>
      </c>
      <c r="AA256" s="147" t="s">
        <v>18</v>
      </c>
      <c r="AB256" s="147">
        <v>0.10683760683760683</v>
      </c>
      <c r="AC256" s="148" t="s">
        <v>18</v>
      </c>
      <c r="AD256" s="147" t="s">
        <v>18</v>
      </c>
      <c r="AE256" s="147" t="s">
        <v>18</v>
      </c>
      <c r="AF256" s="147">
        <v>0.16666666666666666</v>
      </c>
      <c r="AG256" s="148" t="s">
        <v>18</v>
      </c>
      <c r="AH256" s="146" t="s">
        <v>18</v>
      </c>
      <c r="AI256" s="147" t="s">
        <v>18</v>
      </c>
      <c r="AJ256" s="147" t="s">
        <v>18</v>
      </c>
      <c r="AK256" s="147" t="s">
        <v>18</v>
      </c>
      <c r="AL256" s="147" t="s">
        <v>18</v>
      </c>
      <c r="AM256" s="147" t="s">
        <v>18</v>
      </c>
      <c r="AN256" s="147" t="s">
        <v>18</v>
      </c>
      <c r="AO256" s="147" t="s">
        <v>18</v>
      </c>
      <c r="AP256" s="147" t="s">
        <v>18</v>
      </c>
      <c r="AQ256" s="147" t="s">
        <v>18</v>
      </c>
      <c r="AR256" s="147" t="s">
        <v>18</v>
      </c>
      <c r="AS256" s="147" t="s">
        <v>18</v>
      </c>
      <c r="AT256" s="147" t="s">
        <v>18</v>
      </c>
      <c r="AU256" s="147" t="s">
        <v>18</v>
      </c>
      <c r="AV256" s="147" t="s">
        <v>18</v>
      </c>
      <c r="AW256" s="147" t="s">
        <v>18</v>
      </c>
      <c r="AX256" s="147" t="s">
        <v>18</v>
      </c>
      <c r="AY256" s="147" t="s">
        <v>18</v>
      </c>
      <c r="AZ256" s="147" t="s">
        <v>18</v>
      </c>
      <c r="BA256" s="147" t="s">
        <v>18</v>
      </c>
      <c r="BB256" s="147" t="s">
        <v>18</v>
      </c>
      <c r="BC256" s="147" t="s">
        <v>18</v>
      </c>
    </row>
    <row r="257" spans="1:55" ht="15" customHeight="1" x14ac:dyDescent="0.2">
      <c r="A257" s="149" t="s">
        <v>1</v>
      </c>
      <c r="B257" s="150" t="s">
        <v>2</v>
      </c>
      <c r="C257" s="129">
        <v>19222</v>
      </c>
      <c r="D257" s="130">
        <v>19222</v>
      </c>
      <c r="E257" s="130">
        <v>19257</v>
      </c>
      <c r="F257" s="131">
        <v>19257</v>
      </c>
      <c r="G257" s="130">
        <v>19323</v>
      </c>
      <c r="H257" s="131">
        <v>19323</v>
      </c>
      <c r="I257" s="130">
        <v>19323</v>
      </c>
      <c r="J257" s="130">
        <v>19323</v>
      </c>
      <c r="K257" s="130">
        <v>19323</v>
      </c>
      <c r="L257" s="130">
        <v>19353</v>
      </c>
      <c r="M257" s="131">
        <v>19353</v>
      </c>
      <c r="N257" s="130">
        <v>19416</v>
      </c>
      <c r="O257" s="131">
        <v>19416</v>
      </c>
      <c r="P257" s="130">
        <v>19416</v>
      </c>
      <c r="Q257" s="130">
        <v>19416</v>
      </c>
      <c r="R257" s="130">
        <v>19550</v>
      </c>
      <c r="S257" s="131">
        <v>19550</v>
      </c>
      <c r="T257" s="130">
        <v>19550</v>
      </c>
      <c r="U257" s="130">
        <v>19622</v>
      </c>
      <c r="V257" s="131">
        <v>19622</v>
      </c>
      <c r="W257" s="130">
        <v>19622</v>
      </c>
      <c r="X257" s="130">
        <v>19622</v>
      </c>
      <c r="Y257" s="130">
        <v>19710</v>
      </c>
      <c r="Z257" s="131">
        <v>19710</v>
      </c>
      <c r="AA257" s="130">
        <v>19710</v>
      </c>
      <c r="AB257" s="130">
        <v>19720</v>
      </c>
      <c r="AC257" s="131">
        <v>19720</v>
      </c>
      <c r="AD257" s="130">
        <v>19720</v>
      </c>
      <c r="AE257" s="130">
        <v>19720</v>
      </c>
      <c r="AF257" s="130">
        <v>19904</v>
      </c>
      <c r="AG257" s="131">
        <v>19946</v>
      </c>
      <c r="AH257" s="129" t="s">
        <v>18</v>
      </c>
      <c r="AI257" s="130" t="s">
        <v>18</v>
      </c>
      <c r="AJ257" s="130" t="s">
        <v>18</v>
      </c>
      <c r="AK257" s="130" t="s">
        <v>18</v>
      </c>
      <c r="AL257" s="130" t="s">
        <v>18</v>
      </c>
      <c r="AM257" s="130" t="s">
        <v>18</v>
      </c>
      <c r="AN257" s="130" t="s">
        <v>18</v>
      </c>
      <c r="AO257" s="130" t="s">
        <v>18</v>
      </c>
      <c r="AP257" s="130" t="s">
        <v>18</v>
      </c>
      <c r="AQ257" s="130" t="s">
        <v>18</v>
      </c>
      <c r="AR257" s="130" t="s">
        <v>18</v>
      </c>
      <c r="AS257" s="130" t="s">
        <v>18</v>
      </c>
      <c r="AT257" s="130" t="s">
        <v>18</v>
      </c>
      <c r="AU257" s="130" t="s">
        <v>18</v>
      </c>
      <c r="AV257" s="130" t="s">
        <v>18</v>
      </c>
      <c r="AW257" s="130" t="s">
        <v>18</v>
      </c>
      <c r="AX257" s="130" t="s">
        <v>18</v>
      </c>
      <c r="AY257" s="130" t="s">
        <v>18</v>
      </c>
      <c r="AZ257" s="130" t="s">
        <v>18</v>
      </c>
      <c r="BA257" s="130" t="s">
        <v>18</v>
      </c>
      <c r="BB257" s="130" t="s">
        <v>18</v>
      </c>
      <c r="BC257" s="130" t="s">
        <v>18</v>
      </c>
    </row>
    <row r="258" spans="1:55" ht="15" customHeight="1" x14ac:dyDescent="0.2">
      <c r="A258" s="121" t="s">
        <v>19</v>
      </c>
      <c r="B258" s="122" t="s">
        <v>4</v>
      </c>
      <c r="C258" s="123">
        <v>925</v>
      </c>
      <c r="D258" s="124">
        <v>925</v>
      </c>
      <c r="E258" s="124">
        <v>927</v>
      </c>
      <c r="F258" s="125">
        <v>927</v>
      </c>
      <c r="G258" s="124">
        <v>928</v>
      </c>
      <c r="H258" s="125">
        <v>928</v>
      </c>
      <c r="I258" s="124">
        <v>928</v>
      </c>
      <c r="J258" s="124">
        <v>928</v>
      </c>
      <c r="K258" s="124">
        <v>928</v>
      </c>
      <c r="L258" s="124">
        <v>928</v>
      </c>
      <c r="M258" s="125">
        <v>928</v>
      </c>
      <c r="N258" s="124">
        <v>930</v>
      </c>
      <c r="O258" s="125">
        <v>930</v>
      </c>
      <c r="P258" s="124">
        <v>930</v>
      </c>
      <c r="Q258" s="124">
        <v>930</v>
      </c>
      <c r="R258" s="124">
        <v>932</v>
      </c>
      <c r="S258" s="125">
        <v>932</v>
      </c>
      <c r="T258" s="124">
        <v>932</v>
      </c>
      <c r="U258" s="124">
        <v>935</v>
      </c>
      <c r="V258" s="125">
        <v>935</v>
      </c>
      <c r="W258" s="124">
        <v>935</v>
      </c>
      <c r="X258" s="124">
        <v>935</v>
      </c>
      <c r="Y258" s="124">
        <v>937</v>
      </c>
      <c r="Z258" s="125">
        <v>937</v>
      </c>
      <c r="AA258" s="124">
        <v>937</v>
      </c>
      <c r="AB258" s="124">
        <v>938</v>
      </c>
      <c r="AC258" s="125">
        <v>938</v>
      </c>
      <c r="AD258" s="124">
        <v>938</v>
      </c>
      <c r="AE258" s="124">
        <v>938</v>
      </c>
      <c r="AF258" s="124">
        <v>946</v>
      </c>
      <c r="AG258" s="125">
        <v>947</v>
      </c>
      <c r="AH258" s="123" t="s">
        <v>18</v>
      </c>
      <c r="AI258" s="124" t="s">
        <v>18</v>
      </c>
      <c r="AJ258" s="124" t="s">
        <v>18</v>
      </c>
      <c r="AK258" s="124" t="s">
        <v>18</v>
      </c>
      <c r="AL258" s="124" t="s">
        <v>18</v>
      </c>
      <c r="AM258" s="124" t="s">
        <v>18</v>
      </c>
      <c r="AN258" s="124" t="s">
        <v>18</v>
      </c>
      <c r="AO258" s="124" t="s">
        <v>18</v>
      </c>
      <c r="AP258" s="124" t="s">
        <v>18</v>
      </c>
      <c r="AQ258" s="124" t="s">
        <v>18</v>
      </c>
      <c r="AR258" s="124" t="s">
        <v>18</v>
      </c>
      <c r="AS258" s="124" t="s">
        <v>18</v>
      </c>
      <c r="AT258" s="124" t="s">
        <v>18</v>
      </c>
      <c r="AU258" s="124" t="s">
        <v>18</v>
      </c>
      <c r="AV258" s="124" t="s">
        <v>18</v>
      </c>
      <c r="AW258" s="124" t="s">
        <v>18</v>
      </c>
      <c r="AX258" s="124" t="s">
        <v>18</v>
      </c>
      <c r="AY258" s="124" t="s">
        <v>18</v>
      </c>
      <c r="AZ258" s="124" t="s">
        <v>18</v>
      </c>
      <c r="BA258" s="124" t="s">
        <v>18</v>
      </c>
      <c r="BB258" s="124" t="s">
        <v>18</v>
      </c>
      <c r="BC258" s="124" t="s">
        <v>18</v>
      </c>
    </row>
    <row r="259" spans="1:55" ht="15" customHeight="1" x14ac:dyDescent="0.25">
      <c r="A259" s="143">
        <v>3</v>
      </c>
      <c r="B259" s="122" t="s">
        <v>5</v>
      </c>
      <c r="C259" s="123">
        <v>6</v>
      </c>
      <c r="D259" s="124">
        <v>6</v>
      </c>
      <c r="E259" s="124">
        <v>4</v>
      </c>
      <c r="F259" s="125">
        <v>6</v>
      </c>
      <c r="G259" s="124">
        <v>5</v>
      </c>
      <c r="H259" s="125">
        <v>5</v>
      </c>
      <c r="I259" s="124">
        <v>5</v>
      </c>
      <c r="J259" s="124">
        <v>5</v>
      </c>
      <c r="K259" s="124">
        <v>5</v>
      </c>
      <c r="L259" s="124">
        <v>5</v>
      </c>
      <c r="M259" s="125">
        <v>11</v>
      </c>
      <c r="N259" s="124">
        <v>9</v>
      </c>
      <c r="O259" s="125">
        <v>9</v>
      </c>
      <c r="P259" s="124">
        <v>9</v>
      </c>
      <c r="Q259" s="124">
        <v>9</v>
      </c>
      <c r="R259" s="124">
        <v>7</v>
      </c>
      <c r="S259" s="125">
        <v>12</v>
      </c>
      <c r="T259" s="124">
        <v>12</v>
      </c>
      <c r="U259" s="124">
        <v>9</v>
      </c>
      <c r="V259" s="125">
        <v>12</v>
      </c>
      <c r="W259" s="124">
        <v>12</v>
      </c>
      <c r="X259" s="124">
        <v>12</v>
      </c>
      <c r="Y259" s="124">
        <v>10</v>
      </c>
      <c r="Z259" s="125">
        <v>13</v>
      </c>
      <c r="AA259" s="124">
        <v>13</v>
      </c>
      <c r="AB259" s="124">
        <v>13</v>
      </c>
      <c r="AC259" s="125">
        <v>40</v>
      </c>
      <c r="AD259" s="124">
        <v>40</v>
      </c>
      <c r="AE259" s="124">
        <v>40</v>
      </c>
      <c r="AF259" s="124">
        <v>32</v>
      </c>
      <c r="AG259" s="125">
        <v>32</v>
      </c>
      <c r="AH259" s="123" t="s">
        <v>18</v>
      </c>
      <c r="AI259" s="124" t="s">
        <v>18</v>
      </c>
      <c r="AJ259" s="124" t="s">
        <v>18</v>
      </c>
      <c r="AK259" s="124" t="s">
        <v>18</v>
      </c>
      <c r="AL259" s="124" t="s">
        <v>18</v>
      </c>
      <c r="AM259" s="124" t="s">
        <v>18</v>
      </c>
      <c r="AN259" s="124" t="s">
        <v>18</v>
      </c>
      <c r="AO259" s="124" t="s">
        <v>18</v>
      </c>
      <c r="AP259" s="124" t="s">
        <v>18</v>
      </c>
      <c r="AQ259" s="124" t="s">
        <v>18</v>
      </c>
      <c r="AR259" s="124" t="s">
        <v>18</v>
      </c>
      <c r="AS259" s="124" t="s">
        <v>18</v>
      </c>
      <c r="AT259" s="124" t="s">
        <v>18</v>
      </c>
      <c r="AU259" s="124" t="s">
        <v>18</v>
      </c>
      <c r="AV259" s="124" t="s">
        <v>18</v>
      </c>
      <c r="AW259" s="124" t="s">
        <v>18</v>
      </c>
      <c r="AX259" s="124" t="s">
        <v>18</v>
      </c>
      <c r="AY259" s="124" t="s">
        <v>18</v>
      </c>
      <c r="AZ259" s="124" t="s">
        <v>18</v>
      </c>
      <c r="BA259" s="124" t="s">
        <v>18</v>
      </c>
      <c r="BB259" s="124" t="s">
        <v>18</v>
      </c>
      <c r="BC259" s="124" t="s">
        <v>18</v>
      </c>
    </row>
    <row r="260" spans="1:55" ht="15" customHeight="1" x14ac:dyDescent="0.2">
      <c r="A260" s="127"/>
      <c r="B260" s="122" t="s">
        <v>6</v>
      </c>
      <c r="C260" s="123"/>
      <c r="D260" s="124"/>
      <c r="E260" s="124">
        <v>2</v>
      </c>
      <c r="F260" s="125"/>
      <c r="G260" s="124"/>
      <c r="H260" s="125"/>
      <c r="I260" s="124"/>
      <c r="J260" s="124"/>
      <c r="K260" s="124"/>
      <c r="L260" s="124">
        <v>6</v>
      </c>
      <c r="M260" s="125"/>
      <c r="N260" s="124"/>
      <c r="O260" s="125"/>
      <c r="P260" s="124"/>
      <c r="Q260" s="124"/>
      <c r="R260" s="124">
        <v>5</v>
      </c>
      <c r="S260" s="125"/>
      <c r="T260" s="124"/>
      <c r="U260" s="124">
        <v>3</v>
      </c>
      <c r="V260" s="125"/>
      <c r="W260" s="124"/>
      <c r="X260" s="124"/>
      <c r="Y260" s="124">
        <v>3</v>
      </c>
      <c r="Z260" s="125"/>
      <c r="AA260" s="124"/>
      <c r="AB260" s="124">
        <v>27</v>
      </c>
      <c r="AC260" s="125"/>
      <c r="AD260" s="124"/>
      <c r="AE260" s="124"/>
      <c r="AF260" s="124"/>
      <c r="AG260" s="125"/>
      <c r="AH260" s="123"/>
      <c r="AI260" s="124"/>
      <c r="AJ260" s="124"/>
      <c r="AK260" s="124"/>
      <c r="AL260" s="124"/>
      <c r="AM260" s="124"/>
      <c r="AN260" s="124"/>
      <c r="AO260" s="124"/>
      <c r="AP260" s="124"/>
      <c r="AQ260" s="124"/>
      <c r="AR260" s="124"/>
      <c r="AS260" s="124"/>
      <c r="AT260" s="124"/>
      <c r="AU260" s="124"/>
      <c r="AV260" s="124"/>
      <c r="AW260" s="124"/>
      <c r="AX260" s="124"/>
      <c r="AY260" s="124"/>
      <c r="AZ260" s="124"/>
      <c r="BA260" s="124"/>
      <c r="BB260" s="124"/>
      <c r="BC260" s="124"/>
    </row>
    <row r="261" spans="1:55" ht="15" customHeight="1" x14ac:dyDescent="0.2">
      <c r="A261" s="128"/>
      <c r="B261" s="122" t="s">
        <v>8</v>
      </c>
      <c r="C261" s="129">
        <v>780</v>
      </c>
      <c r="D261" s="130">
        <v>780</v>
      </c>
      <c r="E261" s="130">
        <v>780</v>
      </c>
      <c r="F261" s="131">
        <v>780</v>
      </c>
      <c r="G261" s="130">
        <v>780</v>
      </c>
      <c r="H261" s="131">
        <v>780</v>
      </c>
      <c r="I261" s="130">
        <v>780</v>
      </c>
      <c r="J261" s="130">
        <v>780</v>
      </c>
      <c r="K261" s="130">
        <v>780</v>
      </c>
      <c r="L261" s="130">
        <v>780</v>
      </c>
      <c r="M261" s="131">
        <v>780</v>
      </c>
      <c r="N261" s="130">
        <v>780</v>
      </c>
      <c r="O261" s="131">
        <v>780</v>
      </c>
      <c r="P261" s="130">
        <v>780</v>
      </c>
      <c r="Q261" s="130">
        <v>780</v>
      </c>
      <c r="R261" s="130">
        <v>780</v>
      </c>
      <c r="S261" s="131">
        <v>780</v>
      </c>
      <c r="T261" s="130">
        <v>780</v>
      </c>
      <c r="U261" s="130">
        <v>780</v>
      </c>
      <c r="V261" s="131">
        <v>780</v>
      </c>
      <c r="W261" s="130">
        <v>780</v>
      </c>
      <c r="X261" s="130">
        <v>780</v>
      </c>
      <c r="Y261" s="130">
        <v>780</v>
      </c>
      <c r="Z261" s="131">
        <v>780</v>
      </c>
      <c r="AA261" s="130">
        <v>780</v>
      </c>
      <c r="AB261" s="130">
        <v>240</v>
      </c>
      <c r="AC261" s="131">
        <v>240</v>
      </c>
      <c r="AD261" s="130">
        <v>240</v>
      </c>
      <c r="AE261" s="130">
        <v>240</v>
      </c>
      <c r="AF261" s="130">
        <v>240</v>
      </c>
      <c r="AG261" s="131">
        <v>240</v>
      </c>
      <c r="AH261" s="129" t="s">
        <v>18</v>
      </c>
      <c r="AI261" s="130" t="s">
        <v>18</v>
      </c>
      <c r="AJ261" s="130" t="s">
        <v>18</v>
      </c>
      <c r="AK261" s="130" t="s">
        <v>18</v>
      </c>
      <c r="AL261" s="130" t="s">
        <v>18</v>
      </c>
      <c r="AM261" s="130" t="s">
        <v>18</v>
      </c>
      <c r="AN261" s="130" t="s">
        <v>18</v>
      </c>
      <c r="AO261" s="130" t="s">
        <v>18</v>
      </c>
      <c r="AP261" s="130" t="s">
        <v>18</v>
      </c>
      <c r="AQ261" s="130" t="s">
        <v>18</v>
      </c>
      <c r="AR261" s="130" t="s">
        <v>18</v>
      </c>
      <c r="AS261" s="130" t="s">
        <v>18</v>
      </c>
      <c r="AT261" s="130" t="s">
        <v>18</v>
      </c>
      <c r="AU261" s="130" t="s">
        <v>18</v>
      </c>
      <c r="AV261" s="130" t="s">
        <v>18</v>
      </c>
      <c r="AW261" s="130" t="s">
        <v>18</v>
      </c>
      <c r="AX261" s="130" t="s">
        <v>18</v>
      </c>
      <c r="AY261" s="130" t="s">
        <v>18</v>
      </c>
      <c r="AZ261" s="130" t="s">
        <v>18</v>
      </c>
      <c r="BA261" s="130" t="s">
        <v>18</v>
      </c>
      <c r="BB261" s="130" t="s">
        <v>18</v>
      </c>
      <c r="BC261" s="130" t="s">
        <v>18</v>
      </c>
    </row>
    <row r="262" spans="1:55" ht="15" customHeight="1" x14ac:dyDescent="0.2">
      <c r="A262" s="127" t="s">
        <v>9</v>
      </c>
      <c r="B262" s="132" t="s">
        <v>10</v>
      </c>
      <c r="C262" s="133" t="s">
        <v>25</v>
      </c>
      <c r="D262" s="134" t="s">
        <v>25</v>
      </c>
      <c r="E262" s="134" t="s">
        <v>25</v>
      </c>
      <c r="F262" s="135" t="s">
        <v>25</v>
      </c>
      <c r="G262" s="134" t="s">
        <v>25</v>
      </c>
      <c r="H262" s="135" t="s">
        <v>25</v>
      </c>
      <c r="I262" s="134" t="s">
        <v>25</v>
      </c>
      <c r="J262" s="134" t="s">
        <v>25</v>
      </c>
      <c r="K262" s="134" t="s">
        <v>25</v>
      </c>
      <c r="L262" s="134" t="s">
        <v>25</v>
      </c>
      <c r="M262" s="135" t="s">
        <v>217</v>
      </c>
      <c r="N262" s="134" t="s">
        <v>217</v>
      </c>
      <c r="O262" s="135" t="s">
        <v>217</v>
      </c>
      <c r="P262" s="134" t="s">
        <v>217</v>
      </c>
      <c r="Q262" s="134" t="s">
        <v>217</v>
      </c>
      <c r="R262" s="134" t="s">
        <v>217</v>
      </c>
      <c r="S262" s="135" t="s">
        <v>217</v>
      </c>
      <c r="T262" s="134" t="s">
        <v>217</v>
      </c>
      <c r="U262" s="134" t="s">
        <v>217</v>
      </c>
      <c r="V262" s="135" t="s">
        <v>217</v>
      </c>
      <c r="W262" s="134" t="s">
        <v>217</v>
      </c>
      <c r="X262" s="134" t="s">
        <v>217</v>
      </c>
      <c r="Y262" s="134" t="s">
        <v>217</v>
      </c>
      <c r="Z262" s="135" t="s">
        <v>217</v>
      </c>
      <c r="AA262" s="134" t="s">
        <v>217</v>
      </c>
      <c r="AB262" s="134" t="s">
        <v>217</v>
      </c>
      <c r="AC262" s="135" t="s">
        <v>231</v>
      </c>
      <c r="AD262" s="134" t="s">
        <v>231</v>
      </c>
      <c r="AE262" s="134" t="s">
        <v>231</v>
      </c>
      <c r="AF262" s="134" t="s">
        <v>231</v>
      </c>
      <c r="AG262" s="135" t="s">
        <v>231</v>
      </c>
      <c r="AH262" s="133" t="s">
        <v>18</v>
      </c>
      <c r="AI262" s="134" t="s">
        <v>18</v>
      </c>
      <c r="AJ262" s="134" t="s">
        <v>18</v>
      </c>
      <c r="AK262" s="134" t="s">
        <v>18</v>
      </c>
      <c r="AL262" s="134" t="s">
        <v>18</v>
      </c>
      <c r="AM262" s="134" t="s">
        <v>18</v>
      </c>
      <c r="AN262" s="134" t="s">
        <v>18</v>
      </c>
      <c r="AO262" s="134" t="s">
        <v>18</v>
      </c>
      <c r="AP262" s="134" t="s">
        <v>18</v>
      </c>
      <c r="AQ262" s="134" t="s">
        <v>18</v>
      </c>
      <c r="AR262" s="134" t="s">
        <v>18</v>
      </c>
      <c r="AS262" s="134" t="s">
        <v>18</v>
      </c>
      <c r="AT262" s="134" t="s">
        <v>18</v>
      </c>
      <c r="AU262" s="134" t="s">
        <v>18</v>
      </c>
      <c r="AV262" s="134" t="s">
        <v>18</v>
      </c>
      <c r="AW262" s="134" t="s">
        <v>18</v>
      </c>
      <c r="AX262" s="134" t="s">
        <v>18</v>
      </c>
      <c r="AY262" s="134" t="s">
        <v>18</v>
      </c>
      <c r="AZ262" s="134" t="s">
        <v>18</v>
      </c>
      <c r="BA262" s="134" t="s">
        <v>18</v>
      </c>
      <c r="BB262" s="134" t="s">
        <v>18</v>
      </c>
      <c r="BC262" s="134" t="s">
        <v>18</v>
      </c>
    </row>
    <row r="263" spans="1:55" ht="15" customHeight="1" x14ac:dyDescent="0.2">
      <c r="A263" s="128">
        <v>70064.516129032258</v>
      </c>
      <c r="B263" s="122" t="s">
        <v>12</v>
      </c>
      <c r="C263" s="123"/>
      <c r="D263" s="124"/>
      <c r="E263" s="124"/>
      <c r="F263" s="125"/>
      <c r="G263" s="124"/>
      <c r="H263" s="125"/>
      <c r="I263" s="124"/>
      <c r="J263" s="124"/>
      <c r="K263" s="124"/>
      <c r="L263" s="124"/>
      <c r="M263" s="125" t="s">
        <v>205</v>
      </c>
      <c r="N263" s="124"/>
      <c r="O263" s="125"/>
      <c r="P263" s="124"/>
      <c r="Q263" s="124"/>
      <c r="R263" s="124"/>
      <c r="S263" s="125"/>
      <c r="T263" s="124"/>
      <c r="U263" s="124"/>
      <c r="V263" s="125"/>
      <c r="W263" s="124"/>
      <c r="X263" s="124"/>
      <c r="Y263" s="124"/>
      <c r="Z263" s="125"/>
      <c r="AA263" s="124"/>
      <c r="AB263" s="124"/>
      <c r="AC263" s="125" t="s">
        <v>232</v>
      </c>
      <c r="AD263" s="124"/>
      <c r="AE263" s="124"/>
      <c r="AF263" s="124"/>
      <c r="AG263" s="125"/>
      <c r="AH263" s="123"/>
      <c r="AI263" s="124"/>
      <c r="AJ263" s="124"/>
      <c r="AK263" s="124"/>
      <c r="AL263" s="124"/>
      <c r="AM263" s="124"/>
      <c r="AN263" s="124"/>
      <c r="AO263" s="124"/>
      <c r="AP263" s="124"/>
      <c r="AQ263" s="124"/>
      <c r="AR263" s="124"/>
      <c r="AS263" s="124"/>
      <c r="AT263" s="124"/>
      <c r="AU263" s="124"/>
      <c r="AV263" s="124"/>
      <c r="AW263" s="124"/>
      <c r="AX263" s="124"/>
      <c r="AY263" s="124"/>
      <c r="AZ263" s="124"/>
      <c r="BA263" s="124"/>
      <c r="BB263" s="124"/>
      <c r="BC263" s="124"/>
    </row>
    <row r="264" spans="1:55" ht="15" customHeight="1" x14ac:dyDescent="0.2">
      <c r="A264" s="128">
        <v>724</v>
      </c>
      <c r="B264" s="136" t="s">
        <v>13</v>
      </c>
      <c r="C264" s="123">
        <v>0</v>
      </c>
      <c r="D264" s="137">
        <v>0</v>
      </c>
      <c r="E264" s="137">
        <v>35</v>
      </c>
      <c r="F264" s="125">
        <v>0</v>
      </c>
      <c r="G264" s="137">
        <v>66</v>
      </c>
      <c r="H264" s="125">
        <v>0</v>
      </c>
      <c r="I264" s="137">
        <v>0</v>
      </c>
      <c r="J264" s="137">
        <v>0</v>
      </c>
      <c r="K264" s="137">
        <v>0</v>
      </c>
      <c r="L264" s="137">
        <v>30</v>
      </c>
      <c r="M264" s="125">
        <v>0</v>
      </c>
      <c r="N264" s="137">
        <v>63</v>
      </c>
      <c r="O264" s="125">
        <v>0</v>
      </c>
      <c r="P264" s="137">
        <v>0</v>
      </c>
      <c r="Q264" s="137">
        <v>0</v>
      </c>
      <c r="R264" s="137">
        <v>134</v>
      </c>
      <c r="S264" s="125">
        <v>0</v>
      </c>
      <c r="T264" s="137">
        <v>0</v>
      </c>
      <c r="U264" s="137">
        <v>72</v>
      </c>
      <c r="V264" s="125">
        <v>0</v>
      </c>
      <c r="W264" s="137">
        <v>0</v>
      </c>
      <c r="X264" s="137">
        <v>0</v>
      </c>
      <c r="Y264" s="137">
        <v>88</v>
      </c>
      <c r="Z264" s="125">
        <v>0</v>
      </c>
      <c r="AA264" s="137">
        <v>0</v>
      </c>
      <c r="AB264" s="137">
        <v>10</v>
      </c>
      <c r="AC264" s="125">
        <v>0</v>
      </c>
      <c r="AD264" s="137">
        <v>0</v>
      </c>
      <c r="AE264" s="137">
        <v>0</v>
      </c>
      <c r="AF264" s="137">
        <v>184</v>
      </c>
      <c r="AG264" s="125">
        <v>42</v>
      </c>
      <c r="AH264" s="123" t="s">
        <v>18</v>
      </c>
      <c r="AI264" s="137" t="s">
        <v>18</v>
      </c>
      <c r="AJ264" s="137" t="s">
        <v>18</v>
      </c>
      <c r="AK264" s="137" t="s">
        <v>18</v>
      </c>
      <c r="AL264" s="137" t="s">
        <v>18</v>
      </c>
      <c r="AM264" s="137" t="s">
        <v>18</v>
      </c>
      <c r="AN264" s="137" t="s">
        <v>18</v>
      </c>
      <c r="AO264" s="137" t="s">
        <v>18</v>
      </c>
      <c r="AP264" s="137" t="s">
        <v>18</v>
      </c>
      <c r="AQ264" s="137" t="s">
        <v>18</v>
      </c>
      <c r="AR264" s="137" t="s">
        <v>18</v>
      </c>
      <c r="AS264" s="137" t="s">
        <v>18</v>
      </c>
      <c r="AT264" s="137" t="s">
        <v>18</v>
      </c>
      <c r="AU264" s="137" t="s">
        <v>18</v>
      </c>
      <c r="AV264" s="137" t="s">
        <v>18</v>
      </c>
      <c r="AW264" s="137" t="s">
        <v>18</v>
      </c>
      <c r="AX264" s="137" t="s">
        <v>18</v>
      </c>
      <c r="AY264" s="137" t="s">
        <v>18</v>
      </c>
      <c r="AZ264" s="137" t="s">
        <v>18</v>
      </c>
      <c r="BA264" s="137" t="s">
        <v>18</v>
      </c>
      <c r="BB264" s="137" t="s">
        <v>18</v>
      </c>
      <c r="BC264" s="137" t="s">
        <v>18</v>
      </c>
    </row>
    <row r="265" spans="1:55" ht="15" customHeight="1" x14ac:dyDescent="0.2">
      <c r="A265" s="128">
        <v>22</v>
      </c>
      <c r="B265" s="136" t="s">
        <v>14</v>
      </c>
      <c r="C265" s="123">
        <v>0</v>
      </c>
      <c r="D265" s="137">
        <v>0</v>
      </c>
      <c r="E265" s="137">
        <v>2</v>
      </c>
      <c r="F265" s="125">
        <v>0</v>
      </c>
      <c r="G265" s="137">
        <v>1</v>
      </c>
      <c r="H265" s="125">
        <v>0</v>
      </c>
      <c r="I265" s="137">
        <v>0</v>
      </c>
      <c r="J265" s="137">
        <v>0</v>
      </c>
      <c r="K265" s="137">
        <v>0</v>
      </c>
      <c r="L265" s="137">
        <v>0</v>
      </c>
      <c r="M265" s="125">
        <v>0</v>
      </c>
      <c r="N265" s="137">
        <v>2</v>
      </c>
      <c r="O265" s="125">
        <v>0</v>
      </c>
      <c r="P265" s="137">
        <v>0</v>
      </c>
      <c r="Q265" s="137">
        <v>0</v>
      </c>
      <c r="R265" s="137">
        <v>2</v>
      </c>
      <c r="S265" s="125">
        <v>0</v>
      </c>
      <c r="T265" s="137">
        <v>0</v>
      </c>
      <c r="U265" s="137">
        <v>3</v>
      </c>
      <c r="V265" s="125">
        <v>0</v>
      </c>
      <c r="W265" s="137">
        <v>0</v>
      </c>
      <c r="X265" s="137">
        <v>0</v>
      </c>
      <c r="Y265" s="137">
        <v>2</v>
      </c>
      <c r="Z265" s="125">
        <v>0</v>
      </c>
      <c r="AA265" s="137">
        <v>0</v>
      </c>
      <c r="AB265" s="137">
        <v>1</v>
      </c>
      <c r="AC265" s="125">
        <v>0</v>
      </c>
      <c r="AD265" s="137">
        <v>0</v>
      </c>
      <c r="AE265" s="137">
        <v>0</v>
      </c>
      <c r="AF265" s="137">
        <v>8</v>
      </c>
      <c r="AG265" s="125">
        <v>1</v>
      </c>
      <c r="AH265" s="123" t="s">
        <v>18</v>
      </c>
      <c r="AI265" s="137" t="s">
        <v>18</v>
      </c>
      <c r="AJ265" s="137" t="s">
        <v>18</v>
      </c>
      <c r="AK265" s="137" t="s">
        <v>18</v>
      </c>
      <c r="AL265" s="137" t="s">
        <v>18</v>
      </c>
      <c r="AM265" s="137" t="s">
        <v>18</v>
      </c>
      <c r="AN265" s="137" t="s">
        <v>18</v>
      </c>
      <c r="AO265" s="137" t="s">
        <v>18</v>
      </c>
      <c r="AP265" s="137" t="s">
        <v>18</v>
      </c>
      <c r="AQ265" s="137" t="s">
        <v>18</v>
      </c>
      <c r="AR265" s="137" t="s">
        <v>18</v>
      </c>
      <c r="AS265" s="137" t="s">
        <v>18</v>
      </c>
      <c r="AT265" s="137" t="s">
        <v>18</v>
      </c>
      <c r="AU265" s="137" t="s">
        <v>18</v>
      </c>
      <c r="AV265" s="137" t="s">
        <v>18</v>
      </c>
      <c r="AW265" s="137" t="s">
        <v>18</v>
      </c>
      <c r="AX265" s="137" t="s">
        <v>18</v>
      </c>
      <c r="AY265" s="137" t="s">
        <v>18</v>
      </c>
      <c r="AZ265" s="137" t="s">
        <v>18</v>
      </c>
      <c r="BA265" s="137" t="s">
        <v>18</v>
      </c>
      <c r="BB265" s="137" t="s">
        <v>18</v>
      </c>
      <c r="BC265" s="137" t="s">
        <v>18</v>
      </c>
    </row>
    <row r="266" spans="1:55" ht="15" customHeight="1" x14ac:dyDescent="0.2">
      <c r="A266" s="128">
        <v>20</v>
      </c>
      <c r="B266" s="136" t="s">
        <v>15</v>
      </c>
      <c r="C266" s="123">
        <v>0</v>
      </c>
      <c r="D266" s="137">
        <v>0</v>
      </c>
      <c r="E266" s="137">
        <v>2</v>
      </c>
      <c r="F266" s="125">
        <v>0</v>
      </c>
      <c r="G266" s="137">
        <v>1</v>
      </c>
      <c r="H266" s="125">
        <v>0</v>
      </c>
      <c r="I266" s="137">
        <v>0</v>
      </c>
      <c r="J266" s="137">
        <v>0</v>
      </c>
      <c r="K266" s="137">
        <v>0</v>
      </c>
      <c r="L266" s="137">
        <v>0</v>
      </c>
      <c r="M266" s="125">
        <v>0</v>
      </c>
      <c r="N266" s="137">
        <v>2</v>
      </c>
      <c r="O266" s="125">
        <v>0</v>
      </c>
      <c r="P266" s="137">
        <v>0</v>
      </c>
      <c r="Q266" s="137">
        <v>0</v>
      </c>
      <c r="R266" s="137">
        <v>2</v>
      </c>
      <c r="S266" s="125">
        <v>0</v>
      </c>
      <c r="T266" s="137">
        <v>0</v>
      </c>
      <c r="U266" s="137">
        <v>3</v>
      </c>
      <c r="V266" s="125">
        <v>0</v>
      </c>
      <c r="W266" s="137">
        <v>0</v>
      </c>
      <c r="X266" s="137">
        <v>0</v>
      </c>
      <c r="Y266" s="137">
        <v>2</v>
      </c>
      <c r="Z266" s="125">
        <v>0</v>
      </c>
      <c r="AA266" s="137">
        <v>0</v>
      </c>
      <c r="AB266" s="137">
        <v>0</v>
      </c>
      <c r="AC266" s="125">
        <v>0</v>
      </c>
      <c r="AD266" s="137">
        <v>0</v>
      </c>
      <c r="AE266" s="137">
        <v>0</v>
      </c>
      <c r="AF266" s="137">
        <v>8</v>
      </c>
      <c r="AG266" s="125">
        <v>0</v>
      </c>
      <c r="AH266" s="123" t="s">
        <v>18</v>
      </c>
      <c r="AI266" s="137" t="s">
        <v>18</v>
      </c>
      <c r="AJ266" s="137" t="s">
        <v>18</v>
      </c>
      <c r="AK266" s="137" t="s">
        <v>18</v>
      </c>
      <c r="AL266" s="137" t="s">
        <v>18</v>
      </c>
      <c r="AM266" s="137" t="s">
        <v>18</v>
      </c>
      <c r="AN266" s="137" t="s">
        <v>18</v>
      </c>
      <c r="AO266" s="137" t="s">
        <v>18</v>
      </c>
      <c r="AP266" s="137" t="s">
        <v>18</v>
      </c>
      <c r="AQ266" s="137" t="s">
        <v>18</v>
      </c>
      <c r="AR266" s="137" t="s">
        <v>18</v>
      </c>
      <c r="AS266" s="137" t="s">
        <v>18</v>
      </c>
      <c r="AT266" s="137" t="s">
        <v>18</v>
      </c>
      <c r="AU266" s="137" t="s">
        <v>18</v>
      </c>
      <c r="AV266" s="137" t="s">
        <v>18</v>
      </c>
      <c r="AW266" s="137" t="s">
        <v>18</v>
      </c>
      <c r="AX266" s="137" t="s">
        <v>18</v>
      </c>
      <c r="AY266" s="137" t="s">
        <v>18</v>
      </c>
      <c r="AZ266" s="137" t="s">
        <v>18</v>
      </c>
      <c r="BA266" s="137" t="s">
        <v>18</v>
      </c>
      <c r="BB266" s="137" t="s">
        <v>18</v>
      </c>
      <c r="BC266" s="137" t="s">
        <v>18</v>
      </c>
    </row>
    <row r="267" spans="1:55" ht="15" customHeight="1" x14ac:dyDescent="0.2">
      <c r="A267" s="128">
        <v>11280</v>
      </c>
      <c r="B267" s="136" t="s">
        <v>16</v>
      </c>
      <c r="C267" s="123">
        <v>0</v>
      </c>
      <c r="D267" s="137">
        <v>0</v>
      </c>
      <c r="E267" s="137">
        <v>1560</v>
      </c>
      <c r="F267" s="125">
        <v>0</v>
      </c>
      <c r="G267" s="137">
        <v>780</v>
      </c>
      <c r="H267" s="125">
        <v>0</v>
      </c>
      <c r="I267" s="137">
        <v>0</v>
      </c>
      <c r="J267" s="137">
        <v>0</v>
      </c>
      <c r="K267" s="137">
        <v>0</v>
      </c>
      <c r="L267" s="137">
        <v>0</v>
      </c>
      <c r="M267" s="125">
        <v>0</v>
      </c>
      <c r="N267" s="137">
        <v>1560</v>
      </c>
      <c r="O267" s="125">
        <v>0</v>
      </c>
      <c r="P267" s="137">
        <v>0</v>
      </c>
      <c r="Q267" s="137">
        <v>0</v>
      </c>
      <c r="R267" s="137">
        <v>1560</v>
      </c>
      <c r="S267" s="125">
        <v>0</v>
      </c>
      <c r="T267" s="137">
        <v>0</v>
      </c>
      <c r="U267" s="137">
        <v>2340</v>
      </c>
      <c r="V267" s="125">
        <v>0</v>
      </c>
      <c r="W267" s="137">
        <v>0</v>
      </c>
      <c r="X267" s="137">
        <v>0</v>
      </c>
      <c r="Y267" s="137">
        <v>1560</v>
      </c>
      <c r="Z267" s="125">
        <v>0</v>
      </c>
      <c r="AA267" s="137">
        <v>0</v>
      </c>
      <c r="AB267" s="137">
        <v>0</v>
      </c>
      <c r="AC267" s="125">
        <v>0</v>
      </c>
      <c r="AD267" s="137">
        <v>0</v>
      </c>
      <c r="AE267" s="137">
        <v>0</v>
      </c>
      <c r="AF267" s="137">
        <v>1920</v>
      </c>
      <c r="AG267" s="125">
        <v>0</v>
      </c>
      <c r="AH267" s="123" t="s">
        <v>18</v>
      </c>
      <c r="AI267" s="137" t="s">
        <v>18</v>
      </c>
      <c r="AJ267" s="137" t="s">
        <v>18</v>
      </c>
      <c r="AK267" s="137" t="s">
        <v>18</v>
      </c>
      <c r="AL267" s="137" t="s">
        <v>18</v>
      </c>
      <c r="AM267" s="137" t="s">
        <v>18</v>
      </c>
      <c r="AN267" s="137" t="s">
        <v>18</v>
      </c>
      <c r="AO267" s="137" t="s">
        <v>18</v>
      </c>
      <c r="AP267" s="137" t="s">
        <v>18</v>
      </c>
      <c r="AQ267" s="137" t="s">
        <v>18</v>
      </c>
      <c r="AR267" s="137" t="s">
        <v>18</v>
      </c>
      <c r="AS267" s="137" t="s">
        <v>18</v>
      </c>
      <c r="AT267" s="137" t="s">
        <v>18</v>
      </c>
      <c r="AU267" s="137" t="s">
        <v>18</v>
      </c>
      <c r="AV267" s="137" t="s">
        <v>18</v>
      </c>
      <c r="AW267" s="137" t="s">
        <v>18</v>
      </c>
      <c r="AX267" s="137" t="s">
        <v>18</v>
      </c>
      <c r="AY267" s="137" t="s">
        <v>18</v>
      </c>
      <c r="AZ267" s="137" t="s">
        <v>18</v>
      </c>
      <c r="BA267" s="137" t="s">
        <v>18</v>
      </c>
      <c r="BB267" s="137" t="s">
        <v>18</v>
      </c>
      <c r="BC267" s="137" t="s">
        <v>18</v>
      </c>
    </row>
    <row r="268" spans="1:55" ht="15" customHeight="1" thickBot="1" x14ac:dyDescent="0.25">
      <c r="A268" s="138">
        <v>0.1558011049723757</v>
      </c>
      <c r="B268" s="136" t="s">
        <v>17</v>
      </c>
      <c r="C268" s="146" t="s">
        <v>18</v>
      </c>
      <c r="D268" s="147" t="s">
        <v>18</v>
      </c>
      <c r="E268" s="147">
        <v>0.44571428571428573</v>
      </c>
      <c r="F268" s="148" t="s">
        <v>18</v>
      </c>
      <c r="G268" s="147">
        <v>0.11818181818181818</v>
      </c>
      <c r="H268" s="148" t="s">
        <v>18</v>
      </c>
      <c r="I268" s="147" t="s">
        <v>18</v>
      </c>
      <c r="J268" s="147" t="s">
        <v>18</v>
      </c>
      <c r="K268" s="147" t="s">
        <v>18</v>
      </c>
      <c r="L268" s="147" t="s">
        <v>18</v>
      </c>
      <c r="M268" s="148" t="s">
        <v>18</v>
      </c>
      <c r="N268" s="147">
        <v>0.24761904761904763</v>
      </c>
      <c r="O268" s="148" t="s">
        <v>18</v>
      </c>
      <c r="P268" s="147" t="s">
        <v>18</v>
      </c>
      <c r="Q268" s="147" t="s">
        <v>18</v>
      </c>
      <c r="R268" s="147">
        <v>0.11641791044776119</v>
      </c>
      <c r="S268" s="148" t="s">
        <v>18</v>
      </c>
      <c r="T268" s="147" t="s">
        <v>18</v>
      </c>
      <c r="U268" s="147">
        <v>0.32500000000000001</v>
      </c>
      <c r="V268" s="148" t="s">
        <v>18</v>
      </c>
      <c r="W268" s="147" t="s">
        <v>18</v>
      </c>
      <c r="X268" s="147" t="s">
        <v>18</v>
      </c>
      <c r="Y268" s="147">
        <v>0.17727272727272728</v>
      </c>
      <c r="Z268" s="148" t="s">
        <v>18</v>
      </c>
      <c r="AA268" s="147" t="s">
        <v>18</v>
      </c>
      <c r="AB268" s="147" t="s">
        <v>18</v>
      </c>
      <c r="AC268" s="148" t="s">
        <v>18</v>
      </c>
      <c r="AD268" s="147" t="s">
        <v>18</v>
      </c>
      <c r="AE268" s="147" t="s">
        <v>18</v>
      </c>
      <c r="AF268" s="147">
        <v>0.10434782608695652</v>
      </c>
      <c r="AG268" s="148" t="s">
        <v>18</v>
      </c>
      <c r="AH268" s="146" t="s">
        <v>18</v>
      </c>
      <c r="AI268" s="147" t="s">
        <v>18</v>
      </c>
      <c r="AJ268" s="147" t="s">
        <v>18</v>
      </c>
      <c r="AK268" s="147" t="s">
        <v>18</v>
      </c>
      <c r="AL268" s="147" t="s">
        <v>18</v>
      </c>
      <c r="AM268" s="147" t="s">
        <v>18</v>
      </c>
      <c r="AN268" s="147" t="s">
        <v>18</v>
      </c>
      <c r="AO268" s="147" t="s">
        <v>18</v>
      </c>
      <c r="AP268" s="147" t="s">
        <v>18</v>
      </c>
      <c r="AQ268" s="147" t="s">
        <v>18</v>
      </c>
      <c r="AR268" s="147" t="s">
        <v>18</v>
      </c>
      <c r="AS268" s="147" t="s">
        <v>18</v>
      </c>
      <c r="AT268" s="147" t="s">
        <v>18</v>
      </c>
      <c r="AU268" s="147" t="s">
        <v>18</v>
      </c>
      <c r="AV268" s="147" t="s">
        <v>18</v>
      </c>
      <c r="AW268" s="147" t="s">
        <v>18</v>
      </c>
      <c r="AX268" s="147" t="s">
        <v>18</v>
      </c>
      <c r="AY268" s="147" t="s">
        <v>18</v>
      </c>
      <c r="AZ268" s="147" t="s">
        <v>18</v>
      </c>
      <c r="BA268" s="147" t="s">
        <v>18</v>
      </c>
      <c r="BB268" s="147" t="s">
        <v>18</v>
      </c>
      <c r="BC268" s="147" t="s">
        <v>18</v>
      </c>
    </row>
    <row r="269" spans="1:55" ht="15" customHeight="1" x14ac:dyDescent="0.2">
      <c r="A269" s="149" t="s">
        <v>1</v>
      </c>
      <c r="B269" s="150" t="s">
        <v>2</v>
      </c>
      <c r="C269" s="129">
        <v>17617</v>
      </c>
      <c r="D269" s="130">
        <v>17617</v>
      </c>
      <c r="E269" s="130">
        <v>17720</v>
      </c>
      <c r="F269" s="131">
        <v>17720</v>
      </c>
      <c r="G269" s="130">
        <v>17760</v>
      </c>
      <c r="H269" s="131">
        <v>17760</v>
      </c>
      <c r="I269" s="130">
        <v>17760</v>
      </c>
      <c r="J269" s="130">
        <v>17760</v>
      </c>
      <c r="K269" s="130">
        <v>17760</v>
      </c>
      <c r="L269" s="130">
        <v>17862</v>
      </c>
      <c r="M269" s="131">
        <v>17862</v>
      </c>
      <c r="N269" s="130">
        <v>17900</v>
      </c>
      <c r="O269" s="131">
        <v>17900</v>
      </c>
      <c r="P269" s="130">
        <v>17900</v>
      </c>
      <c r="Q269" s="130">
        <v>17900</v>
      </c>
      <c r="R269" s="130">
        <v>17961</v>
      </c>
      <c r="S269" s="131">
        <v>17961</v>
      </c>
      <c r="T269" s="130">
        <v>17961</v>
      </c>
      <c r="U269" s="130">
        <v>17983</v>
      </c>
      <c r="V269" s="131">
        <v>17983</v>
      </c>
      <c r="W269" s="130">
        <v>17983</v>
      </c>
      <c r="X269" s="130">
        <v>17983</v>
      </c>
      <c r="Y269" s="130">
        <v>18008</v>
      </c>
      <c r="Z269" s="131">
        <v>18008</v>
      </c>
      <c r="AA269" s="130">
        <v>18008</v>
      </c>
      <c r="AB269" s="130">
        <v>18049</v>
      </c>
      <c r="AC269" s="131">
        <v>18049</v>
      </c>
      <c r="AD269" s="130">
        <v>18049</v>
      </c>
      <c r="AE269" s="130">
        <v>18049</v>
      </c>
      <c r="AF269" s="130">
        <v>18063</v>
      </c>
      <c r="AG269" s="131">
        <v>18066</v>
      </c>
      <c r="AH269" s="129" t="s">
        <v>18</v>
      </c>
      <c r="AI269" s="130" t="s">
        <v>18</v>
      </c>
      <c r="AJ269" s="130" t="s">
        <v>18</v>
      </c>
      <c r="AK269" s="130" t="s">
        <v>18</v>
      </c>
      <c r="AL269" s="130" t="s">
        <v>18</v>
      </c>
      <c r="AM269" s="130" t="s">
        <v>18</v>
      </c>
      <c r="AN269" s="130" t="s">
        <v>18</v>
      </c>
      <c r="AO269" s="130" t="s">
        <v>18</v>
      </c>
      <c r="AP269" s="130" t="s">
        <v>18</v>
      </c>
      <c r="AQ269" s="130" t="s">
        <v>18</v>
      </c>
      <c r="AR269" s="130" t="s">
        <v>18</v>
      </c>
      <c r="AS269" s="130" t="s">
        <v>18</v>
      </c>
      <c r="AT269" s="130" t="s">
        <v>18</v>
      </c>
      <c r="AU269" s="130" t="s">
        <v>18</v>
      </c>
      <c r="AV269" s="130" t="s">
        <v>18</v>
      </c>
      <c r="AW269" s="130" t="s">
        <v>18</v>
      </c>
      <c r="AX269" s="130" t="s">
        <v>18</v>
      </c>
      <c r="AY269" s="130" t="s">
        <v>18</v>
      </c>
      <c r="AZ269" s="130" t="s">
        <v>18</v>
      </c>
      <c r="BA269" s="130" t="s">
        <v>18</v>
      </c>
      <c r="BB269" s="130" t="s">
        <v>18</v>
      </c>
      <c r="BC269" s="130" t="s">
        <v>18</v>
      </c>
    </row>
    <row r="270" spans="1:55" ht="15" customHeight="1" x14ac:dyDescent="0.2">
      <c r="A270" s="121" t="s">
        <v>19</v>
      </c>
      <c r="B270" s="122" t="s">
        <v>4</v>
      </c>
      <c r="C270" s="123">
        <v>1564</v>
      </c>
      <c r="D270" s="124">
        <v>1564</v>
      </c>
      <c r="E270" s="124">
        <v>1582</v>
      </c>
      <c r="F270" s="125">
        <v>1582</v>
      </c>
      <c r="G270" s="124">
        <v>1588</v>
      </c>
      <c r="H270" s="125">
        <v>1588</v>
      </c>
      <c r="I270" s="124">
        <v>1588</v>
      </c>
      <c r="J270" s="124">
        <v>1588</v>
      </c>
      <c r="K270" s="124">
        <v>1588</v>
      </c>
      <c r="L270" s="124">
        <v>1608</v>
      </c>
      <c r="M270" s="125">
        <v>1608</v>
      </c>
      <c r="N270" s="124">
        <v>1614</v>
      </c>
      <c r="O270" s="125">
        <v>1614</v>
      </c>
      <c r="P270" s="124">
        <v>1614</v>
      </c>
      <c r="Q270" s="124">
        <v>1614</v>
      </c>
      <c r="R270" s="124">
        <v>1625</v>
      </c>
      <c r="S270" s="125">
        <v>1625</v>
      </c>
      <c r="T270" s="124">
        <v>1625</v>
      </c>
      <c r="U270" s="124">
        <v>1631</v>
      </c>
      <c r="V270" s="125">
        <v>1631</v>
      </c>
      <c r="W270" s="124">
        <v>1631</v>
      </c>
      <c r="X270" s="124">
        <v>1631</v>
      </c>
      <c r="Y270" s="124">
        <v>1638</v>
      </c>
      <c r="Z270" s="125">
        <v>1638</v>
      </c>
      <c r="AA270" s="124">
        <v>1638</v>
      </c>
      <c r="AB270" s="124">
        <v>1642</v>
      </c>
      <c r="AC270" s="125">
        <v>1642</v>
      </c>
      <c r="AD270" s="124">
        <v>1642</v>
      </c>
      <c r="AE270" s="124">
        <v>1642</v>
      </c>
      <c r="AF270" s="124">
        <v>1643</v>
      </c>
      <c r="AG270" s="125">
        <v>1643</v>
      </c>
      <c r="AH270" s="123" t="s">
        <v>18</v>
      </c>
      <c r="AI270" s="124" t="s">
        <v>18</v>
      </c>
      <c r="AJ270" s="124" t="s">
        <v>18</v>
      </c>
      <c r="AK270" s="124" t="s">
        <v>18</v>
      </c>
      <c r="AL270" s="124" t="s">
        <v>18</v>
      </c>
      <c r="AM270" s="124" t="s">
        <v>18</v>
      </c>
      <c r="AN270" s="124" t="s">
        <v>18</v>
      </c>
      <c r="AO270" s="124" t="s">
        <v>18</v>
      </c>
      <c r="AP270" s="124" t="s">
        <v>18</v>
      </c>
      <c r="AQ270" s="124" t="s">
        <v>18</v>
      </c>
      <c r="AR270" s="124" t="s">
        <v>18</v>
      </c>
      <c r="AS270" s="124" t="s">
        <v>18</v>
      </c>
      <c r="AT270" s="124" t="s">
        <v>18</v>
      </c>
      <c r="AU270" s="124" t="s">
        <v>18</v>
      </c>
      <c r="AV270" s="124" t="s">
        <v>18</v>
      </c>
      <c r="AW270" s="124" t="s">
        <v>18</v>
      </c>
      <c r="AX270" s="124" t="s">
        <v>18</v>
      </c>
      <c r="AY270" s="124" t="s">
        <v>18</v>
      </c>
      <c r="AZ270" s="124" t="s">
        <v>18</v>
      </c>
      <c r="BA270" s="124" t="s">
        <v>18</v>
      </c>
      <c r="BB270" s="124" t="s">
        <v>18</v>
      </c>
      <c r="BC270" s="124" t="s">
        <v>18</v>
      </c>
    </row>
    <row r="271" spans="1:55" ht="15" customHeight="1" x14ac:dyDescent="0.25">
      <c r="A271" s="143">
        <v>4</v>
      </c>
      <c r="B271" s="122" t="s">
        <v>5</v>
      </c>
      <c r="C271" s="123">
        <v>45</v>
      </c>
      <c r="D271" s="124">
        <v>45</v>
      </c>
      <c r="E271" s="124">
        <v>29</v>
      </c>
      <c r="F271" s="125">
        <v>45</v>
      </c>
      <c r="G271" s="124">
        <v>39</v>
      </c>
      <c r="H271" s="125">
        <v>49</v>
      </c>
      <c r="I271" s="124">
        <v>49</v>
      </c>
      <c r="J271" s="124">
        <v>49</v>
      </c>
      <c r="K271" s="124">
        <v>49</v>
      </c>
      <c r="L271" s="124">
        <v>29</v>
      </c>
      <c r="M271" s="125">
        <v>29</v>
      </c>
      <c r="N271" s="124">
        <v>23</v>
      </c>
      <c r="O271" s="125">
        <v>23</v>
      </c>
      <c r="P271" s="124">
        <v>23</v>
      </c>
      <c r="Q271" s="124">
        <v>23</v>
      </c>
      <c r="R271" s="124">
        <v>12</v>
      </c>
      <c r="S271" s="125">
        <v>42</v>
      </c>
      <c r="T271" s="124">
        <v>42</v>
      </c>
      <c r="U271" s="124">
        <v>36</v>
      </c>
      <c r="V271" s="125">
        <v>46</v>
      </c>
      <c r="W271" s="124">
        <v>46</v>
      </c>
      <c r="X271" s="124">
        <v>46</v>
      </c>
      <c r="Y271" s="124">
        <v>40</v>
      </c>
      <c r="Z271" s="125">
        <v>20</v>
      </c>
      <c r="AA271" s="124">
        <v>20</v>
      </c>
      <c r="AB271" s="124">
        <v>19</v>
      </c>
      <c r="AC271" s="125">
        <v>19</v>
      </c>
      <c r="AD271" s="124">
        <v>19</v>
      </c>
      <c r="AE271" s="124">
        <v>19</v>
      </c>
      <c r="AF271" s="124">
        <v>19</v>
      </c>
      <c r="AG271" s="125">
        <v>11</v>
      </c>
      <c r="AH271" s="123" t="s">
        <v>18</v>
      </c>
      <c r="AI271" s="124" t="s">
        <v>18</v>
      </c>
      <c r="AJ271" s="124" t="s">
        <v>18</v>
      </c>
      <c r="AK271" s="124" t="s">
        <v>18</v>
      </c>
      <c r="AL271" s="124" t="s">
        <v>18</v>
      </c>
      <c r="AM271" s="124" t="s">
        <v>18</v>
      </c>
      <c r="AN271" s="124" t="s">
        <v>18</v>
      </c>
      <c r="AO271" s="124" t="s">
        <v>18</v>
      </c>
      <c r="AP271" s="124" t="s">
        <v>18</v>
      </c>
      <c r="AQ271" s="124" t="s">
        <v>18</v>
      </c>
      <c r="AR271" s="124" t="s">
        <v>18</v>
      </c>
      <c r="AS271" s="124" t="s">
        <v>18</v>
      </c>
      <c r="AT271" s="124" t="s">
        <v>18</v>
      </c>
      <c r="AU271" s="124" t="s">
        <v>18</v>
      </c>
      <c r="AV271" s="124" t="s">
        <v>18</v>
      </c>
      <c r="AW271" s="124" t="s">
        <v>18</v>
      </c>
      <c r="AX271" s="124" t="s">
        <v>18</v>
      </c>
      <c r="AY271" s="124" t="s">
        <v>18</v>
      </c>
      <c r="AZ271" s="124" t="s">
        <v>18</v>
      </c>
      <c r="BA271" s="124" t="s">
        <v>18</v>
      </c>
      <c r="BB271" s="124" t="s">
        <v>18</v>
      </c>
      <c r="BC271" s="124" t="s">
        <v>18</v>
      </c>
    </row>
    <row r="272" spans="1:55" ht="15" customHeight="1" x14ac:dyDescent="0.2">
      <c r="A272" s="127"/>
      <c r="B272" s="122" t="s">
        <v>6</v>
      </c>
      <c r="C272" s="123"/>
      <c r="D272" s="124"/>
      <c r="E272" s="124">
        <v>16</v>
      </c>
      <c r="F272" s="125"/>
      <c r="G272" s="124">
        <v>10</v>
      </c>
      <c r="H272" s="125"/>
      <c r="I272" s="124"/>
      <c r="J272" s="124"/>
      <c r="K272" s="124"/>
      <c r="L272" s="124"/>
      <c r="M272" s="125"/>
      <c r="N272" s="124"/>
      <c r="O272" s="125"/>
      <c r="P272" s="124"/>
      <c r="Q272" s="124"/>
      <c r="R272" s="124">
        <v>30</v>
      </c>
      <c r="S272" s="125"/>
      <c r="T272" s="124"/>
      <c r="U272" s="124">
        <v>10</v>
      </c>
      <c r="V272" s="125"/>
      <c r="W272" s="124"/>
      <c r="X272" s="124"/>
      <c r="Y272" s="124">
        <v>-20</v>
      </c>
      <c r="Z272" s="125"/>
      <c r="AA272" s="124"/>
      <c r="AB272" s="124"/>
      <c r="AC272" s="125"/>
      <c r="AD272" s="124"/>
      <c r="AE272" s="124"/>
      <c r="AF272" s="124">
        <v>-8</v>
      </c>
      <c r="AG272" s="125"/>
      <c r="AH272" s="123"/>
      <c r="AI272" s="124"/>
      <c r="AJ272" s="124"/>
      <c r="AK272" s="124"/>
      <c r="AL272" s="124"/>
      <c r="AM272" s="124"/>
      <c r="AN272" s="124"/>
      <c r="AO272" s="124"/>
      <c r="AP272" s="124"/>
      <c r="AQ272" s="124"/>
      <c r="AR272" s="124"/>
      <c r="AS272" s="124"/>
      <c r="AT272" s="124"/>
      <c r="AU272" s="124"/>
      <c r="AV272" s="124"/>
      <c r="AW272" s="124"/>
      <c r="AX272" s="124"/>
      <c r="AY272" s="124"/>
      <c r="AZ272" s="124"/>
      <c r="BA272" s="124"/>
      <c r="BB272" s="124"/>
      <c r="BC272" s="124"/>
    </row>
    <row r="273" spans="1:55" ht="15" customHeight="1" x14ac:dyDescent="0.2">
      <c r="A273" s="128"/>
      <c r="B273" s="122" t="s">
        <v>8</v>
      </c>
      <c r="C273" s="129">
        <v>185</v>
      </c>
      <c r="D273" s="130">
        <v>185</v>
      </c>
      <c r="E273" s="130">
        <v>185</v>
      </c>
      <c r="F273" s="131">
        <v>185</v>
      </c>
      <c r="G273" s="130">
        <v>185</v>
      </c>
      <c r="H273" s="131">
        <v>185</v>
      </c>
      <c r="I273" s="130">
        <v>185</v>
      </c>
      <c r="J273" s="130">
        <v>185</v>
      </c>
      <c r="K273" s="130">
        <v>185</v>
      </c>
      <c r="L273" s="130">
        <v>185</v>
      </c>
      <c r="M273" s="131">
        <v>185</v>
      </c>
      <c r="N273" s="130">
        <v>185</v>
      </c>
      <c r="O273" s="131">
        <v>185</v>
      </c>
      <c r="P273" s="130">
        <v>185</v>
      </c>
      <c r="Q273" s="130">
        <v>185</v>
      </c>
      <c r="R273" s="130">
        <v>185</v>
      </c>
      <c r="S273" s="131">
        <v>185</v>
      </c>
      <c r="T273" s="130">
        <v>185</v>
      </c>
      <c r="U273" s="130">
        <v>185</v>
      </c>
      <c r="V273" s="131">
        <v>185</v>
      </c>
      <c r="W273" s="130">
        <v>185</v>
      </c>
      <c r="X273" s="130">
        <v>185</v>
      </c>
      <c r="Y273" s="130">
        <v>185</v>
      </c>
      <c r="Z273" s="131">
        <v>185</v>
      </c>
      <c r="AA273" s="130">
        <v>185</v>
      </c>
      <c r="AB273" s="130">
        <v>185</v>
      </c>
      <c r="AC273" s="131">
        <v>185</v>
      </c>
      <c r="AD273" s="130">
        <v>185</v>
      </c>
      <c r="AE273" s="130">
        <v>185</v>
      </c>
      <c r="AF273" s="130">
        <v>185</v>
      </c>
      <c r="AG273" s="131">
        <v>560</v>
      </c>
      <c r="AH273" s="129" t="s">
        <v>18</v>
      </c>
      <c r="AI273" s="130" t="s">
        <v>18</v>
      </c>
      <c r="AJ273" s="130" t="s">
        <v>18</v>
      </c>
      <c r="AK273" s="130" t="s">
        <v>18</v>
      </c>
      <c r="AL273" s="130" t="s">
        <v>18</v>
      </c>
      <c r="AM273" s="130" t="s">
        <v>18</v>
      </c>
      <c r="AN273" s="130" t="s">
        <v>18</v>
      </c>
      <c r="AO273" s="130" t="s">
        <v>18</v>
      </c>
      <c r="AP273" s="130" t="s">
        <v>18</v>
      </c>
      <c r="AQ273" s="130" t="s">
        <v>18</v>
      </c>
      <c r="AR273" s="130" t="s">
        <v>18</v>
      </c>
      <c r="AS273" s="130" t="s">
        <v>18</v>
      </c>
      <c r="AT273" s="130" t="s">
        <v>18</v>
      </c>
      <c r="AU273" s="130" t="s">
        <v>18</v>
      </c>
      <c r="AV273" s="130" t="s">
        <v>18</v>
      </c>
      <c r="AW273" s="130" t="s">
        <v>18</v>
      </c>
      <c r="AX273" s="130" t="s">
        <v>18</v>
      </c>
      <c r="AY273" s="130" t="s">
        <v>18</v>
      </c>
      <c r="AZ273" s="130" t="s">
        <v>18</v>
      </c>
      <c r="BA273" s="130" t="s">
        <v>18</v>
      </c>
      <c r="BB273" s="130" t="s">
        <v>18</v>
      </c>
      <c r="BC273" s="130" t="s">
        <v>18</v>
      </c>
    </row>
    <row r="274" spans="1:55" ht="15" customHeight="1" x14ac:dyDescent="0.2">
      <c r="A274" s="127" t="s">
        <v>9</v>
      </c>
      <c r="B274" s="132" t="s">
        <v>10</v>
      </c>
      <c r="C274" s="133" t="s">
        <v>27</v>
      </c>
      <c r="D274" s="134" t="s">
        <v>27</v>
      </c>
      <c r="E274" s="134" t="s">
        <v>27</v>
      </c>
      <c r="F274" s="135" t="s">
        <v>27</v>
      </c>
      <c r="G274" s="134" t="s">
        <v>27</v>
      </c>
      <c r="H274" s="135" t="s">
        <v>27</v>
      </c>
      <c r="I274" s="134" t="s">
        <v>27</v>
      </c>
      <c r="J274" s="134" t="s">
        <v>27</v>
      </c>
      <c r="K274" s="134" t="s">
        <v>27</v>
      </c>
      <c r="L274" s="134" t="s">
        <v>27</v>
      </c>
      <c r="M274" s="135" t="s">
        <v>27</v>
      </c>
      <c r="N274" s="134" t="s">
        <v>27</v>
      </c>
      <c r="O274" s="135" t="s">
        <v>27</v>
      </c>
      <c r="P274" s="134" t="s">
        <v>27</v>
      </c>
      <c r="Q274" s="134" t="s">
        <v>27</v>
      </c>
      <c r="R274" s="134" t="s">
        <v>27</v>
      </c>
      <c r="S274" s="135" t="s">
        <v>27</v>
      </c>
      <c r="T274" s="134" t="s">
        <v>27</v>
      </c>
      <c r="U274" s="134" t="s">
        <v>27</v>
      </c>
      <c r="V274" s="135" t="s">
        <v>27</v>
      </c>
      <c r="W274" s="134" t="s">
        <v>27</v>
      </c>
      <c r="X274" s="134" t="s">
        <v>27</v>
      </c>
      <c r="Y274" s="134" t="s">
        <v>27</v>
      </c>
      <c r="Z274" s="135" t="s">
        <v>226</v>
      </c>
      <c r="AA274" s="134" t="s">
        <v>226</v>
      </c>
      <c r="AB274" s="134" t="s">
        <v>226</v>
      </c>
      <c r="AC274" s="135" t="s">
        <v>226</v>
      </c>
      <c r="AD274" s="134" t="s">
        <v>226</v>
      </c>
      <c r="AE274" s="134" t="s">
        <v>226</v>
      </c>
      <c r="AF274" s="134" t="s">
        <v>226</v>
      </c>
      <c r="AG274" s="135" t="s">
        <v>235</v>
      </c>
      <c r="AH274" s="133" t="s">
        <v>18</v>
      </c>
      <c r="AI274" s="134" t="s">
        <v>18</v>
      </c>
      <c r="AJ274" s="134" t="s">
        <v>18</v>
      </c>
      <c r="AK274" s="134" t="s">
        <v>18</v>
      </c>
      <c r="AL274" s="134" t="s">
        <v>18</v>
      </c>
      <c r="AM274" s="134" t="s">
        <v>18</v>
      </c>
      <c r="AN274" s="134" t="s">
        <v>18</v>
      </c>
      <c r="AO274" s="134" t="s">
        <v>18</v>
      </c>
      <c r="AP274" s="134" t="s">
        <v>18</v>
      </c>
      <c r="AQ274" s="134" t="s">
        <v>18</v>
      </c>
      <c r="AR274" s="134" t="s">
        <v>18</v>
      </c>
      <c r="AS274" s="134" t="s">
        <v>18</v>
      </c>
      <c r="AT274" s="134" t="s">
        <v>18</v>
      </c>
      <c r="AU274" s="134" t="s">
        <v>18</v>
      </c>
      <c r="AV274" s="134" t="s">
        <v>18</v>
      </c>
      <c r="AW274" s="134" t="s">
        <v>18</v>
      </c>
      <c r="AX274" s="134" t="s">
        <v>18</v>
      </c>
      <c r="AY274" s="134" t="s">
        <v>18</v>
      </c>
      <c r="AZ274" s="134" t="s">
        <v>18</v>
      </c>
      <c r="BA274" s="134" t="s">
        <v>18</v>
      </c>
      <c r="BB274" s="134" t="s">
        <v>18</v>
      </c>
      <c r="BC274" s="134" t="s">
        <v>18</v>
      </c>
    </row>
    <row r="275" spans="1:55" ht="15" customHeight="1" x14ac:dyDescent="0.2">
      <c r="A275" s="128">
        <v>43451.612903225803</v>
      </c>
      <c r="B275" s="122" t="s">
        <v>12</v>
      </c>
      <c r="C275" s="123"/>
      <c r="D275" s="124"/>
      <c r="E275" s="124"/>
      <c r="F275" s="125"/>
      <c r="G275" s="124"/>
      <c r="H275" s="125"/>
      <c r="I275" s="124"/>
      <c r="J275" s="124"/>
      <c r="K275" s="124"/>
      <c r="L275" s="124"/>
      <c r="M275" s="125"/>
      <c r="N275" s="124"/>
      <c r="O275" s="125"/>
      <c r="P275" s="124"/>
      <c r="Q275" s="124"/>
      <c r="R275" s="124"/>
      <c r="S275" s="125"/>
      <c r="T275" s="124"/>
      <c r="U275" s="124"/>
      <c r="V275" s="125"/>
      <c r="W275" s="124"/>
      <c r="X275" s="124"/>
      <c r="Y275" s="124"/>
      <c r="Z275" s="125" t="s">
        <v>227</v>
      </c>
      <c r="AA275" s="124"/>
      <c r="AB275" s="124"/>
      <c r="AC275" s="125"/>
      <c r="AD275" s="124"/>
      <c r="AE275" s="124"/>
      <c r="AF275" s="124"/>
      <c r="AG275" s="125" t="s">
        <v>236</v>
      </c>
      <c r="AH275" s="123"/>
      <c r="AI275" s="124"/>
      <c r="AJ275" s="124"/>
      <c r="AK275" s="124"/>
      <c r="AL275" s="124"/>
      <c r="AM275" s="124"/>
      <c r="AN275" s="124"/>
      <c r="AO275" s="124"/>
      <c r="AP275" s="124"/>
      <c r="AQ275" s="124"/>
      <c r="AR275" s="124"/>
      <c r="AS275" s="124"/>
      <c r="AT275" s="124"/>
      <c r="AU275" s="124"/>
      <c r="AV275" s="124"/>
      <c r="AW275" s="124"/>
      <c r="AX275" s="124"/>
      <c r="AY275" s="124"/>
      <c r="AZ275" s="124"/>
      <c r="BA275" s="124"/>
      <c r="BB275" s="124"/>
      <c r="BC275" s="124"/>
    </row>
    <row r="276" spans="1:55" ht="15" customHeight="1" x14ac:dyDescent="0.2">
      <c r="A276" s="128">
        <v>449</v>
      </c>
      <c r="B276" s="136" t="s">
        <v>13</v>
      </c>
      <c r="C276" s="123">
        <v>0</v>
      </c>
      <c r="D276" s="137">
        <v>0</v>
      </c>
      <c r="E276" s="137">
        <v>103</v>
      </c>
      <c r="F276" s="125">
        <v>0</v>
      </c>
      <c r="G276" s="137">
        <v>40</v>
      </c>
      <c r="H276" s="125">
        <v>0</v>
      </c>
      <c r="I276" s="137">
        <v>0</v>
      </c>
      <c r="J276" s="137">
        <v>0</v>
      </c>
      <c r="K276" s="137">
        <v>0</v>
      </c>
      <c r="L276" s="137">
        <v>102</v>
      </c>
      <c r="M276" s="125">
        <v>0</v>
      </c>
      <c r="N276" s="137">
        <v>38</v>
      </c>
      <c r="O276" s="125">
        <v>0</v>
      </c>
      <c r="P276" s="137">
        <v>0</v>
      </c>
      <c r="Q276" s="137">
        <v>0</v>
      </c>
      <c r="R276" s="137">
        <v>61</v>
      </c>
      <c r="S276" s="125">
        <v>0</v>
      </c>
      <c r="T276" s="137">
        <v>0</v>
      </c>
      <c r="U276" s="137">
        <v>22</v>
      </c>
      <c r="V276" s="125">
        <v>0</v>
      </c>
      <c r="W276" s="137">
        <v>0</v>
      </c>
      <c r="X276" s="137">
        <v>0</v>
      </c>
      <c r="Y276" s="137">
        <v>25</v>
      </c>
      <c r="Z276" s="125">
        <v>0</v>
      </c>
      <c r="AA276" s="137">
        <v>0</v>
      </c>
      <c r="AB276" s="137">
        <v>41</v>
      </c>
      <c r="AC276" s="125">
        <v>0</v>
      </c>
      <c r="AD276" s="137">
        <v>0</v>
      </c>
      <c r="AE276" s="137">
        <v>0</v>
      </c>
      <c r="AF276" s="137">
        <v>14</v>
      </c>
      <c r="AG276" s="125">
        <v>3</v>
      </c>
      <c r="AH276" s="123" t="s">
        <v>18</v>
      </c>
      <c r="AI276" s="137" t="s">
        <v>18</v>
      </c>
      <c r="AJ276" s="137" t="s">
        <v>18</v>
      </c>
      <c r="AK276" s="137" t="s">
        <v>18</v>
      </c>
      <c r="AL276" s="137" t="s">
        <v>18</v>
      </c>
      <c r="AM276" s="137" t="s">
        <v>18</v>
      </c>
      <c r="AN276" s="137" t="s">
        <v>18</v>
      </c>
      <c r="AO276" s="137" t="s">
        <v>18</v>
      </c>
      <c r="AP276" s="137" t="s">
        <v>18</v>
      </c>
      <c r="AQ276" s="137" t="s">
        <v>18</v>
      </c>
      <c r="AR276" s="137" t="s">
        <v>18</v>
      </c>
      <c r="AS276" s="137" t="s">
        <v>18</v>
      </c>
      <c r="AT276" s="137" t="s">
        <v>18</v>
      </c>
      <c r="AU276" s="137" t="s">
        <v>18</v>
      </c>
      <c r="AV276" s="137" t="s">
        <v>18</v>
      </c>
      <c r="AW276" s="137" t="s">
        <v>18</v>
      </c>
      <c r="AX276" s="137" t="s">
        <v>18</v>
      </c>
      <c r="AY276" s="137" t="s">
        <v>18</v>
      </c>
      <c r="AZ276" s="137" t="s">
        <v>18</v>
      </c>
      <c r="BA276" s="137" t="s">
        <v>18</v>
      </c>
      <c r="BB276" s="137" t="s">
        <v>18</v>
      </c>
      <c r="BC276" s="137" t="s">
        <v>18</v>
      </c>
    </row>
    <row r="277" spans="1:55" ht="15" customHeight="1" x14ac:dyDescent="0.2">
      <c r="A277" s="128">
        <v>79</v>
      </c>
      <c r="B277" s="136" t="s">
        <v>14</v>
      </c>
      <c r="C277" s="123">
        <v>0</v>
      </c>
      <c r="D277" s="137">
        <v>0</v>
      </c>
      <c r="E277" s="137">
        <v>18</v>
      </c>
      <c r="F277" s="125">
        <v>0</v>
      </c>
      <c r="G277" s="137">
        <v>6</v>
      </c>
      <c r="H277" s="125">
        <v>0</v>
      </c>
      <c r="I277" s="137">
        <v>0</v>
      </c>
      <c r="J277" s="137">
        <v>0</v>
      </c>
      <c r="K277" s="137">
        <v>0</v>
      </c>
      <c r="L277" s="137">
        <v>20</v>
      </c>
      <c r="M277" s="125">
        <v>0</v>
      </c>
      <c r="N277" s="137">
        <v>6</v>
      </c>
      <c r="O277" s="125">
        <v>0</v>
      </c>
      <c r="P277" s="137">
        <v>0</v>
      </c>
      <c r="Q277" s="137">
        <v>0</v>
      </c>
      <c r="R277" s="137">
        <v>11</v>
      </c>
      <c r="S277" s="125">
        <v>0</v>
      </c>
      <c r="T277" s="137">
        <v>0</v>
      </c>
      <c r="U277" s="137">
        <v>6</v>
      </c>
      <c r="V277" s="125">
        <v>0</v>
      </c>
      <c r="W277" s="137">
        <v>0</v>
      </c>
      <c r="X277" s="137">
        <v>0</v>
      </c>
      <c r="Y277" s="137">
        <v>7</v>
      </c>
      <c r="Z277" s="125">
        <v>0</v>
      </c>
      <c r="AA277" s="137">
        <v>0</v>
      </c>
      <c r="AB277" s="137">
        <v>4</v>
      </c>
      <c r="AC277" s="125">
        <v>0</v>
      </c>
      <c r="AD277" s="137">
        <v>0</v>
      </c>
      <c r="AE277" s="137">
        <v>0</v>
      </c>
      <c r="AF277" s="137">
        <v>1</v>
      </c>
      <c r="AG277" s="125">
        <v>0</v>
      </c>
      <c r="AH277" s="123" t="s">
        <v>18</v>
      </c>
      <c r="AI277" s="137" t="s">
        <v>18</v>
      </c>
      <c r="AJ277" s="137" t="s">
        <v>18</v>
      </c>
      <c r="AK277" s="137" t="s">
        <v>18</v>
      </c>
      <c r="AL277" s="137" t="s">
        <v>18</v>
      </c>
      <c r="AM277" s="137" t="s">
        <v>18</v>
      </c>
      <c r="AN277" s="137" t="s">
        <v>18</v>
      </c>
      <c r="AO277" s="137" t="s">
        <v>18</v>
      </c>
      <c r="AP277" s="137" t="s">
        <v>18</v>
      </c>
      <c r="AQ277" s="137" t="s">
        <v>18</v>
      </c>
      <c r="AR277" s="137" t="s">
        <v>18</v>
      </c>
      <c r="AS277" s="137" t="s">
        <v>18</v>
      </c>
      <c r="AT277" s="137" t="s">
        <v>18</v>
      </c>
      <c r="AU277" s="137" t="s">
        <v>18</v>
      </c>
      <c r="AV277" s="137" t="s">
        <v>18</v>
      </c>
      <c r="AW277" s="137" t="s">
        <v>18</v>
      </c>
      <c r="AX277" s="137" t="s">
        <v>18</v>
      </c>
      <c r="AY277" s="137" t="s">
        <v>18</v>
      </c>
      <c r="AZ277" s="137" t="s">
        <v>18</v>
      </c>
      <c r="BA277" s="137" t="s">
        <v>18</v>
      </c>
      <c r="BB277" s="137" t="s">
        <v>18</v>
      </c>
      <c r="BC277" s="137" t="s">
        <v>18</v>
      </c>
    </row>
    <row r="278" spans="1:55" ht="15" customHeight="1" x14ac:dyDescent="0.2">
      <c r="A278" s="128">
        <v>72</v>
      </c>
      <c r="B278" s="136" t="s">
        <v>15</v>
      </c>
      <c r="C278" s="123">
        <v>0</v>
      </c>
      <c r="D278" s="137">
        <v>0</v>
      </c>
      <c r="E278" s="137">
        <v>16</v>
      </c>
      <c r="F278" s="125">
        <v>0</v>
      </c>
      <c r="G278" s="137">
        <v>6</v>
      </c>
      <c r="H278" s="125">
        <v>0</v>
      </c>
      <c r="I278" s="137">
        <v>0</v>
      </c>
      <c r="J278" s="137">
        <v>0</v>
      </c>
      <c r="K278" s="137">
        <v>0</v>
      </c>
      <c r="L278" s="137">
        <v>20</v>
      </c>
      <c r="M278" s="125">
        <v>0</v>
      </c>
      <c r="N278" s="137">
        <v>6</v>
      </c>
      <c r="O278" s="125">
        <v>0</v>
      </c>
      <c r="P278" s="137">
        <v>0</v>
      </c>
      <c r="Q278" s="137">
        <v>0</v>
      </c>
      <c r="R278" s="137">
        <v>11</v>
      </c>
      <c r="S278" s="125">
        <v>0</v>
      </c>
      <c r="T278" s="137">
        <v>0</v>
      </c>
      <c r="U278" s="137">
        <v>6</v>
      </c>
      <c r="V278" s="125">
        <v>0</v>
      </c>
      <c r="W278" s="137">
        <v>0</v>
      </c>
      <c r="X278" s="137">
        <v>0</v>
      </c>
      <c r="Y278" s="137">
        <v>6</v>
      </c>
      <c r="Z278" s="125">
        <v>0</v>
      </c>
      <c r="AA278" s="137">
        <v>0</v>
      </c>
      <c r="AB278" s="137">
        <v>1</v>
      </c>
      <c r="AC278" s="125">
        <v>0</v>
      </c>
      <c r="AD278" s="137">
        <v>0</v>
      </c>
      <c r="AE278" s="137">
        <v>0</v>
      </c>
      <c r="AF278" s="137">
        <v>0</v>
      </c>
      <c r="AG278" s="125">
        <v>0</v>
      </c>
      <c r="AH278" s="123" t="s">
        <v>18</v>
      </c>
      <c r="AI278" s="137" t="s">
        <v>18</v>
      </c>
      <c r="AJ278" s="137" t="s">
        <v>18</v>
      </c>
      <c r="AK278" s="137" t="s">
        <v>18</v>
      </c>
      <c r="AL278" s="137" t="s">
        <v>18</v>
      </c>
      <c r="AM278" s="137" t="s">
        <v>18</v>
      </c>
      <c r="AN278" s="137" t="s">
        <v>18</v>
      </c>
      <c r="AO278" s="137" t="s">
        <v>18</v>
      </c>
      <c r="AP278" s="137" t="s">
        <v>18</v>
      </c>
      <c r="AQ278" s="137" t="s">
        <v>18</v>
      </c>
      <c r="AR278" s="137" t="s">
        <v>18</v>
      </c>
      <c r="AS278" s="137" t="s">
        <v>18</v>
      </c>
      <c r="AT278" s="137" t="s">
        <v>18</v>
      </c>
      <c r="AU278" s="137" t="s">
        <v>18</v>
      </c>
      <c r="AV278" s="137" t="s">
        <v>18</v>
      </c>
      <c r="AW278" s="137" t="s">
        <v>18</v>
      </c>
      <c r="AX278" s="137" t="s">
        <v>18</v>
      </c>
      <c r="AY278" s="137" t="s">
        <v>18</v>
      </c>
      <c r="AZ278" s="137" t="s">
        <v>18</v>
      </c>
      <c r="BA278" s="137" t="s">
        <v>18</v>
      </c>
      <c r="BB278" s="137" t="s">
        <v>18</v>
      </c>
      <c r="BC278" s="137" t="s">
        <v>18</v>
      </c>
    </row>
    <row r="279" spans="1:55" ht="15" customHeight="1" x14ac:dyDescent="0.2">
      <c r="A279" s="128">
        <v>13320</v>
      </c>
      <c r="B279" s="136" t="s">
        <v>16</v>
      </c>
      <c r="C279" s="123">
        <v>0</v>
      </c>
      <c r="D279" s="137">
        <v>0</v>
      </c>
      <c r="E279" s="137">
        <v>2960</v>
      </c>
      <c r="F279" s="125">
        <v>0</v>
      </c>
      <c r="G279" s="137">
        <v>1110</v>
      </c>
      <c r="H279" s="125">
        <v>0</v>
      </c>
      <c r="I279" s="137">
        <v>0</v>
      </c>
      <c r="J279" s="137">
        <v>0</v>
      </c>
      <c r="K279" s="137">
        <v>0</v>
      </c>
      <c r="L279" s="137">
        <v>3700</v>
      </c>
      <c r="M279" s="125">
        <v>0</v>
      </c>
      <c r="N279" s="137">
        <v>1110</v>
      </c>
      <c r="O279" s="125">
        <v>0</v>
      </c>
      <c r="P279" s="137">
        <v>0</v>
      </c>
      <c r="Q279" s="137">
        <v>0</v>
      </c>
      <c r="R279" s="137">
        <v>2035</v>
      </c>
      <c r="S279" s="125">
        <v>0</v>
      </c>
      <c r="T279" s="137">
        <v>0</v>
      </c>
      <c r="U279" s="137">
        <v>1110</v>
      </c>
      <c r="V279" s="125">
        <v>0</v>
      </c>
      <c r="W279" s="137">
        <v>0</v>
      </c>
      <c r="X279" s="137">
        <v>0</v>
      </c>
      <c r="Y279" s="137">
        <v>1110</v>
      </c>
      <c r="Z279" s="125">
        <v>0</v>
      </c>
      <c r="AA279" s="137">
        <v>0</v>
      </c>
      <c r="AB279" s="137">
        <v>185</v>
      </c>
      <c r="AC279" s="125">
        <v>0</v>
      </c>
      <c r="AD279" s="137">
        <v>0</v>
      </c>
      <c r="AE279" s="137">
        <v>0</v>
      </c>
      <c r="AF279" s="137">
        <v>0</v>
      </c>
      <c r="AG279" s="125">
        <v>0</v>
      </c>
      <c r="AH279" s="123" t="s">
        <v>18</v>
      </c>
      <c r="AI279" s="137" t="s">
        <v>18</v>
      </c>
      <c r="AJ279" s="137" t="s">
        <v>18</v>
      </c>
      <c r="AK279" s="137" t="s">
        <v>18</v>
      </c>
      <c r="AL279" s="137" t="s">
        <v>18</v>
      </c>
      <c r="AM279" s="137" t="s">
        <v>18</v>
      </c>
      <c r="AN279" s="137" t="s">
        <v>18</v>
      </c>
      <c r="AO279" s="137" t="s">
        <v>18</v>
      </c>
      <c r="AP279" s="137" t="s">
        <v>18</v>
      </c>
      <c r="AQ279" s="137" t="s">
        <v>18</v>
      </c>
      <c r="AR279" s="137" t="s">
        <v>18</v>
      </c>
      <c r="AS279" s="137" t="s">
        <v>18</v>
      </c>
      <c r="AT279" s="137" t="s">
        <v>18</v>
      </c>
      <c r="AU279" s="137" t="s">
        <v>18</v>
      </c>
      <c r="AV279" s="137" t="s">
        <v>18</v>
      </c>
      <c r="AW279" s="137" t="s">
        <v>18</v>
      </c>
      <c r="AX279" s="137" t="s">
        <v>18</v>
      </c>
      <c r="AY279" s="137" t="s">
        <v>18</v>
      </c>
      <c r="AZ279" s="137" t="s">
        <v>18</v>
      </c>
      <c r="BA279" s="137" t="s">
        <v>18</v>
      </c>
      <c r="BB279" s="137" t="s">
        <v>18</v>
      </c>
      <c r="BC279" s="137" t="s">
        <v>18</v>
      </c>
    </row>
    <row r="280" spans="1:55" ht="15" customHeight="1" thickBot="1" x14ac:dyDescent="0.25">
      <c r="A280" s="138">
        <v>0.29665924276169264</v>
      </c>
      <c r="B280" s="139" t="s">
        <v>17</v>
      </c>
      <c r="C280" s="140" t="s">
        <v>18</v>
      </c>
      <c r="D280" s="141" t="s">
        <v>18</v>
      </c>
      <c r="E280" s="141">
        <v>0.287378640776699</v>
      </c>
      <c r="F280" s="142" t="s">
        <v>18</v>
      </c>
      <c r="G280" s="141">
        <v>0.27750000000000002</v>
      </c>
      <c r="H280" s="142" t="s">
        <v>18</v>
      </c>
      <c r="I280" s="141" t="s">
        <v>18</v>
      </c>
      <c r="J280" s="141" t="s">
        <v>18</v>
      </c>
      <c r="K280" s="141" t="s">
        <v>18</v>
      </c>
      <c r="L280" s="141">
        <v>0.36274509803921567</v>
      </c>
      <c r="M280" s="142" t="s">
        <v>18</v>
      </c>
      <c r="N280" s="141">
        <v>0.29210526315789476</v>
      </c>
      <c r="O280" s="142" t="s">
        <v>18</v>
      </c>
      <c r="P280" s="141" t="s">
        <v>18</v>
      </c>
      <c r="Q280" s="141" t="s">
        <v>18</v>
      </c>
      <c r="R280" s="141">
        <v>0.3336065573770492</v>
      </c>
      <c r="S280" s="142" t="s">
        <v>18</v>
      </c>
      <c r="T280" s="141" t="s">
        <v>18</v>
      </c>
      <c r="U280" s="141">
        <v>0.50454545454545452</v>
      </c>
      <c r="V280" s="142" t="s">
        <v>18</v>
      </c>
      <c r="W280" s="141" t="s">
        <v>18</v>
      </c>
      <c r="X280" s="141" t="s">
        <v>18</v>
      </c>
      <c r="Y280" s="141">
        <v>0.44400000000000001</v>
      </c>
      <c r="Z280" s="142" t="s">
        <v>18</v>
      </c>
      <c r="AA280" s="141" t="s">
        <v>18</v>
      </c>
      <c r="AB280" s="141">
        <v>4.5121951219512194E-2</v>
      </c>
      <c r="AC280" s="142" t="s">
        <v>18</v>
      </c>
      <c r="AD280" s="141" t="s">
        <v>18</v>
      </c>
      <c r="AE280" s="141" t="s">
        <v>18</v>
      </c>
      <c r="AF280" s="141" t="s">
        <v>18</v>
      </c>
      <c r="AG280" s="142" t="s">
        <v>18</v>
      </c>
      <c r="AH280" s="140" t="s">
        <v>18</v>
      </c>
      <c r="AI280" s="141" t="s">
        <v>18</v>
      </c>
      <c r="AJ280" s="141" t="s">
        <v>18</v>
      </c>
      <c r="AK280" s="141" t="s">
        <v>18</v>
      </c>
      <c r="AL280" s="141" t="s">
        <v>18</v>
      </c>
      <c r="AM280" s="141" t="s">
        <v>18</v>
      </c>
      <c r="AN280" s="141" t="s">
        <v>18</v>
      </c>
      <c r="AO280" s="141" t="s">
        <v>18</v>
      </c>
      <c r="AP280" s="141" t="s">
        <v>18</v>
      </c>
      <c r="AQ280" s="141" t="s">
        <v>18</v>
      </c>
      <c r="AR280" s="141" t="s">
        <v>18</v>
      </c>
      <c r="AS280" s="141" t="s">
        <v>18</v>
      </c>
      <c r="AT280" s="141" t="s">
        <v>18</v>
      </c>
      <c r="AU280" s="141" t="s">
        <v>18</v>
      </c>
      <c r="AV280" s="141" t="s">
        <v>18</v>
      </c>
      <c r="AW280" s="141" t="s">
        <v>18</v>
      </c>
      <c r="AX280" s="141" t="s">
        <v>18</v>
      </c>
      <c r="AY280" s="141" t="s">
        <v>18</v>
      </c>
      <c r="AZ280" s="141" t="s">
        <v>18</v>
      </c>
      <c r="BA280" s="141" t="s">
        <v>18</v>
      </c>
      <c r="BB280" s="141" t="s">
        <v>18</v>
      </c>
      <c r="BC280" s="141" t="s">
        <v>18</v>
      </c>
    </row>
    <row r="281" spans="1:55" ht="15" customHeight="1" x14ac:dyDescent="0.2">
      <c r="A281" s="116" t="s">
        <v>1</v>
      </c>
      <c r="B281" s="117" t="s">
        <v>2</v>
      </c>
      <c r="C281" s="118">
        <v>21633</v>
      </c>
      <c r="D281" s="119">
        <v>21633</v>
      </c>
      <c r="E281" s="119">
        <v>21951</v>
      </c>
      <c r="F281" s="120">
        <v>21951</v>
      </c>
      <c r="G281" s="119">
        <v>22155</v>
      </c>
      <c r="H281" s="120">
        <v>22155</v>
      </c>
      <c r="I281" s="119">
        <v>22155</v>
      </c>
      <c r="J281" s="119">
        <v>22155</v>
      </c>
      <c r="K281" s="119">
        <v>22155</v>
      </c>
      <c r="L281" s="119">
        <v>22307</v>
      </c>
      <c r="M281" s="120">
        <v>22307</v>
      </c>
      <c r="N281" s="119">
        <v>22404</v>
      </c>
      <c r="O281" s="120">
        <v>22404</v>
      </c>
      <c r="P281" s="119">
        <v>22404</v>
      </c>
      <c r="Q281" s="119">
        <v>22404</v>
      </c>
      <c r="R281" s="119">
        <v>22700</v>
      </c>
      <c r="S281" s="120">
        <v>22700</v>
      </c>
      <c r="T281" s="119">
        <v>22700</v>
      </c>
      <c r="U281" s="119">
        <v>22888</v>
      </c>
      <c r="V281" s="120">
        <v>22888</v>
      </c>
      <c r="W281" s="119">
        <v>22888</v>
      </c>
      <c r="X281" s="119">
        <v>22888</v>
      </c>
      <c r="Y281" s="119">
        <v>22974</v>
      </c>
      <c r="Z281" s="120">
        <v>22974</v>
      </c>
      <c r="AA281" s="119">
        <v>22974</v>
      </c>
      <c r="AB281" s="119">
        <v>23117</v>
      </c>
      <c r="AC281" s="120">
        <v>23117</v>
      </c>
      <c r="AD281" s="119">
        <v>23117</v>
      </c>
      <c r="AE281" s="119">
        <v>23117</v>
      </c>
      <c r="AF281" s="119">
        <v>23206</v>
      </c>
      <c r="AG281" s="120">
        <v>23254</v>
      </c>
      <c r="AH281" s="118" t="s">
        <v>18</v>
      </c>
      <c r="AI281" s="119" t="s">
        <v>18</v>
      </c>
      <c r="AJ281" s="119" t="s">
        <v>18</v>
      </c>
      <c r="AK281" s="119" t="s">
        <v>18</v>
      </c>
      <c r="AL281" s="119" t="s">
        <v>18</v>
      </c>
      <c r="AM281" s="119" t="s">
        <v>18</v>
      </c>
      <c r="AN281" s="119" t="s">
        <v>18</v>
      </c>
      <c r="AO281" s="119" t="s">
        <v>18</v>
      </c>
      <c r="AP281" s="119" t="s">
        <v>18</v>
      </c>
      <c r="AQ281" s="119" t="s">
        <v>18</v>
      </c>
      <c r="AR281" s="119" t="s">
        <v>18</v>
      </c>
      <c r="AS281" s="119" t="s">
        <v>18</v>
      </c>
      <c r="AT281" s="119" t="s">
        <v>18</v>
      </c>
      <c r="AU281" s="119" t="s">
        <v>18</v>
      </c>
      <c r="AV281" s="119" t="s">
        <v>18</v>
      </c>
      <c r="AW281" s="119" t="s">
        <v>18</v>
      </c>
      <c r="AX281" s="119" t="s">
        <v>18</v>
      </c>
      <c r="AY281" s="119" t="s">
        <v>18</v>
      </c>
      <c r="AZ281" s="119" t="s">
        <v>18</v>
      </c>
      <c r="BA281" s="119" t="s">
        <v>18</v>
      </c>
      <c r="BB281" s="119" t="s">
        <v>18</v>
      </c>
      <c r="BC281" s="119" t="s">
        <v>18</v>
      </c>
    </row>
    <row r="282" spans="1:55" ht="15" customHeight="1" x14ac:dyDescent="0.2">
      <c r="A282" s="121" t="s">
        <v>29</v>
      </c>
      <c r="B282" s="122" t="s">
        <v>4</v>
      </c>
      <c r="C282" s="123">
        <v>1188</v>
      </c>
      <c r="D282" s="124">
        <v>1188</v>
      </c>
      <c r="E282" s="124">
        <v>1194</v>
      </c>
      <c r="F282" s="125">
        <v>1194</v>
      </c>
      <c r="G282" s="124">
        <v>1197</v>
      </c>
      <c r="H282" s="125">
        <v>1197</v>
      </c>
      <c r="I282" s="124">
        <v>1197</v>
      </c>
      <c r="J282" s="124">
        <v>1197</v>
      </c>
      <c r="K282" s="124">
        <v>1197</v>
      </c>
      <c r="L282" s="124">
        <v>1202</v>
      </c>
      <c r="M282" s="125">
        <v>1202</v>
      </c>
      <c r="N282" s="124">
        <v>1202</v>
      </c>
      <c r="O282" s="125">
        <v>1202</v>
      </c>
      <c r="P282" s="124">
        <v>1202</v>
      </c>
      <c r="Q282" s="124">
        <v>1202</v>
      </c>
      <c r="R282" s="124">
        <v>1210</v>
      </c>
      <c r="S282" s="125">
        <v>1210</v>
      </c>
      <c r="T282" s="124">
        <v>1210</v>
      </c>
      <c r="U282" s="124">
        <v>1213</v>
      </c>
      <c r="V282" s="125">
        <v>1213</v>
      </c>
      <c r="W282" s="124">
        <v>1213</v>
      </c>
      <c r="X282" s="124">
        <v>1213</v>
      </c>
      <c r="Y282" s="124">
        <v>1214</v>
      </c>
      <c r="Z282" s="125">
        <v>1214</v>
      </c>
      <c r="AA282" s="124">
        <v>1214</v>
      </c>
      <c r="AB282" s="124">
        <v>1222</v>
      </c>
      <c r="AC282" s="125">
        <v>1222</v>
      </c>
      <c r="AD282" s="124">
        <v>1222</v>
      </c>
      <c r="AE282" s="124">
        <v>1222</v>
      </c>
      <c r="AF282" s="124">
        <v>1225</v>
      </c>
      <c r="AG282" s="125">
        <v>1227</v>
      </c>
      <c r="AH282" s="123" t="s">
        <v>18</v>
      </c>
      <c r="AI282" s="124" t="s">
        <v>18</v>
      </c>
      <c r="AJ282" s="124" t="s">
        <v>18</v>
      </c>
      <c r="AK282" s="124" t="s">
        <v>18</v>
      </c>
      <c r="AL282" s="124" t="s">
        <v>18</v>
      </c>
      <c r="AM282" s="124" t="s">
        <v>18</v>
      </c>
      <c r="AN282" s="124" t="s">
        <v>18</v>
      </c>
      <c r="AO282" s="124" t="s">
        <v>18</v>
      </c>
      <c r="AP282" s="124" t="s">
        <v>18</v>
      </c>
      <c r="AQ282" s="124" t="s">
        <v>18</v>
      </c>
      <c r="AR282" s="124" t="s">
        <v>18</v>
      </c>
      <c r="AS282" s="124" t="s">
        <v>18</v>
      </c>
      <c r="AT282" s="124" t="s">
        <v>18</v>
      </c>
      <c r="AU282" s="124" t="s">
        <v>18</v>
      </c>
      <c r="AV282" s="124" t="s">
        <v>18</v>
      </c>
      <c r="AW282" s="124" t="s">
        <v>18</v>
      </c>
      <c r="AX282" s="124" t="s">
        <v>18</v>
      </c>
      <c r="AY282" s="124" t="s">
        <v>18</v>
      </c>
      <c r="AZ282" s="124" t="s">
        <v>18</v>
      </c>
      <c r="BA282" s="124" t="s">
        <v>18</v>
      </c>
      <c r="BB282" s="124" t="s">
        <v>18</v>
      </c>
      <c r="BC282" s="124" t="s">
        <v>18</v>
      </c>
    </row>
    <row r="283" spans="1:55" ht="15" customHeight="1" x14ac:dyDescent="0.25">
      <c r="A283" s="143">
        <v>1</v>
      </c>
      <c r="B283" s="122" t="s">
        <v>5</v>
      </c>
      <c r="C283" s="123">
        <v>9</v>
      </c>
      <c r="D283" s="124">
        <v>9</v>
      </c>
      <c r="E283" s="124">
        <v>3</v>
      </c>
      <c r="F283" s="125">
        <v>9</v>
      </c>
      <c r="G283" s="124">
        <v>7</v>
      </c>
      <c r="H283" s="125">
        <v>9</v>
      </c>
      <c r="I283" s="124">
        <v>9</v>
      </c>
      <c r="J283" s="124">
        <v>9</v>
      </c>
      <c r="K283" s="124">
        <v>9</v>
      </c>
      <c r="L283" s="124">
        <v>4</v>
      </c>
      <c r="M283" s="125">
        <v>9</v>
      </c>
      <c r="N283" s="124">
        <v>9</v>
      </c>
      <c r="O283" s="125">
        <v>9</v>
      </c>
      <c r="P283" s="124">
        <v>9</v>
      </c>
      <c r="Q283" s="124">
        <v>9</v>
      </c>
      <c r="R283" s="124">
        <v>2</v>
      </c>
      <c r="S283" s="125">
        <v>16</v>
      </c>
      <c r="T283" s="124">
        <v>16</v>
      </c>
      <c r="U283" s="124">
        <v>13</v>
      </c>
      <c r="V283" s="125">
        <v>13</v>
      </c>
      <c r="W283" s="124">
        <v>13</v>
      </c>
      <c r="X283" s="124">
        <v>13</v>
      </c>
      <c r="Y283" s="124">
        <v>12</v>
      </c>
      <c r="Z283" s="125">
        <v>20</v>
      </c>
      <c r="AA283" s="124">
        <v>20</v>
      </c>
      <c r="AB283" s="124">
        <v>12</v>
      </c>
      <c r="AC283" s="125">
        <v>12</v>
      </c>
      <c r="AD283" s="124">
        <v>12</v>
      </c>
      <c r="AE283" s="124">
        <v>12</v>
      </c>
      <c r="AF283" s="124">
        <v>9</v>
      </c>
      <c r="AG283" s="125">
        <v>13</v>
      </c>
      <c r="AH283" s="123" t="s">
        <v>18</v>
      </c>
      <c r="AI283" s="124" t="s">
        <v>18</v>
      </c>
      <c r="AJ283" s="124" t="s">
        <v>18</v>
      </c>
      <c r="AK283" s="124" t="s">
        <v>18</v>
      </c>
      <c r="AL283" s="124" t="s">
        <v>18</v>
      </c>
      <c r="AM283" s="124" t="s">
        <v>18</v>
      </c>
      <c r="AN283" s="124" t="s">
        <v>18</v>
      </c>
      <c r="AO283" s="124" t="s">
        <v>18</v>
      </c>
      <c r="AP283" s="124" t="s">
        <v>18</v>
      </c>
      <c r="AQ283" s="124" t="s">
        <v>18</v>
      </c>
      <c r="AR283" s="124" t="s">
        <v>18</v>
      </c>
      <c r="AS283" s="124" t="s">
        <v>18</v>
      </c>
      <c r="AT283" s="124" t="s">
        <v>18</v>
      </c>
      <c r="AU283" s="124" t="s">
        <v>18</v>
      </c>
      <c r="AV283" s="124" t="s">
        <v>18</v>
      </c>
      <c r="AW283" s="124" t="s">
        <v>18</v>
      </c>
      <c r="AX283" s="124" t="s">
        <v>18</v>
      </c>
      <c r="AY283" s="124" t="s">
        <v>18</v>
      </c>
      <c r="AZ283" s="124" t="s">
        <v>18</v>
      </c>
      <c r="BA283" s="124" t="s">
        <v>18</v>
      </c>
      <c r="BB283" s="124" t="s">
        <v>18</v>
      </c>
      <c r="BC283" s="124" t="s">
        <v>18</v>
      </c>
    </row>
    <row r="284" spans="1:55" ht="15" customHeight="1" x14ac:dyDescent="0.25">
      <c r="A284" s="144" t="s">
        <v>20</v>
      </c>
      <c r="B284" s="122" t="s">
        <v>6</v>
      </c>
      <c r="C284" s="123"/>
      <c r="D284" s="124"/>
      <c r="E284" s="124">
        <v>6</v>
      </c>
      <c r="F284" s="125"/>
      <c r="G284" s="124">
        <v>2</v>
      </c>
      <c r="H284" s="125"/>
      <c r="I284" s="124"/>
      <c r="J284" s="124"/>
      <c r="K284" s="124"/>
      <c r="L284" s="124">
        <v>5</v>
      </c>
      <c r="M284" s="125"/>
      <c r="N284" s="124"/>
      <c r="O284" s="125"/>
      <c r="P284" s="124"/>
      <c r="Q284" s="124"/>
      <c r="R284" s="124">
        <v>14</v>
      </c>
      <c r="S284" s="125"/>
      <c r="T284" s="124"/>
      <c r="U284" s="124"/>
      <c r="V284" s="125"/>
      <c r="W284" s="124"/>
      <c r="X284" s="124"/>
      <c r="Y284" s="124">
        <v>8</v>
      </c>
      <c r="Z284" s="125"/>
      <c r="AA284" s="124"/>
      <c r="AB284" s="124"/>
      <c r="AC284" s="125"/>
      <c r="AD284" s="124"/>
      <c r="AE284" s="124"/>
      <c r="AF284" s="124">
        <v>6</v>
      </c>
      <c r="AG284" s="125"/>
      <c r="AH284" s="123"/>
      <c r="AI284" s="124"/>
      <c r="AJ284" s="124"/>
      <c r="AK284" s="124"/>
      <c r="AL284" s="124"/>
      <c r="AM284" s="124"/>
      <c r="AN284" s="124"/>
      <c r="AO284" s="124"/>
      <c r="AP284" s="124"/>
      <c r="AQ284" s="124"/>
      <c r="AR284" s="124"/>
      <c r="AS284" s="124"/>
      <c r="AT284" s="124"/>
      <c r="AU284" s="124"/>
      <c r="AV284" s="124"/>
      <c r="AW284" s="124"/>
      <c r="AX284" s="124"/>
      <c r="AY284" s="124"/>
      <c r="AZ284" s="124"/>
      <c r="BA284" s="124"/>
      <c r="BB284" s="124"/>
      <c r="BC284" s="124"/>
    </row>
    <row r="285" spans="1:55" ht="15" customHeight="1" x14ac:dyDescent="0.25">
      <c r="A285" s="145">
        <v>390600</v>
      </c>
      <c r="B285" s="122" t="s">
        <v>8</v>
      </c>
      <c r="C285" s="129">
        <v>500</v>
      </c>
      <c r="D285" s="130">
        <v>500</v>
      </c>
      <c r="E285" s="130">
        <v>500</v>
      </c>
      <c r="F285" s="131">
        <v>500</v>
      </c>
      <c r="G285" s="130">
        <v>500</v>
      </c>
      <c r="H285" s="131">
        <v>500</v>
      </c>
      <c r="I285" s="130">
        <v>500</v>
      </c>
      <c r="J285" s="130">
        <v>500</v>
      </c>
      <c r="K285" s="130">
        <v>500</v>
      </c>
      <c r="L285" s="130">
        <v>500</v>
      </c>
      <c r="M285" s="131">
        <v>500</v>
      </c>
      <c r="N285" s="130">
        <v>500</v>
      </c>
      <c r="O285" s="131">
        <v>500</v>
      </c>
      <c r="P285" s="130">
        <v>500</v>
      </c>
      <c r="Q285" s="130">
        <v>500</v>
      </c>
      <c r="R285" s="130">
        <v>500</v>
      </c>
      <c r="S285" s="131">
        <v>500</v>
      </c>
      <c r="T285" s="130">
        <v>500</v>
      </c>
      <c r="U285" s="130">
        <v>500</v>
      </c>
      <c r="V285" s="131">
        <v>500</v>
      </c>
      <c r="W285" s="130">
        <v>500</v>
      </c>
      <c r="X285" s="130">
        <v>500</v>
      </c>
      <c r="Y285" s="130">
        <v>500</v>
      </c>
      <c r="Z285" s="131">
        <v>500</v>
      </c>
      <c r="AA285" s="130">
        <v>500</v>
      </c>
      <c r="AB285" s="130">
        <v>500</v>
      </c>
      <c r="AC285" s="131">
        <v>500</v>
      </c>
      <c r="AD285" s="130">
        <v>500</v>
      </c>
      <c r="AE285" s="130">
        <v>500</v>
      </c>
      <c r="AF285" s="130">
        <v>500</v>
      </c>
      <c r="AG285" s="131">
        <v>500</v>
      </c>
      <c r="AH285" s="129" t="s">
        <v>18</v>
      </c>
      <c r="AI285" s="130" t="s">
        <v>18</v>
      </c>
      <c r="AJ285" s="130" t="s">
        <v>18</v>
      </c>
      <c r="AK285" s="130" t="s">
        <v>18</v>
      </c>
      <c r="AL285" s="130" t="s">
        <v>18</v>
      </c>
      <c r="AM285" s="130" t="s">
        <v>18</v>
      </c>
      <c r="AN285" s="130" t="s">
        <v>18</v>
      </c>
      <c r="AO285" s="130" t="s">
        <v>18</v>
      </c>
      <c r="AP285" s="130" t="s">
        <v>18</v>
      </c>
      <c r="AQ285" s="130" t="s">
        <v>18</v>
      </c>
      <c r="AR285" s="130" t="s">
        <v>18</v>
      </c>
      <c r="AS285" s="130" t="s">
        <v>18</v>
      </c>
      <c r="AT285" s="130" t="s">
        <v>18</v>
      </c>
      <c r="AU285" s="130" t="s">
        <v>18</v>
      </c>
      <c r="AV285" s="130" t="s">
        <v>18</v>
      </c>
      <c r="AW285" s="130" t="s">
        <v>18</v>
      </c>
      <c r="AX285" s="130" t="s">
        <v>18</v>
      </c>
      <c r="AY285" s="130" t="s">
        <v>18</v>
      </c>
      <c r="AZ285" s="130" t="s">
        <v>18</v>
      </c>
      <c r="BA285" s="130" t="s">
        <v>18</v>
      </c>
      <c r="BB285" s="130" t="s">
        <v>18</v>
      </c>
      <c r="BC285" s="130" t="s">
        <v>18</v>
      </c>
    </row>
    <row r="286" spans="1:55" ht="15" customHeight="1" x14ac:dyDescent="0.2">
      <c r="A286" s="127" t="s">
        <v>9</v>
      </c>
      <c r="B286" s="132" t="s">
        <v>10</v>
      </c>
      <c r="C286" s="133" t="s">
        <v>31</v>
      </c>
      <c r="D286" s="134" t="s">
        <v>31</v>
      </c>
      <c r="E286" s="134" t="s">
        <v>31</v>
      </c>
      <c r="F286" s="135" t="s">
        <v>31</v>
      </c>
      <c r="G286" s="134" t="s">
        <v>31</v>
      </c>
      <c r="H286" s="135" t="s">
        <v>31</v>
      </c>
      <c r="I286" s="134" t="s">
        <v>31</v>
      </c>
      <c r="J286" s="134" t="s">
        <v>31</v>
      </c>
      <c r="K286" s="134" t="s">
        <v>31</v>
      </c>
      <c r="L286" s="134" t="s">
        <v>31</v>
      </c>
      <c r="M286" s="135" t="s">
        <v>31</v>
      </c>
      <c r="N286" s="134" t="s">
        <v>31</v>
      </c>
      <c r="O286" s="135" t="s">
        <v>31</v>
      </c>
      <c r="P286" s="134" t="s">
        <v>31</v>
      </c>
      <c r="Q286" s="134" t="s">
        <v>31</v>
      </c>
      <c r="R286" s="134" t="s">
        <v>31</v>
      </c>
      <c r="S286" s="135" t="s">
        <v>31</v>
      </c>
      <c r="T286" s="134" t="s">
        <v>31</v>
      </c>
      <c r="U286" s="134" t="s">
        <v>31</v>
      </c>
      <c r="V286" s="135" t="s">
        <v>31</v>
      </c>
      <c r="W286" s="134" t="s">
        <v>31</v>
      </c>
      <c r="X286" s="134" t="s">
        <v>31</v>
      </c>
      <c r="Y286" s="134" t="s">
        <v>31</v>
      </c>
      <c r="Z286" s="135" t="s">
        <v>31</v>
      </c>
      <c r="AA286" s="134" t="s">
        <v>31</v>
      </c>
      <c r="AB286" s="134" t="s">
        <v>31</v>
      </c>
      <c r="AC286" s="135" t="s">
        <v>31</v>
      </c>
      <c r="AD286" s="134" t="s">
        <v>31</v>
      </c>
      <c r="AE286" s="134" t="s">
        <v>31</v>
      </c>
      <c r="AF286" s="134" t="s">
        <v>31</v>
      </c>
      <c r="AG286" s="135" t="s">
        <v>31</v>
      </c>
      <c r="AH286" s="133" t="s">
        <v>18</v>
      </c>
      <c r="AI286" s="134" t="s">
        <v>18</v>
      </c>
      <c r="AJ286" s="134" t="s">
        <v>18</v>
      </c>
      <c r="AK286" s="134" t="s">
        <v>18</v>
      </c>
      <c r="AL286" s="134" t="s">
        <v>18</v>
      </c>
      <c r="AM286" s="134" t="s">
        <v>18</v>
      </c>
      <c r="AN286" s="134" t="s">
        <v>18</v>
      </c>
      <c r="AO286" s="134" t="s">
        <v>18</v>
      </c>
      <c r="AP286" s="134" t="s">
        <v>18</v>
      </c>
      <c r="AQ286" s="134" t="s">
        <v>18</v>
      </c>
      <c r="AR286" s="134" t="s">
        <v>18</v>
      </c>
      <c r="AS286" s="134" t="s">
        <v>18</v>
      </c>
      <c r="AT286" s="134" t="s">
        <v>18</v>
      </c>
      <c r="AU286" s="134" t="s">
        <v>18</v>
      </c>
      <c r="AV286" s="134" t="s">
        <v>18</v>
      </c>
      <c r="AW286" s="134" t="s">
        <v>18</v>
      </c>
      <c r="AX286" s="134" t="s">
        <v>18</v>
      </c>
      <c r="AY286" s="134" t="s">
        <v>18</v>
      </c>
      <c r="AZ286" s="134" t="s">
        <v>18</v>
      </c>
      <c r="BA286" s="134" t="s">
        <v>18</v>
      </c>
      <c r="BB286" s="134" t="s">
        <v>18</v>
      </c>
      <c r="BC286" s="134" t="s">
        <v>18</v>
      </c>
    </row>
    <row r="287" spans="1:55" ht="15" customHeight="1" x14ac:dyDescent="0.2">
      <c r="A287" s="128">
        <v>156870.96774193548</v>
      </c>
      <c r="B287" s="122" t="s">
        <v>12</v>
      </c>
      <c r="C287" s="123"/>
      <c r="D287" s="124"/>
      <c r="E287" s="124"/>
      <c r="F287" s="125" t="s">
        <v>209</v>
      </c>
      <c r="G287" s="124"/>
      <c r="H287" s="125"/>
      <c r="I287" s="124"/>
      <c r="J287" s="124"/>
      <c r="K287" s="124"/>
      <c r="L287" s="124"/>
      <c r="M287" s="125"/>
      <c r="N287" s="124"/>
      <c r="O287" s="125"/>
      <c r="P287" s="124"/>
      <c r="Q287" s="124"/>
      <c r="R287" s="124"/>
      <c r="S287" s="125"/>
      <c r="T287" s="124"/>
      <c r="U287" s="124"/>
      <c r="V287" s="125"/>
      <c r="W287" s="124"/>
      <c r="X287" s="124"/>
      <c r="Y287" s="124"/>
      <c r="Z287" s="125"/>
      <c r="AA287" s="124"/>
      <c r="AB287" s="124"/>
      <c r="AC287" s="125"/>
      <c r="AD287" s="124"/>
      <c r="AE287" s="124"/>
      <c r="AF287" s="124"/>
      <c r="AG287" s="125"/>
      <c r="AH287" s="123"/>
      <c r="AI287" s="124"/>
      <c r="AJ287" s="124"/>
      <c r="AK287" s="124"/>
      <c r="AL287" s="124"/>
      <c r="AM287" s="124"/>
      <c r="AN287" s="124"/>
      <c r="AO287" s="124"/>
      <c r="AP287" s="124"/>
      <c r="AQ287" s="124"/>
      <c r="AR287" s="124"/>
      <c r="AS287" s="124"/>
      <c r="AT287" s="124"/>
      <c r="AU287" s="124"/>
      <c r="AV287" s="124"/>
      <c r="AW287" s="124"/>
      <c r="AX287" s="124"/>
      <c r="AY287" s="124"/>
      <c r="AZ287" s="124"/>
      <c r="BA287" s="124"/>
      <c r="BB287" s="124"/>
      <c r="BC287" s="124"/>
    </row>
    <row r="288" spans="1:55" ht="15" customHeight="1" x14ac:dyDescent="0.2">
      <c r="A288" s="128">
        <v>1621</v>
      </c>
      <c r="B288" s="136" t="s">
        <v>13</v>
      </c>
      <c r="C288" s="123">
        <v>0</v>
      </c>
      <c r="D288" s="137">
        <v>0</v>
      </c>
      <c r="E288" s="137">
        <v>318</v>
      </c>
      <c r="F288" s="125">
        <v>0</v>
      </c>
      <c r="G288" s="137">
        <v>204</v>
      </c>
      <c r="H288" s="125">
        <v>0</v>
      </c>
      <c r="I288" s="137">
        <v>0</v>
      </c>
      <c r="J288" s="137">
        <v>0</v>
      </c>
      <c r="K288" s="137">
        <v>0</v>
      </c>
      <c r="L288" s="137">
        <v>152</v>
      </c>
      <c r="M288" s="125">
        <v>0</v>
      </c>
      <c r="N288" s="137">
        <v>97</v>
      </c>
      <c r="O288" s="125">
        <v>0</v>
      </c>
      <c r="P288" s="137">
        <v>0</v>
      </c>
      <c r="Q288" s="137">
        <v>0</v>
      </c>
      <c r="R288" s="137">
        <v>296</v>
      </c>
      <c r="S288" s="125">
        <v>0</v>
      </c>
      <c r="T288" s="137">
        <v>0</v>
      </c>
      <c r="U288" s="137">
        <v>188</v>
      </c>
      <c r="V288" s="125">
        <v>0</v>
      </c>
      <c r="W288" s="137">
        <v>0</v>
      </c>
      <c r="X288" s="137">
        <v>0</v>
      </c>
      <c r="Y288" s="137">
        <v>86</v>
      </c>
      <c r="Z288" s="125">
        <v>0</v>
      </c>
      <c r="AA288" s="137">
        <v>0</v>
      </c>
      <c r="AB288" s="137">
        <v>143</v>
      </c>
      <c r="AC288" s="125">
        <v>0</v>
      </c>
      <c r="AD288" s="137">
        <v>0</v>
      </c>
      <c r="AE288" s="137">
        <v>0</v>
      </c>
      <c r="AF288" s="137">
        <v>89</v>
      </c>
      <c r="AG288" s="125">
        <v>48</v>
      </c>
      <c r="AH288" s="123" t="s">
        <v>18</v>
      </c>
      <c r="AI288" s="137" t="s">
        <v>18</v>
      </c>
      <c r="AJ288" s="137" t="s">
        <v>18</v>
      </c>
      <c r="AK288" s="137" t="s">
        <v>18</v>
      </c>
      <c r="AL288" s="137" t="s">
        <v>18</v>
      </c>
      <c r="AM288" s="137" t="s">
        <v>18</v>
      </c>
      <c r="AN288" s="137" t="s">
        <v>18</v>
      </c>
      <c r="AO288" s="137" t="s">
        <v>18</v>
      </c>
      <c r="AP288" s="137" t="s">
        <v>18</v>
      </c>
      <c r="AQ288" s="137" t="s">
        <v>18</v>
      </c>
      <c r="AR288" s="137" t="s">
        <v>18</v>
      </c>
      <c r="AS288" s="137" t="s">
        <v>18</v>
      </c>
      <c r="AT288" s="137" t="s">
        <v>18</v>
      </c>
      <c r="AU288" s="137" t="s">
        <v>18</v>
      </c>
      <c r="AV288" s="137" t="s">
        <v>18</v>
      </c>
      <c r="AW288" s="137" t="s">
        <v>18</v>
      </c>
      <c r="AX288" s="137" t="s">
        <v>18</v>
      </c>
      <c r="AY288" s="137" t="s">
        <v>18</v>
      </c>
      <c r="AZ288" s="137" t="s">
        <v>18</v>
      </c>
      <c r="BA288" s="137" t="s">
        <v>18</v>
      </c>
      <c r="BB288" s="137" t="s">
        <v>18</v>
      </c>
      <c r="BC288" s="137" t="s">
        <v>18</v>
      </c>
    </row>
    <row r="289" spans="1:55" ht="15" customHeight="1" x14ac:dyDescent="0.2">
      <c r="A289" s="128">
        <v>39</v>
      </c>
      <c r="B289" s="136" t="s">
        <v>14</v>
      </c>
      <c r="C289" s="123">
        <v>0</v>
      </c>
      <c r="D289" s="137">
        <v>0</v>
      </c>
      <c r="E289" s="137">
        <v>6</v>
      </c>
      <c r="F289" s="125">
        <v>0</v>
      </c>
      <c r="G289" s="137">
        <v>3</v>
      </c>
      <c r="H289" s="125">
        <v>0</v>
      </c>
      <c r="I289" s="137">
        <v>0</v>
      </c>
      <c r="J289" s="137">
        <v>0</v>
      </c>
      <c r="K289" s="137">
        <v>0</v>
      </c>
      <c r="L289" s="137">
        <v>5</v>
      </c>
      <c r="M289" s="125">
        <v>0</v>
      </c>
      <c r="N289" s="137">
        <v>0</v>
      </c>
      <c r="O289" s="125">
        <v>0</v>
      </c>
      <c r="P289" s="137">
        <v>0</v>
      </c>
      <c r="Q289" s="137">
        <v>0</v>
      </c>
      <c r="R289" s="137">
        <v>8</v>
      </c>
      <c r="S289" s="125">
        <v>0</v>
      </c>
      <c r="T289" s="137">
        <v>0</v>
      </c>
      <c r="U289" s="137">
        <v>3</v>
      </c>
      <c r="V289" s="125">
        <v>0</v>
      </c>
      <c r="W289" s="137">
        <v>0</v>
      </c>
      <c r="X289" s="137">
        <v>0</v>
      </c>
      <c r="Y289" s="137">
        <v>1</v>
      </c>
      <c r="Z289" s="125">
        <v>0</v>
      </c>
      <c r="AA289" s="137">
        <v>0</v>
      </c>
      <c r="AB289" s="137">
        <v>8</v>
      </c>
      <c r="AC289" s="125">
        <v>0</v>
      </c>
      <c r="AD289" s="137">
        <v>0</v>
      </c>
      <c r="AE289" s="137">
        <v>0</v>
      </c>
      <c r="AF289" s="137">
        <v>3</v>
      </c>
      <c r="AG289" s="125">
        <v>2</v>
      </c>
      <c r="AH289" s="123" t="s">
        <v>18</v>
      </c>
      <c r="AI289" s="137" t="s">
        <v>18</v>
      </c>
      <c r="AJ289" s="137" t="s">
        <v>18</v>
      </c>
      <c r="AK289" s="137" t="s">
        <v>18</v>
      </c>
      <c r="AL289" s="137" t="s">
        <v>18</v>
      </c>
      <c r="AM289" s="137" t="s">
        <v>18</v>
      </c>
      <c r="AN289" s="137" t="s">
        <v>18</v>
      </c>
      <c r="AO289" s="137" t="s">
        <v>18</v>
      </c>
      <c r="AP289" s="137" t="s">
        <v>18</v>
      </c>
      <c r="AQ289" s="137" t="s">
        <v>18</v>
      </c>
      <c r="AR289" s="137" t="s">
        <v>18</v>
      </c>
      <c r="AS289" s="137" t="s">
        <v>18</v>
      </c>
      <c r="AT289" s="137" t="s">
        <v>18</v>
      </c>
      <c r="AU289" s="137" t="s">
        <v>18</v>
      </c>
      <c r="AV289" s="137" t="s">
        <v>18</v>
      </c>
      <c r="AW289" s="137" t="s">
        <v>18</v>
      </c>
      <c r="AX289" s="137" t="s">
        <v>18</v>
      </c>
      <c r="AY289" s="137" t="s">
        <v>18</v>
      </c>
      <c r="AZ289" s="137" t="s">
        <v>18</v>
      </c>
      <c r="BA289" s="137" t="s">
        <v>18</v>
      </c>
      <c r="BB289" s="137" t="s">
        <v>18</v>
      </c>
      <c r="BC289" s="137" t="s">
        <v>18</v>
      </c>
    </row>
    <row r="290" spans="1:55" ht="15" customHeight="1" x14ac:dyDescent="0.2">
      <c r="A290" s="128">
        <v>37</v>
      </c>
      <c r="B290" s="136" t="s">
        <v>15</v>
      </c>
      <c r="C290" s="123">
        <v>0</v>
      </c>
      <c r="D290" s="137">
        <v>0</v>
      </c>
      <c r="E290" s="137">
        <v>6</v>
      </c>
      <c r="F290" s="125">
        <v>0</v>
      </c>
      <c r="G290" s="137">
        <v>2</v>
      </c>
      <c r="H290" s="125">
        <v>0</v>
      </c>
      <c r="I290" s="137">
        <v>0</v>
      </c>
      <c r="J290" s="137">
        <v>0</v>
      </c>
      <c r="K290" s="137">
        <v>0</v>
      </c>
      <c r="L290" s="137">
        <v>5</v>
      </c>
      <c r="M290" s="125">
        <v>0</v>
      </c>
      <c r="N290" s="137">
        <v>0</v>
      </c>
      <c r="O290" s="125">
        <v>0</v>
      </c>
      <c r="P290" s="137">
        <v>0</v>
      </c>
      <c r="Q290" s="137">
        <v>0</v>
      </c>
      <c r="R290" s="137">
        <v>7</v>
      </c>
      <c r="S290" s="125">
        <v>0</v>
      </c>
      <c r="T290" s="137">
        <v>0</v>
      </c>
      <c r="U290" s="137">
        <v>3</v>
      </c>
      <c r="V290" s="125">
        <v>0</v>
      </c>
      <c r="W290" s="137">
        <v>0</v>
      </c>
      <c r="X290" s="137">
        <v>0</v>
      </c>
      <c r="Y290" s="137">
        <v>1</v>
      </c>
      <c r="Z290" s="125">
        <v>0</v>
      </c>
      <c r="AA290" s="137">
        <v>0</v>
      </c>
      <c r="AB290" s="137">
        <v>8</v>
      </c>
      <c r="AC290" s="125">
        <v>0</v>
      </c>
      <c r="AD290" s="137">
        <v>0</v>
      </c>
      <c r="AE290" s="137">
        <v>0</v>
      </c>
      <c r="AF290" s="137">
        <v>3</v>
      </c>
      <c r="AG290" s="125">
        <v>2</v>
      </c>
      <c r="AH290" s="123" t="s">
        <v>18</v>
      </c>
      <c r="AI290" s="137" t="s">
        <v>18</v>
      </c>
      <c r="AJ290" s="137" t="s">
        <v>18</v>
      </c>
      <c r="AK290" s="137" t="s">
        <v>18</v>
      </c>
      <c r="AL290" s="137" t="s">
        <v>18</v>
      </c>
      <c r="AM290" s="137" t="s">
        <v>18</v>
      </c>
      <c r="AN290" s="137" t="s">
        <v>18</v>
      </c>
      <c r="AO290" s="137" t="s">
        <v>18</v>
      </c>
      <c r="AP290" s="137" t="s">
        <v>18</v>
      </c>
      <c r="AQ290" s="137" t="s">
        <v>18</v>
      </c>
      <c r="AR290" s="137" t="s">
        <v>18</v>
      </c>
      <c r="AS290" s="137" t="s">
        <v>18</v>
      </c>
      <c r="AT290" s="137" t="s">
        <v>18</v>
      </c>
      <c r="AU290" s="137" t="s">
        <v>18</v>
      </c>
      <c r="AV290" s="137" t="s">
        <v>18</v>
      </c>
      <c r="AW290" s="137" t="s">
        <v>18</v>
      </c>
      <c r="AX290" s="137" t="s">
        <v>18</v>
      </c>
      <c r="AY290" s="137" t="s">
        <v>18</v>
      </c>
      <c r="AZ290" s="137" t="s">
        <v>18</v>
      </c>
      <c r="BA290" s="137" t="s">
        <v>18</v>
      </c>
      <c r="BB290" s="137" t="s">
        <v>18</v>
      </c>
      <c r="BC290" s="137" t="s">
        <v>18</v>
      </c>
    </row>
    <row r="291" spans="1:55" ht="15" customHeight="1" x14ac:dyDescent="0.2">
      <c r="A291" s="128">
        <v>18500</v>
      </c>
      <c r="B291" s="136" t="s">
        <v>16</v>
      </c>
      <c r="C291" s="123">
        <v>0</v>
      </c>
      <c r="D291" s="137">
        <v>0</v>
      </c>
      <c r="E291" s="137">
        <v>3000</v>
      </c>
      <c r="F291" s="125">
        <v>0</v>
      </c>
      <c r="G291" s="137">
        <v>1000</v>
      </c>
      <c r="H291" s="125">
        <v>0</v>
      </c>
      <c r="I291" s="137">
        <v>0</v>
      </c>
      <c r="J291" s="137">
        <v>0</v>
      </c>
      <c r="K291" s="137">
        <v>0</v>
      </c>
      <c r="L291" s="137">
        <v>2500</v>
      </c>
      <c r="M291" s="125">
        <v>0</v>
      </c>
      <c r="N291" s="137">
        <v>0</v>
      </c>
      <c r="O291" s="125">
        <v>0</v>
      </c>
      <c r="P291" s="137">
        <v>0</v>
      </c>
      <c r="Q291" s="137">
        <v>0</v>
      </c>
      <c r="R291" s="137">
        <v>3500</v>
      </c>
      <c r="S291" s="125">
        <v>0</v>
      </c>
      <c r="T291" s="137">
        <v>0</v>
      </c>
      <c r="U291" s="137">
        <v>1500</v>
      </c>
      <c r="V291" s="125">
        <v>0</v>
      </c>
      <c r="W291" s="137">
        <v>0</v>
      </c>
      <c r="X291" s="137">
        <v>0</v>
      </c>
      <c r="Y291" s="137">
        <v>500</v>
      </c>
      <c r="Z291" s="125">
        <v>0</v>
      </c>
      <c r="AA291" s="137">
        <v>0</v>
      </c>
      <c r="AB291" s="137">
        <v>4000</v>
      </c>
      <c r="AC291" s="125">
        <v>0</v>
      </c>
      <c r="AD291" s="137">
        <v>0</v>
      </c>
      <c r="AE291" s="137">
        <v>0</v>
      </c>
      <c r="AF291" s="137">
        <v>1500</v>
      </c>
      <c r="AG291" s="125">
        <v>1000</v>
      </c>
      <c r="AH291" s="123" t="s">
        <v>18</v>
      </c>
      <c r="AI291" s="137" t="s">
        <v>18</v>
      </c>
      <c r="AJ291" s="137" t="s">
        <v>18</v>
      </c>
      <c r="AK291" s="137" t="s">
        <v>18</v>
      </c>
      <c r="AL291" s="137" t="s">
        <v>18</v>
      </c>
      <c r="AM291" s="137" t="s">
        <v>18</v>
      </c>
      <c r="AN291" s="137" t="s">
        <v>18</v>
      </c>
      <c r="AO291" s="137" t="s">
        <v>18</v>
      </c>
      <c r="AP291" s="137" t="s">
        <v>18</v>
      </c>
      <c r="AQ291" s="137" t="s">
        <v>18</v>
      </c>
      <c r="AR291" s="137" t="s">
        <v>18</v>
      </c>
      <c r="AS291" s="137" t="s">
        <v>18</v>
      </c>
      <c r="AT291" s="137" t="s">
        <v>18</v>
      </c>
      <c r="AU291" s="137" t="s">
        <v>18</v>
      </c>
      <c r="AV291" s="137" t="s">
        <v>18</v>
      </c>
      <c r="AW291" s="137" t="s">
        <v>18</v>
      </c>
      <c r="AX291" s="137" t="s">
        <v>18</v>
      </c>
      <c r="AY291" s="137" t="s">
        <v>18</v>
      </c>
      <c r="AZ291" s="137" t="s">
        <v>18</v>
      </c>
      <c r="BA291" s="137" t="s">
        <v>18</v>
      </c>
      <c r="BB291" s="137" t="s">
        <v>18</v>
      </c>
      <c r="BC291" s="137" t="s">
        <v>18</v>
      </c>
    </row>
    <row r="292" spans="1:55" ht="15" customHeight="1" thickBot="1" x14ac:dyDescent="0.25">
      <c r="A292" s="138">
        <v>0.11412708204811844</v>
      </c>
      <c r="B292" s="136" t="s">
        <v>17</v>
      </c>
      <c r="C292" s="146" t="s">
        <v>18</v>
      </c>
      <c r="D292" s="147" t="s">
        <v>18</v>
      </c>
      <c r="E292" s="147">
        <v>9.4339622641509441E-2</v>
      </c>
      <c r="F292" s="148" t="s">
        <v>18</v>
      </c>
      <c r="G292" s="147">
        <v>4.9019607843137254E-2</v>
      </c>
      <c r="H292" s="148" t="s">
        <v>18</v>
      </c>
      <c r="I292" s="147" t="s">
        <v>18</v>
      </c>
      <c r="J292" s="147" t="s">
        <v>18</v>
      </c>
      <c r="K292" s="147" t="s">
        <v>18</v>
      </c>
      <c r="L292" s="147">
        <v>0.16447368421052633</v>
      </c>
      <c r="M292" s="148" t="s">
        <v>18</v>
      </c>
      <c r="N292" s="147" t="s">
        <v>18</v>
      </c>
      <c r="O292" s="148" t="s">
        <v>18</v>
      </c>
      <c r="P292" s="147" t="s">
        <v>18</v>
      </c>
      <c r="Q292" s="147" t="s">
        <v>18</v>
      </c>
      <c r="R292" s="147">
        <v>0.11824324324324324</v>
      </c>
      <c r="S292" s="148" t="s">
        <v>18</v>
      </c>
      <c r="T292" s="147" t="s">
        <v>18</v>
      </c>
      <c r="U292" s="147">
        <v>7.9787234042553196E-2</v>
      </c>
      <c r="V292" s="148" t="s">
        <v>18</v>
      </c>
      <c r="W292" s="147" t="s">
        <v>18</v>
      </c>
      <c r="X292" s="147" t="s">
        <v>18</v>
      </c>
      <c r="Y292" s="147">
        <v>5.8139534883720929E-2</v>
      </c>
      <c r="Z292" s="148" t="s">
        <v>18</v>
      </c>
      <c r="AA292" s="147" t="s">
        <v>18</v>
      </c>
      <c r="AB292" s="147">
        <v>0.27972027972027974</v>
      </c>
      <c r="AC292" s="148" t="s">
        <v>18</v>
      </c>
      <c r="AD292" s="147" t="s">
        <v>18</v>
      </c>
      <c r="AE292" s="147" t="s">
        <v>18</v>
      </c>
      <c r="AF292" s="147">
        <v>0.16853932584269662</v>
      </c>
      <c r="AG292" s="148">
        <v>0.20833333333333334</v>
      </c>
      <c r="AH292" s="146" t="s">
        <v>18</v>
      </c>
      <c r="AI292" s="147" t="s">
        <v>18</v>
      </c>
      <c r="AJ292" s="147" t="s">
        <v>18</v>
      </c>
      <c r="AK292" s="147" t="s">
        <v>18</v>
      </c>
      <c r="AL292" s="147" t="s">
        <v>18</v>
      </c>
      <c r="AM292" s="147" t="s">
        <v>18</v>
      </c>
      <c r="AN292" s="147" t="s">
        <v>18</v>
      </c>
      <c r="AO292" s="147" t="s">
        <v>18</v>
      </c>
      <c r="AP292" s="147" t="s">
        <v>18</v>
      </c>
      <c r="AQ292" s="147" t="s">
        <v>18</v>
      </c>
      <c r="AR292" s="147" t="s">
        <v>18</v>
      </c>
      <c r="AS292" s="147" t="s">
        <v>18</v>
      </c>
      <c r="AT292" s="147" t="s">
        <v>18</v>
      </c>
      <c r="AU292" s="147" t="s">
        <v>18</v>
      </c>
      <c r="AV292" s="147" t="s">
        <v>18</v>
      </c>
      <c r="AW292" s="147" t="s">
        <v>18</v>
      </c>
      <c r="AX292" s="147" t="s">
        <v>18</v>
      </c>
      <c r="AY292" s="147" t="s">
        <v>18</v>
      </c>
      <c r="AZ292" s="147" t="s">
        <v>18</v>
      </c>
      <c r="BA292" s="147" t="s">
        <v>18</v>
      </c>
      <c r="BB292" s="147" t="s">
        <v>18</v>
      </c>
      <c r="BC292" s="147" t="s">
        <v>18</v>
      </c>
    </row>
    <row r="293" spans="1:55" ht="15" customHeight="1" x14ac:dyDescent="0.2">
      <c r="A293" s="149" t="s">
        <v>1</v>
      </c>
      <c r="B293" s="150" t="s">
        <v>2</v>
      </c>
      <c r="C293" s="129">
        <v>17632</v>
      </c>
      <c r="D293" s="130">
        <v>17632</v>
      </c>
      <c r="E293" s="130">
        <v>17774</v>
      </c>
      <c r="F293" s="131">
        <v>17774</v>
      </c>
      <c r="G293" s="130">
        <v>17890</v>
      </c>
      <c r="H293" s="131">
        <v>17890</v>
      </c>
      <c r="I293" s="130">
        <v>17890</v>
      </c>
      <c r="J293" s="130">
        <v>17890</v>
      </c>
      <c r="K293" s="130">
        <v>17890</v>
      </c>
      <c r="L293" s="130">
        <v>18026</v>
      </c>
      <c r="M293" s="131">
        <v>18026</v>
      </c>
      <c r="N293" s="130">
        <v>18223</v>
      </c>
      <c r="O293" s="131">
        <v>18223</v>
      </c>
      <c r="P293" s="130">
        <v>18223</v>
      </c>
      <c r="Q293" s="130">
        <v>18223</v>
      </c>
      <c r="R293" s="130">
        <v>18396</v>
      </c>
      <c r="S293" s="131">
        <v>18396</v>
      </c>
      <c r="T293" s="130">
        <v>18396</v>
      </c>
      <c r="U293" s="130">
        <v>18565</v>
      </c>
      <c r="V293" s="131">
        <v>18565</v>
      </c>
      <c r="W293" s="130">
        <v>18565</v>
      </c>
      <c r="X293" s="130">
        <v>18565</v>
      </c>
      <c r="Y293" s="130">
        <v>18676</v>
      </c>
      <c r="Z293" s="131">
        <v>18676</v>
      </c>
      <c r="AA293" s="130">
        <v>18676</v>
      </c>
      <c r="AB293" s="130">
        <v>18774</v>
      </c>
      <c r="AC293" s="131">
        <v>18774</v>
      </c>
      <c r="AD293" s="130">
        <v>18774</v>
      </c>
      <c r="AE293" s="130">
        <v>18774</v>
      </c>
      <c r="AF293" s="130">
        <v>18832</v>
      </c>
      <c r="AG293" s="131">
        <v>18856</v>
      </c>
      <c r="AH293" s="129" t="s">
        <v>18</v>
      </c>
      <c r="AI293" s="130" t="s">
        <v>18</v>
      </c>
      <c r="AJ293" s="130" t="s">
        <v>18</v>
      </c>
      <c r="AK293" s="130" t="s">
        <v>18</v>
      </c>
      <c r="AL293" s="130" t="s">
        <v>18</v>
      </c>
      <c r="AM293" s="130" t="s">
        <v>18</v>
      </c>
      <c r="AN293" s="130" t="s">
        <v>18</v>
      </c>
      <c r="AO293" s="130" t="s">
        <v>18</v>
      </c>
      <c r="AP293" s="130" t="s">
        <v>18</v>
      </c>
      <c r="AQ293" s="130" t="s">
        <v>18</v>
      </c>
      <c r="AR293" s="130" t="s">
        <v>18</v>
      </c>
      <c r="AS293" s="130" t="s">
        <v>18</v>
      </c>
      <c r="AT293" s="130" t="s">
        <v>18</v>
      </c>
      <c r="AU293" s="130" t="s">
        <v>18</v>
      </c>
      <c r="AV293" s="130" t="s">
        <v>18</v>
      </c>
      <c r="AW293" s="130" t="s">
        <v>18</v>
      </c>
      <c r="AX293" s="130" t="s">
        <v>18</v>
      </c>
      <c r="AY293" s="130" t="s">
        <v>18</v>
      </c>
      <c r="AZ293" s="130" t="s">
        <v>18</v>
      </c>
      <c r="BA293" s="130" t="s">
        <v>18</v>
      </c>
      <c r="BB293" s="130" t="s">
        <v>18</v>
      </c>
      <c r="BC293" s="130" t="s">
        <v>18</v>
      </c>
    </row>
    <row r="294" spans="1:55" ht="15" customHeight="1" x14ac:dyDescent="0.2">
      <c r="A294" s="121" t="s">
        <v>29</v>
      </c>
      <c r="B294" s="122" t="s">
        <v>4</v>
      </c>
      <c r="C294" s="123">
        <v>1146</v>
      </c>
      <c r="D294" s="124">
        <v>1146</v>
      </c>
      <c r="E294" s="124">
        <v>1157</v>
      </c>
      <c r="F294" s="125">
        <v>1157</v>
      </c>
      <c r="G294" s="124">
        <v>1162</v>
      </c>
      <c r="H294" s="125">
        <v>1162</v>
      </c>
      <c r="I294" s="124">
        <v>1162</v>
      </c>
      <c r="J294" s="124">
        <v>1162</v>
      </c>
      <c r="K294" s="124">
        <v>1162</v>
      </c>
      <c r="L294" s="124">
        <v>1169</v>
      </c>
      <c r="M294" s="125">
        <v>1169</v>
      </c>
      <c r="N294" s="124">
        <v>1174</v>
      </c>
      <c r="O294" s="125">
        <v>1174</v>
      </c>
      <c r="P294" s="124">
        <v>1174</v>
      </c>
      <c r="Q294" s="124">
        <v>1174</v>
      </c>
      <c r="R294" s="124">
        <v>1180</v>
      </c>
      <c r="S294" s="125">
        <v>1180</v>
      </c>
      <c r="T294" s="124">
        <v>1180</v>
      </c>
      <c r="U294" s="124">
        <v>1184</v>
      </c>
      <c r="V294" s="125">
        <v>1184</v>
      </c>
      <c r="W294" s="124">
        <v>1184</v>
      </c>
      <c r="X294" s="124">
        <v>1184</v>
      </c>
      <c r="Y294" s="124">
        <v>1186</v>
      </c>
      <c r="Z294" s="125">
        <v>1186</v>
      </c>
      <c r="AA294" s="124">
        <v>1186</v>
      </c>
      <c r="AB294" s="124">
        <v>1194</v>
      </c>
      <c r="AC294" s="125">
        <v>1194</v>
      </c>
      <c r="AD294" s="124">
        <v>1194</v>
      </c>
      <c r="AE294" s="124">
        <v>1194</v>
      </c>
      <c r="AF294" s="124">
        <v>1195</v>
      </c>
      <c r="AG294" s="125">
        <v>1196</v>
      </c>
      <c r="AH294" s="123" t="s">
        <v>18</v>
      </c>
      <c r="AI294" s="124" t="s">
        <v>18</v>
      </c>
      <c r="AJ294" s="124" t="s">
        <v>18</v>
      </c>
      <c r="AK294" s="124" t="s">
        <v>18</v>
      </c>
      <c r="AL294" s="124" t="s">
        <v>18</v>
      </c>
      <c r="AM294" s="124" t="s">
        <v>18</v>
      </c>
      <c r="AN294" s="124" t="s">
        <v>18</v>
      </c>
      <c r="AO294" s="124" t="s">
        <v>18</v>
      </c>
      <c r="AP294" s="124" t="s">
        <v>18</v>
      </c>
      <c r="AQ294" s="124" t="s">
        <v>18</v>
      </c>
      <c r="AR294" s="124" t="s">
        <v>18</v>
      </c>
      <c r="AS294" s="124" t="s">
        <v>18</v>
      </c>
      <c r="AT294" s="124" t="s">
        <v>18</v>
      </c>
      <c r="AU294" s="124" t="s">
        <v>18</v>
      </c>
      <c r="AV294" s="124" t="s">
        <v>18</v>
      </c>
      <c r="AW294" s="124" t="s">
        <v>18</v>
      </c>
      <c r="AX294" s="124" t="s">
        <v>18</v>
      </c>
      <c r="AY294" s="124" t="s">
        <v>18</v>
      </c>
      <c r="AZ294" s="124" t="s">
        <v>18</v>
      </c>
      <c r="BA294" s="124" t="s">
        <v>18</v>
      </c>
      <c r="BB294" s="124" t="s">
        <v>18</v>
      </c>
      <c r="BC294" s="124" t="s">
        <v>18</v>
      </c>
    </row>
    <row r="295" spans="1:55" ht="15" customHeight="1" x14ac:dyDescent="0.25">
      <c r="A295" s="143">
        <v>2</v>
      </c>
      <c r="B295" s="122" t="s">
        <v>5</v>
      </c>
      <c r="C295" s="123">
        <v>28</v>
      </c>
      <c r="D295" s="124">
        <v>28</v>
      </c>
      <c r="E295" s="124">
        <v>24</v>
      </c>
      <c r="F295" s="125">
        <v>26</v>
      </c>
      <c r="G295" s="124">
        <v>21</v>
      </c>
      <c r="H295" s="125">
        <v>25</v>
      </c>
      <c r="I295" s="124">
        <v>25</v>
      </c>
      <c r="J295" s="124">
        <v>25</v>
      </c>
      <c r="K295" s="124">
        <v>25</v>
      </c>
      <c r="L295" s="124">
        <v>20</v>
      </c>
      <c r="M295" s="125">
        <v>20</v>
      </c>
      <c r="N295" s="124">
        <v>15</v>
      </c>
      <c r="O295" s="125">
        <v>15</v>
      </c>
      <c r="P295" s="124">
        <v>15</v>
      </c>
      <c r="Q295" s="124">
        <v>15</v>
      </c>
      <c r="R295" s="124">
        <v>15</v>
      </c>
      <c r="S295" s="125">
        <v>30</v>
      </c>
      <c r="T295" s="124">
        <v>30</v>
      </c>
      <c r="U295" s="124">
        <v>26</v>
      </c>
      <c r="V295" s="125">
        <v>26</v>
      </c>
      <c r="W295" s="124">
        <v>26</v>
      </c>
      <c r="X295" s="124">
        <v>26</v>
      </c>
      <c r="Y295" s="124">
        <v>24</v>
      </c>
      <c r="Z295" s="125">
        <v>24</v>
      </c>
      <c r="AA295" s="124">
        <v>24</v>
      </c>
      <c r="AB295" s="124">
        <v>24</v>
      </c>
      <c r="AC295" s="125">
        <v>24</v>
      </c>
      <c r="AD295" s="124">
        <v>24</v>
      </c>
      <c r="AE295" s="124">
        <v>24</v>
      </c>
      <c r="AF295" s="124">
        <v>23</v>
      </c>
      <c r="AG295" s="125">
        <v>22</v>
      </c>
      <c r="AH295" s="123" t="s">
        <v>18</v>
      </c>
      <c r="AI295" s="124" t="s">
        <v>18</v>
      </c>
      <c r="AJ295" s="124" t="s">
        <v>18</v>
      </c>
      <c r="AK295" s="124" t="s">
        <v>18</v>
      </c>
      <c r="AL295" s="124" t="s">
        <v>18</v>
      </c>
      <c r="AM295" s="124" t="s">
        <v>18</v>
      </c>
      <c r="AN295" s="124" t="s">
        <v>18</v>
      </c>
      <c r="AO295" s="124" t="s">
        <v>18</v>
      </c>
      <c r="AP295" s="124" t="s">
        <v>18</v>
      </c>
      <c r="AQ295" s="124" t="s">
        <v>18</v>
      </c>
      <c r="AR295" s="124" t="s">
        <v>18</v>
      </c>
      <c r="AS295" s="124" t="s">
        <v>18</v>
      </c>
      <c r="AT295" s="124" t="s">
        <v>18</v>
      </c>
      <c r="AU295" s="124" t="s">
        <v>18</v>
      </c>
      <c r="AV295" s="124" t="s">
        <v>18</v>
      </c>
      <c r="AW295" s="124" t="s">
        <v>18</v>
      </c>
      <c r="AX295" s="124" t="s">
        <v>18</v>
      </c>
      <c r="AY295" s="124" t="s">
        <v>18</v>
      </c>
      <c r="AZ295" s="124" t="s">
        <v>18</v>
      </c>
      <c r="BA295" s="124" t="s">
        <v>18</v>
      </c>
      <c r="BB295" s="124" t="s">
        <v>18</v>
      </c>
      <c r="BC295" s="124" t="s">
        <v>18</v>
      </c>
    </row>
    <row r="296" spans="1:55" ht="15" customHeight="1" x14ac:dyDescent="0.2">
      <c r="A296" s="127"/>
      <c r="B296" s="122" t="s">
        <v>6</v>
      </c>
      <c r="C296" s="123"/>
      <c r="D296" s="124"/>
      <c r="E296" s="124">
        <v>2</v>
      </c>
      <c r="F296" s="125"/>
      <c r="G296" s="124">
        <v>4</v>
      </c>
      <c r="H296" s="125"/>
      <c r="I296" s="124"/>
      <c r="J296" s="124"/>
      <c r="K296" s="124"/>
      <c r="L296" s="124"/>
      <c r="M296" s="125"/>
      <c r="N296" s="124"/>
      <c r="O296" s="125"/>
      <c r="P296" s="124"/>
      <c r="Q296" s="124"/>
      <c r="R296" s="124">
        <v>15</v>
      </c>
      <c r="S296" s="125"/>
      <c r="T296" s="124"/>
      <c r="U296" s="124"/>
      <c r="V296" s="125"/>
      <c r="W296" s="124"/>
      <c r="X296" s="124"/>
      <c r="Y296" s="124"/>
      <c r="Z296" s="125"/>
      <c r="AA296" s="124"/>
      <c r="AB296" s="124"/>
      <c r="AC296" s="125"/>
      <c r="AD296" s="124"/>
      <c r="AE296" s="124"/>
      <c r="AF296" s="124"/>
      <c r="AG296" s="125"/>
      <c r="AH296" s="123"/>
      <c r="AI296" s="124"/>
      <c r="AJ296" s="124"/>
      <c r="AK296" s="124"/>
      <c r="AL296" s="124"/>
      <c r="AM296" s="124"/>
      <c r="AN296" s="124"/>
      <c r="AO296" s="124"/>
      <c r="AP296" s="124"/>
      <c r="AQ296" s="124"/>
      <c r="AR296" s="124"/>
      <c r="AS296" s="124"/>
      <c r="AT296" s="124"/>
      <c r="AU296" s="124"/>
      <c r="AV296" s="124"/>
      <c r="AW296" s="124"/>
      <c r="AX296" s="124"/>
      <c r="AY296" s="124"/>
      <c r="AZ296" s="124"/>
      <c r="BA296" s="124"/>
      <c r="BB296" s="124"/>
      <c r="BC296" s="124"/>
    </row>
    <row r="297" spans="1:55" ht="15" customHeight="1" x14ac:dyDescent="0.2">
      <c r="A297" s="128"/>
      <c r="B297" s="122" t="s">
        <v>8</v>
      </c>
      <c r="C297" s="129">
        <v>340</v>
      </c>
      <c r="D297" s="130">
        <v>340</v>
      </c>
      <c r="E297" s="130">
        <v>340</v>
      </c>
      <c r="F297" s="131">
        <v>340</v>
      </c>
      <c r="G297" s="130">
        <v>340</v>
      </c>
      <c r="H297" s="131">
        <v>340</v>
      </c>
      <c r="I297" s="130">
        <v>340</v>
      </c>
      <c r="J297" s="130">
        <v>340</v>
      </c>
      <c r="K297" s="130">
        <v>340</v>
      </c>
      <c r="L297" s="130">
        <v>340</v>
      </c>
      <c r="M297" s="131">
        <v>340</v>
      </c>
      <c r="N297" s="130">
        <v>340</v>
      </c>
      <c r="O297" s="131">
        <v>340</v>
      </c>
      <c r="P297" s="130">
        <v>340</v>
      </c>
      <c r="Q297" s="130">
        <v>340</v>
      </c>
      <c r="R297" s="130">
        <v>340</v>
      </c>
      <c r="S297" s="131">
        <v>340</v>
      </c>
      <c r="T297" s="130">
        <v>340</v>
      </c>
      <c r="U297" s="130">
        <v>340</v>
      </c>
      <c r="V297" s="131">
        <v>340</v>
      </c>
      <c r="W297" s="130">
        <v>340</v>
      </c>
      <c r="X297" s="130">
        <v>340</v>
      </c>
      <c r="Y297" s="130">
        <v>340</v>
      </c>
      <c r="Z297" s="131">
        <v>340</v>
      </c>
      <c r="AA297" s="130">
        <v>340</v>
      </c>
      <c r="AB297" s="130">
        <v>340</v>
      </c>
      <c r="AC297" s="131">
        <v>340</v>
      </c>
      <c r="AD297" s="130">
        <v>340</v>
      </c>
      <c r="AE297" s="130">
        <v>340</v>
      </c>
      <c r="AF297" s="130">
        <v>340</v>
      </c>
      <c r="AG297" s="131">
        <v>340</v>
      </c>
      <c r="AH297" s="129" t="s">
        <v>18</v>
      </c>
      <c r="AI297" s="130" t="s">
        <v>18</v>
      </c>
      <c r="AJ297" s="130" t="s">
        <v>18</v>
      </c>
      <c r="AK297" s="130" t="s">
        <v>18</v>
      </c>
      <c r="AL297" s="130" t="s">
        <v>18</v>
      </c>
      <c r="AM297" s="130" t="s">
        <v>18</v>
      </c>
      <c r="AN297" s="130" t="s">
        <v>18</v>
      </c>
      <c r="AO297" s="130" t="s">
        <v>18</v>
      </c>
      <c r="AP297" s="130" t="s">
        <v>18</v>
      </c>
      <c r="AQ297" s="130" t="s">
        <v>18</v>
      </c>
      <c r="AR297" s="130" t="s">
        <v>18</v>
      </c>
      <c r="AS297" s="130" t="s">
        <v>18</v>
      </c>
      <c r="AT297" s="130" t="s">
        <v>18</v>
      </c>
      <c r="AU297" s="130" t="s">
        <v>18</v>
      </c>
      <c r="AV297" s="130" t="s">
        <v>18</v>
      </c>
      <c r="AW297" s="130" t="s">
        <v>18</v>
      </c>
      <c r="AX297" s="130" t="s">
        <v>18</v>
      </c>
      <c r="AY297" s="130" t="s">
        <v>18</v>
      </c>
      <c r="AZ297" s="130" t="s">
        <v>18</v>
      </c>
      <c r="BA297" s="130" t="s">
        <v>18</v>
      </c>
      <c r="BB297" s="130" t="s">
        <v>18</v>
      </c>
      <c r="BC297" s="130" t="s">
        <v>18</v>
      </c>
    </row>
    <row r="298" spans="1:55" ht="15" customHeight="1" x14ac:dyDescent="0.2">
      <c r="A298" s="127" t="s">
        <v>9</v>
      </c>
      <c r="B298" s="132" t="s">
        <v>10</v>
      </c>
      <c r="C298" s="133" t="s">
        <v>35</v>
      </c>
      <c r="D298" s="134" t="s">
        <v>35</v>
      </c>
      <c r="E298" s="134" t="s">
        <v>35</v>
      </c>
      <c r="F298" s="135" t="s">
        <v>35</v>
      </c>
      <c r="G298" s="134" t="s">
        <v>35</v>
      </c>
      <c r="H298" s="135" t="s">
        <v>35</v>
      </c>
      <c r="I298" s="134" t="s">
        <v>35</v>
      </c>
      <c r="J298" s="134" t="s">
        <v>35</v>
      </c>
      <c r="K298" s="134" t="s">
        <v>35</v>
      </c>
      <c r="L298" s="134" t="s">
        <v>35</v>
      </c>
      <c r="M298" s="135" t="s">
        <v>35</v>
      </c>
      <c r="N298" s="134" t="s">
        <v>35</v>
      </c>
      <c r="O298" s="135" t="s">
        <v>35</v>
      </c>
      <c r="P298" s="134" t="s">
        <v>35</v>
      </c>
      <c r="Q298" s="134" t="s">
        <v>35</v>
      </c>
      <c r="R298" s="134" t="s">
        <v>35</v>
      </c>
      <c r="S298" s="135" t="s">
        <v>35</v>
      </c>
      <c r="T298" s="134" t="s">
        <v>35</v>
      </c>
      <c r="U298" s="134" t="s">
        <v>35</v>
      </c>
      <c r="V298" s="135" t="s">
        <v>35</v>
      </c>
      <c r="W298" s="134" t="s">
        <v>35</v>
      </c>
      <c r="X298" s="134" t="s">
        <v>35</v>
      </c>
      <c r="Y298" s="134" t="s">
        <v>35</v>
      </c>
      <c r="Z298" s="135" t="s">
        <v>35</v>
      </c>
      <c r="AA298" s="134" t="s">
        <v>35</v>
      </c>
      <c r="AB298" s="134" t="s">
        <v>35</v>
      </c>
      <c r="AC298" s="135" t="s">
        <v>35</v>
      </c>
      <c r="AD298" s="134" t="s">
        <v>35</v>
      </c>
      <c r="AE298" s="134" t="s">
        <v>35</v>
      </c>
      <c r="AF298" s="134" t="s">
        <v>35</v>
      </c>
      <c r="AG298" s="135" t="s">
        <v>35</v>
      </c>
      <c r="AH298" s="133" t="s">
        <v>18</v>
      </c>
      <c r="AI298" s="134" t="s">
        <v>18</v>
      </c>
      <c r="AJ298" s="134" t="s">
        <v>18</v>
      </c>
      <c r="AK298" s="134" t="s">
        <v>18</v>
      </c>
      <c r="AL298" s="134" t="s">
        <v>18</v>
      </c>
      <c r="AM298" s="134" t="s">
        <v>18</v>
      </c>
      <c r="AN298" s="134" t="s">
        <v>18</v>
      </c>
      <c r="AO298" s="134" t="s">
        <v>18</v>
      </c>
      <c r="AP298" s="134" t="s">
        <v>18</v>
      </c>
      <c r="AQ298" s="134" t="s">
        <v>18</v>
      </c>
      <c r="AR298" s="134" t="s">
        <v>18</v>
      </c>
      <c r="AS298" s="134" t="s">
        <v>18</v>
      </c>
      <c r="AT298" s="134" t="s">
        <v>18</v>
      </c>
      <c r="AU298" s="134" t="s">
        <v>18</v>
      </c>
      <c r="AV298" s="134" t="s">
        <v>18</v>
      </c>
      <c r="AW298" s="134" t="s">
        <v>18</v>
      </c>
      <c r="AX298" s="134" t="s">
        <v>18</v>
      </c>
      <c r="AY298" s="134" t="s">
        <v>18</v>
      </c>
      <c r="AZ298" s="134" t="s">
        <v>18</v>
      </c>
      <c r="BA298" s="134" t="s">
        <v>18</v>
      </c>
      <c r="BB298" s="134" t="s">
        <v>18</v>
      </c>
      <c r="BC298" s="134" t="s">
        <v>18</v>
      </c>
    </row>
    <row r="299" spans="1:55" ht="15" customHeight="1" x14ac:dyDescent="0.2">
      <c r="A299" s="128">
        <v>118451.6129032258</v>
      </c>
      <c r="B299" s="122" t="s">
        <v>12</v>
      </c>
      <c r="C299" s="123"/>
      <c r="D299" s="124"/>
      <c r="E299" s="124"/>
      <c r="F299" s="125"/>
      <c r="G299" s="124"/>
      <c r="H299" s="125"/>
      <c r="I299" s="124"/>
      <c r="J299" s="124"/>
      <c r="K299" s="124"/>
      <c r="L299" s="124"/>
      <c r="M299" s="125"/>
      <c r="N299" s="124"/>
      <c r="O299" s="125"/>
      <c r="P299" s="124"/>
      <c r="Q299" s="124"/>
      <c r="R299" s="124"/>
      <c r="S299" s="125"/>
      <c r="T299" s="124"/>
      <c r="U299" s="124"/>
      <c r="V299" s="125"/>
      <c r="W299" s="124"/>
      <c r="X299" s="124"/>
      <c r="Y299" s="124"/>
      <c r="Z299" s="125"/>
      <c r="AA299" s="124"/>
      <c r="AB299" s="124"/>
      <c r="AC299" s="125"/>
      <c r="AD299" s="124"/>
      <c r="AE299" s="124"/>
      <c r="AF299" s="124"/>
      <c r="AG299" s="125"/>
      <c r="AH299" s="123"/>
      <c r="AI299" s="124"/>
      <c r="AJ299" s="124"/>
      <c r="AK299" s="124"/>
      <c r="AL299" s="124"/>
      <c r="AM299" s="124"/>
      <c r="AN299" s="124"/>
      <c r="AO299" s="124"/>
      <c r="AP299" s="124"/>
      <c r="AQ299" s="124"/>
      <c r="AR299" s="124"/>
      <c r="AS299" s="124"/>
      <c r="AT299" s="124"/>
      <c r="AU299" s="124"/>
      <c r="AV299" s="124"/>
      <c r="AW299" s="124"/>
      <c r="AX299" s="124"/>
      <c r="AY299" s="124"/>
      <c r="AZ299" s="124"/>
      <c r="BA299" s="124"/>
      <c r="BB299" s="124"/>
      <c r="BC299" s="124"/>
    </row>
    <row r="300" spans="1:55" ht="15" customHeight="1" x14ac:dyDescent="0.2">
      <c r="A300" s="128">
        <v>1224</v>
      </c>
      <c r="B300" s="136" t="s">
        <v>13</v>
      </c>
      <c r="C300" s="123">
        <v>0</v>
      </c>
      <c r="D300" s="137">
        <v>0</v>
      </c>
      <c r="E300" s="137">
        <v>142</v>
      </c>
      <c r="F300" s="125">
        <v>0</v>
      </c>
      <c r="G300" s="137">
        <v>116</v>
      </c>
      <c r="H300" s="125">
        <v>0</v>
      </c>
      <c r="I300" s="137">
        <v>0</v>
      </c>
      <c r="J300" s="137">
        <v>0</v>
      </c>
      <c r="K300" s="137">
        <v>0</v>
      </c>
      <c r="L300" s="137">
        <v>136</v>
      </c>
      <c r="M300" s="125">
        <v>0</v>
      </c>
      <c r="N300" s="137">
        <v>197</v>
      </c>
      <c r="O300" s="125">
        <v>0</v>
      </c>
      <c r="P300" s="137">
        <v>0</v>
      </c>
      <c r="Q300" s="137">
        <v>0</v>
      </c>
      <c r="R300" s="137">
        <v>173</v>
      </c>
      <c r="S300" s="125">
        <v>0</v>
      </c>
      <c r="T300" s="137">
        <v>0</v>
      </c>
      <c r="U300" s="137">
        <v>169</v>
      </c>
      <c r="V300" s="125">
        <v>0</v>
      </c>
      <c r="W300" s="137">
        <v>0</v>
      </c>
      <c r="X300" s="137">
        <v>0</v>
      </c>
      <c r="Y300" s="137">
        <v>111</v>
      </c>
      <c r="Z300" s="125">
        <v>0</v>
      </c>
      <c r="AA300" s="137">
        <v>0</v>
      </c>
      <c r="AB300" s="137">
        <v>98</v>
      </c>
      <c r="AC300" s="125">
        <v>0</v>
      </c>
      <c r="AD300" s="137">
        <v>0</v>
      </c>
      <c r="AE300" s="137">
        <v>0</v>
      </c>
      <c r="AF300" s="137">
        <v>58</v>
      </c>
      <c r="AG300" s="125">
        <v>24</v>
      </c>
      <c r="AH300" s="123" t="s">
        <v>18</v>
      </c>
      <c r="AI300" s="137" t="s">
        <v>18</v>
      </c>
      <c r="AJ300" s="137" t="s">
        <v>18</v>
      </c>
      <c r="AK300" s="137" t="s">
        <v>18</v>
      </c>
      <c r="AL300" s="137" t="s">
        <v>18</v>
      </c>
      <c r="AM300" s="137" t="s">
        <v>18</v>
      </c>
      <c r="AN300" s="137" t="s">
        <v>18</v>
      </c>
      <c r="AO300" s="137" t="s">
        <v>18</v>
      </c>
      <c r="AP300" s="137" t="s">
        <v>18</v>
      </c>
      <c r="AQ300" s="137" t="s">
        <v>18</v>
      </c>
      <c r="AR300" s="137" t="s">
        <v>18</v>
      </c>
      <c r="AS300" s="137" t="s">
        <v>18</v>
      </c>
      <c r="AT300" s="137" t="s">
        <v>18</v>
      </c>
      <c r="AU300" s="137" t="s">
        <v>18</v>
      </c>
      <c r="AV300" s="137" t="s">
        <v>18</v>
      </c>
      <c r="AW300" s="137" t="s">
        <v>18</v>
      </c>
      <c r="AX300" s="137" t="s">
        <v>18</v>
      </c>
      <c r="AY300" s="137" t="s">
        <v>18</v>
      </c>
      <c r="AZ300" s="137" t="s">
        <v>18</v>
      </c>
      <c r="BA300" s="137" t="s">
        <v>18</v>
      </c>
      <c r="BB300" s="137" t="s">
        <v>18</v>
      </c>
      <c r="BC300" s="137" t="s">
        <v>18</v>
      </c>
    </row>
    <row r="301" spans="1:55" ht="15" customHeight="1" x14ac:dyDescent="0.2">
      <c r="A301" s="128">
        <v>50</v>
      </c>
      <c r="B301" s="136" t="s">
        <v>14</v>
      </c>
      <c r="C301" s="123">
        <v>0</v>
      </c>
      <c r="D301" s="137">
        <v>0</v>
      </c>
      <c r="E301" s="137">
        <v>11</v>
      </c>
      <c r="F301" s="125">
        <v>0</v>
      </c>
      <c r="G301" s="137">
        <v>5</v>
      </c>
      <c r="H301" s="125">
        <v>0</v>
      </c>
      <c r="I301" s="137">
        <v>0</v>
      </c>
      <c r="J301" s="137">
        <v>0</v>
      </c>
      <c r="K301" s="137">
        <v>0</v>
      </c>
      <c r="L301" s="137">
        <v>7</v>
      </c>
      <c r="M301" s="125">
        <v>0</v>
      </c>
      <c r="N301" s="137">
        <v>5</v>
      </c>
      <c r="O301" s="125">
        <v>0</v>
      </c>
      <c r="P301" s="137">
        <v>0</v>
      </c>
      <c r="Q301" s="137">
        <v>0</v>
      </c>
      <c r="R301" s="137">
        <v>6</v>
      </c>
      <c r="S301" s="125">
        <v>0</v>
      </c>
      <c r="T301" s="137">
        <v>0</v>
      </c>
      <c r="U301" s="137">
        <v>4</v>
      </c>
      <c r="V301" s="125">
        <v>0</v>
      </c>
      <c r="W301" s="137">
        <v>0</v>
      </c>
      <c r="X301" s="137">
        <v>0</v>
      </c>
      <c r="Y301" s="137">
        <v>2</v>
      </c>
      <c r="Z301" s="125">
        <v>0</v>
      </c>
      <c r="AA301" s="137">
        <v>0</v>
      </c>
      <c r="AB301" s="137">
        <v>8</v>
      </c>
      <c r="AC301" s="125">
        <v>0</v>
      </c>
      <c r="AD301" s="137">
        <v>0</v>
      </c>
      <c r="AE301" s="137">
        <v>0</v>
      </c>
      <c r="AF301" s="137">
        <v>1</v>
      </c>
      <c r="AG301" s="125">
        <v>1</v>
      </c>
      <c r="AH301" s="123" t="s">
        <v>18</v>
      </c>
      <c r="AI301" s="137" t="s">
        <v>18</v>
      </c>
      <c r="AJ301" s="137" t="s">
        <v>18</v>
      </c>
      <c r="AK301" s="137" t="s">
        <v>18</v>
      </c>
      <c r="AL301" s="137" t="s">
        <v>18</v>
      </c>
      <c r="AM301" s="137" t="s">
        <v>18</v>
      </c>
      <c r="AN301" s="137" t="s">
        <v>18</v>
      </c>
      <c r="AO301" s="137" t="s">
        <v>18</v>
      </c>
      <c r="AP301" s="137" t="s">
        <v>18</v>
      </c>
      <c r="AQ301" s="137" t="s">
        <v>18</v>
      </c>
      <c r="AR301" s="137" t="s">
        <v>18</v>
      </c>
      <c r="AS301" s="137" t="s">
        <v>18</v>
      </c>
      <c r="AT301" s="137" t="s">
        <v>18</v>
      </c>
      <c r="AU301" s="137" t="s">
        <v>18</v>
      </c>
      <c r="AV301" s="137" t="s">
        <v>18</v>
      </c>
      <c r="AW301" s="137" t="s">
        <v>18</v>
      </c>
      <c r="AX301" s="137" t="s">
        <v>18</v>
      </c>
      <c r="AY301" s="137" t="s">
        <v>18</v>
      </c>
      <c r="AZ301" s="137" t="s">
        <v>18</v>
      </c>
      <c r="BA301" s="137" t="s">
        <v>18</v>
      </c>
      <c r="BB301" s="137" t="s">
        <v>18</v>
      </c>
      <c r="BC301" s="137" t="s">
        <v>18</v>
      </c>
    </row>
    <row r="302" spans="1:55" ht="15" customHeight="1" x14ac:dyDescent="0.2">
      <c r="A302" s="128">
        <v>27</v>
      </c>
      <c r="B302" s="136" t="s">
        <v>15</v>
      </c>
      <c r="C302" s="123">
        <v>0</v>
      </c>
      <c r="D302" s="137">
        <v>0</v>
      </c>
      <c r="E302" s="137">
        <v>4</v>
      </c>
      <c r="F302" s="125">
        <v>0</v>
      </c>
      <c r="G302" s="137">
        <v>5</v>
      </c>
      <c r="H302" s="125">
        <v>0</v>
      </c>
      <c r="I302" s="137">
        <v>0</v>
      </c>
      <c r="J302" s="137">
        <v>0</v>
      </c>
      <c r="K302" s="137">
        <v>0</v>
      </c>
      <c r="L302" s="137">
        <v>5</v>
      </c>
      <c r="M302" s="125">
        <v>0</v>
      </c>
      <c r="N302" s="137">
        <v>5</v>
      </c>
      <c r="O302" s="125">
        <v>0</v>
      </c>
      <c r="P302" s="137">
        <v>0</v>
      </c>
      <c r="Q302" s="137">
        <v>0</v>
      </c>
      <c r="R302" s="137">
        <v>0</v>
      </c>
      <c r="S302" s="125">
        <v>0</v>
      </c>
      <c r="T302" s="137">
        <v>0</v>
      </c>
      <c r="U302" s="137">
        <v>4</v>
      </c>
      <c r="V302" s="125">
        <v>0</v>
      </c>
      <c r="W302" s="137">
        <v>0</v>
      </c>
      <c r="X302" s="137">
        <v>0</v>
      </c>
      <c r="Y302" s="137">
        <v>2</v>
      </c>
      <c r="Z302" s="125">
        <v>0</v>
      </c>
      <c r="AA302" s="137">
        <v>0</v>
      </c>
      <c r="AB302" s="137">
        <v>0</v>
      </c>
      <c r="AC302" s="125">
        <v>0</v>
      </c>
      <c r="AD302" s="137">
        <v>0</v>
      </c>
      <c r="AE302" s="137">
        <v>0</v>
      </c>
      <c r="AF302" s="137">
        <v>1</v>
      </c>
      <c r="AG302" s="125">
        <v>1</v>
      </c>
      <c r="AH302" s="123" t="s">
        <v>18</v>
      </c>
      <c r="AI302" s="137" t="s">
        <v>18</v>
      </c>
      <c r="AJ302" s="137" t="s">
        <v>18</v>
      </c>
      <c r="AK302" s="137" t="s">
        <v>18</v>
      </c>
      <c r="AL302" s="137" t="s">
        <v>18</v>
      </c>
      <c r="AM302" s="137" t="s">
        <v>18</v>
      </c>
      <c r="AN302" s="137" t="s">
        <v>18</v>
      </c>
      <c r="AO302" s="137" t="s">
        <v>18</v>
      </c>
      <c r="AP302" s="137" t="s">
        <v>18</v>
      </c>
      <c r="AQ302" s="137" t="s">
        <v>18</v>
      </c>
      <c r="AR302" s="137" t="s">
        <v>18</v>
      </c>
      <c r="AS302" s="137" t="s">
        <v>18</v>
      </c>
      <c r="AT302" s="137" t="s">
        <v>18</v>
      </c>
      <c r="AU302" s="137" t="s">
        <v>18</v>
      </c>
      <c r="AV302" s="137" t="s">
        <v>18</v>
      </c>
      <c r="AW302" s="137" t="s">
        <v>18</v>
      </c>
      <c r="AX302" s="137" t="s">
        <v>18</v>
      </c>
      <c r="AY302" s="137" t="s">
        <v>18</v>
      </c>
      <c r="AZ302" s="137" t="s">
        <v>18</v>
      </c>
      <c r="BA302" s="137" t="s">
        <v>18</v>
      </c>
      <c r="BB302" s="137" t="s">
        <v>18</v>
      </c>
      <c r="BC302" s="137" t="s">
        <v>18</v>
      </c>
    </row>
    <row r="303" spans="1:55" ht="15" customHeight="1" x14ac:dyDescent="0.2">
      <c r="A303" s="128">
        <v>9180</v>
      </c>
      <c r="B303" s="136" t="s">
        <v>16</v>
      </c>
      <c r="C303" s="123">
        <v>0</v>
      </c>
      <c r="D303" s="137">
        <v>0</v>
      </c>
      <c r="E303" s="137">
        <v>1360</v>
      </c>
      <c r="F303" s="125">
        <v>0</v>
      </c>
      <c r="G303" s="137">
        <v>1700</v>
      </c>
      <c r="H303" s="125">
        <v>0</v>
      </c>
      <c r="I303" s="137">
        <v>0</v>
      </c>
      <c r="J303" s="137">
        <v>0</v>
      </c>
      <c r="K303" s="137">
        <v>0</v>
      </c>
      <c r="L303" s="137">
        <v>1700</v>
      </c>
      <c r="M303" s="125">
        <v>0</v>
      </c>
      <c r="N303" s="137">
        <v>1700</v>
      </c>
      <c r="O303" s="125">
        <v>0</v>
      </c>
      <c r="P303" s="137">
        <v>0</v>
      </c>
      <c r="Q303" s="137">
        <v>0</v>
      </c>
      <c r="R303" s="137">
        <v>0</v>
      </c>
      <c r="S303" s="125">
        <v>0</v>
      </c>
      <c r="T303" s="137">
        <v>0</v>
      </c>
      <c r="U303" s="137">
        <v>1360</v>
      </c>
      <c r="V303" s="125">
        <v>0</v>
      </c>
      <c r="W303" s="137">
        <v>0</v>
      </c>
      <c r="X303" s="137">
        <v>0</v>
      </c>
      <c r="Y303" s="137">
        <v>680</v>
      </c>
      <c r="Z303" s="125">
        <v>0</v>
      </c>
      <c r="AA303" s="137">
        <v>0</v>
      </c>
      <c r="AB303" s="137">
        <v>0</v>
      </c>
      <c r="AC303" s="125">
        <v>0</v>
      </c>
      <c r="AD303" s="137">
        <v>0</v>
      </c>
      <c r="AE303" s="137">
        <v>0</v>
      </c>
      <c r="AF303" s="137">
        <v>340</v>
      </c>
      <c r="AG303" s="125">
        <v>340</v>
      </c>
      <c r="AH303" s="123" t="s">
        <v>18</v>
      </c>
      <c r="AI303" s="137" t="s">
        <v>18</v>
      </c>
      <c r="AJ303" s="137" t="s">
        <v>18</v>
      </c>
      <c r="AK303" s="137" t="s">
        <v>18</v>
      </c>
      <c r="AL303" s="137" t="s">
        <v>18</v>
      </c>
      <c r="AM303" s="137" t="s">
        <v>18</v>
      </c>
      <c r="AN303" s="137" t="s">
        <v>18</v>
      </c>
      <c r="AO303" s="137" t="s">
        <v>18</v>
      </c>
      <c r="AP303" s="137" t="s">
        <v>18</v>
      </c>
      <c r="AQ303" s="137" t="s">
        <v>18</v>
      </c>
      <c r="AR303" s="137" t="s">
        <v>18</v>
      </c>
      <c r="AS303" s="137" t="s">
        <v>18</v>
      </c>
      <c r="AT303" s="137" t="s">
        <v>18</v>
      </c>
      <c r="AU303" s="137" t="s">
        <v>18</v>
      </c>
      <c r="AV303" s="137" t="s">
        <v>18</v>
      </c>
      <c r="AW303" s="137" t="s">
        <v>18</v>
      </c>
      <c r="AX303" s="137" t="s">
        <v>18</v>
      </c>
      <c r="AY303" s="137" t="s">
        <v>18</v>
      </c>
      <c r="AZ303" s="137" t="s">
        <v>18</v>
      </c>
      <c r="BA303" s="137" t="s">
        <v>18</v>
      </c>
      <c r="BB303" s="137" t="s">
        <v>18</v>
      </c>
      <c r="BC303" s="137" t="s">
        <v>18</v>
      </c>
    </row>
    <row r="304" spans="1:55" ht="15" customHeight="1" thickBot="1" x14ac:dyDescent="0.25">
      <c r="A304" s="138">
        <v>7.4999999999999997E-2</v>
      </c>
      <c r="B304" s="136" t="s">
        <v>17</v>
      </c>
      <c r="C304" s="146" t="s">
        <v>18</v>
      </c>
      <c r="D304" s="147" t="s">
        <v>18</v>
      </c>
      <c r="E304" s="147">
        <v>9.5774647887323941E-2</v>
      </c>
      <c r="F304" s="148" t="s">
        <v>18</v>
      </c>
      <c r="G304" s="147">
        <v>0.14655172413793102</v>
      </c>
      <c r="H304" s="148" t="s">
        <v>18</v>
      </c>
      <c r="I304" s="147" t="s">
        <v>18</v>
      </c>
      <c r="J304" s="147" t="s">
        <v>18</v>
      </c>
      <c r="K304" s="147" t="s">
        <v>18</v>
      </c>
      <c r="L304" s="147">
        <v>0.125</v>
      </c>
      <c r="M304" s="148" t="s">
        <v>18</v>
      </c>
      <c r="N304" s="147">
        <v>8.6294416243654817E-2</v>
      </c>
      <c r="O304" s="148" t="s">
        <v>18</v>
      </c>
      <c r="P304" s="147" t="s">
        <v>18</v>
      </c>
      <c r="Q304" s="147" t="s">
        <v>18</v>
      </c>
      <c r="R304" s="147" t="s">
        <v>18</v>
      </c>
      <c r="S304" s="148" t="s">
        <v>18</v>
      </c>
      <c r="T304" s="147" t="s">
        <v>18</v>
      </c>
      <c r="U304" s="147">
        <v>8.0473372781065089E-2</v>
      </c>
      <c r="V304" s="148" t="s">
        <v>18</v>
      </c>
      <c r="W304" s="147" t="s">
        <v>18</v>
      </c>
      <c r="X304" s="147" t="s">
        <v>18</v>
      </c>
      <c r="Y304" s="147">
        <v>6.126126126126126E-2</v>
      </c>
      <c r="Z304" s="148" t="s">
        <v>18</v>
      </c>
      <c r="AA304" s="147" t="s">
        <v>18</v>
      </c>
      <c r="AB304" s="147" t="s">
        <v>18</v>
      </c>
      <c r="AC304" s="148" t="s">
        <v>18</v>
      </c>
      <c r="AD304" s="147" t="s">
        <v>18</v>
      </c>
      <c r="AE304" s="147" t="s">
        <v>18</v>
      </c>
      <c r="AF304" s="147">
        <v>5.8620689655172413E-2</v>
      </c>
      <c r="AG304" s="148">
        <v>0.14166666666666666</v>
      </c>
      <c r="AH304" s="146" t="s">
        <v>18</v>
      </c>
      <c r="AI304" s="147" t="s">
        <v>18</v>
      </c>
      <c r="AJ304" s="147" t="s">
        <v>18</v>
      </c>
      <c r="AK304" s="147" t="s">
        <v>18</v>
      </c>
      <c r="AL304" s="147" t="s">
        <v>18</v>
      </c>
      <c r="AM304" s="147" t="s">
        <v>18</v>
      </c>
      <c r="AN304" s="147" t="s">
        <v>18</v>
      </c>
      <c r="AO304" s="147" t="s">
        <v>18</v>
      </c>
      <c r="AP304" s="147" t="s">
        <v>18</v>
      </c>
      <c r="AQ304" s="147" t="s">
        <v>18</v>
      </c>
      <c r="AR304" s="147" t="s">
        <v>18</v>
      </c>
      <c r="AS304" s="147" t="s">
        <v>18</v>
      </c>
      <c r="AT304" s="147" t="s">
        <v>18</v>
      </c>
      <c r="AU304" s="147" t="s">
        <v>18</v>
      </c>
      <c r="AV304" s="147" t="s">
        <v>18</v>
      </c>
      <c r="AW304" s="147" t="s">
        <v>18</v>
      </c>
      <c r="AX304" s="147" t="s">
        <v>18</v>
      </c>
      <c r="AY304" s="147" t="s">
        <v>18</v>
      </c>
      <c r="AZ304" s="147" t="s">
        <v>18</v>
      </c>
      <c r="BA304" s="147" t="s">
        <v>18</v>
      </c>
      <c r="BB304" s="147" t="s">
        <v>18</v>
      </c>
      <c r="BC304" s="147" t="s">
        <v>18</v>
      </c>
    </row>
    <row r="305" spans="1:55" ht="15" customHeight="1" x14ac:dyDescent="0.2">
      <c r="A305" s="149" t="s">
        <v>1</v>
      </c>
      <c r="B305" s="150" t="s">
        <v>2</v>
      </c>
      <c r="C305" s="129">
        <v>20175</v>
      </c>
      <c r="D305" s="130">
        <v>20175</v>
      </c>
      <c r="E305" s="130">
        <v>20238</v>
      </c>
      <c r="F305" s="131">
        <v>20238</v>
      </c>
      <c r="G305" s="130">
        <v>20317</v>
      </c>
      <c r="H305" s="131">
        <v>20317</v>
      </c>
      <c r="I305" s="130">
        <v>20317</v>
      </c>
      <c r="J305" s="130">
        <v>20317</v>
      </c>
      <c r="K305" s="130">
        <v>20317</v>
      </c>
      <c r="L305" s="130">
        <v>20447</v>
      </c>
      <c r="M305" s="131">
        <v>20447</v>
      </c>
      <c r="N305" s="130">
        <v>20513</v>
      </c>
      <c r="O305" s="131">
        <v>20513</v>
      </c>
      <c r="P305" s="130">
        <v>20513</v>
      </c>
      <c r="Q305" s="130">
        <v>20513</v>
      </c>
      <c r="R305" s="130">
        <v>20561</v>
      </c>
      <c r="S305" s="131">
        <v>20561</v>
      </c>
      <c r="T305" s="130">
        <v>20561</v>
      </c>
      <c r="U305" s="130">
        <v>20589</v>
      </c>
      <c r="V305" s="131">
        <v>20589</v>
      </c>
      <c r="W305" s="130">
        <v>20589</v>
      </c>
      <c r="X305" s="130">
        <v>20589</v>
      </c>
      <c r="Y305" s="130">
        <v>20631</v>
      </c>
      <c r="Z305" s="131">
        <v>20631</v>
      </c>
      <c r="AA305" s="130">
        <v>20631</v>
      </c>
      <c r="AB305" s="130">
        <v>20710</v>
      </c>
      <c r="AC305" s="131">
        <v>20710</v>
      </c>
      <c r="AD305" s="130">
        <v>20710</v>
      </c>
      <c r="AE305" s="130">
        <v>20710</v>
      </c>
      <c r="AF305" s="130">
        <v>20770</v>
      </c>
      <c r="AG305" s="131">
        <v>20772</v>
      </c>
      <c r="AH305" s="129" t="s">
        <v>18</v>
      </c>
      <c r="AI305" s="130" t="s">
        <v>18</v>
      </c>
      <c r="AJ305" s="130" t="s">
        <v>18</v>
      </c>
      <c r="AK305" s="130" t="s">
        <v>18</v>
      </c>
      <c r="AL305" s="130" t="s">
        <v>18</v>
      </c>
      <c r="AM305" s="130" t="s">
        <v>18</v>
      </c>
      <c r="AN305" s="130" t="s">
        <v>18</v>
      </c>
      <c r="AO305" s="130" t="s">
        <v>18</v>
      </c>
      <c r="AP305" s="130" t="s">
        <v>18</v>
      </c>
      <c r="AQ305" s="130" t="s">
        <v>18</v>
      </c>
      <c r="AR305" s="130" t="s">
        <v>18</v>
      </c>
      <c r="AS305" s="130" t="s">
        <v>18</v>
      </c>
      <c r="AT305" s="130" t="s">
        <v>18</v>
      </c>
      <c r="AU305" s="130" t="s">
        <v>18</v>
      </c>
      <c r="AV305" s="130" t="s">
        <v>18</v>
      </c>
      <c r="AW305" s="130" t="s">
        <v>18</v>
      </c>
      <c r="AX305" s="130" t="s">
        <v>18</v>
      </c>
      <c r="AY305" s="130" t="s">
        <v>18</v>
      </c>
      <c r="AZ305" s="130" t="s">
        <v>18</v>
      </c>
      <c r="BA305" s="130" t="s">
        <v>18</v>
      </c>
      <c r="BB305" s="130" t="s">
        <v>18</v>
      </c>
      <c r="BC305" s="130" t="s">
        <v>18</v>
      </c>
    </row>
    <row r="306" spans="1:55" ht="15" customHeight="1" x14ac:dyDescent="0.2">
      <c r="A306" s="121" t="s">
        <v>29</v>
      </c>
      <c r="B306" s="122" t="s">
        <v>4</v>
      </c>
      <c r="C306" s="123">
        <v>1660</v>
      </c>
      <c r="D306" s="124">
        <v>1660</v>
      </c>
      <c r="E306" s="124">
        <v>1662</v>
      </c>
      <c r="F306" s="125">
        <v>1662</v>
      </c>
      <c r="G306" s="124">
        <v>1665</v>
      </c>
      <c r="H306" s="125">
        <v>1665</v>
      </c>
      <c r="I306" s="124">
        <v>1665</v>
      </c>
      <c r="J306" s="124">
        <v>1665</v>
      </c>
      <c r="K306" s="124">
        <v>1665</v>
      </c>
      <c r="L306" s="124">
        <v>1668</v>
      </c>
      <c r="M306" s="125">
        <v>1668</v>
      </c>
      <c r="N306" s="124">
        <v>1673</v>
      </c>
      <c r="O306" s="125">
        <v>1673</v>
      </c>
      <c r="P306" s="124">
        <v>1673</v>
      </c>
      <c r="Q306" s="124">
        <v>1673</v>
      </c>
      <c r="R306" s="124">
        <v>1675</v>
      </c>
      <c r="S306" s="125">
        <v>1675</v>
      </c>
      <c r="T306" s="124">
        <v>1675</v>
      </c>
      <c r="U306" s="124">
        <v>1677</v>
      </c>
      <c r="V306" s="125">
        <v>1677</v>
      </c>
      <c r="W306" s="124">
        <v>1677</v>
      </c>
      <c r="X306" s="124">
        <v>1677</v>
      </c>
      <c r="Y306" s="124">
        <v>1682</v>
      </c>
      <c r="Z306" s="125">
        <v>1682</v>
      </c>
      <c r="AA306" s="124">
        <v>1682</v>
      </c>
      <c r="AB306" s="124">
        <v>1687</v>
      </c>
      <c r="AC306" s="125">
        <v>1687</v>
      </c>
      <c r="AD306" s="124">
        <v>1687</v>
      </c>
      <c r="AE306" s="124">
        <v>1687</v>
      </c>
      <c r="AF306" s="124">
        <v>1692</v>
      </c>
      <c r="AG306" s="125">
        <v>1693</v>
      </c>
      <c r="AH306" s="123" t="s">
        <v>18</v>
      </c>
      <c r="AI306" s="124" t="s">
        <v>18</v>
      </c>
      <c r="AJ306" s="124" t="s">
        <v>18</v>
      </c>
      <c r="AK306" s="124" t="s">
        <v>18</v>
      </c>
      <c r="AL306" s="124" t="s">
        <v>18</v>
      </c>
      <c r="AM306" s="124" t="s">
        <v>18</v>
      </c>
      <c r="AN306" s="124" t="s">
        <v>18</v>
      </c>
      <c r="AO306" s="124" t="s">
        <v>18</v>
      </c>
      <c r="AP306" s="124" t="s">
        <v>18</v>
      </c>
      <c r="AQ306" s="124" t="s">
        <v>18</v>
      </c>
      <c r="AR306" s="124" t="s">
        <v>18</v>
      </c>
      <c r="AS306" s="124" t="s">
        <v>18</v>
      </c>
      <c r="AT306" s="124" t="s">
        <v>18</v>
      </c>
      <c r="AU306" s="124" t="s">
        <v>18</v>
      </c>
      <c r="AV306" s="124" t="s">
        <v>18</v>
      </c>
      <c r="AW306" s="124" t="s">
        <v>18</v>
      </c>
      <c r="AX306" s="124" t="s">
        <v>18</v>
      </c>
      <c r="AY306" s="124" t="s">
        <v>18</v>
      </c>
      <c r="AZ306" s="124" t="s">
        <v>18</v>
      </c>
      <c r="BA306" s="124" t="s">
        <v>18</v>
      </c>
      <c r="BB306" s="124" t="s">
        <v>18</v>
      </c>
      <c r="BC306" s="124" t="s">
        <v>18</v>
      </c>
    </row>
    <row r="307" spans="1:55" ht="15" customHeight="1" x14ac:dyDescent="0.25">
      <c r="A307" s="143">
        <v>3</v>
      </c>
      <c r="B307" s="122" t="s">
        <v>5</v>
      </c>
      <c r="C307" s="123">
        <v>9</v>
      </c>
      <c r="D307" s="124">
        <v>9</v>
      </c>
      <c r="E307" s="124">
        <v>7</v>
      </c>
      <c r="F307" s="125">
        <v>7</v>
      </c>
      <c r="G307" s="124">
        <v>4</v>
      </c>
      <c r="H307" s="125">
        <v>11</v>
      </c>
      <c r="I307" s="124">
        <v>11</v>
      </c>
      <c r="J307" s="124">
        <v>11</v>
      </c>
      <c r="K307" s="124">
        <v>11</v>
      </c>
      <c r="L307" s="124">
        <v>7</v>
      </c>
      <c r="M307" s="125">
        <v>7</v>
      </c>
      <c r="N307" s="124">
        <v>2</v>
      </c>
      <c r="O307" s="125">
        <v>15</v>
      </c>
      <c r="P307" s="124">
        <v>15</v>
      </c>
      <c r="Q307" s="124">
        <v>15</v>
      </c>
      <c r="R307" s="124">
        <v>13</v>
      </c>
      <c r="S307" s="125">
        <v>15</v>
      </c>
      <c r="T307" s="124">
        <v>15</v>
      </c>
      <c r="U307" s="124">
        <v>15</v>
      </c>
      <c r="V307" s="125">
        <v>15</v>
      </c>
      <c r="W307" s="124">
        <v>15</v>
      </c>
      <c r="X307" s="124">
        <v>15</v>
      </c>
      <c r="Y307" s="124">
        <v>12</v>
      </c>
      <c r="Z307" s="125">
        <v>12</v>
      </c>
      <c r="AA307" s="124">
        <v>12</v>
      </c>
      <c r="AB307" s="124">
        <v>12</v>
      </c>
      <c r="AC307" s="125">
        <v>12</v>
      </c>
      <c r="AD307" s="124">
        <v>12</v>
      </c>
      <c r="AE307" s="124">
        <v>12</v>
      </c>
      <c r="AF307" s="124">
        <v>9</v>
      </c>
      <c r="AG307" s="125">
        <v>9</v>
      </c>
      <c r="AH307" s="123" t="s">
        <v>18</v>
      </c>
      <c r="AI307" s="124" t="s">
        <v>18</v>
      </c>
      <c r="AJ307" s="124" t="s">
        <v>18</v>
      </c>
      <c r="AK307" s="124" t="s">
        <v>18</v>
      </c>
      <c r="AL307" s="124" t="s">
        <v>18</v>
      </c>
      <c r="AM307" s="124" t="s">
        <v>18</v>
      </c>
      <c r="AN307" s="124" t="s">
        <v>18</v>
      </c>
      <c r="AO307" s="124" t="s">
        <v>18</v>
      </c>
      <c r="AP307" s="124" t="s">
        <v>18</v>
      </c>
      <c r="AQ307" s="124" t="s">
        <v>18</v>
      </c>
      <c r="AR307" s="124" t="s">
        <v>18</v>
      </c>
      <c r="AS307" s="124" t="s">
        <v>18</v>
      </c>
      <c r="AT307" s="124" t="s">
        <v>18</v>
      </c>
      <c r="AU307" s="124" t="s">
        <v>18</v>
      </c>
      <c r="AV307" s="124" t="s">
        <v>18</v>
      </c>
      <c r="AW307" s="124" t="s">
        <v>18</v>
      </c>
      <c r="AX307" s="124" t="s">
        <v>18</v>
      </c>
      <c r="AY307" s="124" t="s">
        <v>18</v>
      </c>
      <c r="AZ307" s="124" t="s">
        <v>18</v>
      </c>
      <c r="BA307" s="124" t="s">
        <v>18</v>
      </c>
      <c r="BB307" s="124" t="s">
        <v>18</v>
      </c>
      <c r="BC307" s="124" t="s">
        <v>18</v>
      </c>
    </row>
    <row r="308" spans="1:55" ht="15" customHeight="1" x14ac:dyDescent="0.2">
      <c r="A308" s="127"/>
      <c r="B308" s="122" t="s">
        <v>6</v>
      </c>
      <c r="C308" s="123"/>
      <c r="D308" s="124"/>
      <c r="E308" s="124"/>
      <c r="F308" s="125"/>
      <c r="G308" s="124">
        <v>7</v>
      </c>
      <c r="H308" s="125"/>
      <c r="I308" s="124"/>
      <c r="J308" s="124"/>
      <c r="K308" s="124"/>
      <c r="L308" s="124"/>
      <c r="M308" s="125"/>
      <c r="N308" s="124">
        <v>13</v>
      </c>
      <c r="O308" s="125"/>
      <c r="P308" s="124"/>
      <c r="Q308" s="124"/>
      <c r="R308" s="124">
        <v>2</v>
      </c>
      <c r="S308" s="125"/>
      <c r="T308" s="124"/>
      <c r="U308" s="124"/>
      <c r="V308" s="125"/>
      <c r="W308" s="124"/>
      <c r="X308" s="124"/>
      <c r="Y308" s="124"/>
      <c r="Z308" s="125"/>
      <c r="AA308" s="124"/>
      <c r="AB308" s="124"/>
      <c r="AC308" s="125"/>
      <c r="AD308" s="124"/>
      <c r="AE308" s="124"/>
      <c r="AF308" s="124"/>
      <c r="AG308" s="125"/>
      <c r="AH308" s="123"/>
      <c r="AI308" s="124"/>
      <c r="AJ308" s="124"/>
      <c r="AK308" s="124"/>
      <c r="AL308" s="124"/>
      <c r="AM308" s="124"/>
      <c r="AN308" s="124"/>
      <c r="AO308" s="124"/>
      <c r="AP308" s="124"/>
      <c r="AQ308" s="124"/>
      <c r="AR308" s="124"/>
      <c r="AS308" s="124"/>
      <c r="AT308" s="124"/>
      <c r="AU308" s="124"/>
      <c r="AV308" s="124"/>
      <c r="AW308" s="124"/>
      <c r="AX308" s="124"/>
      <c r="AY308" s="124"/>
      <c r="AZ308" s="124"/>
      <c r="BA308" s="124"/>
      <c r="BB308" s="124"/>
      <c r="BC308" s="124"/>
    </row>
    <row r="309" spans="1:55" ht="15" customHeight="1" x14ac:dyDescent="0.2">
      <c r="A309" s="128"/>
      <c r="B309" s="122" t="s">
        <v>8</v>
      </c>
      <c r="C309" s="129">
        <v>600</v>
      </c>
      <c r="D309" s="130">
        <v>600</v>
      </c>
      <c r="E309" s="130">
        <v>600</v>
      </c>
      <c r="F309" s="131">
        <v>600</v>
      </c>
      <c r="G309" s="130">
        <v>600</v>
      </c>
      <c r="H309" s="131">
        <v>200</v>
      </c>
      <c r="I309" s="130">
        <v>200</v>
      </c>
      <c r="J309" s="130">
        <v>200</v>
      </c>
      <c r="K309" s="130">
        <v>200</v>
      </c>
      <c r="L309" s="130">
        <v>200</v>
      </c>
      <c r="M309" s="131">
        <v>200</v>
      </c>
      <c r="N309" s="130">
        <v>200</v>
      </c>
      <c r="O309" s="131">
        <v>680</v>
      </c>
      <c r="P309" s="130">
        <v>680</v>
      </c>
      <c r="Q309" s="130">
        <v>680</v>
      </c>
      <c r="R309" s="130">
        <v>680</v>
      </c>
      <c r="S309" s="131">
        <v>680</v>
      </c>
      <c r="T309" s="130">
        <v>680</v>
      </c>
      <c r="U309" s="130">
        <v>680</v>
      </c>
      <c r="V309" s="131">
        <v>680</v>
      </c>
      <c r="W309" s="130">
        <v>680</v>
      </c>
      <c r="X309" s="130">
        <v>680</v>
      </c>
      <c r="Y309" s="130">
        <v>680</v>
      </c>
      <c r="Z309" s="131">
        <v>680</v>
      </c>
      <c r="AA309" s="130">
        <v>680</v>
      </c>
      <c r="AB309" s="130">
        <v>680</v>
      </c>
      <c r="AC309" s="131">
        <v>680</v>
      </c>
      <c r="AD309" s="130">
        <v>680</v>
      </c>
      <c r="AE309" s="130">
        <v>680</v>
      </c>
      <c r="AF309" s="130">
        <v>680</v>
      </c>
      <c r="AG309" s="131">
        <v>680</v>
      </c>
      <c r="AH309" s="129" t="s">
        <v>18</v>
      </c>
      <c r="AI309" s="130" t="s">
        <v>18</v>
      </c>
      <c r="AJ309" s="130" t="s">
        <v>18</v>
      </c>
      <c r="AK309" s="130" t="s">
        <v>18</v>
      </c>
      <c r="AL309" s="130" t="s">
        <v>18</v>
      </c>
      <c r="AM309" s="130" t="s">
        <v>18</v>
      </c>
      <c r="AN309" s="130" t="s">
        <v>18</v>
      </c>
      <c r="AO309" s="130" t="s">
        <v>18</v>
      </c>
      <c r="AP309" s="130" t="s">
        <v>18</v>
      </c>
      <c r="AQ309" s="130" t="s">
        <v>18</v>
      </c>
      <c r="AR309" s="130" t="s">
        <v>18</v>
      </c>
      <c r="AS309" s="130" t="s">
        <v>18</v>
      </c>
      <c r="AT309" s="130" t="s">
        <v>18</v>
      </c>
      <c r="AU309" s="130" t="s">
        <v>18</v>
      </c>
      <c r="AV309" s="130" t="s">
        <v>18</v>
      </c>
      <c r="AW309" s="130" t="s">
        <v>18</v>
      </c>
      <c r="AX309" s="130" t="s">
        <v>18</v>
      </c>
      <c r="AY309" s="130" t="s">
        <v>18</v>
      </c>
      <c r="AZ309" s="130" t="s">
        <v>18</v>
      </c>
      <c r="BA309" s="130" t="s">
        <v>18</v>
      </c>
      <c r="BB309" s="130" t="s">
        <v>18</v>
      </c>
      <c r="BC309" s="130" t="s">
        <v>18</v>
      </c>
    </row>
    <row r="310" spans="1:55" ht="15" customHeight="1" x14ac:dyDescent="0.2">
      <c r="A310" s="127" t="s">
        <v>9</v>
      </c>
      <c r="B310" s="132" t="s">
        <v>10</v>
      </c>
      <c r="C310" s="133" t="s">
        <v>37</v>
      </c>
      <c r="D310" s="134" t="s">
        <v>37</v>
      </c>
      <c r="E310" s="134" t="s">
        <v>37</v>
      </c>
      <c r="F310" s="135" t="s">
        <v>37</v>
      </c>
      <c r="G310" s="134" t="s">
        <v>37</v>
      </c>
      <c r="H310" s="135" t="s">
        <v>213</v>
      </c>
      <c r="I310" s="134" t="s">
        <v>213</v>
      </c>
      <c r="J310" s="134" t="s">
        <v>213</v>
      </c>
      <c r="K310" s="134" t="s">
        <v>213</v>
      </c>
      <c r="L310" s="134" t="s">
        <v>213</v>
      </c>
      <c r="M310" s="135" t="s">
        <v>213</v>
      </c>
      <c r="N310" s="134" t="s">
        <v>213</v>
      </c>
      <c r="O310" s="135" t="s">
        <v>222</v>
      </c>
      <c r="P310" s="134" t="s">
        <v>222</v>
      </c>
      <c r="Q310" s="134" t="s">
        <v>222</v>
      </c>
      <c r="R310" s="134" t="s">
        <v>222</v>
      </c>
      <c r="S310" s="135" t="s">
        <v>222</v>
      </c>
      <c r="T310" s="134" t="s">
        <v>222</v>
      </c>
      <c r="U310" s="134" t="s">
        <v>222</v>
      </c>
      <c r="V310" s="135" t="s">
        <v>222</v>
      </c>
      <c r="W310" s="134" t="s">
        <v>222</v>
      </c>
      <c r="X310" s="134" t="s">
        <v>222</v>
      </c>
      <c r="Y310" s="134" t="s">
        <v>222</v>
      </c>
      <c r="Z310" s="135" t="s">
        <v>222</v>
      </c>
      <c r="AA310" s="134" t="s">
        <v>222</v>
      </c>
      <c r="AB310" s="134" t="s">
        <v>222</v>
      </c>
      <c r="AC310" s="135" t="s">
        <v>222</v>
      </c>
      <c r="AD310" s="134" t="s">
        <v>222</v>
      </c>
      <c r="AE310" s="134" t="s">
        <v>222</v>
      </c>
      <c r="AF310" s="134" t="s">
        <v>222</v>
      </c>
      <c r="AG310" s="135" t="s">
        <v>222</v>
      </c>
      <c r="AH310" s="133" t="s">
        <v>18</v>
      </c>
      <c r="AI310" s="134" t="s">
        <v>18</v>
      </c>
      <c r="AJ310" s="134" t="s">
        <v>18</v>
      </c>
      <c r="AK310" s="134" t="s">
        <v>18</v>
      </c>
      <c r="AL310" s="134" t="s">
        <v>18</v>
      </c>
      <c r="AM310" s="134" t="s">
        <v>18</v>
      </c>
      <c r="AN310" s="134" t="s">
        <v>18</v>
      </c>
      <c r="AO310" s="134" t="s">
        <v>18</v>
      </c>
      <c r="AP310" s="134" t="s">
        <v>18</v>
      </c>
      <c r="AQ310" s="134" t="s">
        <v>18</v>
      </c>
      <c r="AR310" s="134" t="s">
        <v>18</v>
      </c>
      <c r="AS310" s="134" t="s">
        <v>18</v>
      </c>
      <c r="AT310" s="134" t="s">
        <v>18</v>
      </c>
      <c r="AU310" s="134" t="s">
        <v>18</v>
      </c>
      <c r="AV310" s="134" t="s">
        <v>18</v>
      </c>
      <c r="AW310" s="134" t="s">
        <v>18</v>
      </c>
      <c r="AX310" s="134" t="s">
        <v>18</v>
      </c>
      <c r="AY310" s="134" t="s">
        <v>18</v>
      </c>
      <c r="AZ310" s="134" t="s">
        <v>18</v>
      </c>
      <c r="BA310" s="134" t="s">
        <v>18</v>
      </c>
      <c r="BB310" s="134" t="s">
        <v>18</v>
      </c>
      <c r="BC310" s="134" t="s">
        <v>18</v>
      </c>
    </row>
    <row r="311" spans="1:55" ht="15" customHeight="1" x14ac:dyDescent="0.2">
      <c r="A311" s="128">
        <v>57774.193548387098</v>
      </c>
      <c r="B311" s="122" t="s">
        <v>12</v>
      </c>
      <c r="C311" s="123"/>
      <c r="D311" s="124"/>
      <c r="E311" s="124"/>
      <c r="F311" s="125"/>
      <c r="G311" s="124"/>
      <c r="H311" s="125" t="s">
        <v>214</v>
      </c>
      <c r="I311" s="124"/>
      <c r="J311" s="124"/>
      <c r="K311" s="124"/>
      <c r="L311" s="124"/>
      <c r="M311" s="125"/>
      <c r="N311" s="124"/>
      <c r="O311" s="125" t="s">
        <v>223</v>
      </c>
      <c r="P311" s="124"/>
      <c r="Q311" s="124"/>
      <c r="R311" s="124"/>
      <c r="S311" s="125"/>
      <c r="T311" s="124"/>
      <c r="U311" s="124"/>
      <c r="V311" s="125"/>
      <c r="W311" s="124"/>
      <c r="X311" s="124"/>
      <c r="Y311" s="124"/>
      <c r="Z311" s="125"/>
      <c r="AA311" s="124"/>
      <c r="AB311" s="124"/>
      <c r="AC311" s="125"/>
      <c r="AD311" s="124"/>
      <c r="AE311" s="124"/>
      <c r="AF311" s="124"/>
      <c r="AG311" s="125"/>
      <c r="AH311" s="123"/>
      <c r="AI311" s="124"/>
      <c r="AJ311" s="124"/>
      <c r="AK311" s="124"/>
      <c r="AL311" s="124"/>
      <c r="AM311" s="124"/>
      <c r="AN311" s="124"/>
      <c r="AO311" s="124"/>
      <c r="AP311" s="124"/>
      <c r="AQ311" s="124"/>
      <c r="AR311" s="124"/>
      <c r="AS311" s="124"/>
      <c r="AT311" s="124"/>
      <c r="AU311" s="124"/>
      <c r="AV311" s="124"/>
      <c r="AW311" s="124"/>
      <c r="AX311" s="124"/>
      <c r="AY311" s="124"/>
      <c r="AZ311" s="124"/>
      <c r="BA311" s="124"/>
      <c r="BB311" s="124"/>
      <c r="BC311" s="124"/>
    </row>
    <row r="312" spans="1:55" ht="15" customHeight="1" x14ac:dyDescent="0.2">
      <c r="A312" s="128">
        <v>597</v>
      </c>
      <c r="B312" s="136" t="s">
        <v>13</v>
      </c>
      <c r="C312" s="123">
        <v>0</v>
      </c>
      <c r="D312" s="137">
        <v>0</v>
      </c>
      <c r="E312" s="137">
        <v>63</v>
      </c>
      <c r="F312" s="125">
        <v>0</v>
      </c>
      <c r="G312" s="137">
        <v>79</v>
      </c>
      <c r="H312" s="125">
        <v>0</v>
      </c>
      <c r="I312" s="137">
        <v>0</v>
      </c>
      <c r="J312" s="137">
        <v>0</v>
      </c>
      <c r="K312" s="137">
        <v>0</v>
      </c>
      <c r="L312" s="137">
        <v>130</v>
      </c>
      <c r="M312" s="125">
        <v>0</v>
      </c>
      <c r="N312" s="137">
        <v>66</v>
      </c>
      <c r="O312" s="125">
        <v>0</v>
      </c>
      <c r="P312" s="137">
        <v>0</v>
      </c>
      <c r="Q312" s="137">
        <v>0</v>
      </c>
      <c r="R312" s="137">
        <v>48</v>
      </c>
      <c r="S312" s="125">
        <v>0</v>
      </c>
      <c r="T312" s="137">
        <v>0</v>
      </c>
      <c r="U312" s="137">
        <v>28</v>
      </c>
      <c r="V312" s="125">
        <v>0</v>
      </c>
      <c r="W312" s="137">
        <v>0</v>
      </c>
      <c r="X312" s="137">
        <v>0</v>
      </c>
      <c r="Y312" s="137">
        <v>42</v>
      </c>
      <c r="Z312" s="125">
        <v>0</v>
      </c>
      <c r="AA312" s="137">
        <v>0</v>
      </c>
      <c r="AB312" s="137">
        <v>79</v>
      </c>
      <c r="AC312" s="125">
        <v>0</v>
      </c>
      <c r="AD312" s="137">
        <v>0</v>
      </c>
      <c r="AE312" s="137">
        <v>0</v>
      </c>
      <c r="AF312" s="137">
        <v>60</v>
      </c>
      <c r="AG312" s="125">
        <v>2</v>
      </c>
      <c r="AH312" s="123" t="s">
        <v>18</v>
      </c>
      <c r="AI312" s="137" t="s">
        <v>18</v>
      </c>
      <c r="AJ312" s="137" t="s">
        <v>18</v>
      </c>
      <c r="AK312" s="137" t="s">
        <v>18</v>
      </c>
      <c r="AL312" s="137" t="s">
        <v>18</v>
      </c>
      <c r="AM312" s="137" t="s">
        <v>18</v>
      </c>
      <c r="AN312" s="137" t="s">
        <v>18</v>
      </c>
      <c r="AO312" s="137" t="s">
        <v>18</v>
      </c>
      <c r="AP312" s="137" t="s">
        <v>18</v>
      </c>
      <c r="AQ312" s="137" t="s">
        <v>18</v>
      </c>
      <c r="AR312" s="137" t="s">
        <v>18</v>
      </c>
      <c r="AS312" s="137" t="s">
        <v>18</v>
      </c>
      <c r="AT312" s="137" t="s">
        <v>18</v>
      </c>
      <c r="AU312" s="137" t="s">
        <v>18</v>
      </c>
      <c r="AV312" s="137" t="s">
        <v>18</v>
      </c>
      <c r="AW312" s="137" t="s">
        <v>18</v>
      </c>
      <c r="AX312" s="137" t="s">
        <v>18</v>
      </c>
      <c r="AY312" s="137" t="s">
        <v>18</v>
      </c>
      <c r="AZ312" s="137" t="s">
        <v>18</v>
      </c>
      <c r="BA312" s="137" t="s">
        <v>18</v>
      </c>
      <c r="BB312" s="137" t="s">
        <v>18</v>
      </c>
      <c r="BC312" s="137" t="s">
        <v>18</v>
      </c>
    </row>
    <row r="313" spans="1:55" ht="15" customHeight="1" x14ac:dyDescent="0.2">
      <c r="A313" s="128">
        <v>33</v>
      </c>
      <c r="B313" s="136" t="s">
        <v>14</v>
      </c>
      <c r="C313" s="123">
        <v>0</v>
      </c>
      <c r="D313" s="137">
        <v>0</v>
      </c>
      <c r="E313" s="137">
        <v>2</v>
      </c>
      <c r="F313" s="125">
        <v>0</v>
      </c>
      <c r="G313" s="137">
        <v>3</v>
      </c>
      <c r="H313" s="125">
        <v>0</v>
      </c>
      <c r="I313" s="137">
        <v>0</v>
      </c>
      <c r="J313" s="137">
        <v>0</v>
      </c>
      <c r="K313" s="137">
        <v>0</v>
      </c>
      <c r="L313" s="137">
        <v>3</v>
      </c>
      <c r="M313" s="125">
        <v>0</v>
      </c>
      <c r="N313" s="137">
        <v>5</v>
      </c>
      <c r="O313" s="125">
        <v>0</v>
      </c>
      <c r="P313" s="137">
        <v>0</v>
      </c>
      <c r="Q313" s="137">
        <v>0</v>
      </c>
      <c r="R313" s="137">
        <v>2</v>
      </c>
      <c r="S313" s="125">
        <v>0</v>
      </c>
      <c r="T313" s="137">
        <v>0</v>
      </c>
      <c r="U313" s="137">
        <v>2</v>
      </c>
      <c r="V313" s="125">
        <v>0</v>
      </c>
      <c r="W313" s="137">
        <v>0</v>
      </c>
      <c r="X313" s="137">
        <v>0</v>
      </c>
      <c r="Y313" s="137">
        <v>5</v>
      </c>
      <c r="Z313" s="125">
        <v>0</v>
      </c>
      <c r="AA313" s="137">
        <v>0</v>
      </c>
      <c r="AB313" s="137">
        <v>5</v>
      </c>
      <c r="AC313" s="125">
        <v>0</v>
      </c>
      <c r="AD313" s="137">
        <v>0</v>
      </c>
      <c r="AE313" s="137">
        <v>0</v>
      </c>
      <c r="AF313" s="137">
        <v>5</v>
      </c>
      <c r="AG313" s="125">
        <v>1</v>
      </c>
      <c r="AH313" s="123" t="s">
        <v>18</v>
      </c>
      <c r="AI313" s="137" t="s">
        <v>18</v>
      </c>
      <c r="AJ313" s="137" t="s">
        <v>18</v>
      </c>
      <c r="AK313" s="137" t="s">
        <v>18</v>
      </c>
      <c r="AL313" s="137" t="s">
        <v>18</v>
      </c>
      <c r="AM313" s="137" t="s">
        <v>18</v>
      </c>
      <c r="AN313" s="137" t="s">
        <v>18</v>
      </c>
      <c r="AO313" s="137" t="s">
        <v>18</v>
      </c>
      <c r="AP313" s="137" t="s">
        <v>18</v>
      </c>
      <c r="AQ313" s="137" t="s">
        <v>18</v>
      </c>
      <c r="AR313" s="137" t="s">
        <v>18</v>
      </c>
      <c r="AS313" s="137" t="s">
        <v>18</v>
      </c>
      <c r="AT313" s="137" t="s">
        <v>18</v>
      </c>
      <c r="AU313" s="137" t="s">
        <v>18</v>
      </c>
      <c r="AV313" s="137" t="s">
        <v>18</v>
      </c>
      <c r="AW313" s="137" t="s">
        <v>18</v>
      </c>
      <c r="AX313" s="137" t="s">
        <v>18</v>
      </c>
      <c r="AY313" s="137" t="s">
        <v>18</v>
      </c>
      <c r="AZ313" s="137" t="s">
        <v>18</v>
      </c>
      <c r="BA313" s="137" t="s">
        <v>18</v>
      </c>
      <c r="BB313" s="137" t="s">
        <v>18</v>
      </c>
      <c r="BC313" s="137" t="s">
        <v>18</v>
      </c>
    </row>
    <row r="314" spans="1:55" ht="15" customHeight="1" x14ac:dyDescent="0.2">
      <c r="A314" s="128">
        <v>22</v>
      </c>
      <c r="B314" s="136" t="s">
        <v>15</v>
      </c>
      <c r="C314" s="123">
        <v>0</v>
      </c>
      <c r="D314" s="137">
        <v>0</v>
      </c>
      <c r="E314" s="137">
        <v>2</v>
      </c>
      <c r="F314" s="125">
        <v>0</v>
      </c>
      <c r="G314" s="137">
        <v>3</v>
      </c>
      <c r="H314" s="125">
        <v>0</v>
      </c>
      <c r="I314" s="137">
        <v>0</v>
      </c>
      <c r="J314" s="137">
        <v>0</v>
      </c>
      <c r="K314" s="137">
        <v>0</v>
      </c>
      <c r="L314" s="137">
        <v>4</v>
      </c>
      <c r="M314" s="125">
        <v>0</v>
      </c>
      <c r="N314" s="137">
        <v>5</v>
      </c>
      <c r="O314" s="125">
        <v>0</v>
      </c>
      <c r="P314" s="137">
        <v>0</v>
      </c>
      <c r="Q314" s="137">
        <v>0</v>
      </c>
      <c r="R314" s="137">
        <v>2</v>
      </c>
      <c r="S314" s="125">
        <v>0</v>
      </c>
      <c r="T314" s="137">
        <v>0</v>
      </c>
      <c r="U314" s="137">
        <v>0</v>
      </c>
      <c r="V314" s="125">
        <v>0</v>
      </c>
      <c r="W314" s="137">
        <v>0</v>
      </c>
      <c r="X314" s="137">
        <v>0</v>
      </c>
      <c r="Y314" s="137">
        <v>3</v>
      </c>
      <c r="Z314" s="125">
        <v>0</v>
      </c>
      <c r="AA314" s="137">
        <v>0</v>
      </c>
      <c r="AB314" s="137">
        <v>0</v>
      </c>
      <c r="AC314" s="125">
        <v>0</v>
      </c>
      <c r="AD314" s="137">
        <v>0</v>
      </c>
      <c r="AE314" s="137">
        <v>0</v>
      </c>
      <c r="AF314" s="137">
        <v>3</v>
      </c>
      <c r="AG314" s="125">
        <v>0</v>
      </c>
      <c r="AH314" s="123" t="s">
        <v>18</v>
      </c>
      <c r="AI314" s="137" t="s">
        <v>18</v>
      </c>
      <c r="AJ314" s="137" t="s">
        <v>18</v>
      </c>
      <c r="AK314" s="137" t="s">
        <v>18</v>
      </c>
      <c r="AL314" s="137" t="s">
        <v>18</v>
      </c>
      <c r="AM314" s="137" t="s">
        <v>18</v>
      </c>
      <c r="AN314" s="137" t="s">
        <v>18</v>
      </c>
      <c r="AO314" s="137" t="s">
        <v>18</v>
      </c>
      <c r="AP314" s="137" t="s">
        <v>18</v>
      </c>
      <c r="AQ314" s="137" t="s">
        <v>18</v>
      </c>
      <c r="AR314" s="137" t="s">
        <v>18</v>
      </c>
      <c r="AS314" s="137" t="s">
        <v>18</v>
      </c>
      <c r="AT314" s="137" t="s">
        <v>18</v>
      </c>
      <c r="AU314" s="137" t="s">
        <v>18</v>
      </c>
      <c r="AV314" s="137" t="s">
        <v>18</v>
      </c>
      <c r="AW314" s="137" t="s">
        <v>18</v>
      </c>
      <c r="AX314" s="137" t="s">
        <v>18</v>
      </c>
      <c r="AY314" s="137" t="s">
        <v>18</v>
      </c>
      <c r="AZ314" s="137" t="s">
        <v>18</v>
      </c>
      <c r="BA314" s="137" t="s">
        <v>18</v>
      </c>
      <c r="BB314" s="137" t="s">
        <v>18</v>
      </c>
      <c r="BC314" s="137" t="s">
        <v>18</v>
      </c>
    </row>
    <row r="315" spans="1:55" ht="15" customHeight="1" x14ac:dyDescent="0.2">
      <c r="A315" s="128">
        <v>10240</v>
      </c>
      <c r="B315" s="136" t="s">
        <v>16</v>
      </c>
      <c r="C315" s="123">
        <v>0</v>
      </c>
      <c r="D315" s="137">
        <v>0</v>
      </c>
      <c r="E315" s="137">
        <v>1200</v>
      </c>
      <c r="F315" s="125">
        <v>0</v>
      </c>
      <c r="G315" s="137">
        <v>1800</v>
      </c>
      <c r="H315" s="125">
        <v>0</v>
      </c>
      <c r="I315" s="137">
        <v>0</v>
      </c>
      <c r="J315" s="137">
        <v>0</v>
      </c>
      <c r="K315" s="137">
        <v>0</v>
      </c>
      <c r="L315" s="137">
        <v>800</v>
      </c>
      <c r="M315" s="125">
        <v>0</v>
      </c>
      <c r="N315" s="137">
        <v>1000</v>
      </c>
      <c r="O315" s="125">
        <v>0</v>
      </c>
      <c r="P315" s="137">
        <v>0</v>
      </c>
      <c r="Q315" s="137">
        <v>0</v>
      </c>
      <c r="R315" s="137">
        <v>1360</v>
      </c>
      <c r="S315" s="125">
        <v>0</v>
      </c>
      <c r="T315" s="137">
        <v>0</v>
      </c>
      <c r="U315" s="137">
        <v>0</v>
      </c>
      <c r="V315" s="125">
        <v>0</v>
      </c>
      <c r="W315" s="137">
        <v>0</v>
      </c>
      <c r="X315" s="137">
        <v>0</v>
      </c>
      <c r="Y315" s="137">
        <v>2040</v>
      </c>
      <c r="Z315" s="125">
        <v>0</v>
      </c>
      <c r="AA315" s="137">
        <v>0</v>
      </c>
      <c r="AB315" s="137">
        <v>0</v>
      </c>
      <c r="AC315" s="125">
        <v>0</v>
      </c>
      <c r="AD315" s="137">
        <v>0</v>
      </c>
      <c r="AE315" s="137">
        <v>0</v>
      </c>
      <c r="AF315" s="137">
        <v>2040</v>
      </c>
      <c r="AG315" s="125">
        <v>0</v>
      </c>
      <c r="AH315" s="123" t="s">
        <v>18</v>
      </c>
      <c r="AI315" s="137" t="s">
        <v>18</v>
      </c>
      <c r="AJ315" s="137" t="s">
        <v>18</v>
      </c>
      <c r="AK315" s="137" t="s">
        <v>18</v>
      </c>
      <c r="AL315" s="137" t="s">
        <v>18</v>
      </c>
      <c r="AM315" s="137" t="s">
        <v>18</v>
      </c>
      <c r="AN315" s="137" t="s">
        <v>18</v>
      </c>
      <c r="AO315" s="137" t="s">
        <v>18</v>
      </c>
      <c r="AP315" s="137" t="s">
        <v>18</v>
      </c>
      <c r="AQ315" s="137" t="s">
        <v>18</v>
      </c>
      <c r="AR315" s="137" t="s">
        <v>18</v>
      </c>
      <c r="AS315" s="137" t="s">
        <v>18</v>
      </c>
      <c r="AT315" s="137" t="s">
        <v>18</v>
      </c>
      <c r="AU315" s="137" t="s">
        <v>18</v>
      </c>
      <c r="AV315" s="137" t="s">
        <v>18</v>
      </c>
      <c r="AW315" s="137" t="s">
        <v>18</v>
      </c>
      <c r="AX315" s="137" t="s">
        <v>18</v>
      </c>
      <c r="AY315" s="137" t="s">
        <v>18</v>
      </c>
      <c r="AZ315" s="137" t="s">
        <v>18</v>
      </c>
      <c r="BA315" s="137" t="s">
        <v>18</v>
      </c>
      <c r="BB315" s="137" t="s">
        <v>18</v>
      </c>
      <c r="BC315" s="137" t="s">
        <v>18</v>
      </c>
    </row>
    <row r="316" spans="1:55" ht="15" customHeight="1" thickBot="1" x14ac:dyDescent="0.25">
      <c r="A316" s="138">
        <v>0.17152428810720269</v>
      </c>
      <c r="B316" s="136" t="s">
        <v>17</v>
      </c>
      <c r="C316" s="146" t="s">
        <v>18</v>
      </c>
      <c r="D316" s="147" t="s">
        <v>18</v>
      </c>
      <c r="E316" s="147">
        <v>0.19047619047619047</v>
      </c>
      <c r="F316" s="148" t="s">
        <v>18</v>
      </c>
      <c r="G316" s="147">
        <v>0.22784810126582278</v>
      </c>
      <c r="H316" s="148" t="s">
        <v>18</v>
      </c>
      <c r="I316" s="147" t="s">
        <v>18</v>
      </c>
      <c r="J316" s="147" t="s">
        <v>18</v>
      </c>
      <c r="K316" s="147" t="s">
        <v>18</v>
      </c>
      <c r="L316" s="147">
        <v>6.1538461538461542E-2</v>
      </c>
      <c r="M316" s="148" t="s">
        <v>18</v>
      </c>
      <c r="N316" s="147">
        <v>0.15151515151515152</v>
      </c>
      <c r="O316" s="148" t="s">
        <v>18</v>
      </c>
      <c r="P316" s="147" t="s">
        <v>18</v>
      </c>
      <c r="Q316" s="147" t="s">
        <v>18</v>
      </c>
      <c r="R316" s="147">
        <v>0.28333333333333333</v>
      </c>
      <c r="S316" s="148" t="s">
        <v>18</v>
      </c>
      <c r="T316" s="147" t="s">
        <v>18</v>
      </c>
      <c r="U316" s="147" t="s">
        <v>18</v>
      </c>
      <c r="V316" s="148" t="s">
        <v>18</v>
      </c>
      <c r="W316" s="147" t="s">
        <v>18</v>
      </c>
      <c r="X316" s="147" t="s">
        <v>18</v>
      </c>
      <c r="Y316" s="147">
        <v>0.48571428571428571</v>
      </c>
      <c r="Z316" s="148" t="s">
        <v>18</v>
      </c>
      <c r="AA316" s="147" t="s">
        <v>18</v>
      </c>
      <c r="AB316" s="147" t="s">
        <v>18</v>
      </c>
      <c r="AC316" s="148" t="s">
        <v>18</v>
      </c>
      <c r="AD316" s="147" t="s">
        <v>18</v>
      </c>
      <c r="AE316" s="147" t="s">
        <v>18</v>
      </c>
      <c r="AF316" s="147">
        <v>0.34</v>
      </c>
      <c r="AG316" s="148" t="s">
        <v>18</v>
      </c>
      <c r="AH316" s="146" t="s">
        <v>18</v>
      </c>
      <c r="AI316" s="147" t="s">
        <v>18</v>
      </c>
      <c r="AJ316" s="147" t="s">
        <v>18</v>
      </c>
      <c r="AK316" s="147" t="s">
        <v>18</v>
      </c>
      <c r="AL316" s="147" t="s">
        <v>18</v>
      </c>
      <c r="AM316" s="147" t="s">
        <v>18</v>
      </c>
      <c r="AN316" s="147" t="s">
        <v>18</v>
      </c>
      <c r="AO316" s="147" t="s">
        <v>18</v>
      </c>
      <c r="AP316" s="147" t="s">
        <v>18</v>
      </c>
      <c r="AQ316" s="147" t="s">
        <v>18</v>
      </c>
      <c r="AR316" s="147" t="s">
        <v>18</v>
      </c>
      <c r="AS316" s="147" t="s">
        <v>18</v>
      </c>
      <c r="AT316" s="147" t="s">
        <v>18</v>
      </c>
      <c r="AU316" s="147" t="s">
        <v>18</v>
      </c>
      <c r="AV316" s="147" t="s">
        <v>18</v>
      </c>
      <c r="AW316" s="147" t="s">
        <v>18</v>
      </c>
      <c r="AX316" s="147" t="s">
        <v>18</v>
      </c>
      <c r="AY316" s="147" t="s">
        <v>18</v>
      </c>
      <c r="AZ316" s="147" t="s">
        <v>18</v>
      </c>
      <c r="BA316" s="147" t="s">
        <v>18</v>
      </c>
      <c r="BB316" s="147" t="s">
        <v>18</v>
      </c>
      <c r="BC316" s="147" t="s">
        <v>18</v>
      </c>
    </row>
    <row r="317" spans="1:55" ht="15" customHeight="1" x14ac:dyDescent="0.2">
      <c r="A317" s="149" t="s">
        <v>1</v>
      </c>
      <c r="B317" s="150" t="s">
        <v>2</v>
      </c>
      <c r="C317" s="129">
        <v>17169</v>
      </c>
      <c r="D317" s="130">
        <v>17169</v>
      </c>
      <c r="E317" s="130">
        <v>17257</v>
      </c>
      <c r="F317" s="131">
        <v>17257</v>
      </c>
      <c r="G317" s="130">
        <v>17295</v>
      </c>
      <c r="H317" s="131">
        <v>17295</v>
      </c>
      <c r="I317" s="130">
        <v>17295</v>
      </c>
      <c r="J317" s="130">
        <v>17295</v>
      </c>
      <c r="K317" s="130">
        <v>17295</v>
      </c>
      <c r="L317" s="130">
        <v>17383</v>
      </c>
      <c r="M317" s="131">
        <v>17383</v>
      </c>
      <c r="N317" s="130">
        <v>17414</v>
      </c>
      <c r="O317" s="131">
        <v>17414</v>
      </c>
      <c r="P317" s="130">
        <v>17414</v>
      </c>
      <c r="Q317" s="130">
        <v>17414</v>
      </c>
      <c r="R317" s="130">
        <v>17459</v>
      </c>
      <c r="S317" s="131">
        <v>17459</v>
      </c>
      <c r="T317" s="130">
        <v>17459</v>
      </c>
      <c r="U317" s="130">
        <v>17535</v>
      </c>
      <c r="V317" s="131">
        <v>17535</v>
      </c>
      <c r="W317" s="130">
        <v>17535</v>
      </c>
      <c r="X317" s="130">
        <v>17535</v>
      </c>
      <c r="Y317" s="130">
        <v>17560</v>
      </c>
      <c r="Z317" s="131">
        <v>17560</v>
      </c>
      <c r="AA317" s="130">
        <v>17560</v>
      </c>
      <c r="AB317" s="130">
        <v>17606</v>
      </c>
      <c r="AC317" s="131">
        <v>17606</v>
      </c>
      <c r="AD317" s="130">
        <v>17606</v>
      </c>
      <c r="AE317" s="130">
        <v>17606</v>
      </c>
      <c r="AF317" s="130">
        <v>17633</v>
      </c>
      <c r="AG317" s="131">
        <v>17633</v>
      </c>
      <c r="AH317" s="129" t="s">
        <v>18</v>
      </c>
      <c r="AI317" s="130" t="s">
        <v>18</v>
      </c>
      <c r="AJ317" s="130" t="s">
        <v>18</v>
      </c>
      <c r="AK317" s="130" t="s">
        <v>18</v>
      </c>
      <c r="AL317" s="130" t="s">
        <v>18</v>
      </c>
      <c r="AM317" s="130" t="s">
        <v>18</v>
      </c>
      <c r="AN317" s="130" t="s">
        <v>18</v>
      </c>
      <c r="AO317" s="130" t="s">
        <v>18</v>
      </c>
      <c r="AP317" s="130" t="s">
        <v>18</v>
      </c>
      <c r="AQ317" s="130" t="s">
        <v>18</v>
      </c>
      <c r="AR317" s="130" t="s">
        <v>18</v>
      </c>
      <c r="AS317" s="130" t="s">
        <v>18</v>
      </c>
      <c r="AT317" s="130" t="s">
        <v>18</v>
      </c>
      <c r="AU317" s="130" t="s">
        <v>18</v>
      </c>
      <c r="AV317" s="130" t="s">
        <v>18</v>
      </c>
      <c r="AW317" s="130" t="s">
        <v>18</v>
      </c>
      <c r="AX317" s="130" t="s">
        <v>18</v>
      </c>
      <c r="AY317" s="130" t="s">
        <v>18</v>
      </c>
      <c r="AZ317" s="130" t="s">
        <v>18</v>
      </c>
      <c r="BA317" s="130" t="s">
        <v>18</v>
      </c>
      <c r="BB317" s="130" t="s">
        <v>18</v>
      </c>
      <c r="BC317" s="130" t="s">
        <v>18</v>
      </c>
    </row>
    <row r="318" spans="1:55" ht="15" customHeight="1" x14ac:dyDescent="0.2">
      <c r="A318" s="121" t="s">
        <v>29</v>
      </c>
      <c r="B318" s="122" t="s">
        <v>4</v>
      </c>
      <c r="C318" s="123">
        <v>1830</v>
      </c>
      <c r="D318" s="124">
        <v>1830</v>
      </c>
      <c r="E318" s="124">
        <v>1833</v>
      </c>
      <c r="F318" s="125">
        <v>1833</v>
      </c>
      <c r="G318" s="124">
        <v>1833</v>
      </c>
      <c r="H318" s="125">
        <v>1833</v>
      </c>
      <c r="I318" s="124">
        <v>1833</v>
      </c>
      <c r="J318" s="124">
        <v>1833</v>
      </c>
      <c r="K318" s="124">
        <v>1833</v>
      </c>
      <c r="L318" s="124">
        <v>1841</v>
      </c>
      <c r="M318" s="125">
        <v>1841</v>
      </c>
      <c r="N318" s="124">
        <v>1841</v>
      </c>
      <c r="O318" s="125">
        <v>1841</v>
      </c>
      <c r="P318" s="124">
        <v>1841</v>
      </c>
      <c r="Q318" s="124">
        <v>1841</v>
      </c>
      <c r="R318" s="124">
        <v>1843</v>
      </c>
      <c r="S318" s="125">
        <v>1843</v>
      </c>
      <c r="T318" s="124">
        <v>1843</v>
      </c>
      <c r="U318" s="124">
        <v>1847</v>
      </c>
      <c r="V318" s="125">
        <v>1847</v>
      </c>
      <c r="W318" s="124">
        <v>1847</v>
      </c>
      <c r="X318" s="124">
        <v>1847</v>
      </c>
      <c r="Y318" s="124">
        <v>1848</v>
      </c>
      <c r="Z318" s="125">
        <v>1848</v>
      </c>
      <c r="AA318" s="124">
        <v>1848</v>
      </c>
      <c r="AB318" s="124">
        <v>1849</v>
      </c>
      <c r="AC318" s="125">
        <v>1849</v>
      </c>
      <c r="AD318" s="124">
        <v>1849</v>
      </c>
      <c r="AE318" s="124">
        <v>1849</v>
      </c>
      <c r="AF318" s="124">
        <v>1849</v>
      </c>
      <c r="AG318" s="125">
        <v>1849</v>
      </c>
      <c r="AH318" s="123" t="s">
        <v>18</v>
      </c>
      <c r="AI318" s="124" t="s">
        <v>18</v>
      </c>
      <c r="AJ318" s="124" t="s">
        <v>18</v>
      </c>
      <c r="AK318" s="124" t="s">
        <v>18</v>
      </c>
      <c r="AL318" s="124" t="s">
        <v>18</v>
      </c>
      <c r="AM318" s="124" t="s">
        <v>18</v>
      </c>
      <c r="AN318" s="124" t="s">
        <v>18</v>
      </c>
      <c r="AO318" s="124" t="s">
        <v>18</v>
      </c>
      <c r="AP318" s="124" t="s">
        <v>18</v>
      </c>
      <c r="AQ318" s="124" t="s">
        <v>18</v>
      </c>
      <c r="AR318" s="124" t="s">
        <v>18</v>
      </c>
      <c r="AS318" s="124" t="s">
        <v>18</v>
      </c>
      <c r="AT318" s="124" t="s">
        <v>18</v>
      </c>
      <c r="AU318" s="124" t="s">
        <v>18</v>
      </c>
      <c r="AV318" s="124" t="s">
        <v>18</v>
      </c>
      <c r="AW318" s="124" t="s">
        <v>18</v>
      </c>
      <c r="AX318" s="124" t="s">
        <v>18</v>
      </c>
      <c r="AY318" s="124" t="s">
        <v>18</v>
      </c>
      <c r="AZ318" s="124" t="s">
        <v>18</v>
      </c>
      <c r="BA318" s="124" t="s">
        <v>18</v>
      </c>
      <c r="BB318" s="124" t="s">
        <v>18</v>
      </c>
      <c r="BC318" s="124" t="s">
        <v>18</v>
      </c>
    </row>
    <row r="319" spans="1:55" ht="15" customHeight="1" x14ac:dyDescent="0.25">
      <c r="A319" s="143">
        <v>4</v>
      </c>
      <c r="B319" s="122" t="s">
        <v>5</v>
      </c>
      <c r="C319" s="123">
        <v>5</v>
      </c>
      <c r="D319" s="124">
        <v>5</v>
      </c>
      <c r="E319" s="124">
        <v>2</v>
      </c>
      <c r="F319" s="125">
        <v>2</v>
      </c>
      <c r="G319" s="124">
        <v>2</v>
      </c>
      <c r="H319" s="125">
        <v>8</v>
      </c>
      <c r="I319" s="124">
        <v>8</v>
      </c>
      <c r="J319" s="124">
        <v>8</v>
      </c>
      <c r="K319" s="124">
        <v>8</v>
      </c>
      <c r="L319" s="124">
        <v>4</v>
      </c>
      <c r="M319" s="125">
        <v>4</v>
      </c>
      <c r="N319" s="124">
        <v>4</v>
      </c>
      <c r="O319" s="125">
        <v>4</v>
      </c>
      <c r="P319" s="124">
        <v>4</v>
      </c>
      <c r="Q319" s="124">
        <v>4</v>
      </c>
      <c r="R319" s="124">
        <v>2</v>
      </c>
      <c r="S319" s="125">
        <v>11</v>
      </c>
      <c r="T319" s="124">
        <v>11</v>
      </c>
      <c r="U319" s="124">
        <v>7</v>
      </c>
      <c r="V319" s="125">
        <v>7</v>
      </c>
      <c r="W319" s="124">
        <v>7</v>
      </c>
      <c r="X319" s="124">
        <v>7</v>
      </c>
      <c r="Y319" s="124">
        <v>7</v>
      </c>
      <c r="Z319" s="125">
        <v>7</v>
      </c>
      <c r="AA319" s="124">
        <v>7</v>
      </c>
      <c r="AB319" s="124">
        <v>7</v>
      </c>
      <c r="AC319" s="125">
        <v>7</v>
      </c>
      <c r="AD319" s="124">
        <v>7</v>
      </c>
      <c r="AE319" s="124">
        <v>7</v>
      </c>
      <c r="AF319" s="124">
        <v>7</v>
      </c>
      <c r="AG319" s="125">
        <v>15</v>
      </c>
      <c r="AH319" s="123" t="s">
        <v>18</v>
      </c>
      <c r="AI319" s="124" t="s">
        <v>18</v>
      </c>
      <c r="AJ319" s="124" t="s">
        <v>18</v>
      </c>
      <c r="AK319" s="124" t="s">
        <v>18</v>
      </c>
      <c r="AL319" s="124" t="s">
        <v>18</v>
      </c>
      <c r="AM319" s="124" t="s">
        <v>18</v>
      </c>
      <c r="AN319" s="124" t="s">
        <v>18</v>
      </c>
      <c r="AO319" s="124" t="s">
        <v>18</v>
      </c>
      <c r="AP319" s="124" t="s">
        <v>18</v>
      </c>
      <c r="AQ319" s="124" t="s">
        <v>18</v>
      </c>
      <c r="AR319" s="124" t="s">
        <v>18</v>
      </c>
      <c r="AS319" s="124" t="s">
        <v>18</v>
      </c>
      <c r="AT319" s="124" t="s">
        <v>18</v>
      </c>
      <c r="AU319" s="124" t="s">
        <v>18</v>
      </c>
      <c r="AV319" s="124" t="s">
        <v>18</v>
      </c>
      <c r="AW319" s="124" t="s">
        <v>18</v>
      </c>
      <c r="AX319" s="124" t="s">
        <v>18</v>
      </c>
      <c r="AY319" s="124" t="s">
        <v>18</v>
      </c>
      <c r="AZ319" s="124" t="s">
        <v>18</v>
      </c>
      <c r="BA319" s="124" t="s">
        <v>18</v>
      </c>
      <c r="BB319" s="124" t="s">
        <v>18</v>
      </c>
      <c r="BC319" s="124" t="s">
        <v>18</v>
      </c>
    </row>
    <row r="320" spans="1:55" ht="15" customHeight="1" x14ac:dyDescent="0.2">
      <c r="A320" s="127"/>
      <c r="B320" s="122" t="s">
        <v>6</v>
      </c>
      <c r="C320" s="123"/>
      <c r="D320" s="124"/>
      <c r="E320" s="124"/>
      <c r="F320" s="125"/>
      <c r="G320" s="124">
        <v>6</v>
      </c>
      <c r="H320" s="125"/>
      <c r="I320" s="124"/>
      <c r="J320" s="124"/>
      <c r="K320" s="124"/>
      <c r="L320" s="124"/>
      <c r="M320" s="125"/>
      <c r="N320" s="124"/>
      <c r="O320" s="125"/>
      <c r="P320" s="124"/>
      <c r="Q320" s="124"/>
      <c r="R320" s="124">
        <v>9</v>
      </c>
      <c r="S320" s="125"/>
      <c r="T320" s="124"/>
      <c r="U320" s="124"/>
      <c r="V320" s="125"/>
      <c r="W320" s="124"/>
      <c r="X320" s="124"/>
      <c r="Y320" s="124"/>
      <c r="Z320" s="125"/>
      <c r="AA320" s="124"/>
      <c r="AB320" s="124"/>
      <c r="AC320" s="125"/>
      <c r="AD320" s="124"/>
      <c r="AE320" s="124"/>
      <c r="AF320" s="124">
        <v>8</v>
      </c>
      <c r="AG320" s="125"/>
      <c r="AH320" s="123"/>
      <c r="AI320" s="124"/>
      <c r="AJ320" s="124"/>
      <c r="AK320" s="124"/>
      <c r="AL320" s="124"/>
      <c r="AM320" s="124"/>
      <c r="AN320" s="124"/>
      <c r="AO320" s="124"/>
      <c r="AP320" s="124"/>
      <c r="AQ320" s="124"/>
      <c r="AR320" s="124"/>
      <c r="AS320" s="124"/>
      <c r="AT320" s="124"/>
      <c r="AU320" s="124"/>
      <c r="AV320" s="124"/>
      <c r="AW320" s="124"/>
      <c r="AX320" s="124"/>
      <c r="AY320" s="124"/>
      <c r="AZ320" s="124"/>
      <c r="BA320" s="124"/>
      <c r="BB320" s="124"/>
      <c r="BC320" s="124"/>
    </row>
    <row r="321" spans="1:55" ht="15" customHeight="1" x14ac:dyDescent="0.2">
      <c r="A321" s="128"/>
      <c r="B321" s="122" t="s">
        <v>8</v>
      </c>
      <c r="C321" s="129">
        <v>192</v>
      </c>
      <c r="D321" s="130">
        <v>192</v>
      </c>
      <c r="E321" s="130">
        <v>192</v>
      </c>
      <c r="F321" s="131">
        <v>192</v>
      </c>
      <c r="G321" s="130">
        <v>192</v>
      </c>
      <c r="H321" s="131">
        <v>192</v>
      </c>
      <c r="I321" s="130">
        <v>192</v>
      </c>
      <c r="J321" s="130">
        <v>192</v>
      </c>
      <c r="K321" s="130">
        <v>192</v>
      </c>
      <c r="L321" s="130">
        <v>192</v>
      </c>
      <c r="M321" s="131">
        <v>192</v>
      </c>
      <c r="N321" s="130">
        <v>192</v>
      </c>
      <c r="O321" s="131">
        <v>192</v>
      </c>
      <c r="P321" s="130">
        <v>192</v>
      </c>
      <c r="Q321" s="130">
        <v>192</v>
      </c>
      <c r="R321" s="130">
        <v>192</v>
      </c>
      <c r="S321" s="131">
        <v>192</v>
      </c>
      <c r="T321" s="130">
        <v>192</v>
      </c>
      <c r="U321" s="130">
        <v>192</v>
      </c>
      <c r="V321" s="131">
        <v>192</v>
      </c>
      <c r="W321" s="130">
        <v>192</v>
      </c>
      <c r="X321" s="130">
        <v>192</v>
      </c>
      <c r="Y321" s="130">
        <v>192</v>
      </c>
      <c r="Z321" s="131">
        <v>192</v>
      </c>
      <c r="AA321" s="130">
        <v>192</v>
      </c>
      <c r="AB321" s="130">
        <v>192</v>
      </c>
      <c r="AC321" s="131">
        <v>192</v>
      </c>
      <c r="AD321" s="130">
        <v>192</v>
      </c>
      <c r="AE321" s="130">
        <v>192</v>
      </c>
      <c r="AF321" s="130">
        <v>192</v>
      </c>
      <c r="AG321" s="131">
        <v>158</v>
      </c>
      <c r="AH321" s="129" t="s">
        <v>18</v>
      </c>
      <c r="AI321" s="130" t="s">
        <v>18</v>
      </c>
      <c r="AJ321" s="130" t="s">
        <v>18</v>
      </c>
      <c r="AK321" s="130" t="s">
        <v>18</v>
      </c>
      <c r="AL321" s="130" t="s">
        <v>18</v>
      </c>
      <c r="AM321" s="130" t="s">
        <v>18</v>
      </c>
      <c r="AN321" s="130" t="s">
        <v>18</v>
      </c>
      <c r="AO321" s="130" t="s">
        <v>18</v>
      </c>
      <c r="AP321" s="130" t="s">
        <v>18</v>
      </c>
      <c r="AQ321" s="130" t="s">
        <v>18</v>
      </c>
      <c r="AR321" s="130" t="s">
        <v>18</v>
      </c>
      <c r="AS321" s="130" t="s">
        <v>18</v>
      </c>
      <c r="AT321" s="130" t="s">
        <v>18</v>
      </c>
      <c r="AU321" s="130" t="s">
        <v>18</v>
      </c>
      <c r="AV321" s="130" t="s">
        <v>18</v>
      </c>
      <c r="AW321" s="130" t="s">
        <v>18</v>
      </c>
      <c r="AX321" s="130" t="s">
        <v>18</v>
      </c>
      <c r="AY321" s="130" t="s">
        <v>18</v>
      </c>
      <c r="AZ321" s="130" t="s">
        <v>18</v>
      </c>
      <c r="BA321" s="130" t="s">
        <v>18</v>
      </c>
      <c r="BB321" s="130" t="s">
        <v>18</v>
      </c>
      <c r="BC321" s="130" t="s">
        <v>18</v>
      </c>
    </row>
    <row r="322" spans="1:55" ht="15" customHeight="1" x14ac:dyDescent="0.2">
      <c r="A322" s="127" t="s">
        <v>9</v>
      </c>
      <c r="B322" s="132" t="s">
        <v>10</v>
      </c>
      <c r="C322" s="133" t="s">
        <v>39</v>
      </c>
      <c r="D322" s="134" t="s">
        <v>39</v>
      </c>
      <c r="E322" s="134" t="s">
        <v>39</v>
      </c>
      <c r="F322" s="135" t="s">
        <v>39</v>
      </c>
      <c r="G322" s="134" t="s">
        <v>39</v>
      </c>
      <c r="H322" s="135" t="s">
        <v>211</v>
      </c>
      <c r="I322" s="134" t="s">
        <v>211</v>
      </c>
      <c r="J322" s="134" t="s">
        <v>211</v>
      </c>
      <c r="K322" s="134" t="s">
        <v>211</v>
      </c>
      <c r="L322" s="134" t="s">
        <v>211</v>
      </c>
      <c r="M322" s="135" t="s">
        <v>211</v>
      </c>
      <c r="N322" s="134" t="s">
        <v>211</v>
      </c>
      <c r="O322" s="135" t="s">
        <v>211</v>
      </c>
      <c r="P322" s="134" t="s">
        <v>211</v>
      </c>
      <c r="Q322" s="134" t="s">
        <v>211</v>
      </c>
      <c r="R322" s="134" t="s">
        <v>211</v>
      </c>
      <c r="S322" s="135" t="s">
        <v>211</v>
      </c>
      <c r="T322" s="134" t="s">
        <v>211</v>
      </c>
      <c r="U322" s="134" t="s">
        <v>211</v>
      </c>
      <c r="V322" s="135" t="s">
        <v>211</v>
      </c>
      <c r="W322" s="134" t="s">
        <v>211</v>
      </c>
      <c r="X322" s="134" t="s">
        <v>211</v>
      </c>
      <c r="Y322" s="134" t="s">
        <v>211</v>
      </c>
      <c r="Z322" s="135" t="s">
        <v>211</v>
      </c>
      <c r="AA322" s="134" t="s">
        <v>211</v>
      </c>
      <c r="AB322" s="134" t="s">
        <v>211</v>
      </c>
      <c r="AC322" s="135" t="s">
        <v>211</v>
      </c>
      <c r="AD322" s="134" t="s">
        <v>211</v>
      </c>
      <c r="AE322" s="134" t="s">
        <v>211</v>
      </c>
      <c r="AF322" s="134" t="s">
        <v>211</v>
      </c>
      <c r="AG322" s="135" t="s">
        <v>233</v>
      </c>
      <c r="AH322" s="133" t="s">
        <v>18</v>
      </c>
      <c r="AI322" s="134" t="s">
        <v>18</v>
      </c>
      <c r="AJ322" s="134" t="s">
        <v>18</v>
      </c>
      <c r="AK322" s="134" t="s">
        <v>18</v>
      </c>
      <c r="AL322" s="134" t="s">
        <v>18</v>
      </c>
      <c r="AM322" s="134" t="s">
        <v>18</v>
      </c>
      <c r="AN322" s="134" t="s">
        <v>18</v>
      </c>
      <c r="AO322" s="134" t="s">
        <v>18</v>
      </c>
      <c r="AP322" s="134" t="s">
        <v>18</v>
      </c>
      <c r="AQ322" s="134" t="s">
        <v>18</v>
      </c>
      <c r="AR322" s="134" t="s">
        <v>18</v>
      </c>
      <c r="AS322" s="134" t="s">
        <v>18</v>
      </c>
      <c r="AT322" s="134" t="s">
        <v>18</v>
      </c>
      <c r="AU322" s="134" t="s">
        <v>18</v>
      </c>
      <c r="AV322" s="134" t="s">
        <v>18</v>
      </c>
      <c r="AW322" s="134" t="s">
        <v>18</v>
      </c>
      <c r="AX322" s="134" t="s">
        <v>18</v>
      </c>
      <c r="AY322" s="134" t="s">
        <v>18</v>
      </c>
      <c r="AZ322" s="134" t="s">
        <v>18</v>
      </c>
      <c r="BA322" s="134" t="s">
        <v>18</v>
      </c>
      <c r="BB322" s="134" t="s">
        <v>18</v>
      </c>
      <c r="BC322" s="134" t="s">
        <v>18</v>
      </c>
    </row>
    <row r="323" spans="1:55" ht="15" customHeight="1" x14ac:dyDescent="0.2">
      <c r="A323" s="128">
        <v>44903.225806451606</v>
      </c>
      <c r="B323" s="122" t="s">
        <v>12</v>
      </c>
      <c r="C323" s="123"/>
      <c r="D323" s="124"/>
      <c r="E323" s="124"/>
      <c r="F323" s="125"/>
      <c r="G323" s="124"/>
      <c r="H323" s="125" t="s">
        <v>212</v>
      </c>
      <c r="I323" s="124"/>
      <c r="J323" s="124"/>
      <c r="K323" s="124"/>
      <c r="L323" s="124"/>
      <c r="M323" s="125" t="s">
        <v>218</v>
      </c>
      <c r="N323" s="124"/>
      <c r="O323" s="125"/>
      <c r="P323" s="124"/>
      <c r="Q323" s="124"/>
      <c r="R323" s="124"/>
      <c r="S323" s="125"/>
      <c r="T323" s="124"/>
      <c r="U323" s="124"/>
      <c r="V323" s="125"/>
      <c r="W323" s="124"/>
      <c r="X323" s="124"/>
      <c r="Y323" s="124"/>
      <c r="Z323" s="125"/>
      <c r="AA323" s="124"/>
      <c r="AB323" s="124"/>
      <c r="AC323" s="125"/>
      <c r="AD323" s="124"/>
      <c r="AE323" s="124"/>
      <c r="AF323" s="124"/>
      <c r="AG323" s="125" t="s">
        <v>234</v>
      </c>
      <c r="AH323" s="123"/>
      <c r="AI323" s="124"/>
      <c r="AJ323" s="124"/>
      <c r="AK323" s="124"/>
      <c r="AL323" s="124"/>
      <c r="AM323" s="124"/>
      <c r="AN323" s="124"/>
      <c r="AO323" s="124"/>
      <c r="AP323" s="124"/>
      <c r="AQ323" s="124"/>
      <c r="AR323" s="124"/>
      <c r="AS323" s="124"/>
      <c r="AT323" s="124"/>
      <c r="AU323" s="124"/>
      <c r="AV323" s="124"/>
      <c r="AW323" s="124"/>
      <c r="AX323" s="124"/>
      <c r="AY323" s="124"/>
      <c r="AZ323" s="124"/>
      <c r="BA323" s="124"/>
      <c r="BB323" s="124"/>
      <c r="BC323" s="124"/>
    </row>
    <row r="324" spans="1:55" ht="15" customHeight="1" x14ac:dyDescent="0.2">
      <c r="A324" s="128">
        <v>464</v>
      </c>
      <c r="B324" s="136" t="s">
        <v>13</v>
      </c>
      <c r="C324" s="123">
        <v>0</v>
      </c>
      <c r="D324" s="137">
        <v>0</v>
      </c>
      <c r="E324" s="137">
        <v>88</v>
      </c>
      <c r="F324" s="125">
        <v>0</v>
      </c>
      <c r="G324" s="137">
        <v>38</v>
      </c>
      <c r="H324" s="125">
        <v>0</v>
      </c>
      <c r="I324" s="137">
        <v>0</v>
      </c>
      <c r="J324" s="137">
        <v>0</v>
      </c>
      <c r="K324" s="137">
        <v>0</v>
      </c>
      <c r="L324" s="137">
        <v>88</v>
      </c>
      <c r="M324" s="125">
        <v>0</v>
      </c>
      <c r="N324" s="137">
        <v>31</v>
      </c>
      <c r="O324" s="125">
        <v>0</v>
      </c>
      <c r="P324" s="137">
        <v>0</v>
      </c>
      <c r="Q324" s="137">
        <v>0</v>
      </c>
      <c r="R324" s="137">
        <v>45</v>
      </c>
      <c r="S324" s="125">
        <v>0</v>
      </c>
      <c r="T324" s="137">
        <v>0</v>
      </c>
      <c r="U324" s="137">
        <v>76</v>
      </c>
      <c r="V324" s="125">
        <v>0</v>
      </c>
      <c r="W324" s="137">
        <v>0</v>
      </c>
      <c r="X324" s="137">
        <v>0</v>
      </c>
      <c r="Y324" s="137">
        <v>25</v>
      </c>
      <c r="Z324" s="125">
        <v>0</v>
      </c>
      <c r="AA324" s="137">
        <v>0</v>
      </c>
      <c r="AB324" s="137">
        <v>46</v>
      </c>
      <c r="AC324" s="125">
        <v>0</v>
      </c>
      <c r="AD324" s="137">
        <v>0</v>
      </c>
      <c r="AE324" s="137">
        <v>0</v>
      </c>
      <c r="AF324" s="137">
        <v>27</v>
      </c>
      <c r="AG324" s="125">
        <v>0</v>
      </c>
      <c r="AH324" s="123" t="s">
        <v>18</v>
      </c>
      <c r="AI324" s="137" t="s">
        <v>18</v>
      </c>
      <c r="AJ324" s="137" t="s">
        <v>18</v>
      </c>
      <c r="AK324" s="137" t="s">
        <v>18</v>
      </c>
      <c r="AL324" s="137" t="s">
        <v>18</v>
      </c>
      <c r="AM324" s="137" t="s">
        <v>18</v>
      </c>
      <c r="AN324" s="137" t="s">
        <v>18</v>
      </c>
      <c r="AO324" s="137" t="s">
        <v>18</v>
      </c>
      <c r="AP324" s="137" t="s">
        <v>18</v>
      </c>
      <c r="AQ324" s="137" t="s">
        <v>18</v>
      </c>
      <c r="AR324" s="137" t="s">
        <v>18</v>
      </c>
      <c r="AS324" s="137" t="s">
        <v>18</v>
      </c>
      <c r="AT324" s="137" t="s">
        <v>18</v>
      </c>
      <c r="AU324" s="137" t="s">
        <v>18</v>
      </c>
      <c r="AV324" s="137" t="s">
        <v>18</v>
      </c>
      <c r="AW324" s="137" t="s">
        <v>18</v>
      </c>
      <c r="AX324" s="137" t="s">
        <v>18</v>
      </c>
      <c r="AY324" s="137" t="s">
        <v>18</v>
      </c>
      <c r="AZ324" s="137" t="s">
        <v>18</v>
      </c>
      <c r="BA324" s="137" t="s">
        <v>18</v>
      </c>
      <c r="BB324" s="137" t="s">
        <v>18</v>
      </c>
      <c r="BC324" s="137" t="s">
        <v>18</v>
      </c>
    </row>
    <row r="325" spans="1:55" ht="15" customHeight="1" x14ac:dyDescent="0.2">
      <c r="A325" s="128">
        <v>19</v>
      </c>
      <c r="B325" s="136" t="s">
        <v>14</v>
      </c>
      <c r="C325" s="123">
        <v>0</v>
      </c>
      <c r="D325" s="137">
        <v>0</v>
      </c>
      <c r="E325" s="137">
        <v>3</v>
      </c>
      <c r="F325" s="125">
        <v>0</v>
      </c>
      <c r="G325" s="137">
        <v>0</v>
      </c>
      <c r="H325" s="125">
        <v>0</v>
      </c>
      <c r="I325" s="137">
        <v>0</v>
      </c>
      <c r="J325" s="137">
        <v>0</v>
      </c>
      <c r="K325" s="137">
        <v>0</v>
      </c>
      <c r="L325" s="137">
        <v>8</v>
      </c>
      <c r="M325" s="125">
        <v>0</v>
      </c>
      <c r="N325" s="137">
        <v>0</v>
      </c>
      <c r="O325" s="125">
        <v>0</v>
      </c>
      <c r="P325" s="137">
        <v>0</v>
      </c>
      <c r="Q325" s="137">
        <v>0</v>
      </c>
      <c r="R325" s="137">
        <v>2</v>
      </c>
      <c r="S325" s="125">
        <v>0</v>
      </c>
      <c r="T325" s="137">
        <v>0</v>
      </c>
      <c r="U325" s="137">
        <v>4</v>
      </c>
      <c r="V325" s="125">
        <v>0</v>
      </c>
      <c r="W325" s="137">
        <v>0</v>
      </c>
      <c r="X325" s="137">
        <v>0</v>
      </c>
      <c r="Y325" s="137">
        <v>1</v>
      </c>
      <c r="Z325" s="125">
        <v>0</v>
      </c>
      <c r="AA325" s="137">
        <v>0</v>
      </c>
      <c r="AB325" s="137">
        <v>1</v>
      </c>
      <c r="AC325" s="125">
        <v>0</v>
      </c>
      <c r="AD325" s="137">
        <v>0</v>
      </c>
      <c r="AE325" s="137">
        <v>0</v>
      </c>
      <c r="AF325" s="137">
        <v>0</v>
      </c>
      <c r="AG325" s="125">
        <v>0</v>
      </c>
      <c r="AH325" s="123" t="s">
        <v>18</v>
      </c>
      <c r="AI325" s="137" t="s">
        <v>18</v>
      </c>
      <c r="AJ325" s="137" t="s">
        <v>18</v>
      </c>
      <c r="AK325" s="137" t="s">
        <v>18</v>
      </c>
      <c r="AL325" s="137" t="s">
        <v>18</v>
      </c>
      <c r="AM325" s="137" t="s">
        <v>18</v>
      </c>
      <c r="AN325" s="137" t="s">
        <v>18</v>
      </c>
      <c r="AO325" s="137" t="s">
        <v>18</v>
      </c>
      <c r="AP325" s="137" t="s">
        <v>18</v>
      </c>
      <c r="AQ325" s="137" t="s">
        <v>18</v>
      </c>
      <c r="AR325" s="137" t="s">
        <v>18</v>
      </c>
      <c r="AS325" s="137" t="s">
        <v>18</v>
      </c>
      <c r="AT325" s="137" t="s">
        <v>18</v>
      </c>
      <c r="AU325" s="137" t="s">
        <v>18</v>
      </c>
      <c r="AV325" s="137" t="s">
        <v>18</v>
      </c>
      <c r="AW325" s="137" t="s">
        <v>18</v>
      </c>
      <c r="AX325" s="137" t="s">
        <v>18</v>
      </c>
      <c r="AY325" s="137" t="s">
        <v>18</v>
      </c>
      <c r="AZ325" s="137" t="s">
        <v>18</v>
      </c>
      <c r="BA325" s="137" t="s">
        <v>18</v>
      </c>
      <c r="BB325" s="137" t="s">
        <v>18</v>
      </c>
      <c r="BC325" s="137" t="s">
        <v>18</v>
      </c>
    </row>
    <row r="326" spans="1:55" ht="15" customHeight="1" x14ac:dyDescent="0.2">
      <c r="A326" s="128">
        <v>13</v>
      </c>
      <c r="B326" s="136" t="s">
        <v>15</v>
      </c>
      <c r="C326" s="123">
        <v>0</v>
      </c>
      <c r="D326" s="137">
        <v>0</v>
      </c>
      <c r="E326" s="137">
        <v>3</v>
      </c>
      <c r="F326" s="125">
        <v>0</v>
      </c>
      <c r="G326" s="137">
        <v>0</v>
      </c>
      <c r="H326" s="125">
        <v>0</v>
      </c>
      <c r="I326" s="137">
        <v>0</v>
      </c>
      <c r="J326" s="137">
        <v>0</v>
      </c>
      <c r="K326" s="137">
        <v>0</v>
      </c>
      <c r="L326" s="137">
        <v>4</v>
      </c>
      <c r="M326" s="125">
        <v>0</v>
      </c>
      <c r="N326" s="137">
        <v>0</v>
      </c>
      <c r="O326" s="125">
        <v>0</v>
      </c>
      <c r="P326" s="137">
        <v>0</v>
      </c>
      <c r="Q326" s="137">
        <v>0</v>
      </c>
      <c r="R326" s="137">
        <v>2</v>
      </c>
      <c r="S326" s="125">
        <v>0</v>
      </c>
      <c r="T326" s="137">
        <v>0</v>
      </c>
      <c r="U326" s="137">
        <v>4</v>
      </c>
      <c r="V326" s="125">
        <v>0</v>
      </c>
      <c r="W326" s="137">
        <v>0</v>
      </c>
      <c r="X326" s="137">
        <v>0</v>
      </c>
      <c r="Y326" s="137">
        <v>0</v>
      </c>
      <c r="Z326" s="125">
        <v>0</v>
      </c>
      <c r="AA326" s="137">
        <v>0</v>
      </c>
      <c r="AB326" s="137">
        <v>0</v>
      </c>
      <c r="AC326" s="125">
        <v>0</v>
      </c>
      <c r="AD326" s="137">
        <v>0</v>
      </c>
      <c r="AE326" s="137">
        <v>0</v>
      </c>
      <c r="AF326" s="137">
        <v>0</v>
      </c>
      <c r="AG326" s="125">
        <v>0</v>
      </c>
      <c r="AH326" s="123" t="s">
        <v>18</v>
      </c>
      <c r="AI326" s="137" t="s">
        <v>18</v>
      </c>
      <c r="AJ326" s="137" t="s">
        <v>18</v>
      </c>
      <c r="AK326" s="137" t="s">
        <v>18</v>
      </c>
      <c r="AL326" s="137" t="s">
        <v>18</v>
      </c>
      <c r="AM326" s="137" t="s">
        <v>18</v>
      </c>
      <c r="AN326" s="137" t="s">
        <v>18</v>
      </c>
      <c r="AO326" s="137" t="s">
        <v>18</v>
      </c>
      <c r="AP326" s="137" t="s">
        <v>18</v>
      </c>
      <c r="AQ326" s="137" t="s">
        <v>18</v>
      </c>
      <c r="AR326" s="137" t="s">
        <v>18</v>
      </c>
      <c r="AS326" s="137" t="s">
        <v>18</v>
      </c>
      <c r="AT326" s="137" t="s">
        <v>18</v>
      </c>
      <c r="AU326" s="137" t="s">
        <v>18</v>
      </c>
      <c r="AV326" s="137" t="s">
        <v>18</v>
      </c>
      <c r="AW326" s="137" t="s">
        <v>18</v>
      </c>
      <c r="AX326" s="137" t="s">
        <v>18</v>
      </c>
      <c r="AY326" s="137" t="s">
        <v>18</v>
      </c>
      <c r="AZ326" s="137" t="s">
        <v>18</v>
      </c>
      <c r="BA326" s="137" t="s">
        <v>18</v>
      </c>
      <c r="BB326" s="137" t="s">
        <v>18</v>
      </c>
      <c r="BC326" s="137" t="s">
        <v>18</v>
      </c>
    </row>
    <row r="327" spans="1:55" ht="15" customHeight="1" x14ac:dyDescent="0.2">
      <c r="A327" s="128">
        <v>2496</v>
      </c>
      <c r="B327" s="136" t="s">
        <v>16</v>
      </c>
      <c r="C327" s="123">
        <v>0</v>
      </c>
      <c r="D327" s="137">
        <v>0</v>
      </c>
      <c r="E327" s="137">
        <v>576</v>
      </c>
      <c r="F327" s="125">
        <v>0</v>
      </c>
      <c r="G327" s="137">
        <v>0</v>
      </c>
      <c r="H327" s="125">
        <v>0</v>
      </c>
      <c r="I327" s="137">
        <v>0</v>
      </c>
      <c r="J327" s="137">
        <v>0</v>
      </c>
      <c r="K327" s="137">
        <v>0</v>
      </c>
      <c r="L327" s="137">
        <v>768</v>
      </c>
      <c r="M327" s="125">
        <v>0</v>
      </c>
      <c r="N327" s="137">
        <v>0</v>
      </c>
      <c r="O327" s="125">
        <v>0</v>
      </c>
      <c r="P327" s="137">
        <v>0</v>
      </c>
      <c r="Q327" s="137">
        <v>0</v>
      </c>
      <c r="R327" s="137">
        <v>384</v>
      </c>
      <c r="S327" s="125">
        <v>0</v>
      </c>
      <c r="T327" s="137">
        <v>0</v>
      </c>
      <c r="U327" s="137">
        <v>768</v>
      </c>
      <c r="V327" s="125">
        <v>0</v>
      </c>
      <c r="W327" s="137">
        <v>0</v>
      </c>
      <c r="X327" s="137">
        <v>0</v>
      </c>
      <c r="Y327" s="137">
        <v>0</v>
      </c>
      <c r="Z327" s="125">
        <v>0</v>
      </c>
      <c r="AA327" s="137">
        <v>0</v>
      </c>
      <c r="AB327" s="137">
        <v>0</v>
      </c>
      <c r="AC327" s="125">
        <v>0</v>
      </c>
      <c r="AD327" s="137">
        <v>0</v>
      </c>
      <c r="AE327" s="137">
        <v>0</v>
      </c>
      <c r="AF327" s="137">
        <v>0</v>
      </c>
      <c r="AG327" s="125">
        <v>0</v>
      </c>
      <c r="AH327" s="123" t="s">
        <v>18</v>
      </c>
      <c r="AI327" s="137" t="s">
        <v>18</v>
      </c>
      <c r="AJ327" s="137" t="s">
        <v>18</v>
      </c>
      <c r="AK327" s="137" t="s">
        <v>18</v>
      </c>
      <c r="AL327" s="137" t="s">
        <v>18</v>
      </c>
      <c r="AM327" s="137" t="s">
        <v>18</v>
      </c>
      <c r="AN327" s="137" t="s">
        <v>18</v>
      </c>
      <c r="AO327" s="137" t="s">
        <v>18</v>
      </c>
      <c r="AP327" s="137" t="s">
        <v>18</v>
      </c>
      <c r="AQ327" s="137" t="s">
        <v>18</v>
      </c>
      <c r="AR327" s="137" t="s">
        <v>18</v>
      </c>
      <c r="AS327" s="137" t="s">
        <v>18</v>
      </c>
      <c r="AT327" s="137" t="s">
        <v>18</v>
      </c>
      <c r="AU327" s="137" t="s">
        <v>18</v>
      </c>
      <c r="AV327" s="137" t="s">
        <v>18</v>
      </c>
      <c r="AW327" s="137" t="s">
        <v>18</v>
      </c>
      <c r="AX327" s="137" t="s">
        <v>18</v>
      </c>
      <c r="AY327" s="137" t="s">
        <v>18</v>
      </c>
      <c r="AZ327" s="137" t="s">
        <v>18</v>
      </c>
      <c r="BA327" s="137" t="s">
        <v>18</v>
      </c>
      <c r="BB327" s="137" t="s">
        <v>18</v>
      </c>
      <c r="BC327" s="137" t="s">
        <v>18</v>
      </c>
    </row>
    <row r="328" spans="1:55" ht="15" customHeight="1" thickBot="1" x14ac:dyDescent="0.25">
      <c r="A328" s="138">
        <v>5.3793103448275863E-2</v>
      </c>
      <c r="B328" s="139" t="s">
        <v>17</v>
      </c>
      <c r="C328" s="140" t="s">
        <v>18</v>
      </c>
      <c r="D328" s="141" t="s">
        <v>18</v>
      </c>
      <c r="E328" s="141">
        <v>6.545454545454546E-2</v>
      </c>
      <c r="F328" s="142" t="s">
        <v>18</v>
      </c>
      <c r="G328" s="141" t="s">
        <v>18</v>
      </c>
      <c r="H328" s="142" t="s">
        <v>18</v>
      </c>
      <c r="I328" s="141" t="s">
        <v>18</v>
      </c>
      <c r="J328" s="141" t="s">
        <v>18</v>
      </c>
      <c r="K328" s="141" t="s">
        <v>18</v>
      </c>
      <c r="L328" s="141">
        <v>8.727272727272728E-2</v>
      </c>
      <c r="M328" s="142" t="s">
        <v>18</v>
      </c>
      <c r="N328" s="141" t="s">
        <v>18</v>
      </c>
      <c r="O328" s="142" t="s">
        <v>18</v>
      </c>
      <c r="P328" s="141" t="s">
        <v>18</v>
      </c>
      <c r="Q328" s="141" t="s">
        <v>18</v>
      </c>
      <c r="R328" s="141">
        <v>8.533333333333333E-2</v>
      </c>
      <c r="S328" s="142" t="s">
        <v>18</v>
      </c>
      <c r="T328" s="141" t="s">
        <v>18</v>
      </c>
      <c r="U328" s="141">
        <v>0.10105263157894737</v>
      </c>
      <c r="V328" s="142" t="s">
        <v>18</v>
      </c>
      <c r="W328" s="141" t="s">
        <v>18</v>
      </c>
      <c r="X328" s="141" t="s">
        <v>18</v>
      </c>
      <c r="Y328" s="141" t="s">
        <v>18</v>
      </c>
      <c r="Z328" s="142" t="s">
        <v>18</v>
      </c>
      <c r="AA328" s="141" t="s">
        <v>18</v>
      </c>
      <c r="AB328" s="141" t="s">
        <v>18</v>
      </c>
      <c r="AC328" s="142" t="s">
        <v>18</v>
      </c>
      <c r="AD328" s="141" t="s">
        <v>18</v>
      </c>
      <c r="AE328" s="141" t="s">
        <v>18</v>
      </c>
      <c r="AF328" s="141" t="s">
        <v>18</v>
      </c>
      <c r="AG328" s="142" t="s">
        <v>18</v>
      </c>
      <c r="AH328" s="140" t="s">
        <v>18</v>
      </c>
      <c r="AI328" s="141" t="s">
        <v>18</v>
      </c>
      <c r="AJ328" s="141" t="s">
        <v>18</v>
      </c>
      <c r="AK328" s="141" t="s">
        <v>18</v>
      </c>
      <c r="AL328" s="141" t="s">
        <v>18</v>
      </c>
      <c r="AM328" s="141" t="s">
        <v>18</v>
      </c>
      <c r="AN328" s="141" t="s">
        <v>18</v>
      </c>
      <c r="AO328" s="141" t="s">
        <v>18</v>
      </c>
      <c r="AP328" s="141" t="s">
        <v>18</v>
      </c>
      <c r="AQ328" s="141" t="s">
        <v>18</v>
      </c>
      <c r="AR328" s="141" t="s">
        <v>18</v>
      </c>
      <c r="AS328" s="141" t="s">
        <v>18</v>
      </c>
      <c r="AT328" s="141" t="s">
        <v>18</v>
      </c>
      <c r="AU328" s="141" t="s">
        <v>18</v>
      </c>
      <c r="AV328" s="141" t="s">
        <v>18</v>
      </c>
      <c r="AW328" s="141" t="s">
        <v>18</v>
      </c>
      <c r="AX328" s="141" t="s">
        <v>18</v>
      </c>
      <c r="AY328" s="141" t="s">
        <v>18</v>
      </c>
      <c r="AZ328" s="141" t="s">
        <v>18</v>
      </c>
      <c r="BA328" s="141" t="s">
        <v>18</v>
      </c>
      <c r="BB328" s="141" t="s">
        <v>18</v>
      </c>
      <c r="BC328" s="141" t="s">
        <v>18</v>
      </c>
    </row>
    <row r="329" spans="1:55" ht="15" customHeight="1" x14ac:dyDescent="0.2">
      <c r="A329" s="116" t="s">
        <v>1</v>
      </c>
      <c r="B329" s="117" t="s">
        <v>2</v>
      </c>
      <c r="C329" s="118">
        <v>7086</v>
      </c>
      <c r="D329" s="119">
        <v>7086</v>
      </c>
      <c r="E329" s="119">
        <v>7129</v>
      </c>
      <c r="F329" s="120">
        <v>7129</v>
      </c>
      <c r="G329" s="119">
        <v>7185</v>
      </c>
      <c r="H329" s="120">
        <v>7185</v>
      </c>
      <c r="I329" s="119">
        <v>7185</v>
      </c>
      <c r="J329" s="119">
        <v>7185</v>
      </c>
      <c r="K329" s="119">
        <v>7185</v>
      </c>
      <c r="L329" s="119">
        <v>7261</v>
      </c>
      <c r="M329" s="120">
        <v>7261</v>
      </c>
      <c r="N329" s="119">
        <v>7289</v>
      </c>
      <c r="O329" s="120">
        <v>7289</v>
      </c>
      <c r="P329" s="119">
        <v>7289</v>
      </c>
      <c r="Q329" s="119">
        <v>7289</v>
      </c>
      <c r="R329" s="119">
        <v>7348</v>
      </c>
      <c r="S329" s="120">
        <v>7348</v>
      </c>
      <c r="T329" s="119">
        <v>7348</v>
      </c>
      <c r="U329" s="119">
        <v>7429</v>
      </c>
      <c r="V329" s="120">
        <v>7429</v>
      </c>
      <c r="W329" s="119">
        <v>7429</v>
      </c>
      <c r="X329" s="119">
        <v>7429</v>
      </c>
      <c r="Y329" s="119">
        <v>7437</v>
      </c>
      <c r="Z329" s="120">
        <v>7437</v>
      </c>
      <c r="AA329" s="119">
        <v>7437</v>
      </c>
      <c r="AB329" s="119">
        <v>7572</v>
      </c>
      <c r="AC329" s="120">
        <v>7572</v>
      </c>
      <c r="AD329" s="119">
        <v>7572</v>
      </c>
      <c r="AE329" s="119">
        <v>7572</v>
      </c>
      <c r="AF329" s="119">
        <v>7579</v>
      </c>
      <c r="AG329" s="120">
        <v>7582</v>
      </c>
      <c r="AH329" s="118" t="s">
        <v>18</v>
      </c>
      <c r="AI329" s="119" t="s">
        <v>18</v>
      </c>
      <c r="AJ329" s="119" t="s">
        <v>18</v>
      </c>
      <c r="AK329" s="119" t="s">
        <v>18</v>
      </c>
      <c r="AL329" s="119" t="s">
        <v>18</v>
      </c>
      <c r="AM329" s="119" t="s">
        <v>18</v>
      </c>
      <c r="AN329" s="119" t="s">
        <v>18</v>
      </c>
      <c r="AO329" s="119" t="s">
        <v>18</v>
      </c>
      <c r="AP329" s="119" t="s">
        <v>18</v>
      </c>
      <c r="AQ329" s="119" t="s">
        <v>18</v>
      </c>
      <c r="AR329" s="119" t="s">
        <v>18</v>
      </c>
      <c r="AS329" s="119" t="s">
        <v>18</v>
      </c>
      <c r="AT329" s="119" t="s">
        <v>18</v>
      </c>
      <c r="AU329" s="119" t="s">
        <v>18</v>
      </c>
      <c r="AV329" s="119" t="s">
        <v>18</v>
      </c>
      <c r="AW329" s="119" t="s">
        <v>18</v>
      </c>
      <c r="AX329" s="119" t="s">
        <v>18</v>
      </c>
      <c r="AY329" s="119" t="s">
        <v>18</v>
      </c>
      <c r="AZ329" s="119" t="s">
        <v>18</v>
      </c>
      <c r="BA329" s="119" t="s">
        <v>18</v>
      </c>
      <c r="BB329" s="119" t="s">
        <v>18</v>
      </c>
      <c r="BC329" s="119" t="s">
        <v>18</v>
      </c>
    </row>
    <row r="330" spans="1:55" ht="15" customHeight="1" x14ac:dyDescent="0.2">
      <c r="A330" s="121" t="s">
        <v>40</v>
      </c>
      <c r="B330" s="122" t="s">
        <v>4</v>
      </c>
      <c r="C330" s="123">
        <v>192</v>
      </c>
      <c r="D330" s="124">
        <v>192</v>
      </c>
      <c r="E330" s="124">
        <v>192</v>
      </c>
      <c r="F330" s="125">
        <v>192</v>
      </c>
      <c r="G330" s="124">
        <v>194</v>
      </c>
      <c r="H330" s="125">
        <v>194</v>
      </c>
      <c r="I330" s="124">
        <v>194</v>
      </c>
      <c r="J330" s="124">
        <v>194</v>
      </c>
      <c r="K330" s="124">
        <v>194</v>
      </c>
      <c r="L330" s="124">
        <v>195</v>
      </c>
      <c r="M330" s="125">
        <v>195</v>
      </c>
      <c r="N330" s="124">
        <v>195</v>
      </c>
      <c r="O330" s="125">
        <v>195</v>
      </c>
      <c r="P330" s="124">
        <v>195</v>
      </c>
      <c r="Q330" s="124">
        <v>195</v>
      </c>
      <c r="R330" s="124">
        <v>198</v>
      </c>
      <c r="S330" s="125">
        <v>198</v>
      </c>
      <c r="T330" s="124">
        <v>198</v>
      </c>
      <c r="U330" s="124">
        <v>203</v>
      </c>
      <c r="V330" s="125">
        <v>203</v>
      </c>
      <c r="W330" s="124">
        <v>203</v>
      </c>
      <c r="X330" s="124">
        <v>203</v>
      </c>
      <c r="Y330" s="124">
        <v>203</v>
      </c>
      <c r="Z330" s="125">
        <v>203</v>
      </c>
      <c r="AA330" s="124">
        <v>203</v>
      </c>
      <c r="AB330" s="124">
        <v>204</v>
      </c>
      <c r="AC330" s="125">
        <v>204</v>
      </c>
      <c r="AD330" s="124">
        <v>204</v>
      </c>
      <c r="AE330" s="124">
        <v>204</v>
      </c>
      <c r="AF330" s="124">
        <v>205</v>
      </c>
      <c r="AG330" s="125">
        <v>205</v>
      </c>
      <c r="AH330" s="123" t="s">
        <v>18</v>
      </c>
      <c r="AI330" s="124" t="s">
        <v>18</v>
      </c>
      <c r="AJ330" s="124" t="s">
        <v>18</v>
      </c>
      <c r="AK330" s="124" t="s">
        <v>18</v>
      </c>
      <c r="AL330" s="124" t="s">
        <v>18</v>
      </c>
      <c r="AM330" s="124" t="s">
        <v>18</v>
      </c>
      <c r="AN330" s="124" t="s">
        <v>18</v>
      </c>
      <c r="AO330" s="124" t="s">
        <v>18</v>
      </c>
      <c r="AP330" s="124" t="s">
        <v>18</v>
      </c>
      <c r="AQ330" s="124" t="s">
        <v>18</v>
      </c>
      <c r="AR330" s="124" t="s">
        <v>18</v>
      </c>
      <c r="AS330" s="124" t="s">
        <v>18</v>
      </c>
      <c r="AT330" s="124" t="s">
        <v>18</v>
      </c>
      <c r="AU330" s="124" t="s">
        <v>18</v>
      </c>
      <c r="AV330" s="124" t="s">
        <v>18</v>
      </c>
      <c r="AW330" s="124" t="s">
        <v>18</v>
      </c>
      <c r="AX330" s="124" t="s">
        <v>18</v>
      </c>
      <c r="AY330" s="124" t="s">
        <v>18</v>
      </c>
      <c r="AZ330" s="124" t="s">
        <v>18</v>
      </c>
      <c r="BA330" s="124" t="s">
        <v>18</v>
      </c>
      <c r="BB330" s="124" t="s">
        <v>18</v>
      </c>
      <c r="BC330" s="124" t="s">
        <v>18</v>
      </c>
    </row>
    <row r="331" spans="1:55" ht="15" customHeight="1" x14ac:dyDescent="0.25">
      <c r="A331" s="143">
        <v>1</v>
      </c>
      <c r="B331" s="122" t="s">
        <v>5</v>
      </c>
      <c r="C331" s="123">
        <v>21</v>
      </c>
      <c r="D331" s="124">
        <v>21</v>
      </c>
      <c r="E331" s="124">
        <v>21</v>
      </c>
      <c r="F331" s="125">
        <v>21</v>
      </c>
      <c r="G331" s="124">
        <v>16</v>
      </c>
      <c r="H331" s="125">
        <v>19</v>
      </c>
      <c r="I331" s="124">
        <v>19</v>
      </c>
      <c r="J331" s="124">
        <v>19</v>
      </c>
      <c r="K331" s="124">
        <v>19</v>
      </c>
      <c r="L331" s="124">
        <v>18</v>
      </c>
      <c r="M331" s="125">
        <v>18</v>
      </c>
      <c r="N331" s="124">
        <v>18</v>
      </c>
      <c r="O331" s="125">
        <v>18</v>
      </c>
      <c r="P331" s="124">
        <v>18</v>
      </c>
      <c r="Q331" s="124">
        <v>18</v>
      </c>
      <c r="R331" s="124">
        <v>15</v>
      </c>
      <c r="S331" s="125">
        <v>15</v>
      </c>
      <c r="T331" s="124">
        <v>15</v>
      </c>
      <c r="U331" s="124">
        <v>7</v>
      </c>
      <c r="V331" s="125">
        <v>26</v>
      </c>
      <c r="W331" s="124">
        <v>26</v>
      </c>
      <c r="X331" s="124">
        <v>26</v>
      </c>
      <c r="Y331" s="124">
        <v>26</v>
      </c>
      <c r="Z331" s="125">
        <v>15</v>
      </c>
      <c r="AA331" s="124">
        <v>15</v>
      </c>
      <c r="AB331" s="124">
        <v>14</v>
      </c>
      <c r="AC331" s="125">
        <v>14</v>
      </c>
      <c r="AD331" s="124">
        <v>14</v>
      </c>
      <c r="AE331" s="124">
        <v>14</v>
      </c>
      <c r="AF331" s="124">
        <v>13</v>
      </c>
      <c r="AG331" s="125">
        <v>21</v>
      </c>
      <c r="AH331" s="123" t="s">
        <v>18</v>
      </c>
      <c r="AI331" s="124" t="s">
        <v>18</v>
      </c>
      <c r="AJ331" s="124" t="s">
        <v>18</v>
      </c>
      <c r="AK331" s="124" t="s">
        <v>18</v>
      </c>
      <c r="AL331" s="124" t="s">
        <v>18</v>
      </c>
      <c r="AM331" s="124" t="s">
        <v>18</v>
      </c>
      <c r="AN331" s="124" t="s">
        <v>18</v>
      </c>
      <c r="AO331" s="124" t="s">
        <v>18</v>
      </c>
      <c r="AP331" s="124" t="s">
        <v>18</v>
      </c>
      <c r="AQ331" s="124" t="s">
        <v>18</v>
      </c>
      <c r="AR331" s="124" t="s">
        <v>18</v>
      </c>
      <c r="AS331" s="124" t="s">
        <v>18</v>
      </c>
      <c r="AT331" s="124" t="s">
        <v>18</v>
      </c>
      <c r="AU331" s="124" t="s">
        <v>18</v>
      </c>
      <c r="AV331" s="124" t="s">
        <v>18</v>
      </c>
      <c r="AW331" s="124" t="s">
        <v>18</v>
      </c>
      <c r="AX331" s="124" t="s">
        <v>18</v>
      </c>
      <c r="AY331" s="124" t="s">
        <v>18</v>
      </c>
      <c r="AZ331" s="124" t="s">
        <v>18</v>
      </c>
      <c r="BA331" s="124" t="s">
        <v>18</v>
      </c>
      <c r="BB331" s="124" t="s">
        <v>18</v>
      </c>
      <c r="BC331" s="124" t="s">
        <v>18</v>
      </c>
    </row>
    <row r="332" spans="1:55" ht="15" customHeight="1" x14ac:dyDescent="0.25">
      <c r="A332" s="144" t="s">
        <v>20</v>
      </c>
      <c r="B332" s="122" t="s">
        <v>6</v>
      </c>
      <c r="C332" s="123"/>
      <c r="D332" s="124"/>
      <c r="E332" s="124"/>
      <c r="F332" s="125"/>
      <c r="G332" s="124">
        <v>3</v>
      </c>
      <c r="H332" s="125"/>
      <c r="I332" s="124"/>
      <c r="J332" s="124"/>
      <c r="K332" s="124"/>
      <c r="L332" s="124"/>
      <c r="M332" s="125"/>
      <c r="N332" s="124"/>
      <c r="O332" s="125"/>
      <c r="P332" s="124"/>
      <c r="Q332" s="124"/>
      <c r="R332" s="124"/>
      <c r="S332" s="125"/>
      <c r="T332" s="124"/>
      <c r="U332" s="124">
        <v>19</v>
      </c>
      <c r="V332" s="125"/>
      <c r="W332" s="124"/>
      <c r="X332" s="124"/>
      <c r="Y332" s="124">
        <v>-11</v>
      </c>
      <c r="Z332" s="125"/>
      <c r="AA332" s="124"/>
      <c r="AB332" s="124"/>
      <c r="AC332" s="125"/>
      <c r="AD332" s="124"/>
      <c r="AE332" s="124"/>
      <c r="AF332" s="124">
        <v>8</v>
      </c>
      <c r="AG332" s="125"/>
      <c r="AH332" s="123"/>
      <c r="AI332" s="124"/>
      <c r="AJ332" s="124"/>
      <c r="AK332" s="124"/>
      <c r="AL332" s="124"/>
      <c r="AM332" s="124"/>
      <c r="AN332" s="124"/>
      <c r="AO332" s="124"/>
      <c r="AP332" s="124"/>
      <c r="AQ332" s="124"/>
      <c r="AR332" s="124"/>
      <c r="AS332" s="124"/>
      <c r="AT332" s="124"/>
      <c r="AU332" s="124"/>
      <c r="AV332" s="124"/>
      <c r="AW332" s="124"/>
      <c r="AX332" s="124"/>
      <c r="AY332" s="124"/>
      <c r="AZ332" s="124"/>
      <c r="BA332" s="124"/>
      <c r="BB332" s="124"/>
      <c r="BC332" s="124"/>
    </row>
    <row r="333" spans="1:55" ht="15" customHeight="1" x14ac:dyDescent="0.25">
      <c r="A333" s="145">
        <v>259600</v>
      </c>
      <c r="B333" s="122" t="s">
        <v>8</v>
      </c>
      <c r="C333" s="129">
        <v>280</v>
      </c>
      <c r="D333" s="130">
        <v>280</v>
      </c>
      <c r="E333" s="130">
        <v>280</v>
      </c>
      <c r="F333" s="131">
        <v>280</v>
      </c>
      <c r="G333" s="130">
        <v>280</v>
      </c>
      <c r="H333" s="131">
        <v>280</v>
      </c>
      <c r="I333" s="130">
        <v>280</v>
      </c>
      <c r="J333" s="130">
        <v>280</v>
      </c>
      <c r="K333" s="130">
        <v>280</v>
      </c>
      <c r="L333" s="130">
        <v>280</v>
      </c>
      <c r="M333" s="131">
        <v>280</v>
      </c>
      <c r="N333" s="130">
        <v>280</v>
      </c>
      <c r="O333" s="131">
        <v>280</v>
      </c>
      <c r="P333" s="130">
        <v>280</v>
      </c>
      <c r="Q333" s="130">
        <v>280</v>
      </c>
      <c r="R333" s="130">
        <v>280</v>
      </c>
      <c r="S333" s="131">
        <v>280</v>
      </c>
      <c r="T333" s="130">
        <v>280</v>
      </c>
      <c r="U333" s="130">
        <v>280</v>
      </c>
      <c r="V333" s="131">
        <v>500</v>
      </c>
      <c r="W333" s="130">
        <v>500</v>
      </c>
      <c r="X333" s="130">
        <v>500</v>
      </c>
      <c r="Y333" s="130">
        <v>770</v>
      </c>
      <c r="Z333" s="131">
        <v>770</v>
      </c>
      <c r="AA333" s="130">
        <v>770</v>
      </c>
      <c r="AB333" s="130">
        <v>770</v>
      </c>
      <c r="AC333" s="131">
        <v>770</v>
      </c>
      <c r="AD333" s="130">
        <v>770</v>
      </c>
      <c r="AE333" s="130">
        <v>770</v>
      </c>
      <c r="AF333" s="130">
        <v>770</v>
      </c>
      <c r="AG333" s="131">
        <v>770</v>
      </c>
      <c r="AH333" s="129" t="s">
        <v>18</v>
      </c>
      <c r="AI333" s="130" t="s">
        <v>18</v>
      </c>
      <c r="AJ333" s="130" t="s">
        <v>18</v>
      </c>
      <c r="AK333" s="130" t="s">
        <v>18</v>
      </c>
      <c r="AL333" s="130" t="s">
        <v>18</v>
      </c>
      <c r="AM333" s="130" t="s">
        <v>18</v>
      </c>
      <c r="AN333" s="130" t="s">
        <v>18</v>
      </c>
      <c r="AO333" s="130" t="s">
        <v>18</v>
      </c>
      <c r="AP333" s="130" t="s">
        <v>18</v>
      </c>
      <c r="AQ333" s="130" t="s">
        <v>18</v>
      </c>
      <c r="AR333" s="130" t="s">
        <v>18</v>
      </c>
      <c r="AS333" s="130" t="s">
        <v>18</v>
      </c>
      <c r="AT333" s="130" t="s">
        <v>18</v>
      </c>
      <c r="AU333" s="130" t="s">
        <v>18</v>
      </c>
      <c r="AV333" s="130" t="s">
        <v>18</v>
      </c>
      <c r="AW333" s="130" t="s">
        <v>18</v>
      </c>
      <c r="AX333" s="130" t="s">
        <v>18</v>
      </c>
      <c r="AY333" s="130" t="s">
        <v>18</v>
      </c>
      <c r="AZ333" s="130" t="s">
        <v>18</v>
      </c>
      <c r="BA333" s="130" t="s">
        <v>18</v>
      </c>
      <c r="BB333" s="130" t="s">
        <v>18</v>
      </c>
      <c r="BC333" s="130" t="s">
        <v>18</v>
      </c>
    </row>
    <row r="334" spans="1:55" ht="15" customHeight="1" x14ac:dyDescent="0.2">
      <c r="A334" s="127" t="s">
        <v>9</v>
      </c>
      <c r="B334" s="132" t="s">
        <v>10</v>
      </c>
      <c r="C334" s="133" t="s">
        <v>41</v>
      </c>
      <c r="D334" s="134" t="s">
        <v>41</v>
      </c>
      <c r="E334" s="134" t="s">
        <v>41</v>
      </c>
      <c r="F334" s="135" t="s">
        <v>41</v>
      </c>
      <c r="G334" s="134" t="s">
        <v>41</v>
      </c>
      <c r="H334" s="135" t="s">
        <v>41</v>
      </c>
      <c r="I334" s="134" t="s">
        <v>41</v>
      </c>
      <c r="J334" s="134" t="s">
        <v>41</v>
      </c>
      <c r="K334" s="134" t="s">
        <v>41</v>
      </c>
      <c r="L334" s="134" t="s">
        <v>41</v>
      </c>
      <c r="M334" s="135" t="s">
        <v>41</v>
      </c>
      <c r="N334" s="134" t="s">
        <v>41</v>
      </c>
      <c r="O334" s="135" t="s">
        <v>41</v>
      </c>
      <c r="P334" s="134" t="s">
        <v>41</v>
      </c>
      <c r="Q334" s="134" t="s">
        <v>41</v>
      </c>
      <c r="R334" s="134" t="s">
        <v>41</v>
      </c>
      <c r="S334" s="135" t="s">
        <v>41</v>
      </c>
      <c r="T334" s="134" t="s">
        <v>41</v>
      </c>
      <c r="U334" s="134" t="s">
        <v>41</v>
      </c>
      <c r="V334" s="135" t="s">
        <v>224</v>
      </c>
      <c r="W334" s="134" t="s">
        <v>224</v>
      </c>
      <c r="X334" s="134" t="s">
        <v>224</v>
      </c>
      <c r="Y334" s="134" t="s">
        <v>224</v>
      </c>
      <c r="Z334" s="135" t="s">
        <v>228</v>
      </c>
      <c r="AA334" s="134" t="s">
        <v>228</v>
      </c>
      <c r="AB334" s="134" t="s">
        <v>228</v>
      </c>
      <c r="AC334" s="135" t="s">
        <v>228</v>
      </c>
      <c r="AD334" s="134" t="s">
        <v>228</v>
      </c>
      <c r="AE334" s="134" t="s">
        <v>228</v>
      </c>
      <c r="AF334" s="134" t="s">
        <v>228</v>
      </c>
      <c r="AG334" s="135" t="s">
        <v>228</v>
      </c>
      <c r="AH334" s="133" t="s">
        <v>18</v>
      </c>
      <c r="AI334" s="134" t="s">
        <v>18</v>
      </c>
      <c r="AJ334" s="134" t="s">
        <v>18</v>
      </c>
      <c r="AK334" s="134" t="s">
        <v>18</v>
      </c>
      <c r="AL334" s="134" t="s">
        <v>18</v>
      </c>
      <c r="AM334" s="134" t="s">
        <v>18</v>
      </c>
      <c r="AN334" s="134" t="s">
        <v>18</v>
      </c>
      <c r="AO334" s="134" t="s">
        <v>18</v>
      </c>
      <c r="AP334" s="134" t="s">
        <v>18</v>
      </c>
      <c r="AQ334" s="134" t="s">
        <v>18</v>
      </c>
      <c r="AR334" s="134" t="s">
        <v>18</v>
      </c>
      <c r="AS334" s="134" t="s">
        <v>18</v>
      </c>
      <c r="AT334" s="134" t="s">
        <v>18</v>
      </c>
      <c r="AU334" s="134" t="s">
        <v>18</v>
      </c>
      <c r="AV334" s="134" t="s">
        <v>18</v>
      </c>
      <c r="AW334" s="134" t="s">
        <v>18</v>
      </c>
      <c r="AX334" s="134" t="s">
        <v>18</v>
      </c>
      <c r="AY334" s="134" t="s">
        <v>18</v>
      </c>
      <c r="AZ334" s="134" t="s">
        <v>18</v>
      </c>
      <c r="BA334" s="134" t="s">
        <v>18</v>
      </c>
      <c r="BB334" s="134" t="s">
        <v>18</v>
      </c>
      <c r="BC334" s="134" t="s">
        <v>18</v>
      </c>
    </row>
    <row r="335" spans="1:55" ht="15" customHeight="1" x14ac:dyDescent="0.2">
      <c r="A335" s="128">
        <v>48000</v>
      </c>
      <c r="B335" s="122" t="s">
        <v>12</v>
      </c>
      <c r="C335" s="123"/>
      <c r="D335" s="124"/>
      <c r="E335" s="124"/>
      <c r="F335" s="125"/>
      <c r="G335" s="124"/>
      <c r="H335" s="125"/>
      <c r="I335" s="124"/>
      <c r="J335" s="124"/>
      <c r="K335" s="124"/>
      <c r="L335" s="124"/>
      <c r="M335" s="125"/>
      <c r="N335" s="124"/>
      <c r="O335" s="125"/>
      <c r="P335" s="124"/>
      <c r="Q335" s="124"/>
      <c r="R335" s="124"/>
      <c r="S335" s="125"/>
      <c r="T335" s="124"/>
      <c r="U335" s="124"/>
      <c r="V335" s="125" t="s">
        <v>225</v>
      </c>
      <c r="W335" s="124"/>
      <c r="X335" s="124"/>
      <c r="Y335" s="124"/>
      <c r="Z335" s="125" t="s">
        <v>229</v>
      </c>
      <c r="AA335" s="124"/>
      <c r="AB335" s="124"/>
      <c r="AC335" s="125"/>
      <c r="AD335" s="124"/>
      <c r="AE335" s="124"/>
      <c r="AF335" s="124"/>
      <c r="AG335" s="125"/>
      <c r="AH335" s="123"/>
      <c r="AI335" s="124"/>
      <c r="AJ335" s="124"/>
      <c r="AK335" s="124"/>
      <c r="AL335" s="124"/>
      <c r="AM335" s="124"/>
      <c r="AN335" s="124"/>
      <c r="AO335" s="124"/>
      <c r="AP335" s="124"/>
      <c r="AQ335" s="124"/>
      <c r="AR335" s="124"/>
      <c r="AS335" s="124"/>
      <c r="AT335" s="124"/>
      <c r="AU335" s="124"/>
      <c r="AV335" s="124"/>
      <c r="AW335" s="124"/>
      <c r="AX335" s="124"/>
      <c r="AY335" s="124"/>
      <c r="AZ335" s="124"/>
      <c r="BA335" s="124"/>
      <c r="BB335" s="124"/>
      <c r="BC335" s="124"/>
    </row>
    <row r="336" spans="1:55" ht="15" customHeight="1" x14ac:dyDescent="0.2">
      <c r="A336" s="128">
        <v>496</v>
      </c>
      <c r="B336" s="136" t="s">
        <v>13</v>
      </c>
      <c r="C336" s="123">
        <v>0</v>
      </c>
      <c r="D336" s="137">
        <v>0</v>
      </c>
      <c r="E336" s="137">
        <v>43</v>
      </c>
      <c r="F336" s="125">
        <v>0</v>
      </c>
      <c r="G336" s="137">
        <v>56</v>
      </c>
      <c r="H336" s="125">
        <v>0</v>
      </c>
      <c r="I336" s="137">
        <v>0</v>
      </c>
      <c r="J336" s="137">
        <v>0</v>
      </c>
      <c r="K336" s="137">
        <v>0</v>
      </c>
      <c r="L336" s="137">
        <v>76</v>
      </c>
      <c r="M336" s="125">
        <v>0</v>
      </c>
      <c r="N336" s="137">
        <v>28</v>
      </c>
      <c r="O336" s="125">
        <v>0</v>
      </c>
      <c r="P336" s="137">
        <v>0</v>
      </c>
      <c r="Q336" s="137">
        <v>0</v>
      </c>
      <c r="R336" s="137">
        <v>59</v>
      </c>
      <c r="S336" s="125">
        <v>0</v>
      </c>
      <c r="T336" s="137">
        <v>0</v>
      </c>
      <c r="U336" s="137">
        <v>81</v>
      </c>
      <c r="V336" s="125">
        <v>0</v>
      </c>
      <c r="W336" s="137">
        <v>0</v>
      </c>
      <c r="X336" s="137">
        <v>0</v>
      </c>
      <c r="Y336" s="137">
        <v>8</v>
      </c>
      <c r="Z336" s="125">
        <v>0</v>
      </c>
      <c r="AA336" s="137">
        <v>0</v>
      </c>
      <c r="AB336" s="137">
        <v>135</v>
      </c>
      <c r="AC336" s="125">
        <v>0</v>
      </c>
      <c r="AD336" s="137">
        <v>0</v>
      </c>
      <c r="AE336" s="137">
        <v>0</v>
      </c>
      <c r="AF336" s="137">
        <v>7</v>
      </c>
      <c r="AG336" s="125">
        <v>3</v>
      </c>
      <c r="AH336" s="123" t="s">
        <v>18</v>
      </c>
      <c r="AI336" s="137" t="s">
        <v>18</v>
      </c>
      <c r="AJ336" s="137" t="s">
        <v>18</v>
      </c>
      <c r="AK336" s="137" t="s">
        <v>18</v>
      </c>
      <c r="AL336" s="137" t="s">
        <v>18</v>
      </c>
      <c r="AM336" s="137" t="s">
        <v>18</v>
      </c>
      <c r="AN336" s="137" t="s">
        <v>18</v>
      </c>
      <c r="AO336" s="137" t="s">
        <v>18</v>
      </c>
      <c r="AP336" s="137" t="s">
        <v>18</v>
      </c>
      <c r="AQ336" s="137" t="s">
        <v>18</v>
      </c>
      <c r="AR336" s="137" t="s">
        <v>18</v>
      </c>
      <c r="AS336" s="137" t="s">
        <v>18</v>
      </c>
      <c r="AT336" s="137" t="s">
        <v>18</v>
      </c>
      <c r="AU336" s="137" t="s">
        <v>18</v>
      </c>
      <c r="AV336" s="137" t="s">
        <v>18</v>
      </c>
      <c r="AW336" s="137" t="s">
        <v>18</v>
      </c>
      <c r="AX336" s="137" t="s">
        <v>18</v>
      </c>
      <c r="AY336" s="137" t="s">
        <v>18</v>
      </c>
      <c r="AZ336" s="137" t="s">
        <v>18</v>
      </c>
      <c r="BA336" s="137" t="s">
        <v>18</v>
      </c>
      <c r="BB336" s="137" t="s">
        <v>18</v>
      </c>
      <c r="BC336" s="137" t="s">
        <v>18</v>
      </c>
    </row>
    <row r="337" spans="1:55" ht="15" customHeight="1" x14ac:dyDescent="0.2">
      <c r="A337" s="128">
        <v>13</v>
      </c>
      <c r="B337" s="136" t="s">
        <v>14</v>
      </c>
      <c r="C337" s="123">
        <v>0</v>
      </c>
      <c r="D337" s="137">
        <v>0</v>
      </c>
      <c r="E337" s="137">
        <v>0</v>
      </c>
      <c r="F337" s="125">
        <v>0</v>
      </c>
      <c r="G337" s="137">
        <v>2</v>
      </c>
      <c r="H337" s="125">
        <v>0</v>
      </c>
      <c r="I337" s="137">
        <v>0</v>
      </c>
      <c r="J337" s="137">
        <v>0</v>
      </c>
      <c r="K337" s="137">
        <v>0</v>
      </c>
      <c r="L337" s="137">
        <v>1</v>
      </c>
      <c r="M337" s="125">
        <v>0</v>
      </c>
      <c r="N337" s="137">
        <v>0</v>
      </c>
      <c r="O337" s="125">
        <v>0</v>
      </c>
      <c r="P337" s="137">
        <v>0</v>
      </c>
      <c r="Q337" s="137">
        <v>0</v>
      </c>
      <c r="R337" s="137">
        <v>3</v>
      </c>
      <c r="S337" s="125">
        <v>0</v>
      </c>
      <c r="T337" s="137">
        <v>0</v>
      </c>
      <c r="U337" s="137">
        <v>5</v>
      </c>
      <c r="V337" s="125">
        <v>0</v>
      </c>
      <c r="W337" s="137">
        <v>0</v>
      </c>
      <c r="X337" s="137">
        <v>0</v>
      </c>
      <c r="Y337" s="137">
        <v>0</v>
      </c>
      <c r="Z337" s="125">
        <v>0</v>
      </c>
      <c r="AA337" s="137">
        <v>0</v>
      </c>
      <c r="AB337" s="137">
        <v>1</v>
      </c>
      <c r="AC337" s="125">
        <v>0</v>
      </c>
      <c r="AD337" s="137">
        <v>0</v>
      </c>
      <c r="AE337" s="137">
        <v>0</v>
      </c>
      <c r="AF337" s="137">
        <v>1</v>
      </c>
      <c r="AG337" s="125">
        <v>0</v>
      </c>
      <c r="AH337" s="123" t="s">
        <v>18</v>
      </c>
      <c r="AI337" s="137" t="s">
        <v>18</v>
      </c>
      <c r="AJ337" s="137" t="s">
        <v>18</v>
      </c>
      <c r="AK337" s="137" t="s">
        <v>18</v>
      </c>
      <c r="AL337" s="137" t="s">
        <v>18</v>
      </c>
      <c r="AM337" s="137" t="s">
        <v>18</v>
      </c>
      <c r="AN337" s="137" t="s">
        <v>18</v>
      </c>
      <c r="AO337" s="137" t="s">
        <v>18</v>
      </c>
      <c r="AP337" s="137" t="s">
        <v>18</v>
      </c>
      <c r="AQ337" s="137" t="s">
        <v>18</v>
      </c>
      <c r="AR337" s="137" t="s">
        <v>18</v>
      </c>
      <c r="AS337" s="137" t="s">
        <v>18</v>
      </c>
      <c r="AT337" s="137" t="s">
        <v>18</v>
      </c>
      <c r="AU337" s="137" t="s">
        <v>18</v>
      </c>
      <c r="AV337" s="137" t="s">
        <v>18</v>
      </c>
      <c r="AW337" s="137" t="s">
        <v>18</v>
      </c>
      <c r="AX337" s="137" t="s">
        <v>18</v>
      </c>
      <c r="AY337" s="137" t="s">
        <v>18</v>
      </c>
      <c r="AZ337" s="137" t="s">
        <v>18</v>
      </c>
      <c r="BA337" s="137" t="s">
        <v>18</v>
      </c>
      <c r="BB337" s="137" t="s">
        <v>18</v>
      </c>
      <c r="BC337" s="137" t="s">
        <v>18</v>
      </c>
    </row>
    <row r="338" spans="1:55" ht="15" customHeight="1" x14ac:dyDescent="0.2">
      <c r="A338" s="128">
        <v>19</v>
      </c>
      <c r="B338" s="136" t="s">
        <v>15</v>
      </c>
      <c r="C338" s="123">
        <v>0</v>
      </c>
      <c r="D338" s="137">
        <v>0</v>
      </c>
      <c r="E338" s="137">
        <v>0</v>
      </c>
      <c r="F338" s="125">
        <v>0</v>
      </c>
      <c r="G338" s="137">
        <v>5</v>
      </c>
      <c r="H338" s="125">
        <v>0</v>
      </c>
      <c r="I338" s="137">
        <v>0</v>
      </c>
      <c r="J338" s="137">
        <v>0</v>
      </c>
      <c r="K338" s="137">
        <v>0</v>
      </c>
      <c r="L338" s="137">
        <v>1</v>
      </c>
      <c r="M338" s="125">
        <v>0</v>
      </c>
      <c r="N338" s="137">
        <v>0</v>
      </c>
      <c r="O338" s="125">
        <v>0</v>
      </c>
      <c r="P338" s="137">
        <v>0</v>
      </c>
      <c r="Q338" s="137">
        <v>0</v>
      </c>
      <c r="R338" s="137">
        <v>3</v>
      </c>
      <c r="S338" s="125">
        <v>0</v>
      </c>
      <c r="T338" s="137">
        <v>0</v>
      </c>
      <c r="U338" s="137">
        <v>8</v>
      </c>
      <c r="V338" s="125">
        <v>0</v>
      </c>
      <c r="W338" s="137">
        <v>0</v>
      </c>
      <c r="X338" s="137">
        <v>0</v>
      </c>
      <c r="Y338" s="137">
        <v>0</v>
      </c>
      <c r="Z338" s="125">
        <v>0</v>
      </c>
      <c r="AA338" s="137">
        <v>0</v>
      </c>
      <c r="AB338" s="137">
        <v>1</v>
      </c>
      <c r="AC338" s="125">
        <v>0</v>
      </c>
      <c r="AD338" s="137">
        <v>0</v>
      </c>
      <c r="AE338" s="137">
        <v>0</v>
      </c>
      <c r="AF338" s="137">
        <v>1</v>
      </c>
      <c r="AG338" s="125">
        <v>0</v>
      </c>
      <c r="AH338" s="123" t="s">
        <v>18</v>
      </c>
      <c r="AI338" s="137" t="s">
        <v>18</v>
      </c>
      <c r="AJ338" s="137" t="s">
        <v>18</v>
      </c>
      <c r="AK338" s="137" t="s">
        <v>18</v>
      </c>
      <c r="AL338" s="137" t="s">
        <v>18</v>
      </c>
      <c r="AM338" s="137" t="s">
        <v>18</v>
      </c>
      <c r="AN338" s="137" t="s">
        <v>18</v>
      </c>
      <c r="AO338" s="137" t="s">
        <v>18</v>
      </c>
      <c r="AP338" s="137" t="s">
        <v>18</v>
      </c>
      <c r="AQ338" s="137" t="s">
        <v>18</v>
      </c>
      <c r="AR338" s="137" t="s">
        <v>18</v>
      </c>
      <c r="AS338" s="137" t="s">
        <v>18</v>
      </c>
      <c r="AT338" s="137" t="s">
        <v>18</v>
      </c>
      <c r="AU338" s="137" t="s">
        <v>18</v>
      </c>
      <c r="AV338" s="137" t="s">
        <v>18</v>
      </c>
      <c r="AW338" s="137" t="s">
        <v>18</v>
      </c>
      <c r="AX338" s="137" t="s">
        <v>18</v>
      </c>
      <c r="AY338" s="137" t="s">
        <v>18</v>
      </c>
      <c r="AZ338" s="137" t="s">
        <v>18</v>
      </c>
      <c r="BA338" s="137" t="s">
        <v>18</v>
      </c>
      <c r="BB338" s="137" t="s">
        <v>18</v>
      </c>
      <c r="BC338" s="137" t="s">
        <v>18</v>
      </c>
    </row>
    <row r="339" spans="1:55" ht="15" customHeight="1" x14ac:dyDescent="0.2">
      <c r="A339" s="128">
        <v>6300</v>
      </c>
      <c r="B339" s="136" t="s">
        <v>16</v>
      </c>
      <c r="C339" s="123">
        <v>0</v>
      </c>
      <c r="D339" s="137">
        <v>0</v>
      </c>
      <c r="E339" s="137">
        <v>0</v>
      </c>
      <c r="F339" s="125">
        <v>0</v>
      </c>
      <c r="G339" s="137">
        <v>1400</v>
      </c>
      <c r="H339" s="125">
        <v>0</v>
      </c>
      <c r="I339" s="137">
        <v>0</v>
      </c>
      <c r="J339" s="137">
        <v>0</v>
      </c>
      <c r="K339" s="137">
        <v>0</v>
      </c>
      <c r="L339" s="137">
        <v>280</v>
      </c>
      <c r="M339" s="125">
        <v>0</v>
      </c>
      <c r="N339" s="137">
        <v>0</v>
      </c>
      <c r="O339" s="125">
        <v>0</v>
      </c>
      <c r="P339" s="137">
        <v>0</v>
      </c>
      <c r="Q339" s="137">
        <v>0</v>
      </c>
      <c r="R339" s="137">
        <v>840</v>
      </c>
      <c r="S339" s="125">
        <v>0</v>
      </c>
      <c r="T339" s="137">
        <v>0</v>
      </c>
      <c r="U339" s="137">
        <v>2240</v>
      </c>
      <c r="V339" s="125">
        <v>0</v>
      </c>
      <c r="W339" s="137">
        <v>0</v>
      </c>
      <c r="X339" s="137">
        <v>0</v>
      </c>
      <c r="Y339" s="137">
        <v>0</v>
      </c>
      <c r="Z339" s="125">
        <v>0</v>
      </c>
      <c r="AA339" s="137">
        <v>0</v>
      </c>
      <c r="AB339" s="137">
        <v>770</v>
      </c>
      <c r="AC339" s="125">
        <v>0</v>
      </c>
      <c r="AD339" s="137">
        <v>0</v>
      </c>
      <c r="AE339" s="137">
        <v>0</v>
      </c>
      <c r="AF339" s="137">
        <v>770</v>
      </c>
      <c r="AG339" s="125">
        <v>0</v>
      </c>
      <c r="AH339" s="123" t="s">
        <v>18</v>
      </c>
      <c r="AI339" s="137" t="s">
        <v>18</v>
      </c>
      <c r="AJ339" s="137" t="s">
        <v>18</v>
      </c>
      <c r="AK339" s="137" t="s">
        <v>18</v>
      </c>
      <c r="AL339" s="137" t="s">
        <v>18</v>
      </c>
      <c r="AM339" s="137" t="s">
        <v>18</v>
      </c>
      <c r="AN339" s="137" t="s">
        <v>18</v>
      </c>
      <c r="AO339" s="137" t="s">
        <v>18</v>
      </c>
      <c r="AP339" s="137" t="s">
        <v>18</v>
      </c>
      <c r="AQ339" s="137" t="s">
        <v>18</v>
      </c>
      <c r="AR339" s="137" t="s">
        <v>18</v>
      </c>
      <c r="AS339" s="137" t="s">
        <v>18</v>
      </c>
      <c r="AT339" s="137" t="s">
        <v>18</v>
      </c>
      <c r="AU339" s="137" t="s">
        <v>18</v>
      </c>
      <c r="AV339" s="137" t="s">
        <v>18</v>
      </c>
      <c r="AW339" s="137" t="s">
        <v>18</v>
      </c>
      <c r="AX339" s="137" t="s">
        <v>18</v>
      </c>
      <c r="AY339" s="137" t="s">
        <v>18</v>
      </c>
      <c r="AZ339" s="137" t="s">
        <v>18</v>
      </c>
      <c r="BA339" s="137" t="s">
        <v>18</v>
      </c>
      <c r="BB339" s="137" t="s">
        <v>18</v>
      </c>
      <c r="BC339" s="137" t="s">
        <v>18</v>
      </c>
    </row>
    <row r="340" spans="1:55" ht="15" customHeight="1" thickBot="1" x14ac:dyDescent="0.25">
      <c r="A340" s="138">
        <v>0.12701612903225806</v>
      </c>
      <c r="B340" s="136" t="s">
        <v>17</v>
      </c>
      <c r="C340" s="146" t="s">
        <v>18</v>
      </c>
      <c r="D340" s="147" t="s">
        <v>18</v>
      </c>
      <c r="E340" s="147" t="s">
        <v>18</v>
      </c>
      <c r="F340" s="148" t="s">
        <v>18</v>
      </c>
      <c r="G340" s="147">
        <v>0.25</v>
      </c>
      <c r="H340" s="148" t="s">
        <v>18</v>
      </c>
      <c r="I340" s="147" t="s">
        <v>18</v>
      </c>
      <c r="J340" s="147" t="s">
        <v>18</v>
      </c>
      <c r="K340" s="147" t="s">
        <v>18</v>
      </c>
      <c r="L340" s="147">
        <v>3.6842105263157891E-2</v>
      </c>
      <c r="M340" s="148" t="s">
        <v>18</v>
      </c>
      <c r="N340" s="147" t="s">
        <v>18</v>
      </c>
      <c r="O340" s="148" t="s">
        <v>18</v>
      </c>
      <c r="P340" s="147" t="s">
        <v>18</v>
      </c>
      <c r="Q340" s="147" t="s">
        <v>18</v>
      </c>
      <c r="R340" s="147">
        <v>0.14237288135593221</v>
      </c>
      <c r="S340" s="148" t="s">
        <v>18</v>
      </c>
      <c r="T340" s="147" t="s">
        <v>18</v>
      </c>
      <c r="U340" s="147">
        <v>0.27654320987654318</v>
      </c>
      <c r="V340" s="148" t="s">
        <v>18</v>
      </c>
      <c r="W340" s="147" t="s">
        <v>18</v>
      </c>
      <c r="X340" s="147" t="s">
        <v>18</v>
      </c>
      <c r="Y340" s="147" t="s">
        <v>18</v>
      </c>
      <c r="Z340" s="148" t="s">
        <v>18</v>
      </c>
      <c r="AA340" s="147" t="s">
        <v>18</v>
      </c>
      <c r="AB340" s="147">
        <v>5.7037037037037039E-2</v>
      </c>
      <c r="AC340" s="148" t="s">
        <v>18</v>
      </c>
      <c r="AD340" s="147" t="s">
        <v>18</v>
      </c>
      <c r="AE340" s="147" t="s">
        <v>18</v>
      </c>
      <c r="AF340" s="147">
        <v>1.1000000000000001</v>
      </c>
      <c r="AG340" s="148" t="s">
        <v>18</v>
      </c>
      <c r="AH340" s="146" t="s">
        <v>18</v>
      </c>
      <c r="AI340" s="147" t="s">
        <v>18</v>
      </c>
      <c r="AJ340" s="147" t="s">
        <v>18</v>
      </c>
      <c r="AK340" s="147" t="s">
        <v>18</v>
      </c>
      <c r="AL340" s="147" t="s">
        <v>18</v>
      </c>
      <c r="AM340" s="147" t="s">
        <v>18</v>
      </c>
      <c r="AN340" s="147" t="s">
        <v>18</v>
      </c>
      <c r="AO340" s="147" t="s">
        <v>18</v>
      </c>
      <c r="AP340" s="147" t="s">
        <v>18</v>
      </c>
      <c r="AQ340" s="147" t="s">
        <v>18</v>
      </c>
      <c r="AR340" s="147" t="s">
        <v>18</v>
      </c>
      <c r="AS340" s="147" t="s">
        <v>18</v>
      </c>
      <c r="AT340" s="147" t="s">
        <v>18</v>
      </c>
      <c r="AU340" s="147" t="s">
        <v>18</v>
      </c>
      <c r="AV340" s="147" t="s">
        <v>18</v>
      </c>
      <c r="AW340" s="147" t="s">
        <v>18</v>
      </c>
      <c r="AX340" s="147" t="s">
        <v>18</v>
      </c>
      <c r="AY340" s="147" t="s">
        <v>18</v>
      </c>
      <c r="AZ340" s="147" t="s">
        <v>18</v>
      </c>
      <c r="BA340" s="147" t="s">
        <v>18</v>
      </c>
      <c r="BB340" s="147" t="s">
        <v>18</v>
      </c>
      <c r="BC340" s="147" t="s">
        <v>18</v>
      </c>
    </row>
    <row r="341" spans="1:55" ht="15" customHeight="1" x14ac:dyDescent="0.2">
      <c r="A341" s="149" t="s">
        <v>1</v>
      </c>
      <c r="B341" s="150" t="s">
        <v>2</v>
      </c>
      <c r="C341" s="129">
        <v>10412</v>
      </c>
      <c r="D341" s="130">
        <v>10412</v>
      </c>
      <c r="E341" s="130">
        <v>10477</v>
      </c>
      <c r="F341" s="131">
        <v>10477</v>
      </c>
      <c r="G341" s="130">
        <v>10523</v>
      </c>
      <c r="H341" s="131">
        <v>10523</v>
      </c>
      <c r="I341" s="130">
        <v>10523</v>
      </c>
      <c r="J341" s="130">
        <v>10523</v>
      </c>
      <c r="K341" s="130">
        <v>10523</v>
      </c>
      <c r="L341" s="130">
        <v>10783</v>
      </c>
      <c r="M341" s="131">
        <v>10783</v>
      </c>
      <c r="N341" s="130">
        <v>10936</v>
      </c>
      <c r="O341" s="131">
        <v>10936</v>
      </c>
      <c r="P341" s="130">
        <v>10936</v>
      </c>
      <c r="Q341" s="130">
        <v>10936</v>
      </c>
      <c r="R341" s="130">
        <v>10963</v>
      </c>
      <c r="S341" s="131">
        <v>10963</v>
      </c>
      <c r="T341" s="130">
        <v>10963</v>
      </c>
      <c r="U341" s="130">
        <v>11026</v>
      </c>
      <c r="V341" s="131">
        <v>11026</v>
      </c>
      <c r="W341" s="130">
        <v>11026</v>
      </c>
      <c r="X341" s="130">
        <v>11026</v>
      </c>
      <c r="Y341" s="130">
        <v>11055</v>
      </c>
      <c r="Z341" s="131">
        <v>11055</v>
      </c>
      <c r="AA341" s="130">
        <v>11055</v>
      </c>
      <c r="AB341" s="130">
        <v>11106</v>
      </c>
      <c r="AC341" s="131">
        <v>11106</v>
      </c>
      <c r="AD341" s="130">
        <v>11106</v>
      </c>
      <c r="AE341" s="130">
        <v>11106</v>
      </c>
      <c r="AF341" s="130">
        <v>11145</v>
      </c>
      <c r="AG341" s="131">
        <v>11148</v>
      </c>
      <c r="AH341" s="129" t="s">
        <v>18</v>
      </c>
      <c r="AI341" s="130" t="s">
        <v>18</v>
      </c>
      <c r="AJ341" s="130" t="s">
        <v>18</v>
      </c>
      <c r="AK341" s="130" t="s">
        <v>18</v>
      </c>
      <c r="AL341" s="130" t="s">
        <v>18</v>
      </c>
      <c r="AM341" s="130" t="s">
        <v>18</v>
      </c>
      <c r="AN341" s="130" t="s">
        <v>18</v>
      </c>
      <c r="AO341" s="130" t="s">
        <v>18</v>
      </c>
      <c r="AP341" s="130" t="s">
        <v>18</v>
      </c>
      <c r="AQ341" s="130" t="s">
        <v>18</v>
      </c>
      <c r="AR341" s="130" t="s">
        <v>18</v>
      </c>
      <c r="AS341" s="130" t="s">
        <v>18</v>
      </c>
      <c r="AT341" s="130" t="s">
        <v>18</v>
      </c>
      <c r="AU341" s="130" t="s">
        <v>18</v>
      </c>
      <c r="AV341" s="130" t="s">
        <v>18</v>
      </c>
      <c r="AW341" s="130" t="s">
        <v>18</v>
      </c>
      <c r="AX341" s="130" t="s">
        <v>18</v>
      </c>
      <c r="AY341" s="130" t="s">
        <v>18</v>
      </c>
      <c r="AZ341" s="130" t="s">
        <v>18</v>
      </c>
      <c r="BA341" s="130" t="s">
        <v>18</v>
      </c>
      <c r="BB341" s="130" t="s">
        <v>18</v>
      </c>
      <c r="BC341" s="130" t="s">
        <v>18</v>
      </c>
    </row>
    <row r="342" spans="1:55" ht="15" customHeight="1" x14ac:dyDescent="0.2">
      <c r="A342" s="121" t="s">
        <v>40</v>
      </c>
      <c r="B342" s="122" t="s">
        <v>4</v>
      </c>
      <c r="C342" s="123">
        <v>134</v>
      </c>
      <c r="D342" s="124">
        <v>134</v>
      </c>
      <c r="E342" s="124">
        <v>136</v>
      </c>
      <c r="F342" s="125">
        <v>136</v>
      </c>
      <c r="G342" s="124">
        <v>136</v>
      </c>
      <c r="H342" s="125">
        <v>136</v>
      </c>
      <c r="I342" s="124">
        <v>136</v>
      </c>
      <c r="J342" s="124">
        <v>136</v>
      </c>
      <c r="K342" s="124">
        <v>136</v>
      </c>
      <c r="L342" s="124">
        <v>140</v>
      </c>
      <c r="M342" s="125">
        <v>140</v>
      </c>
      <c r="N342" s="124">
        <v>145</v>
      </c>
      <c r="O342" s="125">
        <v>145</v>
      </c>
      <c r="P342" s="124">
        <v>145</v>
      </c>
      <c r="Q342" s="124">
        <v>145</v>
      </c>
      <c r="R342" s="124">
        <v>146</v>
      </c>
      <c r="S342" s="125">
        <v>146</v>
      </c>
      <c r="T342" s="124">
        <v>146</v>
      </c>
      <c r="U342" s="124">
        <v>150</v>
      </c>
      <c r="V342" s="125">
        <v>150</v>
      </c>
      <c r="W342" s="124">
        <v>150</v>
      </c>
      <c r="X342" s="124">
        <v>150</v>
      </c>
      <c r="Y342" s="124">
        <v>150</v>
      </c>
      <c r="Z342" s="125">
        <v>150</v>
      </c>
      <c r="AA342" s="124">
        <v>150</v>
      </c>
      <c r="AB342" s="124">
        <v>152</v>
      </c>
      <c r="AC342" s="125">
        <v>152</v>
      </c>
      <c r="AD342" s="124">
        <v>152</v>
      </c>
      <c r="AE342" s="124">
        <v>152</v>
      </c>
      <c r="AF342" s="124">
        <v>152</v>
      </c>
      <c r="AG342" s="125">
        <v>152</v>
      </c>
      <c r="AH342" s="123" t="s">
        <v>18</v>
      </c>
      <c r="AI342" s="124" t="s">
        <v>18</v>
      </c>
      <c r="AJ342" s="124" t="s">
        <v>18</v>
      </c>
      <c r="AK342" s="124" t="s">
        <v>18</v>
      </c>
      <c r="AL342" s="124" t="s">
        <v>18</v>
      </c>
      <c r="AM342" s="124" t="s">
        <v>18</v>
      </c>
      <c r="AN342" s="124" t="s">
        <v>18</v>
      </c>
      <c r="AO342" s="124" t="s">
        <v>18</v>
      </c>
      <c r="AP342" s="124" t="s">
        <v>18</v>
      </c>
      <c r="AQ342" s="124" t="s">
        <v>18</v>
      </c>
      <c r="AR342" s="124" t="s">
        <v>18</v>
      </c>
      <c r="AS342" s="124" t="s">
        <v>18</v>
      </c>
      <c r="AT342" s="124" t="s">
        <v>18</v>
      </c>
      <c r="AU342" s="124" t="s">
        <v>18</v>
      </c>
      <c r="AV342" s="124" t="s">
        <v>18</v>
      </c>
      <c r="AW342" s="124" t="s">
        <v>18</v>
      </c>
      <c r="AX342" s="124" t="s">
        <v>18</v>
      </c>
      <c r="AY342" s="124" t="s">
        <v>18</v>
      </c>
      <c r="AZ342" s="124" t="s">
        <v>18</v>
      </c>
      <c r="BA342" s="124" t="s">
        <v>18</v>
      </c>
      <c r="BB342" s="124" t="s">
        <v>18</v>
      </c>
      <c r="BC342" s="124" t="s">
        <v>18</v>
      </c>
    </row>
    <row r="343" spans="1:55" ht="15" customHeight="1" x14ac:dyDescent="0.25">
      <c r="A343" s="143">
        <v>2</v>
      </c>
      <c r="B343" s="122" t="s">
        <v>5</v>
      </c>
      <c r="C343" s="123">
        <v>14</v>
      </c>
      <c r="D343" s="124">
        <v>14</v>
      </c>
      <c r="E343" s="124">
        <v>12</v>
      </c>
      <c r="F343" s="125">
        <v>12</v>
      </c>
      <c r="G343" s="124">
        <v>12</v>
      </c>
      <c r="H343" s="125">
        <v>17</v>
      </c>
      <c r="I343" s="124">
        <v>17</v>
      </c>
      <c r="J343" s="124">
        <v>17</v>
      </c>
      <c r="K343" s="124">
        <v>17</v>
      </c>
      <c r="L343" s="124">
        <v>15</v>
      </c>
      <c r="M343" s="125">
        <v>15</v>
      </c>
      <c r="N343" s="124">
        <v>14</v>
      </c>
      <c r="O343" s="125">
        <v>14</v>
      </c>
      <c r="P343" s="124">
        <v>14</v>
      </c>
      <c r="Q343" s="124">
        <v>14</v>
      </c>
      <c r="R343" s="124">
        <v>13</v>
      </c>
      <c r="S343" s="125">
        <v>18</v>
      </c>
      <c r="T343" s="124">
        <v>18</v>
      </c>
      <c r="U343" s="124">
        <v>14</v>
      </c>
      <c r="V343" s="125">
        <v>14</v>
      </c>
      <c r="W343" s="124">
        <v>14</v>
      </c>
      <c r="X343" s="124">
        <v>14</v>
      </c>
      <c r="Y343" s="124">
        <v>14</v>
      </c>
      <c r="Z343" s="125">
        <v>14</v>
      </c>
      <c r="AA343" s="124">
        <v>14</v>
      </c>
      <c r="AB343" s="124">
        <v>13</v>
      </c>
      <c r="AC343" s="125">
        <v>14</v>
      </c>
      <c r="AD343" s="124">
        <v>14</v>
      </c>
      <c r="AE343" s="124">
        <v>14</v>
      </c>
      <c r="AF343" s="124">
        <v>14</v>
      </c>
      <c r="AG343" s="125">
        <v>14</v>
      </c>
      <c r="AH343" s="123" t="s">
        <v>18</v>
      </c>
      <c r="AI343" s="124" t="s">
        <v>18</v>
      </c>
      <c r="AJ343" s="124" t="s">
        <v>18</v>
      </c>
      <c r="AK343" s="124" t="s">
        <v>18</v>
      </c>
      <c r="AL343" s="124" t="s">
        <v>18</v>
      </c>
      <c r="AM343" s="124" t="s">
        <v>18</v>
      </c>
      <c r="AN343" s="124" t="s">
        <v>18</v>
      </c>
      <c r="AO343" s="124" t="s">
        <v>18</v>
      </c>
      <c r="AP343" s="124" t="s">
        <v>18</v>
      </c>
      <c r="AQ343" s="124" t="s">
        <v>18</v>
      </c>
      <c r="AR343" s="124" t="s">
        <v>18</v>
      </c>
      <c r="AS343" s="124" t="s">
        <v>18</v>
      </c>
      <c r="AT343" s="124" t="s">
        <v>18</v>
      </c>
      <c r="AU343" s="124" t="s">
        <v>18</v>
      </c>
      <c r="AV343" s="124" t="s">
        <v>18</v>
      </c>
      <c r="AW343" s="124" t="s">
        <v>18</v>
      </c>
      <c r="AX343" s="124" t="s">
        <v>18</v>
      </c>
      <c r="AY343" s="124" t="s">
        <v>18</v>
      </c>
      <c r="AZ343" s="124" t="s">
        <v>18</v>
      </c>
      <c r="BA343" s="124" t="s">
        <v>18</v>
      </c>
      <c r="BB343" s="124" t="s">
        <v>18</v>
      </c>
      <c r="BC343" s="124" t="s">
        <v>18</v>
      </c>
    </row>
    <row r="344" spans="1:55" ht="15" customHeight="1" x14ac:dyDescent="0.2">
      <c r="A344" s="127"/>
      <c r="B344" s="122" t="s">
        <v>6</v>
      </c>
      <c r="C344" s="123"/>
      <c r="D344" s="124"/>
      <c r="E344" s="124"/>
      <c r="F344" s="125"/>
      <c r="G344" s="124">
        <v>5</v>
      </c>
      <c r="H344" s="125"/>
      <c r="I344" s="124"/>
      <c r="J344" s="124"/>
      <c r="K344" s="124"/>
      <c r="L344" s="124"/>
      <c r="M344" s="125"/>
      <c r="N344" s="124"/>
      <c r="O344" s="125"/>
      <c r="P344" s="124"/>
      <c r="Q344" s="124"/>
      <c r="R344" s="124">
        <v>5</v>
      </c>
      <c r="S344" s="125"/>
      <c r="T344" s="124"/>
      <c r="U344" s="124"/>
      <c r="V344" s="125"/>
      <c r="W344" s="124"/>
      <c r="X344" s="124"/>
      <c r="Y344" s="124"/>
      <c r="Z344" s="125"/>
      <c r="AA344" s="124"/>
      <c r="AB344" s="124">
        <v>1</v>
      </c>
      <c r="AC344" s="125"/>
      <c r="AD344" s="124"/>
      <c r="AE344" s="124"/>
      <c r="AF344" s="124"/>
      <c r="AG344" s="125"/>
      <c r="AH344" s="123"/>
      <c r="AI344" s="124"/>
      <c r="AJ344" s="124"/>
      <c r="AK344" s="124"/>
      <c r="AL344" s="124"/>
      <c r="AM344" s="124"/>
      <c r="AN344" s="124"/>
      <c r="AO344" s="124"/>
      <c r="AP344" s="124"/>
      <c r="AQ344" s="124"/>
      <c r="AR344" s="124"/>
      <c r="AS344" s="124"/>
      <c r="AT344" s="124"/>
      <c r="AU344" s="124"/>
      <c r="AV344" s="124"/>
      <c r="AW344" s="124"/>
      <c r="AX344" s="124"/>
      <c r="AY344" s="124"/>
      <c r="AZ344" s="124"/>
      <c r="BA344" s="124"/>
      <c r="BB344" s="124"/>
      <c r="BC344" s="124"/>
    </row>
    <row r="345" spans="1:55" ht="15" customHeight="1" x14ac:dyDescent="0.2">
      <c r="A345" s="128"/>
      <c r="B345" s="122" t="s">
        <v>8</v>
      </c>
      <c r="C345" s="129">
        <v>800</v>
      </c>
      <c r="D345" s="130">
        <v>800</v>
      </c>
      <c r="E345" s="130">
        <v>800</v>
      </c>
      <c r="F345" s="131">
        <v>800</v>
      </c>
      <c r="G345" s="130">
        <v>800</v>
      </c>
      <c r="H345" s="131">
        <v>800</v>
      </c>
      <c r="I345" s="130">
        <v>800</v>
      </c>
      <c r="J345" s="130">
        <v>800</v>
      </c>
      <c r="K345" s="130">
        <v>800</v>
      </c>
      <c r="L345" s="130">
        <v>800</v>
      </c>
      <c r="M345" s="131">
        <v>800</v>
      </c>
      <c r="N345" s="130">
        <v>800</v>
      </c>
      <c r="O345" s="131">
        <v>800</v>
      </c>
      <c r="P345" s="130">
        <v>800</v>
      </c>
      <c r="Q345" s="130">
        <v>800</v>
      </c>
      <c r="R345" s="130">
        <v>800</v>
      </c>
      <c r="S345" s="131">
        <v>800</v>
      </c>
      <c r="T345" s="130">
        <v>800</v>
      </c>
      <c r="U345" s="130">
        <v>800</v>
      </c>
      <c r="V345" s="131">
        <v>800</v>
      </c>
      <c r="W345" s="130">
        <v>800</v>
      </c>
      <c r="X345" s="130">
        <v>800</v>
      </c>
      <c r="Y345" s="130">
        <v>800</v>
      </c>
      <c r="Z345" s="131">
        <v>800</v>
      </c>
      <c r="AA345" s="130">
        <v>800</v>
      </c>
      <c r="AB345" s="130">
        <v>800</v>
      </c>
      <c r="AC345" s="131">
        <v>800</v>
      </c>
      <c r="AD345" s="130">
        <v>800</v>
      </c>
      <c r="AE345" s="130">
        <v>800</v>
      </c>
      <c r="AF345" s="130">
        <v>800</v>
      </c>
      <c r="AG345" s="131">
        <v>800</v>
      </c>
      <c r="AH345" s="129" t="s">
        <v>18</v>
      </c>
      <c r="AI345" s="130" t="s">
        <v>18</v>
      </c>
      <c r="AJ345" s="130" t="s">
        <v>18</v>
      </c>
      <c r="AK345" s="130" t="s">
        <v>18</v>
      </c>
      <c r="AL345" s="130" t="s">
        <v>18</v>
      </c>
      <c r="AM345" s="130" t="s">
        <v>18</v>
      </c>
      <c r="AN345" s="130" t="s">
        <v>18</v>
      </c>
      <c r="AO345" s="130" t="s">
        <v>18</v>
      </c>
      <c r="AP345" s="130" t="s">
        <v>18</v>
      </c>
      <c r="AQ345" s="130" t="s">
        <v>18</v>
      </c>
      <c r="AR345" s="130" t="s">
        <v>18</v>
      </c>
      <c r="AS345" s="130" t="s">
        <v>18</v>
      </c>
      <c r="AT345" s="130" t="s">
        <v>18</v>
      </c>
      <c r="AU345" s="130" t="s">
        <v>18</v>
      </c>
      <c r="AV345" s="130" t="s">
        <v>18</v>
      </c>
      <c r="AW345" s="130" t="s">
        <v>18</v>
      </c>
      <c r="AX345" s="130" t="s">
        <v>18</v>
      </c>
      <c r="AY345" s="130" t="s">
        <v>18</v>
      </c>
      <c r="AZ345" s="130" t="s">
        <v>18</v>
      </c>
      <c r="BA345" s="130" t="s">
        <v>18</v>
      </c>
      <c r="BB345" s="130" t="s">
        <v>18</v>
      </c>
      <c r="BC345" s="130" t="s">
        <v>18</v>
      </c>
    </row>
    <row r="346" spans="1:55" ht="15" customHeight="1" x14ac:dyDescent="0.2">
      <c r="A346" s="127" t="s">
        <v>9</v>
      </c>
      <c r="B346" s="132" t="s">
        <v>10</v>
      </c>
      <c r="C346" s="133" t="s">
        <v>42</v>
      </c>
      <c r="D346" s="134" t="s">
        <v>42</v>
      </c>
      <c r="E346" s="134" t="s">
        <v>42</v>
      </c>
      <c r="F346" s="135" t="s">
        <v>42</v>
      </c>
      <c r="G346" s="134" t="s">
        <v>42</v>
      </c>
      <c r="H346" s="135" t="s">
        <v>42</v>
      </c>
      <c r="I346" s="134" t="s">
        <v>42</v>
      </c>
      <c r="J346" s="134" t="s">
        <v>42</v>
      </c>
      <c r="K346" s="134" t="s">
        <v>42</v>
      </c>
      <c r="L346" s="134" t="s">
        <v>42</v>
      </c>
      <c r="M346" s="135" t="s">
        <v>42</v>
      </c>
      <c r="N346" s="134" t="s">
        <v>42</v>
      </c>
      <c r="O346" s="135" t="s">
        <v>42</v>
      </c>
      <c r="P346" s="134" t="s">
        <v>42</v>
      </c>
      <c r="Q346" s="134" t="s">
        <v>42</v>
      </c>
      <c r="R346" s="134" t="s">
        <v>42</v>
      </c>
      <c r="S346" s="135" t="s">
        <v>42</v>
      </c>
      <c r="T346" s="134" t="s">
        <v>42</v>
      </c>
      <c r="U346" s="134" t="s">
        <v>42</v>
      </c>
      <c r="V346" s="135" t="s">
        <v>42</v>
      </c>
      <c r="W346" s="134" t="s">
        <v>42</v>
      </c>
      <c r="X346" s="134" t="s">
        <v>42</v>
      </c>
      <c r="Y346" s="134" t="s">
        <v>42</v>
      </c>
      <c r="Z346" s="135" t="s">
        <v>42</v>
      </c>
      <c r="AA346" s="134" t="s">
        <v>42</v>
      </c>
      <c r="AB346" s="134" t="s">
        <v>42</v>
      </c>
      <c r="AC346" s="135" t="s">
        <v>42</v>
      </c>
      <c r="AD346" s="134" t="s">
        <v>42</v>
      </c>
      <c r="AE346" s="134" t="s">
        <v>42</v>
      </c>
      <c r="AF346" s="134" t="s">
        <v>42</v>
      </c>
      <c r="AG346" s="135" t="s">
        <v>42</v>
      </c>
      <c r="AH346" s="133" t="s">
        <v>18</v>
      </c>
      <c r="AI346" s="134" t="s">
        <v>18</v>
      </c>
      <c r="AJ346" s="134" t="s">
        <v>18</v>
      </c>
      <c r="AK346" s="134" t="s">
        <v>18</v>
      </c>
      <c r="AL346" s="134" t="s">
        <v>18</v>
      </c>
      <c r="AM346" s="134" t="s">
        <v>18</v>
      </c>
      <c r="AN346" s="134" t="s">
        <v>18</v>
      </c>
      <c r="AO346" s="134" t="s">
        <v>18</v>
      </c>
      <c r="AP346" s="134" t="s">
        <v>18</v>
      </c>
      <c r="AQ346" s="134" t="s">
        <v>18</v>
      </c>
      <c r="AR346" s="134" t="s">
        <v>18</v>
      </c>
      <c r="AS346" s="134" t="s">
        <v>18</v>
      </c>
      <c r="AT346" s="134" t="s">
        <v>18</v>
      </c>
      <c r="AU346" s="134" t="s">
        <v>18</v>
      </c>
      <c r="AV346" s="134" t="s">
        <v>18</v>
      </c>
      <c r="AW346" s="134" t="s">
        <v>18</v>
      </c>
      <c r="AX346" s="134" t="s">
        <v>18</v>
      </c>
      <c r="AY346" s="134" t="s">
        <v>18</v>
      </c>
      <c r="AZ346" s="134" t="s">
        <v>18</v>
      </c>
      <c r="BA346" s="134" t="s">
        <v>18</v>
      </c>
      <c r="BB346" s="134" t="s">
        <v>18</v>
      </c>
      <c r="BC346" s="134" t="s">
        <v>18</v>
      </c>
    </row>
    <row r="347" spans="1:55" ht="15" customHeight="1" x14ac:dyDescent="0.2">
      <c r="A347" s="128">
        <v>71225.806451612909</v>
      </c>
      <c r="B347" s="122" t="s">
        <v>12</v>
      </c>
      <c r="C347" s="123"/>
      <c r="D347" s="124"/>
      <c r="E347" s="124"/>
      <c r="F347" s="125"/>
      <c r="G347" s="124"/>
      <c r="H347" s="125"/>
      <c r="I347" s="124"/>
      <c r="J347" s="124"/>
      <c r="K347" s="124"/>
      <c r="L347" s="124"/>
      <c r="M347" s="125"/>
      <c r="N347" s="124"/>
      <c r="O347" s="125"/>
      <c r="P347" s="124"/>
      <c r="Q347" s="124"/>
      <c r="R347" s="124"/>
      <c r="S347" s="125"/>
      <c r="T347" s="124"/>
      <c r="U347" s="124"/>
      <c r="V347" s="125"/>
      <c r="W347" s="124"/>
      <c r="X347" s="124"/>
      <c r="Y347" s="124"/>
      <c r="Z347" s="125"/>
      <c r="AA347" s="124"/>
      <c r="AB347" s="124"/>
      <c r="AC347" s="125"/>
      <c r="AD347" s="124"/>
      <c r="AE347" s="124"/>
      <c r="AF347" s="124"/>
      <c r="AG347" s="125"/>
      <c r="AH347" s="123"/>
      <c r="AI347" s="124"/>
      <c r="AJ347" s="124"/>
      <c r="AK347" s="124"/>
      <c r="AL347" s="124"/>
      <c r="AM347" s="124"/>
      <c r="AN347" s="124"/>
      <c r="AO347" s="124"/>
      <c r="AP347" s="124"/>
      <c r="AQ347" s="124"/>
      <c r="AR347" s="124"/>
      <c r="AS347" s="124"/>
      <c r="AT347" s="124"/>
      <c r="AU347" s="124"/>
      <c r="AV347" s="124"/>
      <c r="AW347" s="124"/>
      <c r="AX347" s="124"/>
      <c r="AY347" s="124"/>
      <c r="AZ347" s="124"/>
      <c r="BA347" s="124"/>
      <c r="BB347" s="124"/>
      <c r="BC347" s="124"/>
    </row>
    <row r="348" spans="1:55" ht="15" customHeight="1" x14ac:dyDescent="0.2">
      <c r="A348" s="128">
        <v>736</v>
      </c>
      <c r="B348" s="136" t="s">
        <v>13</v>
      </c>
      <c r="C348" s="123">
        <v>0</v>
      </c>
      <c r="D348" s="137">
        <v>0</v>
      </c>
      <c r="E348" s="137">
        <v>65</v>
      </c>
      <c r="F348" s="125">
        <v>0</v>
      </c>
      <c r="G348" s="137">
        <v>46</v>
      </c>
      <c r="H348" s="125">
        <v>0</v>
      </c>
      <c r="I348" s="137">
        <v>0</v>
      </c>
      <c r="J348" s="137">
        <v>0</v>
      </c>
      <c r="K348" s="137">
        <v>0</v>
      </c>
      <c r="L348" s="137">
        <v>260</v>
      </c>
      <c r="M348" s="125">
        <v>0</v>
      </c>
      <c r="N348" s="137">
        <v>153</v>
      </c>
      <c r="O348" s="125">
        <v>0</v>
      </c>
      <c r="P348" s="137">
        <v>0</v>
      </c>
      <c r="Q348" s="137">
        <v>0</v>
      </c>
      <c r="R348" s="137">
        <v>27</v>
      </c>
      <c r="S348" s="125">
        <v>0</v>
      </c>
      <c r="T348" s="137">
        <v>0</v>
      </c>
      <c r="U348" s="137">
        <v>63</v>
      </c>
      <c r="V348" s="125">
        <v>0</v>
      </c>
      <c r="W348" s="137">
        <v>0</v>
      </c>
      <c r="X348" s="137">
        <v>0</v>
      </c>
      <c r="Y348" s="137">
        <v>29</v>
      </c>
      <c r="Z348" s="125">
        <v>0</v>
      </c>
      <c r="AA348" s="137">
        <v>0</v>
      </c>
      <c r="AB348" s="137">
        <v>51</v>
      </c>
      <c r="AC348" s="125">
        <v>0</v>
      </c>
      <c r="AD348" s="137">
        <v>0</v>
      </c>
      <c r="AE348" s="137">
        <v>0</v>
      </c>
      <c r="AF348" s="137">
        <v>39</v>
      </c>
      <c r="AG348" s="125">
        <v>3</v>
      </c>
      <c r="AH348" s="123" t="s">
        <v>18</v>
      </c>
      <c r="AI348" s="137" t="s">
        <v>18</v>
      </c>
      <c r="AJ348" s="137" t="s">
        <v>18</v>
      </c>
      <c r="AK348" s="137" t="s">
        <v>18</v>
      </c>
      <c r="AL348" s="137" t="s">
        <v>18</v>
      </c>
      <c r="AM348" s="137" t="s">
        <v>18</v>
      </c>
      <c r="AN348" s="137" t="s">
        <v>18</v>
      </c>
      <c r="AO348" s="137" t="s">
        <v>18</v>
      </c>
      <c r="AP348" s="137" t="s">
        <v>18</v>
      </c>
      <c r="AQ348" s="137" t="s">
        <v>18</v>
      </c>
      <c r="AR348" s="137" t="s">
        <v>18</v>
      </c>
      <c r="AS348" s="137" t="s">
        <v>18</v>
      </c>
      <c r="AT348" s="137" t="s">
        <v>18</v>
      </c>
      <c r="AU348" s="137" t="s">
        <v>18</v>
      </c>
      <c r="AV348" s="137" t="s">
        <v>18</v>
      </c>
      <c r="AW348" s="137" t="s">
        <v>18</v>
      </c>
      <c r="AX348" s="137" t="s">
        <v>18</v>
      </c>
      <c r="AY348" s="137" t="s">
        <v>18</v>
      </c>
      <c r="AZ348" s="137" t="s">
        <v>18</v>
      </c>
      <c r="BA348" s="137" t="s">
        <v>18</v>
      </c>
      <c r="BB348" s="137" t="s">
        <v>18</v>
      </c>
      <c r="BC348" s="137" t="s">
        <v>18</v>
      </c>
    </row>
    <row r="349" spans="1:55" ht="15" customHeight="1" x14ac:dyDescent="0.2">
      <c r="A349" s="128">
        <v>18</v>
      </c>
      <c r="B349" s="136" t="s">
        <v>14</v>
      </c>
      <c r="C349" s="123">
        <v>0</v>
      </c>
      <c r="D349" s="137">
        <v>0</v>
      </c>
      <c r="E349" s="137">
        <v>2</v>
      </c>
      <c r="F349" s="125">
        <v>0</v>
      </c>
      <c r="G349" s="137">
        <v>0</v>
      </c>
      <c r="H349" s="125">
        <v>0</v>
      </c>
      <c r="I349" s="137">
        <v>0</v>
      </c>
      <c r="J349" s="137">
        <v>0</v>
      </c>
      <c r="K349" s="137">
        <v>0</v>
      </c>
      <c r="L349" s="137">
        <v>4</v>
      </c>
      <c r="M349" s="125">
        <v>0</v>
      </c>
      <c r="N349" s="137">
        <v>5</v>
      </c>
      <c r="O349" s="125">
        <v>0</v>
      </c>
      <c r="P349" s="137">
        <v>0</v>
      </c>
      <c r="Q349" s="137">
        <v>0</v>
      </c>
      <c r="R349" s="137">
        <v>1</v>
      </c>
      <c r="S349" s="125">
        <v>0</v>
      </c>
      <c r="T349" s="137">
        <v>0</v>
      </c>
      <c r="U349" s="137">
        <v>4</v>
      </c>
      <c r="V349" s="125">
        <v>0</v>
      </c>
      <c r="W349" s="137">
        <v>0</v>
      </c>
      <c r="X349" s="137">
        <v>0</v>
      </c>
      <c r="Y349" s="137">
        <v>0</v>
      </c>
      <c r="Z349" s="125">
        <v>0</v>
      </c>
      <c r="AA349" s="137">
        <v>0</v>
      </c>
      <c r="AB349" s="137">
        <v>2</v>
      </c>
      <c r="AC349" s="125">
        <v>0</v>
      </c>
      <c r="AD349" s="137">
        <v>0</v>
      </c>
      <c r="AE349" s="137">
        <v>0</v>
      </c>
      <c r="AF349" s="137">
        <v>0</v>
      </c>
      <c r="AG349" s="125">
        <v>0</v>
      </c>
      <c r="AH349" s="123" t="s">
        <v>18</v>
      </c>
      <c r="AI349" s="137" t="s">
        <v>18</v>
      </c>
      <c r="AJ349" s="137" t="s">
        <v>18</v>
      </c>
      <c r="AK349" s="137" t="s">
        <v>18</v>
      </c>
      <c r="AL349" s="137" t="s">
        <v>18</v>
      </c>
      <c r="AM349" s="137" t="s">
        <v>18</v>
      </c>
      <c r="AN349" s="137" t="s">
        <v>18</v>
      </c>
      <c r="AO349" s="137" t="s">
        <v>18</v>
      </c>
      <c r="AP349" s="137" t="s">
        <v>18</v>
      </c>
      <c r="AQ349" s="137" t="s">
        <v>18</v>
      </c>
      <c r="AR349" s="137" t="s">
        <v>18</v>
      </c>
      <c r="AS349" s="137" t="s">
        <v>18</v>
      </c>
      <c r="AT349" s="137" t="s">
        <v>18</v>
      </c>
      <c r="AU349" s="137" t="s">
        <v>18</v>
      </c>
      <c r="AV349" s="137" t="s">
        <v>18</v>
      </c>
      <c r="AW349" s="137" t="s">
        <v>18</v>
      </c>
      <c r="AX349" s="137" t="s">
        <v>18</v>
      </c>
      <c r="AY349" s="137" t="s">
        <v>18</v>
      </c>
      <c r="AZ349" s="137" t="s">
        <v>18</v>
      </c>
      <c r="BA349" s="137" t="s">
        <v>18</v>
      </c>
      <c r="BB349" s="137" t="s">
        <v>18</v>
      </c>
      <c r="BC349" s="137" t="s">
        <v>18</v>
      </c>
    </row>
    <row r="350" spans="1:55" ht="15" customHeight="1" x14ac:dyDescent="0.2">
      <c r="A350" s="128">
        <v>11</v>
      </c>
      <c r="B350" s="136" t="s">
        <v>15</v>
      </c>
      <c r="C350" s="123">
        <v>0</v>
      </c>
      <c r="D350" s="137">
        <v>0</v>
      </c>
      <c r="E350" s="137">
        <v>2</v>
      </c>
      <c r="F350" s="125">
        <v>0</v>
      </c>
      <c r="G350" s="137">
        <v>0</v>
      </c>
      <c r="H350" s="125">
        <v>0</v>
      </c>
      <c r="I350" s="137">
        <v>0</v>
      </c>
      <c r="J350" s="137">
        <v>0</v>
      </c>
      <c r="K350" s="137">
        <v>0</v>
      </c>
      <c r="L350" s="137">
        <v>2</v>
      </c>
      <c r="M350" s="125">
        <v>0</v>
      </c>
      <c r="N350" s="137">
        <v>1</v>
      </c>
      <c r="O350" s="125">
        <v>0</v>
      </c>
      <c r="P350" s="137">
        <v>0</v>
      </c>
      <c r="Q350" s="137">
        <v>0</v>
      </c>
      <c r="R350" s="137">
        <v>1</v>
      </c>
      <c r="S350" s="125">
        <v>0</v>
      </c>
      <c r="T350" s="137">
        <v>0</v>
      </c>
      <c r="U350" s="137">
        <v>4</v>
      </c>
      <c r="V350" s="125">
        <v>0</v>
      </c>
      <c r="W350" s="137">
        <v>0</v>
      </c>
      <c r="X350" s="137">
        <v>0</v>
      </c>
      <c r="Y350" s="137">
        <v>0</v>
      </c>
      <c r="Z350" s="125">
        <v>0</v>
      </c>
      <c r="AA350" s="137">
        <v>0</v>
      </c>
      <c r="AB350" s="137">
        <v>1</v>
      </c>
      <c r="AC350" s="125">
        <v>0</v>
      </c>
      <c r="AD350" s="137">
        <v>0</v>
      </c>
      <c r="AE350" s="137">
        <v>0</v>
      </c>
      <c r="AF350" s="137">
        <v>0</v>
      </c>
      <c r="AG350" s="125">
        <v>0</v>
      </c>
      <c r="AH350" s="123" t="s">
        <v>18</v>
      </c>
      <c r="AI350" s="137" t="s">
        <v>18</v>
      </c>
      <c r="AJ350" s="137" t="s">
        <v>18</v>
      </c>
      <c r="AK350" s="137" t="s">
        <v>18</v>
      </c>
      <c r="AL350" s="137" t="s">
        <v>18</v>
      </c>
      <c r="AM350" s="137" t="s">
        <v>18</v>
      </c>
      <c r="AN350" s="137" t="s">
        <v>18</v>
      </c>
      <c r="AO350" s="137" t="s">
        <v>18</v>
      </c>
      <c r="AP350" s="137" t="s">
        <v>18</v>
      </c>
      <c r="AQ350" s="137" t="s">
        <v>18</v>
      </c>
      <c r="AR350" s="137" t="s">
        <v>18</v>
      </c>
      <c r="AS350" s="137" t="s">
        <v>18</v>
      </c>
      <c r="AT350" s="137" t="s">
        <v>18</v>
      </c>
      <c r="AU350" s="137" t="s">
        <v>18</v>
      </c>
      <c r="AV350" s="137" t="s">
        <v>18</v>
      </c>
      <c r="AW350" s="137" t="s">
        <v>18</v>
      </c>
      <c r="AX350" s="137" t="s">
        <v>18</v>
      </c>
      <c r="AY350" s="137" t="s">
        <v>18</v>
      </c>
      <c r="AZ350" s="137" t="s">
        <v>18</v>
      </c>
      <c r="BA350" s="137" t="s">
        <v>18</v>
      </c>
      <c r="BB350" s="137" t="s">
        <v>18</v>
      </c>
      <c r="BC350" s="137" t="s">
        <v>18</v>
      </c>
    </row>
    <row r="351" spans="1:55" ht="15" customHeight="1" x14ac:dyDescent="0.2">
      <c r="A351" s="128">
        <v>8800</v>
      </c>
      <c r="B351" s="136" t="s">
        <v>16</v>
      </c>
      <c r="C351" s="123">
        <v>0</v>
      </c>
      <c r="D351" s="137">
        <v>0</v>
      </c>
      <c r="E351" s="137">
        <v>1600</v>
      </c>
      <c r="F351" s="125">
        <v>0</v>
      </c>
      <c r="G351" s="137">
        <v>0</v>
      </c>
      <c r="H351" s="125">
        <v>0</v>
      </c>
      <c r="I351" s="137">
        <v>0</v>
      </c>
      <c r="J351" s="137">
        <v>0</v>
      </c>
      <c r="K351" s="137">
        <v>0</v>
      </c>
      <c r="L351" s="137">
        <v>1600</v>
      </c>
      <c r="M351" s="125">
        <v>0</v>
      </c>
      <c r="N351" s="137">
        <v>800</v>
      </c>
      <c r="O351" s="125">
        <v>0</v>
      </c>
      <c r="P351" s="137">
        <v>0</v>
      </c>
      <c r="Q351" s="137">
        <v>0</v>
      </c>
      <c r="R351" s="137">
        <v>800</v>
      </c>
      <c r="S351" s="125">
        <v>0</v>
      </c>
      <c r="T351" s="137">
        <v>0</v>
      </c>
      <c r="U351" s="137">
        <v>3200</v>
      </c>
      <c r="V351" s="125">
        <v>0</v>
      </c>
      <c r="W351" s="137">
        <v>0</v>
      </c>
      <c r="X351" s="137">
        <v>0</v>
      </c>
      <c r="Y351" s="137">
        <v>0</v>
      </c>
      <c r="Z351" s="125">
        <v>0</v>
      </c>
      <c r="AA351" s="137">
        <v>0</v>
      </c>
      <c r="AB351" s="137">
        <v>800</v>
      </c>
      <c r="AC351" s="125">
        <v>0</v>
      </c>
      <c r="AD351" s="137">
        <v>0</v>
      </c>
      <c r="AE351" s="137">
        <v>0</v>
      </c>
      <c r="AF351" s="137">
        <v>0</v>
      </c>
      <c r="AG351" s="125">
        <v>0</v>
      </c>
      <c r="AH351" s="123" t="s">
        <v>18</v>
      </c>
      <c r="AI351" s="137" t="s">
        <v>18</v>
      </c>
      <c r="AJ351" s="137" t="s">
        <v>18</v>
      </c>
      <c r="AK351" s="137" t="s">
        <v>18</v>
      </c>
      <c r="AL351" s="137" t="s">
        <v>18</v>
      </c>
      <c r="AM351" s="137" t="s">
        <v>18</v>
      </c>
      <c r="AN351" s="137" t="s">
        <v>18</v>
      </c>
      <c r="AO351" s="137" t="s">
        <v>18</v>
      </c>
      <c r="AP351" s="137" t="s">
        <v>18</v>
      </c>
      <c r="AQ351" s="137" t="s">
        <v>18</v>
      </c>
      <c r="AR351" s="137" t="s">
        <v>18</v>
      </c>
      <c r="AS351" s="137" t="s">
        <v>18</v>
      </c>
      <c r="AT351" s="137" t="s">
        <v>18</v>
      </c>
      <c r="AU351" s="137" t="s">
        <v>18</v>
      </c>
      <c r="AV351" s="137" t="s">
        <v>18</v>
      </c>
      <c r="AW351" s="137" t="s">
        <v>18</v>
      </c>
      <c r="AX351" s="137" t="s">
        <v>18</v>
      </c>
      <c r="AY351" s="137" t="s">
        <v>18</v>
      </c>
      <c r="AZ351" s="137" t="s">
        <v>18</v>
      </c>
      <c r="BA351" s="137" t="s">
        <v>18</v>
      </c>
      <c r="BB351" s="137" t="s">
        <v>18</v>
      </c>
      <c r="BC351" s="137" t="s">
        <v>18</v>
      </c>
    </row>
    <row r="352" spans="1:55" ht="15" customHeight="1" thickBot="1" x14ac:dyDescent="0.25">
      <c r="A352" s="138">
        <v>0.11956521739130435</v>
      </c>
      <c r="B352" s="136" t="s">
        <v>17</v>
      </c>
      <c r="C352" s="146" t="s">
        <v>18</v>
      </c>
      <c r="D352" s="147" t="s">
        <v>18</v>
      </c>
      <c r="E352" s="147">
        <v>0.24615384615384617</v>
      </c>
      <c r="F352" s="148" t="s">
        <v>18</v>
      </c>
      <c r="G352" s="147" t="s">
        <v>18</v>
      </c>
      <c r="H352" s="148" t="s">
        <v>18</v>
      </c>
      <c r="I352" s="147" t="s">
        <v>18</v>
      </c>
      <c r="J352" s="147" t="s">
        <v>18</v>
      </c>
      <c r="K352" s="147" t="s">
        <v>18</v>
      </c>
      <c r="L352" s="147">
        <v>6.1538461538461542E-2</v>
      </c>
      <c r="M352" s="148" t="s">
        <v>18</v>
      </c>
      <c r="N352" s="147">
        <v>5.2287581699346407E-2</v>
      </c>
      <c r="O352" s="148" t="s">
        <v>18</v>
      </c>
      <c r="P352" s="147" t="s">
        <v>18</v>
      </c>
      <c r="Q352" s="147" t="s">
        <v>18</v>
      </c>
      <c r="R352" s="147">
        <v>0.29629629629629628</v>
      </c>
      <c r="S352" s="148" t="s">
        <v>18</v>
      </c>
      <c r="T352" s="147" t="s">
        <v>18</v>
      </c>
      <c r="U352" s="147">
        <v>0.50793650793650791</v>
      </c>
      <c r="V352" s="148" t="s">
        <v>18</v>
      </c>
      <c r="W352" s="147" t="s">
        <v>18</v>
      </c>
      <c r="X352" s="147" t="s">
        <v>18</v>
      </c>
      <c r="Y352" s="147" t="s">
        <v>18</v>
      </c>
      <c r="Z352" s="148" t="s">
        <v>18</v>
      </c>
      <c r="AA352" s="147" t="s">
        <v>18</v>
      </c>
      <c r="AB352" s="147">
        <v>0.15686274509803921</v>
      </c>
      <c r="AC352" s="148" t="s">
        <v>18</v>
      </c>
      <c r="AD352" s="147" t="s">
        <v>18</v>
      </c>
      <c r="AE352" s="147" t="s">
        <v>18</v>
      </c>
      <c r="AF352" s="147" t="s">
        <v>18</v>
      </c>
      <c r="AG352" s="148" t="s">
        <v>18</v>
      </c>
      <c r="AH352" s="146" t="s">
        <v>18</v>
      </c>
      <c r="AI352" s="147" t="s">
        <v>18</v>
      </c>
      <c r="AJ352" s="147" t="s">
        <v>18</v>
      </c>
      <c r="AK352" s="147" t="s">
        <v>18</v>
      </c>
      <c r="AL352" s="147" t="s">
        <v>18</v>
      </c>
      <c r="AM352" s="147" t="s">
        <v>18</v>
      </c>
      <c r="AN352" s="147" t="s">
        <v>18</v>
      </c>
      <c r="AO352" s="147" t="s">
        <v>18</v>
      </c>
      <c r="AP352" s="147" t="s">
        <v>18</v>
      </c>
      <c r="AQ352" s="147" t="s">
        <v>18</v>
      </c>
      <c r="AR352" s="147" t="s">
        <v>18</v>
      </c>
      <c r="AS352" s="147" t="s">
        <v>18</v>
      </c>
      <c r="AT352" s="147" t="s">
        <v>18</v>
      </c>
      <c r="AU352" s="147" t="s">
        <v>18</v>
      </c>
      <c r="AV352" s="147" t="s">
        <v>18</v>
      </c>
      <c r="AW352" s="147" t="s">
        <v>18</v>
      </c>
      <c r="AX352" s="147" t="s">
        <v>18</v>
      </c>
      <c r="AY352" s="147" t="s">
        <v>18</v>
      </c>
      <c r="AZ352" s="147" t="s">
        <v>18</v>
      </c>
      <c r="BA352" s="147" t="s">
        <v>18</v>
      </c>
      <c r="BB352" s="147" t="s">
        <v>18</v>
      </c>
      <c r="BC352" s="147" t="s">
        <v>18</v>
      </c>
    </row>
    <row r="353" spans="1:55" ht="15" customHeight="1" x14ac:dyDescent="0.2">
      <c r="A353" s="149" t="s">
        <v>1</v>
      </c>
      <c r="B353" s="150" t="s">
        <v>2</v>
      </c>
      <c r="C353" s="129">
        <v>7025</v>
      </c>
      <c r="D353" s="130">
        <v>7025</v>
      </c>
      <c r="E353" s="130">
        <v>7066</v>
      </c>
      <c r="F353" s="131">
        <v>7066</v>
      </c>
      <c r="G353" s="130">
        <v>7117</v>
      </c>
      <c r="H353" s="131">
        <v>7117</v>
      </c>
      <c r="I353" s="130">
        <v>7117</v>
      </c>
      <c r="J353" s="130">
        <v>7117</v>
      </c>
      <c r="K353" s="130">
        <v>7117</v>
      </c>
      <c r="L353" s="130">
        <v>7132</v>
      </c>
      <c r="M353" s="131">
        <v>7132</v>
      </c>
      <c r="N353" s="130">
        <v>7188</v>
      </c>
      <c r="O353" s="131">
        <v>7188</v>
      </c>
      <c r="P353" s="130">
        <v>7188</v>
      </c>
      <c r="Q353" s="130">
        <v>7188</v>
      </c>
      <c r="R353" s="130">
        <v>7236</v>
      </c>
      <c r="S353" s="131">
        <v>7236</v>
      </c>
      <c r="T353" s="130">
        <v>7236</v>
      </c>
      <c r="U353" s="130">
        <v>7286</v>
      </c>
      <c r="V353" s="131">
        <v>7286</v>
      </c>
      <c r="W353" s="130">
        <v>7286</v>
      </c>
      <c r="X353" s="130">
        <v>7286</v>
      </c>
      <c r="Y353" s="130">
        <v>7380</v>
      </c>
      <c r="Z353" s="131">
        <v>7380</v>
      </c>
      <c r="AA353" s="130">
        <v>7380</v>
      </c>
      <c r="AB353" s="130">
        <v>7444</v>
      </c>
      <c r="AC353" s="131">
        <v>7444</v>
      </c>
      <c r="AD353" s="130">
        <v>7444</v>
      </c>
      <c r="AE353" s="130">
        <v>7444</v>
      </c>
      <c r="AF353" s="130">
        <v>7477</v>
      </c>
      <c r="AG353" s="131">
        <v>7491</v>
      </c>
      <c r="AH353" s="129" t="s">
        <v>18</v>
      </c>
      <c r="AI353" s="130" t="s">
        <v>18</v>
      </c>
      <c r="AJ353" s="130" t="s">
        <v>18</v>
      </c>
      <c r="AK353" s="130" t="s">
        <v>18</v>
      </c>
      <c r="AL353" s="130" t="s">
        <v>18</v>
      </c>
      <c r="AM353" s="130" t="s">
        <v>18</v>
      </c>
      <c r="AN353" s="130" t="s">
        <v>18</v>
      </c>
      <c r="AO353" s="130" t="s">
        <v>18</v>
      </c>
      <c r="AP353" s="130" t="s">
        <v>18</v>
      </c>
      <c r="AQ353" s="130" t="s">
        <v>18</v>
      </c>
      <c r="AR353" s="130" t="s">
        <v>18</v>
      </c>
      <c r="AS353" s="130" t="s">
        <v>18</v>
      </c>
      <c r="AT353" s="130" t="s">
        <v>18</v>
      </c>
      <c r="AU353" s="130" t="s">
        <v>18</v>
      </c>
      <c r="AV353" s="130" t="s">
        <v>18</v>
      </c>
      <c r="AW353" s="130" t="s">
        <v>18</v>
      </c>
      <c r="AX353" s="130" t="s">
        <v>18</v>
      </c>
      <c r="AY353" s="130" t="s">
        <v>18</v>
      </c>
      <c r="AZ353" s="130" t="s">
        <v>18</v>
      </c>
      <c r="BA353" s="130" t="s">
        <v>18</v>
      </c>
      <c r="BB353" s="130" t="s">
        <v>18</v>
      </c>
      <c r="BC353" s="130" t="s">
        <v>18</v>
      </c>
    </row>
    <row r="354" spans="1:55" ht="15" customHeight="1" x14ac:dyDescent="0.2">
      <c r="A354" s="121" t="s">
        <v>40</v>
      </c>
      <c r="B354" s="122" t="s">
        <v>4</v>
      </c>
      <c r="C354" s="123">
        <v>368</v>
      </c>
      <c r="D354" s="124">
        <v>368</v>
      </c>
      <c r="E354" s="124">
        <v>371</v>
      </c>
      <c r="F354" s="125">
        <v>371</v>
      </c>
      <c r="G354" s="124">
        <v>374</v>
      </c>
      <c r="H354" s="125">
        <v>374</v>
      </c>
      <c r="I354" s="124">
        <v>374</v>
      </c>
      <c r="J354" s="124">
        <v>374</v>
      </c>
      <c r="K354" s="124">
        <v>374</v>
      </c>
      <c r="L354" s="124">
        <v>374</v>
      </c>
      <c r="M354" s="125">
        <v>374</v>
      </c>
      <c r="N354" s="124">
        <v>381</v>
      </c>
      <c r="O354" s="125">
        <v>381</v>
      </c>
      <c r="P354" s="124">
        <v>381</v>
      </c>
      <c r="Q354" s="124">
        <v>381</v>
      </c>
      <c r="R354" s="124">
        <v>388</v>
      </c>
      <c r="S354" s="125">
        <v>388</v>
      </c>
      <c r="T354" s="124">
        <v>388</v>
      </c>
      <c r="U354" s="124">
        <v>399</v>
      </c>
      <c r="V354" s="125">
        <v>399</v>
      </c>
      <c r="W354" s="124">
        <v>399</v>
      </c>
      <c r="X354" s="124">
        <v>399</v>
      </c>
      <c r="Y354" s="124">
        <v>405</v>
      </c>
      <c r="Z354" s="125">
        <v>405</v>
      </c>
      <c r="AA354" s="124">
        <v>405</v>
      </c>
      <c r="AB354" s="124">
        <v>407</v>
      </c>
      <c r="AC354" s="125">
        <v>407</v>
      </c>
      <c r="AD354" s="124">
        <v>407</v>
      </c>
      <c r="AE354" s="124">
        <v>407</v>
      </c>
      <c r="AF354" s="124">
        <v>410</v>
      </c>
      <c r="AG354" s="125">
        <v>411</v>
      </c>
      <c r="AH354" s="123" t="s">
        <v>18</v>
      </c>
      <c r="AI354" s="124" t="s">
        <v>18</v>
      </c>
      <c r="AJ354" s="124" t="s">
        <v>18</v>
      </c>
      <c r="AK354" s="124" t="s">
        <v>18</v>
      </c>
      <c r="AL354" s="124" t="s">
        <v>18</v>
      </c>
      <c r="AM354" s="124" t="s">
        <v>18</v>
      </c>
      <c r="AN354" s="124" t="s">
        <v>18</v>
      </c>
      <c r="AO354" s="124" t="s">
        <v>18</v>
      </c>
      <c r="AP354" s="124" t="s">
        <v>18</v>
      </c>
      <c r="AQ354" s="124" t="s">
        <v>18</v>
      </c>
      <c r="AR354" s="124" t="s">
        <v>18</v>
      </c>
      <c r="AS354" s="124" t="s">
        <v>18</v>
      </c>
      <c r="AT354" s="124" t="s">
        <v>18</v>
      </c>
      <c r="AU354" s="124" t="s">
        <v>18</v>
      </c>
      <c r="AV354" s="124" t="s">
        <v>18</v>
      </c>
      <c r="AW354" s="124" t="s">
        <v>18</v>
      </c>
      <c r="AX354" s="124" t="s">
        <v>18</v>
      </c>
      <c r="AY354" s="124" t="s">
        <v>18</v>
      </c>
      <c r="AZ354" s="124" t="s">
        <v>18</v>
      </c>
      <c r="BA354" s="124" t="s">
        <v>18</v>
      </c>
      <c r="BB354" s="124" t="s">
        <v>18</v>
      </c>
      <c r="BC354" s="124" t="s">
        <v>18</v>
      </c>
    </row>
    <row r="355" spans="1:55" ht="15" customHeight="1" x14ac:dyDescent="0.25">
      <c r="A355" s="143">
        <v>3</v>
      </c>
      <c r="B355" s="122" t="s">
        <v>5</v>
      </c>
      <c r="C355" s="123">
        <v>34</v>
      </c>
      <c r="D355" s="124">
        <v>34</v>
      </c>
      <c r="E355" s="124">
        <v>34</v>
      </c>
      <c r="F355" s="125">
        <v>34</v>
      </c>
      <c r="G355" s="124">
        <v>31</v>
      </c>
      <c r="H355" s="125">
        <v>31</v>
      </c>
      <c r="I355" s="124">
        <v>31</v>
      </c>
      <c r="J355" s="124">
        <v>31</v>
      </c>
      <c r="K355" s="124">
        <v>31</v>
      </c>
      <c r="L355" s="124">
        <v>31</v>
      </c>
      <c r="M355" s="125">
        <v>31</v>
      </c>
      <c r="N355" s="124">
        <v>31</v>
      </c>
      <c r="O355" s="125">
        <v>31</v>
      </c>
      <c r="P355" s="124">
        <v>31</v>
      </c>
      <c r="Q355" s="124">
        <v>31</v>
      </c>
      <c r="R355" s="124">
        <v>24</v>
      </c>
      <c r="S355" s="125">
        <v>24</v>
      </c>
      <c r="T355" s="124">
        <v>24</v>
      </c>
      <c r="U355" s="124">
        <v>24</v>
      </c>
      <c r="V355" s="125">
        <v>24</v>
      </c>
      <c r="W355" s="124">
        <v>24</v>
      </c>
      <c r="X355" s="124">
        <v>24</v>
      </c>
      <c r="Y355" s="124">
        <v>18</v>
      </c>
      <c r="Z355" s="125">
        <v>18</v>
      </c>
      <c r="AA355" s="124">
        <v>18</v>
      </c>
      <c r="AB355" s="124">
        <v>16</v>
      </c>
      <c r="AC355" s="125">
        <v>18</v>
      </c>
      <c r="AD355" s="124">
        <v>18</v>
      </c>
      <c r="AE355" s="124">
        <v>18</v>
      </c>
      <c r="AF355" s="124">
        <v>15</v>
      </c>
      <c r="AG355" s="125">
        <v>14</v>
      </c>
      <c r="AH355" s="123" t="s">
        <v>18</v>
      </c>
      <c r="AI355" s="124" t="s">
        <v>18</v>
      </c>
      <c r="AJ355" s="124" t="s">
        <v>18</v>
      </c>
      <c r="AK355" s="124" t="s">
        <v>18</v>
      </c>
      <c r="AL355" s="124" t="s">
        <v>18</v>
      </c>
      <c r="AM355" s="124" t="s">
        <v>18</v>
      </c>
      <c r="AN355" s="124" t="s">
        <v>18</v>
      </c>
      <c r="AO355" s="124" t="s">
        <v>18</v>
      </c>
      <c r="AP355" s="124" t="s">
        <v>18</v>
      </c>
      <c r="AQ355" s="124" t="s">
        <v>18</v>
      </c>
      <c r="AR355" s="124" t="s">
        <v>18</v>
      </c>
      <c r="AS355" s="124" t="s">
        <v>18</v>
      </c>
      <c r="AT355" s="124" t="s">
        <v>18</v>
      </c>
      <c r="AU355" s="124" t="s">
        <v>18</v>
      </c>
      <c r="AV355" s="124" t="s">
        <v>18</v>
      </c>
      <c r="AW355" s="124" t="s">
        <v>18</v>
      </c>
      <c r="AX355" s="124" t="s">
        <v>18</v>
      </c>
      <c r="AY355" s="124" t="s">
        <v>18</v>
      </c>
      <c r="AZ355" s="124" t="s">
        <v>18</v>
      </c>
      <c r="BA355" s="124" t="s">
        <v>18</v>
      </c>
      <c r="BB355" s="124" t="s">
        <v>18</v>
      </c>
      <c r="BC355" s="124" t="s">
        <v>18</v>
      </c>
    </row>
    <row r="356" spans="1:55" ht="15" customHeight="1" x14ac:dyDescent="0.2">
      <c r="A356" s="127"/>
      <c r="B356" s="122" t="s">
        <v>6</v>
      </c>
      <c r="C356" s="123"/>
      <c r="D356" s="124"/>
      <c r="E356" s="124"/>
      <c r="F356" s="125"/>
      <c r="G356" s="124"/>
      <c r="H356" s="125"/>
      <c r="I356" s="124"/>
      <c r="J356" s="124"/>
      <c r="K356" s="124"/>
      <c r="L356" s="124"/>
      <c r="M356" s="125"/>
      <c r="N356" s="124"/>
      <c r="O356" s="125"/>
      <c r="P356" s="124"/>
      <c r="Q356" s="124"/>
      <c r="R356" s="124"/>
      <c r="S356" s="125"/>
      <c r="T356" s="124"/>
      <c r="U356" s="124"/>
      <c r="V356" s="125"/>
      <c r="W356" s="124"/>
      <c r="X356" s="124"/>
      <c r="Y356" s="124"/>
      <c r="Z356" s="125"/>
      <c r="AA356" s="124"/>
      <c r="AB356" s="124">
        <v>2</v>
      </c>
      <c r="AC356" s="125"/>
      <c r="AD356" s="124"/>
      <c r="AE356" s="124"/>
      <c r="AF356" s="124"/>
      <c r="AG356" s="125"/>
      <c r="AH356" s="123"/>
      <c r="AI356" s="124"/>
      <c r="AJ356" s="124"/>
      <c r="AK356" s="124"/>
      <c r="AL356" s="124"/>
      <c r="AM356" s="124"/>
      <c r="AN356" s="124"/>
      <c r="AO356" s="124"/>
      <c r="AP356" s="124"/>
      <c r="AQ356" s="124"/>
      <c r="AR356" s="124"/>
      <c r="AS356" s="124"/>
      <c r="AT356" s="124"/>
      <c r="AU356" s="124"/>
      <c r="AV356" s="124"/>
      <c r="AW356" s="124"/>
      <c r="AX356" s="124"/>
      <c r="AY356" s="124"/>
      <c r="AZ356" s="124"/>
      <c r="BA356" s="124"/>
      <c r="BB356" s="124"/>
      <c r="BC356" s="124"/>
    </row>
    <row r="357" spans="1:55" ht="15" customHeight="1" x14ac:dyDescent="0.2">
      <c r="A357" s="128"/>
      <c r="B357" s="122" t="s">
        <v>8</v>
      </c>
      <c r="C357" s="129">
        <v>400</v>
      </c>
      <c r="D357" s="130">
        <v>400</v>
      </c>
      <c r="E357" s="130">
        <v>400</v>
      </c>
      <c r="F357" s="131">
        <v>400</v>
      </c>
      <c r="G357" s="130">
        <v>400</v>
      </c>
      <c r="H357" s="131">
        <v>400</v>
      </c>
      <c r="I357" s="130">
        <v>400</v>
      </c>
      <c r="J357" s="130">
        <v>400</v>
      </c>
      <c r="K357" s="130">
        <v>400</v>
      </c>
      <c r="L357" s="130">
        <v>400</v>
      </c>
      <c r="M357" s="131">
        <v>400</v>
      </c>
      <c r="N357" s="130">
        <v>400</v>
      </c>
      <c r="O357" s="131">
        <v>400</v>
      </c>
      <c r="P357" s="130">
        <v>400</v>
      </c>
      <c r="Q357" s="130">
        <v>400</v>
      </c>
      <c r="R357" s="130">
        <v>400</v>
      </c>
      <c r="S357" s="131">
        <v>400</v>
      </c>
      <c r="T357" s="130">
        <v>400</v>
      </c>
      <c r="U357" s="130">
        <v>400</v>
      </c>
      <c r="V357" s="131">
        <v>400</v>
      </c>
      <c r="W357" s="130">
        <v>400</v>
      </c>
      <c r="X357" s="130">
        <v>400</v>
      </c>
      <c r="Y357" s="130">
        <v>400</v>
      </c>
      <c r="Z357" s="131">
        <v>400</v>
      </c>
      <c r="AA357" s="130">
        <v>400</v>
      </c>
      <c r="AB357" s="130">
        <v>400</v>
      </c>
      <c r="AC357" s="131">
        <v>400</v>
      </c>
      <c r="AD357" s="130">
        <v>400</v>
      </c>
      <c r="AE357" s="130">
        <v>400</v>
      </c>
      <c r="AF357" s="130">
        <v>400</v>
      </c>
      <c r="AG357" s="131">
        <v>400</v>
      </c>
      <c r="AH357" s="129" t="s">
        <v>18</v>
      </c>
      <c r="AI357" s="130" t="s">
        <v>18</v>
      </c>
      <c r="AJ357" s="130" t="s">
        <v>18</v>
      </c>
      <c r="AK357" s="130" t="s">
        <v>18</v>
      </c>
      <c r="AL357" s="130" t="s">
        <v>18</v>
      </c>
      <c r="AM357" s="130" t="s">
        <v>18</v>
      </c>
      <c r="AN357" s="130" t="s">
        <v>18</v>
      </c>
      <c r="AO357" s="130" t="s">
        <v>18</v>
      </c>
      <c r="AP357" s="130" t="s">
        <v>18</v>
      </c>
      <c r="AQ357" s="130" t="s">
        <v>18</v>
      </c>
      <c r="AR357" s="130" t="s">
        <v>18</v>
      </c>
      <c r="AS357" s="130" t="s">
        <v>18</v>
      </c>
      <c r="AT357" s="130" t="s">
        <v>18</v>
      </c>
      <c r="AU357" s="130" t="s">
        <v>18</v>
      </c>
      <c r="AV357" s="130" t="s">
        <v>18</v>
      </c>
      <c r="AW357" s="130" t="s">
        <v>18</v>
      </c>
      <c r="AX357" s="130" t="s">
        <v>18</v>
      </c>
      <c r="AY357" s="130" t="s">
        <v>18</v>
      </c>
      <c r="AZ357" s="130" t="s">
        <v>18</v>
      </c>
      <c r="BA357" s="130" t="s">
        <v>18</v>
      </c>
      <c r="BB357" s="130" t="s">
        <v>18</v>
      </c>
      <c r="BC357" s="130" t="s">
        <v>18</v>
      </c>
    </row>
    <row r="358" spans="1:55" ht="15" customHeight="1" x14ac:dyDescent="0.2">
      <c r="A358" s="127" t="s">
        <v>9</v>
      </c>
      <c r="B358" s="132" t="s">
        <v>10</v>
      </c>
      <c r="C358" s="133" t="s">
        <v>43</v>
      </c>
      <c r="D358" s="134" t="s">
        <v>43</v>
      </c>
      <c r="E358" s="134" t="s">
        <v>43</v>
      </c>
      <c r="F358" s="135" t="s">
        <v>43</v>
      </c>
      <c r="G358" s="134" t="s">
        <v>43</v>
      </c>
      <c r="H358" s="135" t="s">
        <v>219</v>
      </c>
      <c r="I358" s="134" t="s">
        <v>219</v>
      </c>
      <c r="J358" s="134" t="s">
        <v>219</v>
      </c>
      <c r="K358" s="134" t="s">
        <v>219</v>
      </c>
      <c r="L358" s="134" t="s">
        <v>219</v>
      </c>
      <c r="M358" s="135" t="s">
        <v>219</v>
      </c>
      <c r="N358" s="134" t="s">
        <v>219</v>
      </c>
      <c r="O358" s="135" t="s">
        <v>219</v>
      </c>
      <c r="P358" s="134" t="s">
        <v>219</v>
      </c>
      <c r="Q358" s="134" t="s">
        <v>219</v>
      </c>
      <c r="R358" s="134" t="s">
        <v>219</v>
      </c>
      <c r="S358" s="135" t="s">
        <v>219</v>
      </c>
      <c r="T358" s="134" t="s">
        <v>219</v>
      </c>
      <c r="U358" s="134" t="s">
        <v>219</v>
      </c>
      <c r="V358" s="135" t="s">
        <v>219</v>
      </c>
      <c r="W358" s="134" t="s">
        <v>219</v>
      </c>
      <c r="X358" s="134" t="s">
        <v>219</v>
      </c>
      <c r="Y358" s="134" t="s">
        <v>219</v>
      </c>
      <c r="Z358" s="135" t="s">
        <v>219</v>
      </c>
      <c r="AA358" s="134" t="s">
        <v>219</v>
      </c>
      <c r="AB358" s="134" t="s">
        <v>219</v>
      </c>
      <c r="AC358" s="135" t="s">
        <v>219</v>
      </c>
      <c r="AD358" s="134" t="s">
        <v>219</v>
      </c>
      <c r="AE358" s="134" t="s">
        <v>219</v>
      </c>
      <c r="AF358" s="134" t="s">
        <v>219</v>
      </c>
      <c r="AG358" s="135" t="s">
        <v>219</v>
      </c>
      <c r="AH358" s="133" t="s">
        <v>18</v>
      </c>
      <c r="AI358" s="134" t="s">
        <v>18</v>
      </c>
      <c r="AJ358" s="134" t="s">
        <v>18</v>
      </c>
      <c r="AK358" s="134" t="s">
        <v>18</v>
      </c>
      <c r="AL358" s="134" t="s">
        <v>18</v>
      </c>
      <c r="AM358" s="134" t="s">
        <v>18</v>
      </c>
      <c r="AN358" s="134" t="s">
        <v>18</v>
      </c>
      <c r="AO358" s="134" t="s">
        <v>18</v>
      </c>
      <c r="AP358" s="134" t="s">
        <v>18</v>
      </c>
      <c r="AQ358" s="134" t="s">
        <v>18</v>
      </c>
      <c r="AR358" s="134" t="s">
        <v>18</v>
      </c>
      <c r="AS358" s="134" t="s">
        <v>18</v>
      </c>
      <c r="AT358" s="134" t="s">
        <v>18</v>
      </c>
      <c r="AU358" s="134" t="s">
        <v>18</v>
      </c>
      <c r="AV358" s="134" t="s">
        <v>18</v>
      </c>
      <c r="AW358" s="134" t="s">
        <v>18</v>
      </c>
      <c r="AX358" s="134" t="s">
        <v>18</v>
      </c>
      <c r="AY358" s="134" t="s">
        <v>18</v>
      </c>
      <c r="AZ358" s="134" t="s">
        <v>18</v>
      </c>
      <c r="BA358" s="134" t="s">
        <v>18</v>
      </c>
      <c r="BB358" s="134" t="s">
        <v>18</v>
      </c>
      <c r="BC358" s="134" t="s">
        <v>18</v>
      </c>
    </row>
    <row r="359" spans="1:55" ht="15" customHeight="1" x14ac:dyDescent="0.2">
      <c r="A359" s="128">
        <v>45096.774193548394</v>
      </c>
      <c r="B359" s="122" t="s">
        <v>12</v>
      </c>
      <c r="C359" s="123"/>
      <c r="D359" s="124"/>
      <c r="E359" s="124"/>
      <c r="F359" s="125"/>
      <c r="G359" s="124"/>
      <c r="H359" s="125"/>
      <c r="I359" s="124"/>
      <c r="J359" s="124"/>
      <c r="K359" s="124"/>
      <c r="L359" s="124"/>
      <c r="M359" s="125"/>
      <c r="N359" s="124"/>
      <c r="O359" s="125"/>
      <c r="P359" s="124"/>
      <c r="Q359" s="124"/>
      <c r="R359" s="124"/>
      <c r="S359" s="125"/>
      <c r="T359" s="124"/>
      <c r="U359" s="124"/>
      <c r="V359" s="125"/>
      <c r="W359" s="124"/>
      <c r="X359" s="124"/>
      <c r="Y359" s="124"/>
      <c r="Z359" s="125"/>
      <c r="AA359" s="124"/>
      <c r="AB359" s="124"/>
      <c r="AC359" s="125"/>
      <c r="AD359" s="124"/>
      <c r="AE359" s="124"/>
      <c r="AF359" s="124"/>
      <c r="AG359" s="125"/>
      <c r="AH359" s="123"/>
      <c r="AI359" s="124"/>
      <c r="AJ359" s="124"/>
      <c r="AK359" s="124"/>
      <c r="AL359" s="124"/>
      <c r="AM359" s="124"/>
      <c r="AN359" s="124"/>
      <c r="AO359" s="124"/>
      <c r="AP359" s="124"/>
      <c r="AQ359" s="124"/>
      <c r="AR359" s="124"/>
      <c r="AS359" s="124"/>
      <c r="AT359" s="124"/>
      <c r="AU359" s="124"/>
      <c r="AV359" s="124"/>
      <c r="AW359" s="124"/>
      <c r="AX359" s="124"/>
      <c r="AY359" s="124"/>
      <c r="AZ359" s="124"/>
      <c r="BA359" s="124"/>
      <c r="BB359" s="124"/>
      <c r="BC359" s="124"/>
    </row>
    <row r="360" spans="1:55" ht="15" customHeight="1" x14ac:dyDescent="0.2">
      <c r="A360" s="128">
        <v>466</v>
      </c>
      <c r="B360" s="136" t="s">
        <v>13</v>
      </c>
      <c r="C360" s="123">
        <v>0</v>
      </c>
      <c r="D360" s="137">
        <v>0</v>
      </c>
      <c r="E360" s="137">
        <v>41</v>
      </c>
      <c r="F360" s="125">
        <v>0</v>
      </c>
      <c r="G360" s="137">
        <v>51</v>
      </c>
      <c r="H360" s="125">
        <v>0</v>
      </c>
      <c r="I360" s="137">
        <v>0</v>
      </c>
      <c r="J360" s="137">
        <v>0</v>
      </c>
      <c r="K360" s="137">
        <v>0</v>
      </c>
      <c r="L360" s="137">
        <v>15</v>
      </c>
      <c r="M360" s="125">
        <v>0</v>
      </c>
      <c r="N360" s="137">
        <v>56</v>
      </c>
      <c r="O360" s="125">
        <v>0</v>
      </c>
      <c r="P360" s="137">
        <v>0</v>
      </c>
      <c r="Q360" s="137">
        <v>0</v>
      </c>
      <c r="R360" s="137">
        <v>48</v>
      </c>
      <c r="S360" s="125">
        <v>0</v>
      </c>
      <c r="T360" s="137">
        <v>0</v>
      </c>
      <c r="U360" s="137">
        <v>50</v>
      </c>
      <c r="V360" s="125">
        <v>0</v>
      </c>
      <c r="W360" s="137">
        <v>0</v>
      </c>
      <c r="X360" s="137">
        <v>0</v>
      </c>
      <c r="Y360" s="137">
        <v>94</v>
      </c>
      <c r="Z360" s="125">
        <v>0</v>
      </c>
      <c r="AA360" s="137">
        <v>0</v>
      </c>
      <c r="AB360" s="137">
        <v>64</v>
      </c>
      <c r="AC360" s="125">
        <v>0</v>
      </c>
      <c r="AD360" s="137">
        <v>0</v>
      </c>
      <c r="AE360" s="137">
        <v>0</v>
      </c>
      <c r="AF360" s="137">
        <v>33</v>
      </c>
      <c r="AG360" s="125">
        <v>14</v>
      </c>
      <c r="AH360" s="123" t="s">
        <v>18</v>
      </c>
      <c r="AI360" s="137" t="s">
        <v>18</v>
      </c>
      <c r="AJ360" s="137" t="s">
        <v>18</v>
      </c>
      <c r="AK360" s="137" t="s">
        <v>18</v>
      </c>
      <c r="AL360" s="137" t="s">
        <v>18</v>
      </c>
      <c r="AM360" s="137" t="s">
        <v>18</v>
      </c>
      <c r="AN360" s="137" t="s">
        <v>18</v>
      </c>
      <c r="AO360" s="137" t="s">
        <v>18</v>
      </c>
      <c r="AP360" s="137" t="s">
        <v>18</v>
      </c>
      <c r="AQ360" s="137" t="s">
        <v>18</v>
      </c>
      <c r="AR360" s="137" t="s">
        <v>18</v>
      </c>
      <c r="AS360" s="137" t="s">
        <v>18</v>
      </c>
      <c r="AT360" s="137" t="s">
        <v>18</v>
      </c>
      <c r="AU360" s="137" t="s">
        <v>18</v>
      </c>
      <c r="AV360" s="137" t="s">
        <v>18</v>
      </c>
      <c r="AW360" s="137" t="s">
        <v>18</v>
      </c>
      <c r="AX360" s="137" t="s">
        <v>18</v>
      </c>
      <c r="AY360" s="137" t="s">
        <v>18</v>
      </c>
      <c r="AZ360" s="137" t="s">
        <v>18</v>
      </c>
      <c r="BA360" s="137" t="s">
        <v>18</v>
      </c>
      <c r="BB360" s="137" t="s">
        <v>18</v>
      </c>
      <c r="BC360" s="137" t="s">
        <v>18</v>
      </c>
    </row>
    <row r="361" spans="1:55" ht="15" customHeight="1" x14ac:dyDescent="0.2">
      <c r="A361" s="128">
        <v>43</v>
      </c>
      <c r="B361" s="136" t="s">
        <v>14</v>
      </c>
      <c r="C361" s="123">
        <v>0</v>
      </c>
      <c r="D361" s="137">
        <v>0</v>
      </c>
      <c r="E361" s="137">
        <v>3</v>
      </c>
      <c r="F361" s="125">
        <v>0</v>
      </c>
      <c r="G361" s="137">
        <v>3</v>
      </c>
      <c r="H361" s="125">
        <v>0</v>
      </c>
      <c r="I361" s="137">
        <v>0</v>
      </c>
      <c r="J361" s="137">
        <v>0</v>
      </c>
      <c r="K361" s="137">
        <v>0</v>
      </c>
      <c r="L361" s="137">
        <v>0</v>
      </c>
      <c r="M361" s="125">
        <v>0</v>
      </c>
      <c r="N361" s="137">
        <v>7</v>
      </c>
      <c r="O361" s="125">
        <v>0</v>
      </c>
      <c r="P361" s="137">
        <v>0</v>
      </c>
      <c r="Q361" s="137">
        <v>0</v>
      </c>
      <c r="R361" s="137">
        <v>7</v>
      </c>
      <c r="S361" s="125">
        <v>0</v>
      </c>
      <c r="T361" s="137">
        <v>0</v>
      </c>
      <c r="U361" s="137">
        <v>11</v>
      </c>
      <c r="V361" s="125">
        <v>0</v>
      </c>
      <c r="W361" s="137">
        <v>0</v>
      </c>
      <c r="X361" s="137">
        <v>0</v>
      </c>
      <c r="Y361" s="137">
        <v>6</v>
      </c>
      <c r="Z361" s="125">
        <v>0</v>
      </c>
      <c r="AA361" s="137">
        <v>0</v>
      </c>
      <c r="AB361" s="137">
        <v>2</v>
      </c>
      <c r="AC361" s="125">
        <v>0</v>
      </c>
      <c r="AD361" s="137">
        <v>0</v>
      </c>
      <c r="AE361" s="137">
        <v>0</v>
      </c>
      <c r="AF361" s="137">
        <v>3</v>
      </c>
      <c r="AG361" s="125">
        <v>1</v>
      </c>
      <c r="AH361" s="123" t="s">
        <v>18</v>
      </c>
      <c r="AI361" s="137" t="s">
        <v>18</v>
      </c>
      <c r="AJ361" s="137" t="s">
        <v>18</v>
      </c>
      <c r="AK361" s="137" t="s">
        <v>18</v>
      </c>
      <c r="AL361" s="137" t="s">
        <v>18</v>
      </c>
      <c r="AM361" s="137" t="s">
        <v>18</v>
      </c>
      <c r="AN361" s="137" t="s">
        <v>18</v>
      </c>
      <c r="AO361" s="137" t="s">
        <v>18</v>
      </c>
      <c r="AP361" s="137" t="s">
        <v>18</v>
      </c>
      <c r="AQ361" s="137" t="s">
        <v>18</v>
      </c>
      <c r="AR361" s="137" t="s">
        <v>18</v>
      </c>
      <c r="AS361" s="137" t="s">
        <v>18</v>
      </c>
      <c r="AT361" s="137" t="s">
        <v>18</v>
      </c>
      <c r="AU361" s="137" t="s">
        <v>18</v>
      </c>
      <c r="AV361" s="137" t="s">
        <v>18</v>
      </c>
      <c r="AW361" s="137" t="s">
        <v>18</v>
      </c>
      <c r="AX361" s="137" t="s">
        <v>18</v>
      </c>
      <c r="AY361" s="137" t="s">
        <v>18</v>
      </c>
      <c r="AZ361" s="137" t="s">
        <v>18</v>
      </c>
      <c r="BA361" s="137" t="s">
        <v>18</v>
      </c>
      <c r="BB361" s="137" t="s">
        <v>18</v>
      </c>
      <c r="BC361" s="137" t="s">
        <v>18</v>
      </c>
    </row>
    <row r="362" spans="1:55" ht="15" customHeight="1" x14ac:dyDescent="0.2">
      <c r="A362" s="128">
        <v>22</v>
      </c>
      <c r="B362" s="136" t="s">
        <v>15</v>
      </c>
      <c r="C362" s="123">
        <v>0</v>
      </c>
      <c r="D362" s="137">
        <v>0</v>
      </c>
      <c r="E362" s="137">
        <v>0</v>
      </c>
      <c r="F362" s="125">
        <v>0</v>
      </c>
      <c r="G362" s="137">
        <v>3</v>
      </c>
      <c r="H362" s="125">
        <v>0</v>
      </c>
      <c r="I362" s="137">
        <v>0</v>
      </c>
      <c r="J362" s="137">
        <v>0</v>
      </c>
      <c r="K362" s="137">
        <v>0</v>
      </c>
      <c r="L362" s="137">
        <v>0</v>
      </c>
      <c r="M362" s="125">
        <v>0</v>
      </c>
      <c r="N362" s="137">
        <v>0</v>
      </c>
      <c r="O362" s="125">
        <v>0</v>
      </c>
      <c r="P362" s="137">
        <v>0</v>
      </c>
      <c r="Q362" s="137">
        <v>0</v>
      </c>
      <c r="R362" s="137">
        <v>7</v>
      </c>
      <c r="S362" s="125">
        <v>0</v>
      </c>
      <c r="T362" s="137">
        <v>0</v>
      </c>
      <c r="U362" s="137">
        <v>0</v>
      </c>
      <c r="V362" s="125">
        <v>0</v>
      </c>
      <c r="W362" s="137">
        <v>0</v>
      </c>
      <c r="X362" s="137">
        <v>0</v>
      </c>
      <c r="Y362" s="137">
        <v>6</v>
      </c>
      <c r="Z362" s="125">
        <v>0</v>
      </c>
      <c r="AA362" s="137">
        <v>0</v>
      </c>
      <c r="AB362" s="137">
        <v>2</v>
      </c>
      <c r="AC362" s="125">
        <v>0</v>
      </c>
      <c r="AD362" s="137">
        <v>0</v>
      </c>
      <c r="AE362" s="137">
        <v>0</v>
      </c>
      <c r="AF362" s="137">
        <v>3</v>
      </c>
      <c r="AG362" s="125">
        <v>1</v>
      </c>
      <c r="AH362" s="123" t="s">
        <v>18</v>
      </c>
      <c r="AI362" s="137" t="s">
        <v>18</v>
      </c>
      <c r="AJ362" s="137" t="s">
        <v>18</v>
      </c>
      <c r="AK362" s="137" t="s">
        <v>18</v>
      </c>
      <c r="AL362" s="137" t="s">
        <v>18</v>
      </c>
      <c r="AM362" s="137" t="s">
        <v>18</v>
      </c>
      <c r="AN362" s="137" t="s">
        <v>18</v>
      </c>
      <c r="AO362" s="137" t="s">
        <v>18</v>
      </c>
      <c r="AP362" s="137" t="s">
        <v>18</v>
      </c>
      <c r="AQ362" s="137" t="s">
        <v>18</v>
      </c>
      <c r="AR362" s="137" t="s">
        <v>18</v>
      </c>
      <c r="AS362" s="137" t="s">
        <v>18</v>
      </c>
      <c r="AT362" s="137" t="s">
        <v>18</v>
      </c>
      <c r="AU362" s="137" t="s">
        <v>18</v>
      </c>
      <c r="AV362" s="137" t="s">
        <v>18</v>
      </c>
      <c r="AW362" s="137" t="s">
        <v>18</v>
      </c>
      <c r="AX362" s="137" t="s">
        <v>18</v>
      </c>
      <c r="AY362" s="137" t="s">
        <v>18</v>
      </c>
      <c r="AZ362" s="137" t="s">
        <v>18</v>
      </c>
      <c r="BA362" s="137" t="s">
        <v>18</v>
      </c>
      <c r="BB362" s="137" t="s">
        <v>18</v>
      </c>
      <c r="BC362" s="137" t="s">
        <v>18</v>
      </c>
    </row>
    <row r="363" spans="1:55" ht="15" customHeight="1" x14ac:dyDescent="0.2">
      <c r="A363" s="128">
        <v>8800</v>
      </c>
      <c r="B363" s="136" t="s">
        <v>16</v>
      </c>
      <c r="C363" s="123">
        <v>0</v>
      </c>
      <c r="D363" s="137">
        <v>0</v>
      </c>
      <c r="E363" s="137">
        <v>0</v>
      </c>
      <c r="F363" s="125">
        <v>0</v>
      </c>
      <c r="G363" s="137">
        <v>1200</v>
      </c>
      <c r="H363" s="125">
        <v>0</v>
      </c>
      <c r="I363" s="137">
        <v>0</v>
      </c>
      <c r="J363" s="137">
        <v>0</v>
      </c>
      <c r="K363" s="137">
        <v>0</v>
      </c>
      <c r="L363" s="137">
        <v>0</v>
      </c>
      <c r="M363" s="125">
        <v>0</v>
      </c>
      <c r="N363" s="137">
        <v>0</v>
      </c>
      <c r="O363" s="125">
        <v>0</v>
      </c>
      <c r="P363" s="137">
        <v>0</v>
      </c>
      <c r="Q363" s="137">
        <v>0</v>
      </c>
      <c r="R363" s="137">
        <v>2800</v>
      </c>
      <c r="S363" s="125">
        <v>0</v>
      </c>
      <c r="T363" s="137">
        <v>0</v>
      </c>
      <c r="U363" s="137">
        <v>0</v>
      </c>
      <c r="V363" s="125">
        <v>0</v>
      </c>
      <c r="W363" s="137">
        <v>0</v>
      </c>
      <c r="X363" s="137">
        <v>0</v>
      </c>
      <c r="Y363" s="137">
        <v>2400</v>
      </c>
      <c r="Z363" s="125">
        <v>0</v>
      </c>
      <c r="AA363" s="137">
        <v>0</v>
      </c>
      <c r="AB363" s="137">
        <v>800</v>
      </c>
      <c r="AC363" s="125">
        <v>0</v>
      </c>
      <c r="AD363" s="137">
        <v>0</v>
      </c>
      <c r="AE363" s="137">
        <v>0</v>
      </c>
      <c r="AF363" s="137">
        <v>1200</v>
      </c>
      <c r="AG363" s="125">
        <v>400</v>
      </c>
      <c r="AH363" s="123" t="s">
        <v>18</v>
      </c>
      <c r="AI363" s="137" t="s">
        <v>18</v>
      </c>
      <c r="AJ363" s="137" t="s">
        <v>18</v>
      </c>
      <c r="AK363" s="137" t="s">
        <v>18</v>
      </c>
      <c r="AL363" s="137" t="s">
        <v>18</v>
      </c>
      <c r="AM363" s="137" t="s">
        <v>18</v>
      </c>
      <c r="AN363" s="137" t="s">
        <v>18</v>
      </c>
      <c r="AO363" s="137" t="s">
        <v>18</v>
      </c>
      <c r="AP363" s="137" t="s">
        <v>18</v>
      </c>
      <c r="AQ363" s="137" t="s">
        <v>18</v>
      </c>
      <c r="AR363" s="137" t="s">
        <v>18</v>
      </c>
      <c r="AS363" s="137" t="s">
        <v>18</v>
      </c>
      <c r="AT363" s="137" t="s">
        <v>18</v>
      </c>
      <c r="AU363" s="137" t="s">
        <v>18</v>
      </c>
      <c r="AV363" s="137" t="s">
        <v>18</v>
      </c>
      <c r="AW363" s="137" t="s">
        <v>18</v>
      </c>
      <c r="AX363" s="137" t="s">
        <v>18</v>
      </c>
      <c r="AY363" s="137" t="s">
        <v>18</v>
      </c>
      <c r="AZ363" s="137" t="s">
        <v>18</v>
      </c>
      <c r="BA363" s="137" t="s">
        <v>18</v>
      </c>
      <c r="BB363" s="137" t="s">
        <v>18</v>
      </c>
      <c r="BC363" s="137" t="s">
        <v>18</v>
      </c>
    </row>
    <row r="364" spans="1:55" ht="15" customHeight="1" thickBot="1" x14ac:dyDescent="0.25">
      <c r="A364" s="138">
        <v>0.18884120171673821</v>
      </c>
      <c r="B364" s="136" t="s">
        <v>17</v>
      </c>
      <c r="C364" s="146" t="s">
        <v>18</v>
      </c>
      <c r="D364" s="147" t="s">
        <v>18</v>
      </c>
      <c r="E364" s="147" t="s">
        <v>18</v>
      </c>
      <c r="F364" s="148" t="s">
        <v>18</v>
      </c>
      <c r="G364" s="147">
        <v>0.23529411764705882</v>
      </c>
      <c r="H364" s="148" t="s">
        <v>18</v>
      </c>
      <c r="I364" s="147" t="s">
        <v>18</v>
      </c>
      <c r="J364" s="147" t="s">
        <v>18</v>
      </c>
      <c r="K364" s="147" t="s">
        <v>18</v>
      </c>
      <c r="L364" s="147" t="s">
        <v>18</v>
      </c>
      <c r="M364" s="148" t="s">
        <v>18</v>
      </c>
      <c r="N364" s="147" t="s">
        <v>18</v>
      </c>
      <c r="O364" s="148" t="s">
        <v>18</v>
      </c>
      <c r="P364" s="147" t="s">
        <v>18</v>
      </c>
      <c r="Q364" s="147" t="s">
        <v>18</v>
      </c>
      <c r="R364" s="147">
        <v>0.58333333333333337</v>
      </c>
      <c r="S364" s="148" t="s">
        <v>18</v>
      </c>
      <c r="T364" s="147" t="s">
        <v>18</v>
      </c>
      <c r="U364" s="147" t="s">
        <v>18</v>
      </c>
      <c r="V364" s="148" t="s">
        <v>18</v>
      </c>
      <c r="W364" s="147" t="s">
        <v>18</v>
      </c>
      <c r="X364" s="147" t="s">
        <v>18</v>
      </c>
      <c r="Y364" s="147">
        <v>0.25531914893617019</v>
      </c>
      <c r="Z364" s="148" t="s">
        <v>18</v>
      </c>
      <c r="AA364" s="147" t="s">
        <v>18</v>
      </c>
      <c r="AB364" s="147">
        <v>0.125</v>
      </c>
      <c r="AC364" s="148" t="s">
        <v>18</v>
      </c>
      <c r="AD364" s="147" t="s">
        <v>18</v>
      </c>
      <c r="AE364" s="147" t="s">
        <v>18</v>
      </c>
      <c r="AF364" s="147">
        <v>0.36363636363636365</v>
      </c>
      <c r="AG364" s="148">
        <v>0.2857142857142857</v>
      </c>
      <c r="AH364" s="146" t="s">
        <v>18</v>
      </c>
      <c r="AI364" s="147" t="s">
        <v>18</v>
      </c>
      <c r="AJ364" s="147" t="s">
        <v>18</v>
      </c>
      <c r="AK364" s="147" t="s">
        <v>18</v>
      </c>
      <c r="AL364" s="147" t="s">
        <v>18</v>
      </c>
      <c r="AM364" s="147" t="s">
        <v>18</v>
      </c>
      <c r="AN364" s="147" t="s">
        <v>18</v>
      </c>
      <c r="AO364" s="147" t="s">
        <v>18</v>
      </c>
      <c r="AP364" s="147" t="s">
        <v>18</v>
      </c>
      <c r="AQ364" s="147" t="s">
        <v>18</v>
      </c>
      <c r="AR364" s="147" t="s">
        <v>18</v>
      </c>
      <c r="AS364" s="147" t="s">
        <v>18</v>
      </c>
      <c r="AT364" s="147" t="s">
        <v>18</v>
      </c>
      <c r="AU364" s="147" t="s">
        <v>18</v>
      </c>
      <c r="AV364" s="147" t="s">
        <v>18</v>
      </c>
      <c r="AW364" s="147" t="s">
        <v>18</v>
      </c>
      <c r="AX364" s="147" t="s">
        <v>18</v>
      </c>
      <c r="AY364" s="147" t="s">
        <v>18</v>
      </c>
      <c r="AZ364" s="147" t="s">
        <v>18</v>
      </c>
      <c r="BA364" s="147" t="s">
        <v>18</v>
      </c>
      <c r="BB364" s="147" t="s">
        <v>18</v>
      </c>
      <c r="BC364" s="147" t="s">
        <v>18</v>
      </c>
    </row>
    <row r="365" spans="1:55" ht="15" customHeight="1" x14ac:dyDescent="0.2">
      <c r="A365" s="149" t="s">
        <v>1</v>
      </c>
      <c r="B365" s="150" t="s">
        <v>2</v>
      </c>
      <c r="C365" s="129">
        <v>7729</v>
      </c>
      <c r="D365" s="130">
        <v>7729</v>
      </c>
      <c r="E365" s="130">
        <v>7816</v>
      </c>
      <c r="F365" s="131">
        <v>7816</v>
      </c>
      <c r="G365" s="130">
        <v>7892</v>
      </c>
      <c r="H365" s="131">
        <v>7892</v>
      </c>
      <c r="I365" s="130">
        <v>7892</v>
      </c>
      <c r="J365" s="130">
        <v>7892</v>
      </c>
      <c r="K365" s="130">
        <v>7892</v>
      </c>
      <c r="L365" s="130">
        <v>8011</v>
      </c>
      <c r="M365" s="131">
        <v>8011</v>
      </c>
      <c r="N365" s="130">
        <v>8087</v>
      </c>
      <c r="O365" s="131">
        <v>8087</v>
      </c>
      <c r="P365" s="130">
        <v>8087</v>
      </c>
      <c r="Q365" s="130">
        <v>8087</v>
      </c>
      <c r="R365" s="130">
        <v>8228</v>
      </c>
      <c r="S365" s="131">
        <v>8228</v>
      </c>
      <c r="T365" s="130">
        <v>8228</v>
      </c>
      <c r="U365" s="130">
        <v>8418</v>
      </c>
      <c r="V365" s="131">
        <v>8418</v>
      </c>
      <c r="W365" s="130">
        <v>8418</v>
      </c>
      <c r="X365" s="130">
        <v>8418</v>
      </c>
      <c r="Y365" s="130">
        <v>8472</v>
      </c>
      <c r="Z365" s="131">
        <v>8472</v>
      </c>
      <c r="AA365" s="130">
        <v>8472</v>
      </c>
      <c r="AB365" s="130">
        <v>8564</v>
      </c>
      <c r="AC365" s="131">
        <v>8564</v>
      </c>
      <c r="AD365" s="130">
        <v>8564</v>
      </c>
      <c r="AE365" s="130">
        <v>8564</v>
      </c>
      <c r="AF365" s="130">
        <v>8609</v>
      </c>
      <c r="AG365" s="131">
        <v>8627</v>
      </c>
      <c r="AH365" s="129" t="s">
        <v>18</v>
      </c>
      <c r="AI365" s="130" t="s">
        <v>18</v>
      </c>
      <c r="AJ365" s="130" t="s">
        <v>18</v>
      </c>
      <c r="AK365" s="130" t="s">
        <v>18</v>
      </c>
      <c r="AL365" s="130" t="s">
        <v>18</v>
      </c>
      <c r="AM365" s="130" t="s">
        <v>18</v>
      </c>
      <c r="AN365" s="130" t="s">
        <v>18</v>
      </c>
      <c r="AO365" s="130" t="s">
        <v>18</v>
      </c>
      <c r="AP365" s="130" t="s">
        <v>18</v>
      </c>
      <c r="AQ365" s="130" t="s">
        <v>18</v>
      </c>
      <c r="AR365" s="130" t="s">
        <v>18</v>
      </c>
      <c r="AS365" s="130" t="s">
        <v>18</v>
      </c>
      <c r="AT365" s="130" t="s">
        <v>18</v>
      </c>
      <c r="AU365" s="130" t="s">
        <v>18</v>
      </c>
      <c r="AV365" s="130" t="s">
        <v>18</v>
      </c>
      <c r="AW365" s="130" t="s">
        <v>18</v>
      </c>
      <c r="AX365" s="130" t="s">
        <v>18</v>
      </c>
      <c r="AY365" s="130" t="s">
        <v>18</v>
      </c>
      <c r="AZ365" s="130" t="s">
        <v>18</v>
      </c>
      <c r="BA365" s="130" t="s">
        <v>18</v>
      </c>
      <c r="BB365" s="130" t="s">
        <v>18</v>
      </c>
      <c r="BC365" s="130" t="s">
        <v>18</v>
      </c>
    </row>
    <row r="366" spans="1:55" ht="15" customHeight="1" x14ac:dyDescent="0.2">
      <c r="A366" s="121" t="s">
        <v>40</v>
      </c>
      <c r="B366" s="122" t="s">
        <v>4</v>
      </c>
      <c r="C366" s="123">
        <v>627</v>
      </c>
      <c r="D366" s="124">
        <v>627</v>
      </c>
      <c r="E366" s="124">
        <v>630</v>
      </c>
      <c r="F366" s="125">
        <v>630</v>
      </c>
      <c r="G366" s="124">
        <v>634</v>
      </c>
      <c r="H366" s="125">
        <v>634</v>
      </c>
      <c r="I366" s="124">
        <v>634</v>
      </c>
      <c r="J366" s="124">
        <v>634</v>
      </c>
      <c r="K366" s="124">
        <v>634</v>
      </c>
      <c r="L366" s="124">
        <v>636</v>
      </c>
      <c r="M366" s="125">
        <v>636</v>
      </c>
      <c r="N366" s="124">
        <v>638</v>
      </c>
      <c r="O366" s="125">
        <v>638</v>
      </c>
      <c r="P366" s="124">
        <v>638</v>
      </c>
      <c r="Q366" s="124">
        <v>638</v>
      </c>
      <c r="R366" s="124">
        <v>643</v>
      </c>
      <c r="S366" s="125">
        <v>643</v>
      </c>
      <c r="T366" s="124">
        <v>643</v>
      </c>
      <c r="U366" s="124">
        <v>647</v>
      </c>
      <c r="V366" s="125">
        <v>647</v>
      </c>
      <c r="W366" s="124">
        <v>647</v>
      </c>
      <c r="X366" s="124">
        <v>647</v>
      </c>
      <c r="Y366" s="124">
        <v>648</v>
      </c>
      <c r="Z366" s="125">
        <v>648</v>
      </c>
      <c r="AA366" s="124">
        <v>648</v>
      </c>
      <c r="AB366" s="124">
        <v>652</v>
      </c>
      <c r="AC366" s="125">
        <v>652</v>
      </c>
      <c r="AD366" s="124">
        <v>652</v>
      </c>
      <c r="AE366" s="124">
        <v>652</v>
      </c>
      <c r="AF366" s="124">
        <v>654</v>
      </c>
      <c r="AG366" s="125">
        <v>654</v>
      </c>
      <c r="AH366" s="123" t="s">
        <v>18</v>
      </c>
      <c r="AI366" s="124" t="s">
        <v>18</v>
      </c>
      <c r="AJ366" s="124" t="s">
        <v>18</v>
      </c>
      <c r="AK366" s="124" t="s">
        <v>18</v>
      </c>
      <c r="AL366" s="124" t="s">
        <v>18</v>
      </c>
      <c r="AM366" s="124" t="s">
        <v>18</v>
      </c>
      <c r="AN366" s="124" t="s">
        <v>18</v>
      </c>
      <c r="AO366" s="124" t="s">
        <v>18</v>
      </c>
      <c r="AP366" s="124" t="s">
        <v>18</v>
      </c>
      <c r="AQ366" s="124" t="s">
        <v>18</v>
      </c>
      <c r="AR366" s="124" t="s">
        <v>18</v>
      </c>
      <c r="AS366" s="124" t="s">
        <v>18</v>
      </c>
      <c r="AT366" s="124" t="s">
        <v>18</v>
      </c>
      <c r="AU366" s="124" t="s">
        <v>18</v>
      </c>
      <c r="AV366" s="124" t="s">
        <v>18</v>
      </c>
      <c r="AW366" s="124" t="s">
        <v>18</v>
      </c>
      <c r="AX366" s="124" t="s">
        <v>18</v>
      </c>
      <c r="AY366" s="124" t="s">
        <v>18</v>
      </c>
      <c r="AZ366" s="124" t="s">
        <v>18</v>
      </c>
      <c r="BA366" s="124" t="s">
        <v>18</v>
      </c>
      <c r="BB366" s="124" t="s">
        <v>18</v>
      </c>
      <c r="BC366" s="124" t="s">
        <v>18</v>
      </c>
    </row>
    <row r="367" spans="1:55" ht="15" customHeight="1" x14ac:dyDescent="0.25">
      <c r="A367" s="143">
        <v>4</v>
      </c>
      <c r="B367" s="122" t="s">
        <v>5</v>
      </c>
      <c r="C367" s="123">
        <v>17</v>
      </c>
      <c r="D367" s="124">
        <v>17</v>
      </c>
      <c r="E367" s="124">
        <v>15</v>
      </c>
      <c r="F367" s="125">
        <v>16</v>
      </c>
      <c r="G367" s="124">
        <v>12</v>
      </c>
      <c r="H367" s="125">
        <v>17</v>
      </c>
      <c r="I367" s="124">
        <v>17</v>
      </c>
      <c r="J367" s="124">
        <v>17</v>
      </c>
      <c r="K367" s="124">
        <v>17</v>
      </c>
      <c r="L367" s="124">
        <v>15</v>
      </c>
      <c r="M367" s="125">
        <v>15</v>
      </c>
      <c r="N367" s="124">
        <v>12</v>
      </c>
      <c r="O367" s="125">
        <v>12</v>
      </c>
      <c r="P367" s="124">
        <v>12</v>
      </c>
      <c r="Q367" s="124">
        <v>12</v>
      </c>
      <c r="R367" s="124">
        <v>11</v>
      </c>
      <c r="S367" s="125">
        <v>11</v>
      </c>
      <c r="T367" s="124">
        <v>11</v>
      </c>
      <c r="U367" s="124">
        <v>7</v>
      </c>
      <c r="V367" s="125">
        <v>11</v>
      </c>
      <c r="W367" s="124">
        <v>11</v>
      </c>
      <c r="X367" s="124">
        <v>11</v>
      </c>
      <c r="Y367" s="124">
        <v>10</v>
      </c>
      <c r="Z367" s="125">
        <v>17</v>
      </c>
      <c r="AA367" s="124">
        <v>17</v>
      </c>
      <c r="AB367" s="124">
        <v>15</v>
      </c>
      <c r="AC367" s="125">
        <v>15</v>
      </c>
      <c r="AD367" s="124">
        <v>15</v>
      </c>
      <c r="AE367" s="124">
        <v>15</v>
      </c>
      <c r="AF367" s="124">
        <v>13</v>
      </c>
      <c r="AG367" s="125">
        <v>13</v>
      </c>
      <c r="AH367" s="123" t="s">
        <v>18</v>
      </c>
      <c r="AI367" s="124" t="s">
        <v>18</v>
      </c>
      <c r="AJ367" s="124" t="s">
        <v>18</v>
      </c>
      <c r="AK367" s="124" t="s">
        <v>18</v>
      </c>
      <c r="AL367" s="124" t="s">
        <v>18</v>
      </c>
      <c r="AM367" s="124" t="s">
        <v>18</v>
      </c>
      <c r="AN367" s="124" t="s">
        <v>18</v>
      </c>
      <c r="AO367" s="124" t="s">
        <v>18</v>
      </c>
      <c r="AP367" s="124" t="s">
        <v>18</v>
      </c>
      <c r="AQ367" s="124" t="s">
        <v>18</v>
      </c>
      <c r="AR367" s="124" t="s">
        <v>18</v>
      </c>
      <c r="AS367" s="124" t="s">
        <v>18</v>
      </c>
      <c r="AT367" s="124" t="s">
        <v>18</v>
      </c>
      <c r="AU367" s="124" t="s">
        <v>18</v>
      </c>
      <c r="AV367" s="124" t="s">
        <v>18</v>
      </c>
      <c r="AW367" s="124" t="s">
        <v>18</v>
      </c>
      <c r="AX367" s="124" t="s">
        <v>18</v>
      </c>
      <c r="AY367" s="124" t="s">
        <v>18</v>
      </c>
      <c r="AZ367" s="124" t="s">
        <v>18</v>
      </c>
      <c r="BA367" s="124" t="s">
        <v>18</v>
      </c>
      <c r="BB367" s="124" t="s">
        <v>18</v>
      </c>
      <c r="BC367" s="124" t="s">
        <v>18</v>
      </c>
    </row>
    <row r="368" spans="1:55" ht="15" customHeight="1" x14ac:dyDescent="0.2">
      <c r="A368" s="127"/>
      <c r="B368" s="122" t="s">
        <v>6</v>
      </c>
      <c r="C368" s="123"/>
      <c r="D368" s="124"/>
      <c r="E368" s="124">
        <v>1</v>
      </c>
      <c r="F368" s="125"/>
      <c r="G368" s="124">
        <v>5</v>
      </c>
      <c r="H368" s="125"/>
      <c r="I368" s="124"/>
      <c r="J368" s="124"/>
      <c r="K368" s="124"/>
      <c r="L368" s="124"/>
      <c r="M368" s="125"/>
      <c r="N368" s="124"/>
      <c r="O368" s="125"/>
      <c r="P368" s="124"/>
      <c r="Q368" s="124"/>
      <c r="R368" s="124"/>
      <c r="S368" s="125"/>
      <c r="T368" s="124"/>
      <c r="U368" s="124">
        <v>4</v>
      </c>
      <c r="V368" s="125"/>
      <c r="W368" s="124"/>
      <c r="X368" s="124"/>
      <c r="Y368" s="124">
        <v>7</v>
      </c>
      <c r="Z368" s="125"/>
      <c r="AA368" s="124"/>
      <c r="AB368" s="124"/>
      <c r="AC368" s="125"/>
      <c r="AD368" s="124"/>
      <c r="AE368" s="124"/>
      <c r="AF368" s="124"/>
      <c r="AG368" s="125"/>
      <c r="AH368" s="123"/>
      <c r="AI368" s="124"/>
      <c r="AJ368" s="124"/>
      <c r="AK368" s="124"/>
      <c r="AL368" s="124"/>
      <c r="AM368" s="124"/>
      <c r="AN368" s="124"/>
      <c r="AO368" s="124"/>
      <c r="AP368" s="124"/>
      <c r="AQ368" s="124"/>
      <c r="AR368" s="124"/>
      <c r="AS368" s="124"/>
      <c r="AT368" s="124"/>
      <c r="AU368" s="124"/>
      <c r="AV368" s="124"/>
      <c r="AW368" s="124"/>
      <c r="AX368" s="124"/>
      <c r="AY368" s="124"/>
      <c r="AZ368" s="124"/>
      <c r="BA368" s="124"/>
      <c r="BB368" s="124"/>
      <c r="BC368" s="124"/>
    </row>
    <row r="369" spans="1:55" ht="15" customHeight="1" x14ac:dyDescent="0.2">
      <c r="A369" s="128"/>
      <c r="B369" s="122" t="s">
        <v>8</v>
      </c>
      <c r="C369" s="129">
        <v>240</v>
      </c>
      <c r="D369" s="130">
        <v>240</v>
      </c>
      <c r="E369" s="130">
        <v>240</v>
      </c>
      <c r="F369" s="131">
        <v>240</v>
      </c>
      <c r="G369" s="130">
        <v>240</v>
      </c>
      <c r="H369" s="131">
        <v>240</v>
      </c>
      <c r="I369" s="130">
        <v>240</v>
      </c>
      <c r="J369" s="130">
        <v>240</v>
      </c>
      <c r="K369" s="130">
        <v>240</v>
      </c>
      <c r="L369" s="130">
        <v>240</v>
      </c>
      <c r="M369" s="131">
        <v>240</v>
      </c>
      <c r="N369" s="130">
        <v>240</v>
      </c>
      <c r="O369" s="131">
        <v>240</v>
      </c>
      <c r="P369" s="130">
        <v>240</v>
      </c>
      <c r="Q369" s="130">
        <v>240</v>
      </c>
      <c r="R369" s="130">
        <v>240</v>
      </c>
      <c r="S369" s="131">
        <v>240</v>
      </c>
      <c r="T369" s="130">
        <v>240</v>
      </c>
      <c r="U369" s="130">
        <v>240</v>
      </c>
      <c r="V369" s="131">
        <v>240</v>
      </c>
      <c r="W369" s="130">
        <v>240</v>
      </c>
      <c r="X369" s="130">
        <v>240</v>
      </c>
      <c r="Y369" s="130">
        <v>240</v>
      </c>
      <c r="Z369" s="131">
        <v>240</v>
      </c>
      <c r="AA369" s="130">
        <v>240</v>
      </c>
      <c r="AB369" s="130">
        <v>240</v>
      </c>
      <c r="AC369" s="131">
        <v>240</v>
      </c>
      <c r="AD369" s="130">
        <v>240</v>
      </c>
      <c r="AE369" s="130">
        <v>240</v>
      </c>
      <c r="AF369" s="130">
        <v>240</v>
      </c>
      <c r="AG369" s="131">
        <v>240</v>
      </c>
      <c r="AH369" s="129" t="s">
        <v>18</v>
      </c>
      <c r="AI369" s="130" t="s">
        <v>18</v>
      </c>
      <c r="AJ369" s="130" t="s">
        <v>18</v>
      </c>
      <c r="AK369" s="130" t="s">
        <v>18</v>
      </c>
      <c r="AL369" s="130" t="s">
        <v>18</v>
      </c>
      <c r="AM369" s="130" t="s">
        <v>18</v>
      </c>
      <c r="AN369" s="130" t="s">
        <v>18</v>
      </c>
      <c r="AO369" s="130" t="s">
        <v>18</v>
      </c>
      <c r="AP369" s="130" t="s">
        <v>18</v>
      </c>
      <c r="AQ369" s="130" t="s">
        <v>18</v>
      </c>
      <c r="AR369" s="130" t="s">
        <v>18</v>
      </c>
      <c r="AS369" s="130" t="s">
        <v>18</v>
      </c>
      <c r="AT369" s="130" t="s">
        <v>18</v>
      </c>
      <c r="AU369" s="130" t="s">
        <v>18</v>
      </c>
      <c r="AV369" s="130" t="s">
        <v>18</v>
      </c>
      <c r="AW369" s="130" t="s">
        <v>18</v>
      </c>
      <c r="AX369" s="130" t="s">
        <v>18</v>
      </c>
      <c r="AY369" s="130" t="s">
        <v>18</v>
      </c>
      <c r="AZ369" s="130" t="s">
        <v>18</v>
      </c>
      <c r="BA369" s="130" t="s">
        <v>18</v>
      </c>
      <c r="BB369" s="130" t="s">
        <v>18</v>
      </c>
      <c r="BC369" s="130" t="s">
        <v>18</v>
      </c>
    </row>
    <row r="370" spans="1:55" ht="15" customHeight="1" x14ac:dyDescent="0.2">
      <c r="A370" s="127" t="s">
        <v>9</v>
      </c>
      <c r="B370" s="132" t="s">
        <v>10</v>
      </c>
      <c r="C370" s="133" t="s">
        <v>35</v>
      </c>
      <c r="D370" s="134" t="s">
        <v>35</v>
      </c>
      <c r="E370" s="134" t="s">
        <v>35</v>
      </c>
      <c r="F370" s="135" t="s">
        <v>35</v>
      </c>
      <c r="G370" s="134" t="s">
        <v>35</v>
      </c>
      <c r="H370" s="135" t="s">
        <v>35</v>
      </c>
      <c r="I370" s="134" t="s">
        <v>35</v>
      </c>
      <c r="J370" s="134" t="s">
        <v>35</v>
      </c>
      <c r="K370" s="134" t="s">
        <v>35</v>
      </c>
      <c r="L370" s="134" t="s">
        <v>35</v>
      </c>
      <c r="M370" s="135" t="s">
        <v>35</v>
      </c>
      <c r="N370" s="134" t="s">
        <v>35</v>
      </c>
      <c r="O370" s="135" t="s">
        <v>35</v>
      </c>
      <c r="P370" s="134" t="s">
        <v>35</v>
      </c>
      <c r="Q370" s="134" t="s">
        <v>35</v>
      </c>
      <c r="R370" s="134" t="s">
        <v>35</v>
      </c>
      <c r="S370" s="135" t="s">
        <v>35</v>
      </c>
      <c r="T370" s="134" t="s">
        <v>35</v>
      </c>
      <c r="U370" s="134" t="s">
        <v>35</v>
      </c>
      <c r="V370" s="135" t="s">
        <v>35</v>
      </c>
      <c r="W370" s="134" t="s">
        <v>35</v>
      </c>
      <c r="X370" s="134" t="s">
        <v>35</v>
      </c>
      <c r="Y370" s="134" t="s">
        <v>35</v>
      </c>
      <c r="Z370" s="135" t="s">
        <v>35</v>
      </c>
      <c r="AA370" s="134" t="s">
        <v>35</v>
      </c>
      <c r="AB370" s="134" t="s">
        <v>35</v>
      </c>
      <c r="AC370" s="135" t="s">
        <v>35</v>
      </c>
      <c r="AD370" s="134" t="s">
        <v>35</v>
      </c>
      <c r="AE370" s="134" t="s">
        <v>35</v>
      </c>
      <c r="AF370" s="134" t="s">
        <v>35</v>
      </c>
      <c r="AG370" s="135" t="s">
        <v>35</v>
      </c>
      <c r="AH370" s="133" t="s">
        <v>18</v>
      </c>
      <c r="AI370" s="134" t="s">
        <v>18</v>
      </c>
      <c r="AJ370" s="134" t="s">
        <v>18</v>
      </c>
      <c r="AK370" s="134" t="s">
        <v>18</v>
      </c>
      <c r="AL370" s="134" t="s">
        <v>18</v>
      </c>
      <c r="AM370" s="134" t="s">
        <v>18</v>
      </c>
      <c r="AN370" s="134" t="s">
        <v>18</v>
      </c>
      <c r="AO370" s="134" t="s">
        <v>18</v>
      </c>
      <c r="AP370" s="134" t="s">
        <v>18</v>
      </c>
      <c r="AQ370" s="134" t="s">
        <v>18</v>
      </c>
      <c r="AR370" s="134" t="s">
        <v>18</v>
      </c>
      <c r="AS370" s="134" t="s">
        <v>18</v>
      </c>
      <c r="AT370" s="134" t="s">
        <v>18</v>
      </c>
      <c r="AU370" s="134" t="s">
        <v>18</v>
      </c>
      <c r="AV370" s="134" t="s">
        <v>18</v>
      </c>
      <c r="AW370" s="134" t="s">
        <v>18</v>
      </c>
      <c r="AX370" s="134" t="s">
        <v>18</v>
      </c>
      <c r="AY370" s="134" t="s">
        <v>18</v>
      </c>
      <c r="AZ370" s="134" t="s">
        <v>18</v>
      </c>
      <c r="BA370" s="134" t="s">
        <v>18</v>
      </c>
      <c r="BB370" s="134" t="s">
        <v>18</v>
      </c>
      <c r="BC370" s="134" t="s">
        <v>18</v>
      </c>
    </row>
    <row r="371" spans="1:55" ht="15" customHeight="1" x14ac:dyDescent="0.2">
      <c r="A371" s="128">
        <v>86903.225806451606</v>
      </c>
      <c r="B371" s="122" t="s">
        <v>12</v>
      </c>
      <c r="C371" s="123"/>
      <c r="D371" s="124"/>
      <c r="E371" s="124"/>
      <c r="F371" s="125"/>
      <c r="G371" s="124"/>
      <c r="H371" s="125"/>
      <c r="I371" s="124"/>
      <c r="J371" s="124"/>
      <c r="K371" s="124"/>
      <c r="L371" s="124"/>
      <c r="M371" s="125"/>
      <c r="N371" s="124"/>
      <c r="O371" s="125"/>
      <c r="P371" s="124"/>
      <c r="Q371" s="124"/>
      <c r="R371" s="124"/>
      <c r="S371" s="125"/>
      <c r="T371" s="124"/>
      <c r="U371" s="124"/>
      <c r="V371" s="125"/>
      <c r="W371" s="124"/>
      <c r="X371" s="124"/>
      <c r="Y371" s="124"/>
      <c r="Z371" s="125"/>
      <c r="AA371" s="124"/>
      <c r="AB371" s="124"/>
      <c r="AC371" s="125"/>
      <c r="AD371" s="124"/>
      <c r="AE371" s="124"/>
      <c r="AF371" s="124"/>
      <c r="AG371" s="125"/>
      <c r="AH371" s="123"/>
      <c r="AI371" s="124"/>
      <c r="AJ371" s="124"/>
      <c r="AK371" s="124"/>
      <c r="AL371" s="124"/>
      <c r="AM371" s="124"/>
      <c r="AN371" s="124"/>
      <c r="AO371" s="124"/>
      <c r="AP371" s="124"/>
      <c r="AQ371" s="124"/>
      <c r="AR371" s="124"/>
      <c r="AS371" s="124"/>
      <c r="AT371" s="124"/>
      <c r="AU371" s="124"/>
      <c r="AV371" s="124"/>
      <c r="AW371" s="124"/>
      <c r="AX371" s="124"/>
      <c r="AY371" s="124"/>
      <c r="AZ371" s="124"/>
      <c r="BA371" s="124"/>
      <c r="BB371" s="124"/>
      <c r="BC371" s="124"/>
    </row>
    <row r="372" spans="1:55" ht="15" customHeight="1" x14ac:dyDescent="0.2">
      <c r="A372" s="128">
        <v>898</v>
      </c>
      <c r="B372" s="136" t="s">
        <v>13</v>
      </c>
      <c r="C372" s="123">
        <v>0</v>
      </c>
      <c r="D372" s="137">
        <v>0</v>
      </c>
      <c r="E372" s="137">
        <v>87</v>
      </c>
      <c r="F372" s="125">
        <v>0</v>
      </c>
      <c r="G372" s="137">
        <v>76</v>
      </c>
      <c r="H372" s="125">
        <v>0</v>
      </c>
      <c r="I372" s="137">
        <v>0</v>
      </c>
      <c r="J372" s="137">
        <v>0</v>
      </c>
      <c r="K372" s="137">
        <v>0</v>
      </c>
      <c r="L372" s="137">
        <v>119</v>
      </c>
      <c r="M372" s="125">
        <v>0</v>
      </c>
      <c r="N372" s="137">
        <v>76</v>
      </c>
      <c r="O372" s="125">
        <v>0</v>
      </c>
      <c r="P372" s="137">
        <v>0</v>
      </c>
      <c r="Q372" s="137">
        <v>0</v>
      </c>
      <c r="R372" s="137">
        <v>141</v>
      </c>
      <c r="S372" s="125">
        <v>0</v>
      </c>
      <c r="T372" s="137">
        <v>0</v>
      </c>
      <c r="U372" s="137">
        <v>190</v>
      </c>
      <c r="V372" s="125">
        <v>0</v>
      </c>
      <c r="W372" s="137">
        <v>0</v>
      </c>
      <c r="X372" s="137">
        <v>0</v>
      </c>
      <c r="Y372" s="137">
        <v>54</v>
      </c>
      <c r="Z372" s="125">
        <v>0</v>
      </c>
      <c r="AA372" s="137">
        <v>0</v>
      </c>
      <c r="AB372" s="137">
        <v>92</v>
      </c>
      <c r="AC372" s="125">
        <v>0</v>
      </c>
      <c r="AD372" s="137">
        <v>0</v>
      </c>
      <c r="AE372" s="137">
        <v>0</v>
      </c>
      <c r="AF372" s="137">
        <v>45</v>
      </c>
      <c r="AG372" s="125">
        <v>18</v>
      </c>
      <c r="AH372" s="123" t="s">
        <v>18</v>
      </c>
      <c r="AI372" s="137" t="s">
        <v>18</v>
      </c>
      <c r="AJ372" s="137" t="s">
        <v>18</v>
      </c>
      <c r="AK372" s="137" t="s">
        <v>18</v>
      </c>
      <c r="AL372" s="137" t="s">
        <v>18</v>
      </c>
      <c r="AM372" s="137" t="s">
        <v>18</v>
      </c>
      <c r="AN372" s="137" t="s">
        <v>18</v>
      </c>
      <c r="AO372" s="137" t="s">
        <v>18</v>
      </c>
      <c r="AP372" s="137" t="s">
        <v>18</v>
      </c>
      <c r="AQ372" s="137" t="s">
        <v>18</v>
      </c>
      <c r="AR372" s="137" t="s">
        <v>18</v>
      </c>
      <c r="AS372" s="137" t="s">
        <v>18</v>
      </c>
      <c r="AT372" s="137" t="s">
        <v>18</v>
      </c>
      <c r="AU372" s="137" t="s">
        <v>18</v>
      </c>
      <c r="AV372" s="137" t="s">
        <v>18</v>
      </c>
      <c r="AW372" s="137" t="s">
        <v>18</v>
      </c>
      <c r="AX372" s="137" t="s">
        <v>18</v>
      </c>
      <c r="AY372" s="137" t="s">
        <v>18</v>
      </c>
      <c r="AZ372" s="137" t="s">
        <v>18</v>
      </c>
      <c r="BA372" s="137" t="s">
        <v>18</v>
      </c>
      <c r="BB372" s="137" t="s">
        <v>18</v>
      </c>
      <c r="BC372" s="137" t="s">
        <v>18</v>
      </c>
    </row>
    <row r="373" spans="1:55" ht="15" customHeight="1" x14ac:dyDescent="0.2">
      <c r="A373" s="128">
        <v>27</v>
      </c>
      <c r="B373" s="136" t="s">
        <v>14</v>
      </c>
      <c r="C373" s="123">
        <v>0</v>
      </c>
      <c r="D373" s="137">
        <v>0</v>
      </c>
      <c r="E373" s="137">
        <v>3</v>
      </c>
      <c r="F373" s="125">
        <v>0</v>
      </c>
      <c r="G373" s="137">
        <v>4</v>
      </c>
      <c r="H373" s="125">
        <v>0</v>
      </c>
      <c r="I373" s="137">
        <v>0</v>
      </c>
      <c r="J373" s="137">
        <v>0</v>
      </c>
      <c r="K373" s="137">
        <v>0</v>
      </c>
      <c r="L373" s="137">
        <v>2</v>
      </c>
      <c r="M373" s="125">
        <v>0</v>
      </c>
      <c r="N373" s="137">
        <v>2</v>
      </c>
      <c r="O373" s="125">
        <v>0</v>
      </c>
      <c r="P373" s="137">
        <v>0</v>
      </c>
      <c r="Q373" s="137">
        <v>0</v>
      </c>
      <c r="R373" s="137">
        <v>5</v>
      </c>
      <c r="S373" s="125">
        <v>0</v>
      </c>
      <c r="T373" s="137">
        <v>0</v>
      </c>
      <c r="U373" s="137">
        <v>4</v>
      </c>
      <c r="V373" s="125">
        <v>0</v>
      </c>
      <c r="W373" s="137">
        <v>0</v>
      </c>
      <c r="X373" s="137">
        <v>0</v>
      </c>
      <c r="Y373" s="137">
        <v>1</v>
      </c>
      <c r="Z373" s="125">
        <v>0</v>
      </c>
      <c r="AA373" s="137">
        <v>0</v>
      </c>
      <c r="AB373" s="137">
        <v>4</v>
      </c>
      <c r="AC373" s="125">
        <v>0</v>
      </c>
      <c r="AD373" s="137">
        <v>0</v>
      </c>
      <c r="AE373" s="137">
        <v>0</v>
      </c>
      <c r="AF373" s="137">
        <v>2</v>
      </c>
      <c r="AG373" s="125">
        <v>0</v>
      </c>
      <c r="AH373" s="123" t="s">
        <v>18</v>
      </c>
      <c r="AI373" s="137" t="s">
        <v>18</v>
      </c>
      <c r="AJ373" s="137" t="s">
        <v>18</v>
      </c>
      <c r="AK373" s="137" t="s">
        <v>18</v>
      </c>
      <c r="AL373" s="137" t="s">
        <v>18</v>
      </c>
      <c r="AM373" s="137" t="s">
        <v>18</v>
      </c>
      <c r="AN373" s="137" t="s">
        <v>18</v>
      </c>
      <c r="AO373" s="137" t="s">
        <v>18</v>
      </c>
      <c r="AP373" s="137" t="s">
        <v>18</v>
      </c>
      <c r="AQ373" s="137" t="s">
        <v>18</v>
      </c>
      <c r="AR373" s="137" t="s">
        <v>18</v>
      </c>
      <c r="AS373" s="137" t="s">
        <v>18</v>
      </c>
      <c r="AT373" s="137" t="s">
        <v>18</v>
      </c>
      <c r="AU373" s="137" t="s">
        <v>18</v>
      </c>
      <c r="AV373" s="137" t="s">
        <v>18</v>
      </c>
      <c r="AW373" s="137" t="s">
        <v>18</v>
      </c>
      <c r="AX373" s="137" t="s">
        <v>18</v>
      </c>
      <c r="AY373" s="137" t="s">
        <v>18</v>
      </c>
      <c r="AZ373" s="137" t="s">
        <v>18</v>
      </c>
      <c r="BA373" s="137" t="s">
        <v>18</v>
      </c>
      <c r="BB373" s="137" t="s">
        <v>18</v>
      </c>
      <c r="BC373" s="137" t="s">
        <v>18</v>
      </c>
    </row>
    <row r="374" spans="1:55" ht="15" customHeight="1" x14ac:dyDescent="0.2">
      <c r="A374" s="128">
        <v>21</v>
      </c>
      <c r="B374" s="136" t="s">
        <v>15</v>
      </c>
      <c r="C374" s="123">
        <v>0</v>
      </c>
      <c r="D374" s="137">
        <v>0</v>
      </c>
      <c r="E374" s="137">
        <v>2</v>
      </c>
      <c r="F374" s="125">
        <v>0</v>
      </c>
      <c r="G374" s="137">
        <v>4</v>
      </c>
      <c r="H374" s="125">
        <v>0</v>
      </c>
      <c r="I374" s="137">
        <v>0</v>
      </c>
      <c r="J374" s="137">
        <v>0</v>
      </c>
      <c r="K374" s="137">
        <v>0</v>
      </c>
      <c r="L374" s="137">
        <v>2</v>
      </c>
      <c r="M374" s="125">
        <v>0</v>
      </c>
      <c r="N374" s="137">
        <v>3</v>
      </c>
      <c r="O374" s="125">
        <v>0</v>
      </c>
      <c r="P374" s="137">
        <v>0</v>
      </c>
      <c r="Q374" s="137">
        <v>0</v>
      </c>
      <c r="R374" s="137">
        <v>1</v>
      </c>
      <c r="S374" s="125">
        <v>0</v>
      </c>
      <c r="T374" s="137">
        <v>0</v>
      </c>
      <c r="U374" s="137">
        <v>4</v>
      </c>
      <c r="V374" s="125">
        <v>0</v>
      </c>
      <c r="W374" s="137">
        <v>0</v>
      </c>
      <c r="X374" s="137">
        <v>0</v>
      </c>
      <c r="Y374" s="137">
        <v>1</v>
      </c>
      <c r="Z374" s="125">
        <v>0</v>
      </c>
      <c r="AA374" s="137">
        <v>0</v>
      </c>
      <c r="AB374" s="137">
        <v>2</v>
      </c>
      <c r="AC374" s="125">
        <v>0</v>
      </c>
      <c r="AD374" s="137">
        <v>0</v>
      </c>
      <c r="AE374" s="137">
        <v>0</v>
      </c>
      <c r="AF374" s="137">
        <v>2</v>
      </c>
      <c r="AG374" s="125">
        <v>0</v>
      </c>
      <c r="AH374" s="123" t="s">
        <v>18</v>
      </c>
      <c r="AI374" s="137" t="s">
        <v>18</v>
      </c>
      <c r="AJ374" s="137" t="s">
        <v>18</v>
      </c>
      <c r="AK374" s="137" t="s">
        <v>18</v>
      </c>
      <c r="AL374" s="137" t="s">
        <v>18</v>
      </c>
      <c r="AM374" s="137" t="s">
        <v>18</v>
      </c>
      <c r="AN374" s="137" t="s">
        <v>18</v>
      </c>
      <c r="AO374" s="137" t="s">
        <v>18</v>
      </c>
      <c r="AP374" s="137" t="s">
        <v>18</v>
      </c>
      <c r="AQ374" s="137" t="s">
        <v>18</v>
      </c>
      <c r="AR374" s="137" t="s">
        <v>18</v>
      </c>
      <c r="AS374" s="137" t="s">
        <v>18</v>
      </c>
      <c r="AT374" s="137" t="s">
        <v>18</v>
      </c>
      <c r="AU374" s="137" t="s">
        <v>18</v>
      </c>
      <c r="AV374" s="137" t="s">
        <v>18</v>
      </c>
      <c r="AW374" s="137" t="s">
        <v>18</v>
      </c>
      <c r="AX374" s="137" t="s">
        <v>18</v>
      </c>
      <c r="AY374" s="137" t="s">
        <v>18</v>
      </c>
      <c r="AZ374" s="137" t="s">
        <v>18</v>
      </c>
      <c r="BA374" s="137" t="s">
        <v>18</v>
      </c>
      <c r="BB374" s="137" t="s">
        <v>18</v>
      </c>
      <c r="BC374" s="137" t="s">
        <v>18</v>
      </c>
    </row>
    <row r="375" spans="1:55" ht="15" customHeight="1" x14ac:dyDescent="0.2">
      <c r="A375" s="128">
        <v>5040</v>
      </c>
      <c r="B375" s="136" t="s">
        <v>16</v>
      </c>
      <c r="C375" s="123">
        <v>0</v>
      </c>
      <c r="D375" s="137">
        <v>0</v>
      </c>
      <c r="E375" s="137">
        <v>480</v>
      </c>
      <c r="F375" s="125">
        <v>0</v>
      </c>
      <c r="G375" s="137">
        <v>960</v>
      </c>
      <c r="H375" s="125">
        <v>0</v>
      </c>
      <c r="I375" s="137">
        <v>0</v>
      </c>
      <c r="J375" s="137">
        <v>0</v>
      </c>
      <c r="K375" s="137">
        <v>0</v>
      </c>
      <c r="L375" s="137">
        <v>480</v>
      </c>
      <c r="M375" s="125">
        <v>0</v>
      </c>
      <c r="N375" s="137">
        <v>720</v>
      </c>
      <c r="O375" s="125">
        <v>0</v>
      </c>
      <c r="P375" s="137">
        <v>0</v>
      </c>
      <c r="Q375" s="137">
        <v>0</v>
      </c>
      <c r="R375" s="137">
        <v>240</v>
      </c>
      <c r="S375" s="125">
        <v>0</v>
      </c>
      <c r="T375" s="137">
        <v>0</v>
      </c>
      <c r="U375" s="137">
        <v>960</v>
      </c>
      <c r="V375" s="125">
        <v>0</v>
      </c>
      <c r="W375" s="137">
        <v>0</v>
      </c>
      <c r="X375" s="137">
        <v>0</v>
      </c>
      <c r="Y375" s="137">
        <v>240</v>
      </c>
      <c r="Z375" s="125">
        <v>0</v>
      </c>
      <c r="AA375" s="137">
        <v>0</v>
      </c>
      <c r="AB375" s="137">
        <v>480</v>
      </c>
      <c r="AC375" s="125">
        <v>0</v>
      </c>
      <c r="AD375" s="137">
        <v>0</v>
      </c>
      <c r="AE375" s="137">
        <v>0</v>
      </c>
      <c r="AF375" s="137">
        <v>480</v>
      </c>
      <c r="AG375" s="125">
        <v>0</v>
      </c>
      <c r="AH375" s="123" t="s">
        <v>18</v>
      </c>
      <c r="AI375" s="137" t="s">
        <v>18</v>
      </c>
      <c r="AJ375" s="137" t="s">
        <v>18</v>
      </c>
      <c r="AK375" s="137" t="s">
        <v>18</v>
      </c>
      <c r="AL375" s="137" t="s">
        <v>18</v>
      </c>
      <c r="AM375" s="137" t="s">
        <v>18</v>
      </c>
      <c r="AN375" s="137" t="s">
        <v>18</v>
      </c>
      <c r="AO375" s="137" t="s">
        <v>18</v>
      </c>
      <c r="AP375" s="137" t="s">
        <v>18</v>
      </c>
      <c r="AQ375" s="137" t="s">
        <v>18</v>
      </c>
      <c r="AR375" s="137" t="s">
        <v>18</v>
      </c>
      <c r="AS375" s="137" t="s">
        <v>18</v>
      </c>
      <c r="AT375" s="137" t="s">
        <v>18</v>
      </c>
      <c r="AU375" s="137" t="s">
        <v>18</v>
      </c>
      <c r="AV375" s="137" t="s">
        <v>18</v>
      </c>
      <c r="AW375" s="137" t="s">
        <v>18</v>
      </c>
      <c r="AX375" s="137" t="s">
        <v>18</v>
      </c>
      <c r="AY375" s="137" t="s">
        <v>18</v>
      </c>
      <c r="AZ375" s="137" t="s">
        <v>18</v>
      </c>
      <c r="BA375" s="137" t="s">
        <v>18</v>
      </c>
      <c r="BB375" s="137" t="s">
        <v>18</v>
      </c>
      <c r="BC375" s="137" t="s">
        <v>18</v>
      </c>
    </row>
    <row r="376" spans="1:55" ht="15" customHeight="1" thickBot="1" x14ac:dyDescent="0.25">
      <c r="A376" s="138">
        <v>5.6124721603563472E-2</v>
      </c>
      <c r="B376" s="139" t="s">
        <v>17</v>
      </c>
      <c r="C376" s="140" t="s">
        <v>18</v>
      </c>
      <c r="D376" s="141" t="s">
        <v>18</v>
      </c>
      <c r="E376" s="141">
        <v>5.5172413793103448E-2</v>
      </c>
      <c r="F376" s="142" t="s">
        <v>18</v>
      </c>
      <c r="G376" s="141">
        <v>0.12631578947368421</v>
      </c>
      <c r="H376" s="142" t="s">
        <v>18</v>
      </c>
      <c r="I376" s="141" t="s">
        <v>18</v>
      </c>
      <c r="J376" s="141" t="s">
        <v>18</v>
      </c>
      <c r="K376" s="141" t="s">
        <v>18</v>
      </c>
      <c r="L376" s="141">
        <v>4.0336134453781515E-2</v>
      </c>
      <c r="M376" s="142" t="s">
        <v>18</v>
      </c>
      <c r="N376" s="141">
        <v>9.4736842105263161E-2</v>
      </c>
      <c r="O376" s="142" t="s">
        <v>18</v>
      </c>
      <c r="P376" s="141" t="s">
        <v>18</v>
      </c>
      <c r="Q376" s="141" t="s">
        <v>18</v>
      </c>
      <c r="R376" s="141">
        <v>1.7021276595744681E-2</v>
      </c>
      <c r="S376" s="142" t="s">
        <v>18</v>
      </c>
      <c r="T376" s="141" t="s">
        <v>18</v>
      </c>
      <c r="U376" s="141">
        <v>5.0526315789473683E-2</v>
      </c>
      <c r="V376" s="142" t="s">
        <v>18</v>
      </c>
      <c r="W376" s="141" t="s">
        <v>18</v>
      </c>
      <c r="X376" s="141" t="s">
        <v>18</v>
      </c>
      <c r="Y376" s="141">
        <v>4.4444444444444446E-2</v>
      </c>
      <c r="Z376" s="142" t="s">
        <v>18</v>
      </c>
      <c r="AA376" s="141" t="s">
        <v>18</v>
      </c>
      <c r="AB376" s="141">
        <v>5.2173913043478258E-2</v>
      </c>
      <c r="AC376" s="142" t="s">
        <v>18</v>
      </c>
      <c r="AD376" s="141" t="s">
        <v>18</v>
      </c>
      <c r="AE376" s="141" t="s">
        <v>18</v>
      </c>
      <c r="AF376" s="141">
        <v>0.10666666666666667</v>
      </c>
      <c r="AG376" s="142" t="s">
        <v>18</v>
      </c>
      <c r="AH376" s="140" t="s">
        <v>18</v>
      </c>
      <c r="AI376" s="141" t="s">
        <v>18</v>
      </c>
      <c r="AJ376" s="141" t="s">
        <v>18</v>
      </c>
      <c r="AK376" s="141" t="s">
        <v>18</v>
      </c>
      <c r="AL376" s="141" t="s">
        <v>18</v>
      </c>
      <c r="AM376" s="141" t="s">
        <v>18</v>
      </c>
      <c r="AN376" s="141" t="s">
        <v>18</v>
      </c>
      <c r="AO376" s="141" t="s">
        <v>18</v>
      </c>
      <c r="AP376" s="141" t="s">
        <v>18</v>
      </c>
      <c r="AQ376" s="141" t="s">
        <v>18</v>
      </c>
      <c r="AR376" s="141" t="s">
        <v>18</v>
      </c>
      <c r="AS376" s="141" t="s">
        <v>18</v>
      </c>
      <c r="AT376" s="141" t="s">
        <v>18</v>
      </c>
      <c r="AU376" s="141" t="s">
        <v>18</v>
      </c>
      <c r="AV376" s="141" t="s">
        <v>18</v>
      </c>
      <c r="AW376" s="141" t="s">
        <v>18</v>
      </c>
      <c r="AX376" s="141" t="s">
        <v>18</v>
      </c>
      <c r="AY376" s="141" t="s">
        <v>18</v>
      </c>
      <c r="AZ376" s="141" t="s">
        <v>18</v>
      </c>
      <c r="BA376" s="141" t="s">
        <v>18</v>
      </c>
      <c r="BB376" s="141" t="s">
        <v>18</v>
      </c>
      <c r="BC376" s="141" t="s">
        <v>18</v>
      </c>
    </row>
    <row r="377" spans="1:55" ht="15" customHeight="1" x14ac:dyDescent="0.2">
      <c r="A377" s="116" t="s">
        <v>1</v>
      </c>
      <c r="B377" s="117" t="s">
        <v>2</v>
      </c>
      <c r="C377" s="118">
        <v>19826</v>
      </c>
      <c r="D377" s="119">
        <v>19826</v>
      </c>
      <c r="E377" s="119">
        <v>19899</v>
      </c>
      <c r="F377" s="120">
        <v>19899</v>
      </c>
      <c r="G377" s="119">
        <v>19948</v>
      </c>
      <c r="H377" s="120">
        <v>19948</v>
      </c>
      <c r="I377" s="119">
        <v>19948</v>
      </c>
      <c r="J377" s="119">
        <v>19948</v>
      </c>
      <c r="K377" s="119">
        <v>19948</v>
      </c>
      <c r="L377" s="119">
        <v>20041</v>
      </c>
      <c r="M377" s="120">
        <v>20041</v>
      </c>
      <c r="N377" s="119">
        <v>20473</v>
      </c>
      <c r="O377" s="120">
        <v>20473</v>
      </c>
      <c r="P377" s="119">
        <v>20473</v>
      </c>
      <c r="Q377" s="119">
        <v>20473</v>
      </c>
      <c r="R377" s="119">
        <v>20961</v>
      </c>
      <c r="S377" s="120">
        <v>20961</v>
      </c>
      <c r="T377" s="119">
        <v>20961</v>
      </c>
      <c r="U377" s="119">
        <v>21459</v>
      </c>
      <c r="V377" s="120">
        <v>21459</v>
      </c>
      <c r="W377" s="119">
        <v>21459</v>
      </c>
      <c r="X377" s="119">
        <v>21459</v>
      </c>
      <c r="Y377" s="119">
        <v>21873</v>
      </c>
      <c r="Z377" s="120">
        <v>21873</v>
      </c>
      <c r="AA377" s="119">
        <v>21873</v>
      </c>
      <c r="AB377" s="119">
        <v>22400</v>
      </c>
      <c r="AC377" s="120">
        <v>22400</v>
      </c>
      <c r="AD377" s="119">
        <v>22400</v>
      </c>
      <c r="AE377" s="119">
        <v>22400</v>
      </c>
      <c r="AF377" s="119">
        <v>22780</v>
      </c>
      <c r="AG377" s="120">
        <v>22962</v>
      </c>
      <c r="AH377" s="118" t="s">
        <v>18</v>
      </c>
      <c r="AI377" s="119" t="s">
        <v>18</v>
      </c>
      <c r="AJ377" s="119" t="s">
        <v>18</v>
      </c>
      <c r="AK377" s="119" t="s">
        <v>18</v>
      </c>
      <c r="AL377" s="119" t="s">
        <v>18</v>
      </c>
      <c r="AM377" s="119" t="s">
        <v>18</v>
      </c>
      <c r="AN377" s="119" t="s">
        <v>18</v>
      </c>
      <c r="AO377" s="119" t="s">
        <v>18</v>
      </c>
      <c r="AP377" s="119" t="s">
        <v>18</v>
      </c>
      <c r="AQ377" s="119" t="s">
        <v>18</v>
      </c>
      <c r="AR377" s="119" t="s">
        <v>18</v>
      </c>
      <c r="AS377" s="119" t="s">
        <v>18</v>
      </c>
      <c r="AT377" s="119" t="s">
        <v>18</v>
      </c>
      <c r="AU377" s="119" t="s">
        <v>18</v>
      </c>
      <c r="AV377" s="119" t="s">
        <v>18</v>
      </c>
      <c r="AW377" s="119" t="s">
        <v>18</v>
      </c>
      <c r="AX377" s="119" t="s">
        <v>18</v>
      </c>
      <c r="AY377" s="119" t="s">
        <v>18</v>
      </c>
      <c r="AZ377" s="119" t="s">
        <v>18</v>
      </c>
      <c r="BA377" s="119" t="s">
        <v>18</v>
      </c>
      <c r="BB377" s="119" t="s">
        <v>18</v>
      </c>
      <c r="BC377" s="119" t="s">
        <v>18</v>
      </c>
    </row>
    <row r="378" spans="1:55" ht="15" customHeight="1" x14ac:dyDescent="0.2">
      <c r="A378" s="121" t="s">
        <v>46</v>
      </c>
      <c r="B378" s="122" t="s">
        <v>4</v>
      </c>
      <c r="C378" s="123">
        <v>374</v>
      </c>
      <c r="D378" s="124">
        <v>374</v>
      </c>
      <c r="E378" s="124">
        <v>378</v>
      </c>
      <c r="F378" s="125">
        <v>378</v>
      </c>
      <c r="G378" s="124">
        <v>382</v>
      </c>
      <c r="H378" s="125">
        <v>382</v>
      </c>
      <c r="I378" s="124">
        <v>382</v>
      </c>
      <c r="J378" s="124">
        <v>382</v>
      </c>
      <c r="K378" s="124">
        <v>382</v>
      </c>
      <c r="L378" s="124">
        <v>388</v>
      </c>
      <c r="M378" s="125">
        <v>388</v>
      </c>
      <c r="N378" s="124">
        <v>393</v>
      </c>
      <c r="O378" s="125">
        <v>393</v>
      </c>
      <c r="P378" s="124">
        <v>393</v>
      </c>
      <c r="Q378" s="124">
        <v>393</v>
      </c>
      <c r="R378" s="124">
        <v>396</v>
      </c>
      <c r="S378" s="125">
        <v>396</v>
      </c>
      <c r="T378" s="124">
        <v>396</v>
      </c>
      <c r="U378" s="124">
        <v>402</v>
      </c>
      <c r="V378" s="125">
        <v>402</v>
      </c>
      <c r="W378" s="124">
        <v>402</v>
      </c>
      <c r="X378" s="124">
        <v>402</v>
      </c>
      <c r="Y378" s="124">
        <v>407</v>
      </c>
      <c r="Z378" s="125">
        <v>407</v>
      </c>
      <c r="AA378" s="124">
        <v>407</v>
      </c>
      <c r="AB378" s="124">
        <v>414</v>
      </c>
      <c r="AC378" s="125">
        <v>414</v>
      </c>
      <c r="AD378" s="124">
        <v>414</v>
      </c>
      <c r="AE378" s="124">
        <v>414</v>
      </c>
      <c r="AF378" s="124">
        <v>418</v>
      </c>
      <c r="AG378" s="125">
        <v>420</v>
      </c>
      <c r="AH378" s="123" t="s">
        <v>18</v>
      </c>
      <c r="AI378" s="124" t="s">
        <v>18</v>
      </c>
      <c r="AJ378" s="124" t="s">
        <v>18</v>
      </c>
      <c r="AK378" s="124" t="s">
        <v>18</v>
      </c>
      <c r="AL378" s="124" t="s">
        <v>18</v>
      </c>
      <c r="AM378" s="124" t="s">
        <v>18</v>
      </c>
      <c r="AN378" s="124" t="s">
        <v>18</v>
      </c>
      <c r="AO378" s="124" t="s">
        <v>18</v>
      </c>
      <c r="AP378" s="124" t="s">
        <v>18</v>
      </c>
      <c r="AQ378" s="124" t="s">
        <v>18</v>
      </c>
      <c r="AR378" s="124" t="s">
        <v>18</v>
      </c>
      <c r="AS378" s="124" t="s">
        <v>18</v>
      </c>
      <c r="AT378" s="124" t="s">
        <v>18</v>
      </c>
      <c r="AU378" s="124" t="s">
        <v>18</v>
      </c>
      <c r="AV378" s="124" t="s">
        <v>18</v>
      </c>
      <c r="AW378" s="124" t="s">
        <v>18</v>
      </c>
      <c r="AX378" s="124" t="s">
        <v>18</v>
      </c>
      <c r="AY378" s="124" t="s">
        <v>18</v>
      </c>
      <c r="AZ378" s="124" t="s">
        <v>18</v>
      </c>
      <c r="BA378" s="124" t="s">
        <v>18</v>
      </c>
      <c r="BB378" s="124" t="s">
        <v>18</v>
      </c>
      <c r="BC378" s="124" t="s">
        <v>18</v>
      </c>
    </row>
    <row r="379" spans="1:55" ht="15" customHeight="1" x14ac:dyDescent="0.25">
      <c r="A379" s="126"/>
      <c r="B379" s="122" t="s">
        <v>5</v>
      </c>
      <c r="C379" s="123">
        <v>29</v>
      </c>
      <c r="D379" s="124">
        <v>29</v>
      </c>
      <c r="E379" s="124">
        <v>29</v>
      </c>
      <c r="F379" s="125">
        <v>29</v>
      </c>
      <c r="G379" s="124">
        <v>29</v>
      </c>
      <c r="H379" s="125">
        <v>29</v>
      </c>
      <c r="I379" s="124">
        <v>29</v>
      </c>
      <c r="J379" s="124">
        <v>29</v>
      </c>
      <c r="K379" s="124">
        <v>29</v>
      </c>
      <c r="L379" s="124">
        <v>29</v>
      </c>
      <c r="M379" s="125">
        <v>20</v>
      </c>
      <c r="N379" s="124">
        <v>15</v>
      </c>
      <c r="O379" s="125">
        <v>15</v>
      </c>
      <c r="P379" s="124">
        <v>15</v>
      </c>
      <c r="Q379" s="124">
        <v>15</v>
      </c>
      <c r="R379" s="124">
        <v>12</v>
      </c>
      <c r="S379" s="125">
        <v>12</v>
      </c>
      <c r="T379" s="124">
        <v>12</v>
      </c>
      <c r="U379" s="124">
        <v>6</v>
      </c>
      <c r="V379" s="125">
        <v>12</v>
      </c>
      <c r="W379" s="124">
        <v>12</v>
      </c>
      <c r="X379" s="124">
        <v>12</v>
      </c>
      <c r="Y379" s="124">
        <v>7</v>
      </c>
      <c r="Z379" s="125">
        <v>14</v>
      </c>
      <c r="AA379" s="124">
        <v>14</v>
      </c>
      <c r="AB379" s="124">
        <v>7</v>
      </c>
      <c r="AC379" s="125">
        <v>14</v>
      </c>
      <c r="AD379" s="124">
        <v>14</v>
      </c>
      <c r="AE379" s="124">
        <v>14</v>
      </c>
      <c r="AF379" s="124">
        <v>10</v>
      </c>
      <c r="AG379" s="125">
        <v>7</v>
      </c>
      <c r="AH379" s="123" t="s">
        <v>18</v>
      </c>
      <c r="AI379" s="124" t="s">
        <v>18</v>
      </c>
      <c r="AJ379" s="124" t="s">
        <v>18</v>
      </c>
      <c r="AK379" s="124" t="s">
        <v>18</v>
      </c>
      <c r="AL379" s="124" t="s">
        <v>18</v>
      </c>
      <c r="AM379" s="124" t="s">
        <v>18</v>
      </c>
      <c r="AN379" s="124" t="s">
        <v>18</v>
      </c>
      <c r="AO379" s="124" t="s">
        <v>18</v>
      </c>
      <c r="AP379" s="124" t="s">
        <v>18</v>
      </c>
      <c r="AQ379" s="124" t="s">
        <v>18</v>
      </c>
      <c r="AR379" s="124" t="s">
        <v>18</v>
      </c>
      <c r="AS379" s="124" t="s">
        <v>18</v>
      </c>
      <c r="AT379" s="124" t="s">
        <v>18</v>
      </c>
      <c r="AU379" s="124" t="s">
        <v>18</v>
      </c>
      <c r="AV379" s="124" t="s">
        <v>18</v>
      </c>
      <c r="AW379" s="124" t="s">
        <v>18</v>
      </c>
      <c r="AX379" s="124" t="s">
        <v>18</v>
      </c>
      <c r="AY379" s="124" t="s">
        <v>18</v>
      </c>
      <c r="AZ379" s="124" t="s">
        <v>18</v>
      </c>
      <c r="BA379" s="124" t="s">
        <v>18</v>
      </c>
      <c r="BB379" s="124" t="s">
        <v>18</v>
      </c>
      <c r="BC379" s="124" t="s">
        <v>18</v>
      </c>
    </row>
    <row r="380" spans="1:55" ht="15" customHeight="1" x14ac:dyDescent="0.2">
      <c r="A380" s="127"/>
      <c r="B380" s="122" t="s">
        <v>6</v>
      </c>
      <c r="C380" s="123"/>
      <c r="D380" s="124"/>
      <c r="E380" s="124"/>
      <c r="F380" s="125"/>
      <c r="G380" s="124"/>
      <c r="H380" s="125"/>
      <c r="I380" s="124"/>
      <c r="J380" s="124"/>
      <c r="K380" s="124"/>
      <c r="L380" s="124">
        <v>-9</v>
      </c>
      <c r="M380" s="125"/>
      <c r="N380" s="124"/>
      <c r="O380" s="125"/>
      <c r="P380" s="124"/>
      <c r="Q380" s="124"/>
      <c r="R380" s="124"/>
      <c r="S380" s="125"/>
      <c r="T380" s="124"/>
      <c r="U380" s="124">
        <v>6</v>
      </c>
      <c r="V380" s="125"/>
      <c r="W380" s="124"/>
      <c r="X380" s="124"/>
      <c r="Y380" s="124">
        <v>7</v>
      </c>
      <c r="Z380" s="125"/>
      <c r="AA380" s="124"/>
      <c r="AB380" s="124">
        <v>7</v>
      </c>
      <c r="AC380" s="125"/>
      <c r="AD380" s="124"/>
      <c r="AE380" s="124"/>
      <c r="AF380" s="124"/>
      <c r="AG380" s="125">
        <v>6</v>
      </c>
      <c r="AH380" s="123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124"/>
      <c r="AT380" s="124"/>
      <c r="AU380" s="124"/>
      <c r="AV380" s="124"/>
      <c r="AW380" s="124"/>
      <c r="AX380" s="124"/>
      <c r="AY380" s="124"/>
      <c r="AZ380" s="124"/>
      <c r="BA380" s="124"/>
      <c r="BB380" s="124"/>
      <c r="BC380" s="124"/>
    </row>
    <row r="381" spans="1:55" ht="15" customHeight="1" x14ac:dyDescent="0.2">
      <c r="A381" s="128"/>
      <c r="B381" s="122" t="s">
        <v>8</v>
      </c>
      <c r="C381" s="129">
        <v>750</v>
      </c>
      <c r="D381" s="130">
        <v>750</v>
      </c>
      <c r="E381" s="130">
        <v>750</v>
      </c>
      <c r="F381" s="131">
        <v>750</v>
      </c>
      <c r="G381" s="130">
        <v>750</v>
      </c>
      <c r="H381" s="131">
        <v>750</v>
      </c>
      <c r="I381" s="130">
        <v>750</v>
      </c>
      <c r="J381" s="130">
        <v>750</v>
      </c>
      <c r="K381" s="130">
        <v>750</v>
      </c>
      <c r="L381" s="130">
        <v>750</v>
      </c>
      <c r="M381" s="131">
        <v>1500</v>
      </c>
      <c r="N381" s="130">
        <v>1500</v>
      </c>
      <c r="O381" s="131">
        <v>1500</v>
      </c>
      <c r="P381" s="130">
        <v>1500</v>
      </c>
      <c r="Q381" s="130">
        <v>1500</v>
      </c>
      <c r="R381" s="130">
        <v>1500</v>
      </c>
      <c r="S381" s="131">
        <v>1500</v>
      </c>
      <c r="T381" s="130">
        <v>1500</v>
      </c>
      <c r="U381" s="130">
        <v>1500</v>
      </c>
      <c r="V381" s="131">
        <v>1500</v>
      </c>
      <c r="W381" s="130">
        <v>1500</v>
      </c>
      <c r="X381" s="130">
        <v>1500</v>
      </c>
      <c r="Y381" s="130">
        <v>1500</v>
      </c>
      <c r="Z381" s="131">
        <v>1500</v>
      </c>
      <c r="AA381" s="130">
        <v>1500</v>
      </c>
      <c r="AB381" s="130">
        <v>1500</v>
      </c>
      <c r="AC381" s="131">
        <v>1500</v>
      </c>
      <c r="AD381" s="130">
        <v>1500</v>
      </c>
      <c r="AE381" s="130">
        <v>1500</v>
      </c>
      <c r="AF381" s="130">
        <v>1500</v>
      </c>
      <c r="AG381" s="131">
        <v>1500</v>
      </c>
      <c r="AH381" s="129" t="s">
        <v>18</v>
      </c>
      <c r="AI381" s="130" t="s">
        <v>18</v>
      </c>
      <c r="AJ381" s="130" t="s">
        <v>18</v>
      </c>
      <c r="AK381" s="130" t="s">
        <v>18</v>
      </c>
      <c r="AL381" s="130" t="s">
        <v>18</v>
      </c>
      <c r="AM381" s="130" t="s">
        <v>18</v>
      </c>
      <c r="AN381" s="130" t="s">
        <v>18</v>
      </c>
      <c r="AO381" s="130" t="s">
        <v>18</v>
      </c>
      <c r="AP381" s="130" t="s">
        <v>18</v>
      </c>
      <c r="AQ381" s="130" t="s">
        <v>18</v>
      </c>
      <c r="AR381" s="130" t="s">
        <v>18</v>
      </c>
      <c r="AS381" s="130" t="s">
        <v>18</v>
      </c>
      <c r="AT381" s="130" t="s">
        <v>18</v>
      </c>
      <c r="AU381" s="130" t="s">
        <v>18</v>
      </c>
      <c r="AV381" s="130" t="s">
        <v>18</v>
      </c>
      <c r="AW381" s="130" t="s">
        <v>18</v>
      </c>
      <c r="AX381" s="130" t="s">
        <v>18</v>
      </c>
      <c r="AY381" s="130" t="s">
        <v>18</v>
      </c>
      <c r="AZ381" s="130" t="s">
        <v>18</v>
      </c>
      <c r="BA381" s="130" t="s">
        <v>18</v>
      </c>
      <c r="BB381" s="130" t="s">
        <v>18</v>
      </c>
      <c r="BC381" s="130" t="s">
        <v>18</v>
      </c>
    </row>
    <row r="382" spans="1:55" ht="15" customHeight="1" x14ac:dyDescent="0.2">
      <c r="A382" s="127" t="s">
        <v>9</v>
      </c>
      <c r="B382" s="132" t="s">
        <v>10</v>
      </c>
      <c r="C382" s="133" t="s">
        <v>25</v>
      </c>
      <c r="D382" s="134" t="s">
        <v>25</v>
      </c>
      <c r="E382" s="134" t="s">
        <v>25</v>
      </c>
      <c r="F382" s="135" t="s">
        <v>25</v>
      </c>
      <c r="G382" s="134" t="s">
        <v>25</v>
      </c>
      <c r="H382" s="135" t="s">
        <v>25</v>
      </c>
      <c r="I382" s="134" t="s">
        <v>25</v>
      </c>
      <c r="J382" s="134" t="s">
        <v>25</v>
      </c>
      <c r="K382" s="134" t="s">
        <v>25</v>
      </c>
      <c r="L382" s="134" t="s">
        <v>25</v>
      </c>
      <c r="M382" s="135" t="s">
        <v>215</v>
      </c>
      <c r="N382" s="134" t="s">
        <v>215</v>
      </c>
      <c r="O382" s="135" t="s">
        <v>215</v>
      </c>
      <c r="P382" s="134" t="s">
        <v>215</v>
      </c>
      <c r="Q382" s="134" t="s">
        <v>215</v>
      </c>
      <c r="R382" s="134" t="s">
        <v>215</v>
      </c>
      <c r="S382" s="135" t="s">
        <v>215</v>
      </c>
      <c r="T382" s="134" t="s">
        <v>215</v>
      </c>
      <c r="U382" s="134" t="s">
        <v>215</v>
      </c>
      <c r="V382" s="135" t="s">
        <v>215</v>
      </c>
      <c r="W382" s="134" t="s">
        <v>215</v>
      </c>
      <c r="X382" s="134" t="s">
        <v>215</v>
      </c>
      <c r="Y382" s="134" t="s">
        <v>215</v>
      </c>
      <c r="Z382" s="135" t="s">
        <v>215</v>
      </c>
      <c r="AA382" s="134" t="s">
        <v>215</v>
      </c>
      <c r="AB382" s="134" t="s">
        <v>215</v>
      </c>
      <c r="AC382" s="135" t="s">
        <v>215</v>
      </c>
      <c r="AD382" s="134" t="s">
        <v>215</v>
      </c>
      <c r="AE382" s="134" t="s">
        <v>215</v>
      </c>
      <c r="AF382" s="134" t="s">
        <v>215</v>
      </c>
      <c r="AG382" s="135" t="s">
        <v>215</v>
      </c>
      <c r="AH382" s="133" t="s">
        <v>18</v>
      </c>
      <c r="AI382" s="134" t="s">
        <v>18</v>
      </c>
      <c r="AJ382" s="134" t="s">
        <v>18</v>
      </c>
      <c r="AK382" s="134" t="s">
        <v>18</v>
      </c>
      <c r="AL382" s="134" t="s">
        <v>18</v>
      </c>
      <c r="AM382" s="134" t="s">
        <v>18</v>
      </c>
      <c r="AN382" s="134" t="s">
        <v>18</v>
      </c>
      <c r="AO382" s="134" t="s">
        <v>18</v>
      </c>
      <c r="AP382" s="134" t="s">
        <v>18</v>
      </c>
      <c r="AQ382" s="134" t="s">
        <v>18</v>
      </c>
      <c r="AR382" s="134" t="s">
        <v>18</v>
      </c>
      <c r="AS382" s="134" t="s">
        <v>18</v>
      </c>
      <c r="AT382" s="134" t="s">
        <v>18</v>
      </c>
      <c r="AU382" s="134" t="s">
        <v>18</v>
      </c>
      <c r="AV382" s="134" t="s">
        <v>18</v>
      </c>
      <c r="AW382" s="134" t="s">
        <v>18</v>
      </c>
      <c r="AX382" s="134" t="s">
        <v>18</v>
      </c>
      <c r="AY382" s="134" t="s">
        <v>18</v>
      </c>
      <c r="AZ382" s="134" t="s">
        <v>18</v>
      </c>
      <c r="BA382" s="134" t="s">
        <v>18</v>
      </c>
      <c r="BB382" s="134" t="s">
        <v>18</v>
      </c>
      <c r="BC382" s="134" t="s">
        <v>18</v>
      </c>
    </row>
    <row r="383" spans="1:55" ht="15" customHeight="1" x14ac:dyDescent="0.2">
      <c r="A383" s="128">
        <v>303483.87096774188</v>
      </c>
      <c r="B383" s="122" t="s">
        <v>12</v>
      </c>
      <c r="C383" s="123"/>
      <c r="D383" s="124"/>
      <c r="E383" s="124"/>
      <c r="F383" s="125"/>
      <c r="G383" s="124"/>
      <c r="H383" s="125"/>
      <c r="I383" s="124"/>
      <c r="J383" s="124"/>
      <c r="K383" s="124"/>
      <c r="L383" s="124"/>
      <c r="M383" s="125" t="s">
        <v>216</v>
      </c>
      <c r="N383" s="124"/>
      <c r="O383" s="125"/>
      <c r="P383" s="124"/>
      <c r="Q383" s="124"/>
      <c r="R383" s="124"/>
      <c r="S383" s="125"/>
      <c r="T383" s="124"/>
      <c r="U383" s="124"/>
      <c r="V383" s="125"/>
      <c r="W383" s="124"/>
      <c r="X383" s="124"/>
      <c r="Y383" s="124"/>
      <c r="Z383" s="125"/>
      <c r="AA383" s="124"/>
      <c r="AB383" s="124"/>
      <c r="AC383" s="125"/>
      <c r="AD383" s="124"/>
      <c r="AE383" s="124"/>
      <c r="AF383" s="124"/>
      <c r="AG383" s="125"/>
      <c r="AH383" s="123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124"/>
      <c r="AT383" s="124"/>
      <c r="AU383" s="124"/>
      <c r="AV383" s="124"/>
      <c r="AW383" s="124"/>
      <c r="AX383" s="124"/>
      <c r="AY383" s="124"/>
      <c r="AZ383" s="124"/>
      <c r="BA383" s="124"/>
      <c r="BB383" s="124"/>
      <c r="BC383" s="124"/>
    </row>
    <row r="384" spans="1:55" ht="15" customHeight="1" x14ac:dyDescent="0.2">
      <c r="A384" s="128">
        <v>3136</v>
      </c>
      <c r="B384" s="136" t="s">
        <v>13</v>
      </c>
      <c r="C384" s="123">
        <v>0</v>
      </c>
      <c r="D384" s="137">
        <v>0</v>
      </c>
      <c r="E384" s="137">
        <v>73</v>
      </c>
      <c r="F384" s="125">
        <v>0</v>
      </c>
      <c r="G384" s="137">
        <v>49</v>
      </c>
      <c r="H384" s="125">
        <v>0</v>
      </c>
      <c r="I384" s="137">
        <v>0</v>
      </c>
      <c r="J384" s="137">
        <v>0</v>
      </c>
      <c r="K384" s="137">
        <v>0</v>
      </c>
      <c r="L384" s="137">
        <v>93</v>
      </c>
      <c r="M384" s="125">
        <v>0</v>
      </c>
      <c r="N384" s="137">
        <v>432</v>
      </c>
      <c r="O384" s="125">
        <v>0</v>
      </c>
      <c r="P384" s="137">
        <v>0</v>
      </c>
      <c r="Q384" s="137">
        <v>0</v>
      </c>
      <c r="R384" s="137">
        <v>488</v>
      </c>
      <c r="S384" s="125">
        <v>0</v>
      </c>
      <c r="T384" s="137">
        <v>0</v>
      </c>
      <c r="U384" s="137">
        <v>498</v>
      </c>
      <c r="V384" s="125">
        <v>0</v>
      </c>
      <c r="W384" s="137">
        <v>0</v>
      </c>
      <c r="X384" s="137">
        <v>0</v>
      </c>
      <c r="Y384" s="137">
        <v>414</v>
      </c>
      <c r="Z384" s="125">
        <v>0</v>
      </c>
      <c r="AA384" s="137">
        <v>0</v>
      </c>
      <c r="AB384" s="137">
        <v>527</v>
      </c>
      <c r="AC384" s="125">
        <v>0</v>
      </c>
      <c r="AD384" s="137">
        <v>0</v>
      </c>
      <c r="AE384" s="137">
        <v>0</v>
      </c>
      <c r="AF384" s="137">
        <v>380</v>
      </c>
      <c r="AG384" s="125">
        <v>182</v>
      </c>
      <c r="AH384" s="123" t="s">
        <v>18</v>
      </c>
      <c r="AI384" s="137" t="s">
        <v>18</v>
      </c>
      <c r="AJ384" s="137" t="s">
        <v>18</v>
      </c>
      <c r="AK384" s="137" t="s">
        <v>18</v>
      </c>
      <c r="AL384" s="137" t="s">
        <v>18</v>
      </c>
      <c r="AM384" s="137" t="s">
        <v>18</v>
      </c>
      <c r="AN384" s="137" t="s">
        <v>18</v>
      </c>
      <c r="AO384" s="137" t="s">
        <v>18</v>
      </c>
      <c r="AP384" s="137" t="s">
        <v>18</v>
      </c>
      <c r="AQ384" s="137" t="s">
        <v>18</v>
      </c>
      <c r="AR384" s="137" t="s">
        <v>18</v>
      </c>
      <c r="AS384" s="137" t="s">
        <v>18</v>
      </c>
      <c r="AT384" s="137" t="s">
        <v>18</v>
      </c>
      <c r="AU384" s="137" t="s">
        <v>18</v>
      </c>
      <c r="AV384" s="137" t="s">
        <v>18</v>
      </c>
      <c r="AW384" s="137" t="s">
        <v>18</v>
      </c>
      <c r="AX384" s="137" t="s">
        <v>18</v>
      </c>
      <c r="AY384" s="137" t="s">
        <v>18</v>
      </c>
      <c r="AZ384" s="137" t="s">
        <v>18</v>
      </c>
      <c r="BA384" s="137" t="s">
        <v>18</v>
      </c>
      <c r="BB384" s="137" t="s">
        <v>18</v>
      </c>
      <c r="BC384" s="137" t="s">
        <v>18</v>
      </c>
    </row>
    <row r="385" spans="1:55" ht="15" customHeight="1" x14ac:dyDescent="0.2">
      <c r="A385" s="128">
        <v>46</v>
      </c>
      <c r="B385" s="136" t="s">
        <v>14</v>
      </c>
      <c r="C385" s="123">
        <v>0</v>
      </c>
      <c r="D385" s="137">
        <v>0</v>
      </c>
      <c r="E385" s="137">
        <v>4</v>
      </c>
      <c r="F385" s="125">
        <v>0</v>
      </c>
      <c r="G385" s="137">
        <v>4</v>
      </c>
      <c r="H385" s="125">
        <v>0</v>
      </c>
      <c r="I385" s="137">
        <v>0</v>
      </c>
      <c r="J385" s="137">
        <v>0</v>
      </c>
      <c r="K385" s="137">
        <v>0</v>
      </c>
      <c r="L385" s="137">
        <v>6</v>
      </c>
      <c r="M385" s="125">
        <v>0</v>
      </c>
      <c r="N385" s="137">
        <v>5</v>
      </c>
      <c r="O385" s="125">
        <v>0</v>
      </c>
      <c r="P385" s="137">
        <v>0</v>
      </c>
      <c r="Q385" s="137">
        <v>0</v>
      </c>
      <c r="R385" s="137">
        <v>3</v>
      </c>
      <c r="S385" s="125">
        <v>0</v>
      </c>
      <c r="T385" s="137">
        <v>0</v>
      </c>
      <c r="U385" s="137">
        <v>6</v>
      </c>
      <c r="V385" s="125">
        <v>0</v>
      </c>
      <c r="W385" s="137">
        <v>0</v>
      </c>
      <c r="X385" s="137">
        <v>0</v>
      </c>
      <c r="Y385" s="137">
        <v>5</v>
      </c>
      <c r="Z385" s="125">
        <v>0</v>
      </c>
      <c r="AA385" s="137">
        <v>0</v>
      </c>
      <c r="AB385" s="137">
        <v>7</v>
      </c>
      <c r="AC385" s="125">
        <v>0</v>
      </c>
      <c r="AD385" s="137">
        <v>0</v>
      </c>
      <c r="AE385" s="137">
        <v>0</v>
      </c>
      <c r="AF385" s="137">
        <v>4</v>
      </c>
      <c r="AG385" s="125">
        <v>2</v>
      </c>
      <c r="AH385" s="123" t="s">
        <v>18</v>
      </c>
      <c r="AI385" s="137" t="s">
        <v>18</v>
      </c>
      <c r="AJ385" s="137" t="s">
        <v>18</v>
      </c>
      <c r="AK385" s="137" t="s">
        <v>18</v>
      </c>
      <c r="AL385" s="137" t="s">
        <v>18</v>
      </c>
      <c r="AM385" s="137" t="s">
        <v>18</v>
      </c>
      <c r="AN385" s="137" t="s">
        <v>18</v>
      </c>
      <c r="AO385" s="137" t="s">
        <v>18</v>
      </c>
      <c r="AP385" s="137" t="s">
        <v>18</v>
      </c>
      <c r="AQ385" s="137" t="s">
        <v>18</v>
      </c>
      <c r="AR385" s="137" t="s">
        <v>18</v>
      </c>
      <c r="AS385" s="137" t="s">
        <v>18</v>
      </c>
      <c r="AT385" s="137" t="s">
        <v>18</v>
      </c>
      <c r="AU385" s="137" t="s">
        <v>18</v>
      </c>
      <c r="AV385" s="137" t="s">
        <v>18</v>
      </c>
      <c r="AW385" s="137" t="s">
        <v>18</v>
      </c>
      <c r="AX385" s="137" t="s">
        <v>18</v>
      </c>
      <c r="AY385" s="137" t="s">
        <v>18</v>
      </c>
      <c r="AZ385" s="137" t="s">
        <v>18</v>
      </c>
      <c r="BA385" s="137" t="s">
        <v>18</v>
      </c>
      <c r="BB385" s="137" t="s">
        <v>18</v>
      </c>
      <c r="BC385" s="137" t="s">
        <v>18</v>
      </c>
    </row>
    <row r="386" spans="1:55" ht="15" customHeight="1" x14ac:dyDescent="0.2">
      <c r="A386" s="128">
        <v>33</v>
      </c>
      <c r="B386" s="136" t="s">
        <v>15</v>
      </c>
      <c r="C386" s="123">
        <v>0</v>
      </c>
      <c r="D386" s="137">
        <v>0</v>
      </c>
      <c r="E386" s="137">
        <v>0</v>
      </c>
      <c r="F386" s="125">
        <v>0</v>
      </c>
      <c r="G386" s="137">
        <v>0</v>
      </c>
      <c r="H386" s="125">
        <v>0</v>
      </c>
      <c r="I386" s="137">
        <v>0</v>
      </c>
      <c r="J386" s="137">
        <v>0</v>
      </c>
      <c r="K386" s="137">
        <v>0</v>
      </c>
      <c r="L386" s="137">
        <v>0</v>
      </c>
      <c r="M386" s="125">
        <v>0</v>
      </c>
      <c r="N386" s="137">
        <v>5</v>
      </c>
      <c r="O386" s="125">
        <v>0</v>
      </c>
      <c r="P386" s="137">
        <v>0</v>
      </c>
      <c r="Q386" s="137">
        <v>0</v>
      </c>
      <c r="R386" s="137">
        <v>3</v>
      </c>
      <c r="S386" s="125">
        <v>0</v>
      </c>
      <c r="T386" s="137">
        <v>0</v>
      </c>
      <c r="U386" s="137">
        <v>6</v>
      </c>
      <c r="V386" s="125">
        <v>0</v>
      </c>
      <c r="W386" s="137">
        <v>0</v>
      </c>
      <c r="X386" s="137">
        <v>0</v>
      </c>
      <c r="Y386" s="137">
        <v>5</v>
      </c>
      <c r="Z386" s="125">
        <v>0</v>
      </c>
      <c r="AA386" s="137">
        <v>0</v>
      </c>
      <c r="AB386" s="137">
        <v>7</v>
      </c>
      <c r="AC386" s="125">
        <v>0</v>
      </c>
      <c r="AD386" s="137">
        <v>0</v>
      </c>
      <c r="AE386" s="137">
        <v>0</v>
      </c>
      <c r="AF386" s="137">
        <v>4</v>
      </c>
      <c r="AG386" s="125">
        <v>3</v>
      </c>
      <c r="AH386" s="123" t="s">
        <v>18</v>
      </c>
      <c r="AI386" s="137" t="s">
        <v>18</v>
      </c>
      <c r="AJ386" s="137" t="s">
        <v>18</v>
      </c>
      <c r="AK386" s="137" t="s">
        <v>18</v>
      </c>
      <c r="AL386" s="137" t="s">
        <v>18</v>
      </c>
      <c r="AM386" s="137" t="s">
        <v>18</v>
      </c>
      <c r="AN386" s="137" t="s">
        <v>18</v>
      </c>
      <c r="AO386" s="137" t="s">
        <v>18</v>
      </c>
      <c r="AP386" s="137" t="s">
        <v>18</v>
      </c>
      <c r="AQ386" s="137" t="s">
        <v>18</v>
      </c>
      <c r="AR386" s="137" t="s">
        <v>18</v>
      </c>
      <c r="AS386" s="137" t="s">
        <v>18</v>
      </c>
      <c r="AT386" s="137" t="s">
        <v>18</v>
      </c>
      <c r="AU386" s="137" t="s">
        <v>18</v>
      </c>
      <c r="AV386" s="137" t="s">
        <v>18</v>
      </c>
      <c r="AW386" s="137" t="s">
        <v>18</v>
      </c>
      <c r="AX386" s="137" t="s">
        <v>18</v>
      </c>
      <c r="AY386" s="137" t="s">
        <v>18</v>
      </c>
      <c r="AZ386" s="137" t="s">
        <v>18</v>
      </c>
      <c r="BA386" s="137" t="s">
        <v>18</v>
      </c>
      <c r="BB386" s="137" t="s">
        <v>18</v>
      </c>
      <c r="BC386" s="137" t="s">
        <v>18</v>
      </c>
    </row>
    <row r="387" spans="1:55" ht="15" customHeight="1" x14ac:dyDescent="0.2">
      <c r="A387" s="128">
        <v>49500</v>
      </c>
      <c r="B387" s="136" t="s">
        <v>16</v>
      </c>
      <c r="C387" s="123">
        <v>0</v>
      </c>
      <c r="D387" s="137">
        <v>0</v>
      </c>
      <c r="E387" s="137">
        <v>0</v>
      </c>
      <c r="F387" s="125">
        <v>0</v>
      </c>
      <c r="G387" s="137">
        <v>0</v>
      </c>
      <c r="H387" s="125">
        <v>0</v>
      </c>
      <c r="I387" s="137">
        <v>0</v>
      </c>
      <c r="J387" s="137">
        <v>0</v>
      </c>
      <c r="K387" s="137">
        <v>0</v>
      </c>
      <c r="L387" s="137">
        <v>0</v>
      </c>
      <c r="M387" s="125">
        <v>0</v>
      </c>
      <c r="N387" s="137">
        <v>7500</v>
      </c>
      <c r="O387" s="125">
        <v>0</v>
      </c>
      <c r="P387" s="137">
        <v>0</v>
      </c>
      <c r="Q387" s="137">
        <v>0</v>
      </c>
      <c r="R387" s="137">
        <v>4500</v>
      </c>
      <c r="S387" s="125">
        <v>0</v>
      </c>
      <c r="T387" s="137">
        <v>0</v>
      </c>
      <c r="U387" s="137">
        <v>9000</v>
      </c>
      <c r="V387" s="125">
        <v>0</v>
      </c>
      <c r="W387" s="137">
        <v>0</v>
      </c>
      <c r="X387" s="137">
        <v>0</v>
      </c>
      <c r="Y387" s="137">
        <v>7500</v>
      </c>
      <c r="Z387" s="125">
        <v>0</v>
      </c>
      <c r="AA387" s="137">
        <v>0</v>
      </c>
      <c r="AB387" s="137">
        <v>10500</v>
      </c>
      <c r="AC387" s="125">
        <v>0</v>
      </c>
      <c r="AD387" s="137">
        <v>0</v>
      </c>
      <c r="AE387" s="137">
        <v>0</v>
      </c>
      <c r="AF387" s="137">
        <v>6000</v>
      </c>
      <c r="AG387" s="125">
        <v>4500</v>
      </c>
      <c r="AH387" s="123" t="s">
        <v>18</v>
      </c>
      <c r="AI387" s="137" t="s">
        <v>18</v>
      </c>
      <c r="AJ387" s="137" t="s">
        <v>18</v>
      </c>
      <c r="AK387" s="137" t="s">
        <v>18</v>
      </c>
      <c r="AL387" s="137" t="s">
        <v>18</v>
      </c>
      <c r="AM387" s="137" t="s">
        <v>18</v>
      </c>
      <c r="AN387" s="137" t="s">
        <v>18</v>
      </c>
      <c r="AO387" s="137" t="s">
        <v>18</v>
      </c>
      <c r="AP387" s="137" t="s">
        <v>18</v>
      </c>
      <c r="AQ387" s="137" t="s">
        <v>18</v>
      </c>
      <c r="AR387" s="137" t="s">
        <v>18</v>
      </c>
      <c r="AS387" s="137" t="s">
        <v>18</v>
      </c>
      <c r="AT387" s="137" t="s">
        <v>18</v>
      </c>
      <c r="AU387" s="137" t="s">
        <v>18</v>
      </c>
      <c r="AV387" s="137" t="s">
        <v>18</v>
      </c>
      <c r="AW387" s="137" t="s">
        <v>18</v>
      </c>
      <c r="AX387" s="137" t="s">
        <v>18</v>
      </c>
      <c r="AY387" s="137" t="s">
        <v>18</v>
      </c>
      <c r="AZ387" s="137" t="s">
        <v>18</v>
      </c>
      <c r="BA387" s="137" t="s">
        <v>18</v>
      </c>
      <c r="BB387" s="137" t="s">
        <v>18</v>
      </c>
      <c r="BC387" s="137" t="s">
        <v>18</v>
      </c>
    </row>
    <row r="388" spans="1:55" ht="15" customHeight="1" thickBot="1" x14ac:dyDescent="0.25">
      <c r="A388" s="138">
        <v>0.15784438775510204</v>
      </c>
      <c r="B388" s="139" t="s">
        <v>17</v>
      </c>
      <c r="C388" s="140" t="s">
        <v>18</v>
      </c>
      <c r="D388" s="141" t="s">
        <v>18</v>
      </c>
      <c r="E388" s="141" t="s">
        <v>18</v>
      </c>
      <c r="F388" s="142" t="s">
        <v>18</v>
      </c>
      <c r="G388" s="141" t="s">
        <v>18</v>
      </c>
      <c r="H388" s="142" t="s">
        <v>18</v>
      </c>
      <c r="I388" s="141" t="s">
        <v>18</v>
      </c>
      <c r="J388" s="141" t="s">
        <v>18</v>
      </c>
      <c r="K388" s="141" t="s">
        <v>18</v>
      </c>
      <c r="L388" s="141" t="s">
        <v>18</v>
      </c>
      <c r="M388" s="142" t="s">
        <v>18</v>
      </c>
      <c r="N388" s="141">
        <v>0.1736111111111111</v>
      </c>
      <c r="O388" s="142" t="s">
        <v>18</v>
      </c>
      <c r="P388" s="141" t="s">
        <v>18</v>
      </c>
      <c r="Q388" s="141" t="s">
        <v>18</v>
      </c>
      <c r="R388" s="141">
        <v>9.2213114754098366E-2</v>
      </c>
      <c r="S388" s="142" t="s">
        <v>18</v>
      </c>
      <c r="T388" s="141" t="s">
        <v>18</v>
      </c>
      <c r="U388" s="141">
        <v>0.18072289156626506</v>
      </c>
      <c r="V388" s="142" t="s">
        <v>18</v>
      </c>
      <c r="W388" s="141" t="s">
        <v>18</v>
      </c>
      <c r="X388" s="141" t="s">
        <v>18</v>
      </c>
      <c r="Y388" s="141">
        <v>0.18115942028985507</v>
      </c>
      <c r="Z388" s="142" t="s">
        <v>18</v>
      </c>
      <c r="AA388" s="141" t="s">
        <v>18</v>
      </c>
      <c r="AB388" s="141">
        <v>0.19924098671726756</v>
      </c>
      <c r="AC388" s="142" t="s">
        <v>18</v>
      </c>
      <c r="AD388" s="141" t="s">
        <v>18</v>
      </c>
      <c r="AE388" s="141" t="s">
        <v>18</v>
      </c>
      <c r="AF388" s="141">
        <v>0.15789473684210525</v>
      </c>
      <c r="AG388" s="142">
        <v>0.24725274725274726</v>
      </c>
      <c r="AH388" s="140" t="s">
        <v>18</v>
      </c>
      <c r="AI388" s="141" t="s">
        <v>18</v>
      </c>
      <c r="AJ388" s="141" t="s">
        <v>18</v>
      </c>
      <c r="AK388" s="141" t="s">
        <v>18</v>
      </c>
      <c r="AL388" s="141" t="s">
        <v>18</v>
      </c>
      <c r="AM388" s="141" t="s">
        <v>18</v>
      </c>
      <c r="AN388" s="141" t="s">
        <v>18</v>
      </c>
      <c r="AO388" s="141" t="s">
        <v>18</v>
      </c>
      <c r="AP388" s="141" t="s">
        <v>18</v>
      </c>
      <c r="AQ388" s="141" t="s">
        <v>18</v>
      </c>
      <c r="AR388" s="141" t="s">
        <v>18</v>
      </c>
      <c r="AS388" s="141" t="s">
        <v>18</v>
      </c>
      <c r="AT388" s="141" t="s">
        <v>18</v>
      </c>
      <c r="AU388" s="141" t="s">
        <v>18</v>
      </c>
      <c r="AV388" s="141" t="s">
        <v>18</v>
      </c>
      <c r="AW388" s="141" t="s">
        <v>18</v>
      </c>
      <c r="AX388" s="141" t="s">
        <v>18</v>
      </c>
      <c r="AY388" s="141" t="s">
        <v>18</v>
      </c>
      <c r="AZ388" s="141" t="s">
        <v>18</v>
      </c>
      <c r="BA388" s="141" t="s">
        <v>18</v>
      </c>
      <c r="BB388" s="141" t="s">
        <v>18</v>
      </c>
      <c r="BC388" s="141" t="s">
        <v>18</v>
      </c>
    </row>
    <row r="389" spans="1:55" ht="15" customHeight="1" x14ac:dyDescent="0.2">
      <c r="A389" s="116" t="s">
        <v>1</v>
      </c>
      <c r="B389" s="117" t="s">
        <v>2</v>
      </c>
      <c r="C389" s="118">
        <v>13507</v>
      </c>
      <c r="D389" s="119">
        <v>13507</v>
      </c>
      <c r="E389" s="119">
        <v>13572</v>
      </c>
      <c r="F389" s="120">
        <v>13572</v>
      </c>
      <c r="G389" s="119">
        <v>13632</v>
      </c>
      <c r="H389" s="120">
        <v>13632</v>
      </c>
      <c r="I389" s="119">
        <v>13632</v>
      </c>
      <c r="J389" s="119">
        <v>13632</v>
      </c>
      <c r="K389" s="119">
        <v>13632</v>
      </c>
      <c r="L389" s="119">
        <v>13672</v>
      </c>
      <c r="M389" s="120">
        <v>13672</v>
      </c>
      <c r="N389" s="119">
        <v>13705</v>
      </c>
      <c r="O389" s="120">
        <v>13705</v>
      </c>
      <c r="P389" s="119">
        <v>13705</v>
      </c>
      <c r="Q389" s="119">
        <v>13705</v>
      </c>
      <c r="R389" s="119">
        <v>13750</v>
      </c>
      <c r="S389" s="120">
        <v>13750</v>
      </c>
      <c r="T389" s="119">
        <v>13750</v>
      </c>
      <c r="U389" s="119">
        <v>13854</v>
      </c>
      <c r="V389" s="120">
        <v>13854</v>
      </c>
      <c r="W389" s="119">
        <v>13854</v>
      </c>
      <c r="X389" s="119">
        <v>13854</v>
      </c>
      <c r="Y389" s="119">
        <v>13891</v>
      </c>
      <c r="Z389" s="120">
        <v>13891</v>
      </c>
      <c r="AA389" s="119">
        <v>13891</v>
      </c>
      <c r="AB389" s="119">
        <v>13955</v>
      </c>
      <c r="AC389" s="120">
        <v>13955</v>
      </c>
      <c r="AD389" s="119">
        <v>13955</v>
      </c>
      <c r="AE389" s="119">
        <v>13955</v>
      </c>
      <c r="AF389" s="119">
        <v>13977</v>
      </c>
      <c r="AG389" s="120">
        <v>13987</v>
      </c>
      <c r="AH389" s="118" t="s">
        <v>18</v>
      </c>
      <c r="AI389" s="119" t="s">
        <v>18</v>
      </c>
      <c r="AJ389" s="119" t="s">
        <v>18</v>
      </c>
      <c r="AK389" s="119" t="s">
        <v>18</v>
      </c>
      <c r="AL389" s="119" t="s">
        <v>18</v>
      </c>
      <c r="AM389" s="119" t="s">
        <v>18</v>
      </c>
      <c r="AN389" s="119" t="s">
        <v>18</v>
      </c>
      <c r="AO389" s="119" t="s">
        <v>18</v>
      </c>
      <c r="AP389" s="119" t="s">
        <v>18</v>
      </c>
      <c r="AQ389" s="119" t="s">
        <v>18</v>
      </c>
      <c r="AR389" s="119" t="s">
        <v>18</v>
      </c>
      <c r="AS389" s="119" t="s">
        <v>18</v>
      </c>
      <c r="AT389" s="119" t="s">
        <v>18</v>
      </c>
      <c r="AU389" s="119" t="s">
        <v>18</v>
      </c>
      <c r="AV389" s="119" t="s">
        <v>18</v>
      </c>
      <c r="AW389" s="119" t="s">
        <v>18</v>
      </c>
      <c r="AX389" s="119" t="s">
        <v>18</v>
      </c>
      <c r="AY389" s="119" t="s">
        <v>18</v>
      </c>
      <c r="AZ389" s="119" t="s">
        <v>18</v>
      </c>
      <c r="BA389" s="119" t="s">
        <v>18</v>
      </c>
      <c r="BB389" s="119" t="s">
        <v>18</v>
      </c>
      <c r="BC389" s="119" t="s">
        <v>18</v>
      </c>
    </row>
    <row r="390" spans="1:55" ht="15" customHeight="1" x14ac:dyDescent="0.2">
      <c r="A390" s="121" t="s">
        <v>47</v>
      </c>
      <c r="B390" s="122" t="s">
        <v>4</v>
      </c>
      <c r="C390" s="123">
        <v>473</v>
      </c>
      <c r="D390" s="124">
        <v>473</v>
      </c>
      <c r="E390" s="124">
        <v>480</v>
      </c>
      <c r="F390" s="125">
        <v>480</v>
      </c>
      <c r="G390" s="124">
        <v>481</v>
      </c>
      <c r="H390" s="125">
        <v>481</v>
      </c>
      <c r="I390" s="124">
        <v>481</v>
      </c>
      <c r="J390" s="124">
        <v>481</v>
      </c>
      <c r="K390" s="124">
        <v>481</v>
      </c>
      <c r="L390" s="124">
        <v>485</v>
      </c>
      <c r="M390" s="125">
        <v>485</v>
      </c>
      <c r="N390" s="124">
        <v>489</v>
      </c>
      <c r="O390" s="125">
        <v>489</v>
      </c>
      <c r="P390" s="124">
        <v>489</v>
      </c>
      <c r="Q390" s="124">
        <v>489</v>
      </c>
      <c r="R390" s="124">
        <v>493</v>
      </c>
      <c r="S390" s="125">
        <v>493</v>
      </c>
      <c r="T390" s="124">
        <v>493</v>
      </c>
      <c r="U390" s="124">
        <v>497</v>
      </c>
      <c r="V390" s="125">
        <v>497</v>
      </c>
      <c r="W390" s="124">
        <v>497</v>
      </c>
      <c r="X390" s="124">
        <v>497</v>
      </c>
      <c r="Y390" s="124">
        <v>499</v>
      </c>
      <c r="Z390" s="125">
        <v>499</v>
      </c>
      <c r="AA390" s="124">
        <v>499</v>
      </c>
      <c r="AB390" s="124">
        <v>505</v>
      </c>
      <c r="AC390" s="125">
        <v>505</v>
      </c>
      <c r="AD390" s="124">
        <v>505</v>
      </c>
      <c r="AE390" s="124">
        <v>505</v>
      </c>
      <c r="AF390" s="124">
        <v>508</v>
      </c>
      <c r="AG390" s="125">
        <v>508</v>
      </c>
      <c r="AH390" s="123" t="s">
        <v>18</v>
      </c>
      <c r="AI390" s="124" t="s">
        <v>18</v>
      </c>
      <c r="AJ390" s="124" t="s">
        <v>18</v>
      </c>
      <c r="AK390" s="124" t="s">
        <v>18</v>
      </c>
      <c r="AL390" s="124" t="s">
        <v>18</v>
      </c>
      <c r="AM390" s="124" t="s">
        <v>18</v>
      </c>
      <c r="AN390" s="124" t="s">
        <v>18</v>
      </c>
      <c r="AO390" s="124" t="s">
        <v>18</v>
      </c>
      <c r="AP390" s="124" t="s">
        <v>18</v>
      </c>
      <c r="AQ390" s="124" t="s">
        <v>18</v>
      </c>
      <c r="AR390" s="124" t="s">
        <v>18</v>
      </c>
      <c r="AS390" s="124" t="s">
        <v>18</v>
      </c>
      <c r="AT390" s="124" t="s">
        <v>18</v>
      </c>
      <c r="AU390" s="124" t="s">
        <v>18</v>
      </c>
      <c r="AV390" s="124" t="s">
        <v>18</v>
      </c>
      <c r="AW390" s="124" t="s">
        <v>18</v>
      </c>
      <c r="AX390" s="124" t="s">
        <v>18</v>
      </c>
      <c r="AY390" s="124" t="s">
        <v>18</v>
      </c>
      <c r="AZ390" s="124" t="s">
        <v>18</v>
      </c>
      <c r="BA390" s="124" t="s">
        <v>18</v>
      </c>
      <c r="BB390" s="124" t="s">
        <v>18</v>
      </c>
      <c r="BC390" s="124" t="s">
        <v>18</v>
      </c>
    </row>
    <row r="391" spans="1:55" ht="15" customHeight="1" x14ac:dyDescent="0.25">
      <c r="A391" s="126"/>
      <c r="B391" s="122" t="s">
        <v>5</v>
      </c>
      <c r="C391" s="123">
        <v>22</v>
      </c>
      <c r="D391" s="124">
        <v>22</v>
      </c>
      <c r="E391" s="124">
        <v>22</v>
      </c>
      <c r="F391" s="125">
        <v>40</v>
      </c>
      <c r="G391" s="124">
        <v>39</v>
      </c>
      <c r="H391" s="125">
        <v>39</v>
      </c>
      <c r="I391" s="124">
        <v>39</v>
      </c>
      <c r="J391" s="124">
        <v>39</v>
      </c>
      <c r="K391" s="124">
        <v>39</v>
      </c>
      <c r="L391" s="124">
        <v>39</v>
      </c>
      <c r="M391" s="125">
        <v>39</v>
      </c>
      <c r="N391" s="124">
        <v>35</v>
      </c>
      <c r="O391" s="125">
        <v>35</v>
      </c>
      <c r="P391" s="124">
        <v>35</v>
      </c>
      <c r="Q391" s="124">
        <v>35</v>
      </c>
      <c r="R391" s="124">
        <v>31</v>
      </c>
      <c r="S391" s="125">
        <v>31</v>
      </c>
      <c r="T391" s="124">
        <v>31</v>
      </c>
      <c r="U391" s="124">
        <v>27</v>
      </c>
      <c r="V391" s="125">
        <v>27</v>
      </c>
      <c r="W391" s="124">
        <v>27</v>
      </c>
      <c r="X391" s="124">
        <v>27</v>
      </c>
      <c r="Y391" s="124">
        <v>27</v>
      </c>
      <c r="Z391" s="125">
        <v>27</v>
      </c>
      <c r="AA391" s="124">
        <v>27</v>
      </c>
      <c r="AB391" s="124">
        <v>21</v>
      </c>
      <c r="AC391" s="125">
        <v>21</v>
      </c>
      <c r="AD391" s="124">
        <v>21</v>
      </c>
      <c r="AE391" s="124">
        <v>21</v>
      </c>
      <c r="AF391" s="124">
        <v>20</v>
      </c>
      <c r="AG391" s="125">
        <v>20</v>
      </c>
      <c r="AH391" s="123" t="s">
        <v>18</v>
      </c>
      <c r="AI391" s="124" t="s">
        <v>18</v>
      </c>
      <c r="AJ391" s="124" t="s">
        <v>18</v>
      </c>
      <c r="AK391" s="124" t="s">
        <v>18</v>
      </c>
      <c r="AL391" s="124" t="s">
        <v>18</v>
      </c>
      <c r="AM391" s="124" t="s">
        <v>18</v>
      </c>
      <c r="AN391" s="124" t="s">
        <v>18</v>
      </c>
      <c r="AO391" s="124" t="s">
        <v>18</v>
      </c>
      <c r="AP391" s="124" t="s">
        <v>18</v>
      </c>
      <c r="AQ391" s="124" t="s">
        <v>18</v>
      </c>
      <c r="AR391" s="124" t="s">
        <v>18</v>
      </c>
      <c r="AS391" s="124" t="s">
        <v>18</v>
      </c>
      <c r="AT391" s="124" t="s">
        <v>18</v>
      </c>
      <c r="AU391" s="124" t="s">
        <v>18</v>
      </c>
      <c r="AV391" s="124" t="s">
        <v>18</v>
      </c>
      <c r="AW391" s="124" t="s">
        <v>18</v>
      </c>
      <c r="AX391" s="124" t="s">
        <v>18</v>
      </c>
      <c r="AY391" s="124" t="s">
        <v>18</v>
      </c>
      <c r="AZ391" s="124" t="s">
        <v>18</v>
      </c>
      <c r="BA391" s="124" t="s">
        <v>18</v>
      </c>
      <c r="BB391" s="124" t="s">
        <v>18</v>
      </c>
      <c r="BC391" s="124" t="s">
        <v>18</v>
      </c>
    </row>
    <row r="392" spans="1:55" ht="15" customHeight="1" x14ac:dyDescent="0.2">
      <c r="A392" s="127"/>
      <c r="B392" s="122" t="s">
        <v>6</v>
      </c>
      <c r="C392" s="123"/>
      <c r="D392" s="124"/>
      <c r="E392" s="124">
        <v>18</v>
      </c>
      <c r="F392" s="125"/>
      <c r="G392" s="124"/>
      <c r="H392" s="125"/>
      <c r="I392" s="124"/>
      <c r="J392" s="124"/>
      <c r="K392" s="124"/>
      <c r="L392" s="124"/>
      <c r="M392" s="125"/>
      <c r="N392" s="124"/>
      <c r="O392" s="125"/>
      <c r="P392" s="124"/>
      <c r="Q392" s="124"/>
      <c r="R392" s="124"/>
      <c r="S392" s="125"/>
      <c r="T392" s="124"/>
      <c r="U392" s="124"/>
      <c r="V392" s="125"/>
      <c r="W392" s="124"/>
      <c r="X392" s="124"/>
      <c r="Y392" s="124"/>
      <c r="Z392" s="125"/>
      <c r="AA392" s="124"/>
      <c r="AB392" s="124"/>
      <c r="AC392" s="125"/>
      <c r="AD392" s="124"/>
      <c r="AE392" s="124"/>
      <c r="AF392" s="124"/>
      <c r="AG392" s="125"/>
      <c r="AH392" s="123"/>
      <c r="AI392" s="124"/>
      <c r="AJ392" s="124"/>
      <c r="AK392" s="124"/>
      <c r="AL392" s="124"/>
      <c r="AM392" s="124"/>
      <c r="AN392" s="124"/>
      <c r="AO392" s="124"/>
      <c r="AP392" s="124"/>
      <c r="AQ392" s="124"/>
      <c r="AR392" s="124"/>
      <c r="AS392" s="124"/>
      <c r="AT392" s="124"/>
      <c r="AU392" s="124"/>
      <c r="AV392" s="124"/>
      <c r="AW392" s="124"/>
      <c r="AX392" s="124"/>
      <c r="AY392" s="124"/>
      <c r="AZ392" s="124"/>
      <c r="BA392" s="124"/>
      <c r="BB392" s="124"/>
      <c r="BC392" s="124"/>
    </row>
    <row r="393" spans="1:55" ht="15" customHeight="1" x14ac:dyDescent="0.2">
      <c r="A393" s="128"/>
      <c r="B393" s="122" t="s">
        <v>8</v>
      </c>
      <c r="C393" s="129">
        <v>500</v>
      </c>
      <c r="D393" s="130">
        <v>500</v>
      </c>
      <c r="E393" s="130">
        <v>500</v>
      </c>
      <c r="F393" s="131">
        <v>500</v>
      </c>
      <c r="G393" s="130">
        <v>500</v>
      </c>
      <c r="H393" s="131">
        <v>500</v>
      </c>
      <c r="I393" s="130">
        <v>500</v>
      </c>
      <c r="J393" s="130">
        <v>500</v>
      </c>
      <c r="K393" s="130">
        <v>500</v>
      </c>
      <c r="L393" s="130">
        <v>500</v>
      </c>
      <c r="M393" s="131">
        <v>500</v>
      </c>
      <c r="N393" s="130">
        <v>500</v>
      </c>
      <c r="O393" s="131">
        <v>500</v>
      </c>
      <c r="P393" s="130">
        <v>500</v>
      </c>
      <c r="Q393" s="130">
        <v>500</v>
      </c>
      <c r="R393" s="130">
        <v>500</v>
      </c>
      <c r="S393" s="131">
        <v>500</v>
      </c>
      <c r="T393" s="130">
        <v>500</v>
      </c>
      <c r="U393" s="130">
        <v>500</v>
      </c>
      <c r="V393" s="131">
        <v>500</v>
      </c>
      <c r="W393" s="130">
        <v>500</v>
      </c>
      <c r="X393" s="130">
        <v>500</v>
      </c>
      <c r="Y393" s="130">
        <v>500</v>
      </c>
      <c r="Z393" s="131">
        <v>500</v>
      </c>
      <c r="AA393" s="130">
        <v>500</v>
      </c>
      <c r="AB393" s="130">
        <v>500</v>
      </c>
      <c r="AC393" s="131">
        <v>500</v>
      </c>
      <c r="AD393" s="130">
        <v>500</v>
      </c>
      <c r="AE393" s="130">
        <v>500</v>
      </c>
      <c r="AF393" s="130">
        <v>500</v>
      </c>
      <c r="AG393" s="131">
        <v>500</v>
      </c>
      <c r="AH393" s="129" t="s">
        <v>18</v>
      </c>
      <c r="AI393" s="130" t="s">
        <v>18</v>
      </c>
      <c r="AJ393" s="130" t="s">
        <v>18</v>
      </c>
      <c r="AK393" s="130" t="s">
        <v>18</v>
      </c>
      <c r="AL393" s="130" t="s">
        <v>18</v>
      </c>
      <c r="AM393" s="130" t="s">
        <v>18</v>
      </c>
      <c r="AN393" s="130" t="s">
        <v>18</v>
      </c>
      <c r="AO393" s="130" t="s">
        <v>18</v>
      </c>
      <c r="AP393" s="130" t="s">
        <v>18</v>
      </c>
      <c r="AQ393" s="130" t="s">
        <v>18</v>
      </c>
      <c r="AR393" s="130" t="s">
        <v>18</v>
      </c>
      <c r="AS393" s="130" t="s">
        <v>18</v>
      </c>
      <c r="AT393" s="130" t="s">
        <v>18</v>
      </c>
      <c r="AU393" s="130" t="s">
        <v>18</v>
      </c>
      <c r="AV393" s="130" t="s">
        <v>18</v>
      </c>
      <c r="AW393" s="130" t="s">
        <v>18</v>
      </c>
      <c r="AX393" s="130" t="s">
        <v>18</v>
      </c>
      <c r="AY393" s="130" t="s">
        <v>18</v>
      </c>
      <c r="AZ393" s="130" t="s">
        <v>18</v>
      </c>
      <c r="BA393" s="130" t="s">
        <v>18</v>
      </c>
      <c r="BB393" s="130" t="s">
        <v>18</v>
      </c>
      <c r="BC393" s="130" t="s">
        <v>18</v>
      </c>
    </row>
    <row r="394" spans="1:55" ht="15" customHeight="1" x14ac:dyDescent="0.2">
      <c r="A394" s="127" t="s">
        <v>9</v>
      </c>
      <c r="B394" s="132" t="s">
        <v>10</v>
      </c>
      <c r="C394" s="133" t="s">
        <v>48</v>
      </c>
      <c r="D394" s="134" t="s">
        <v>48</v>
      </c>
      <c r="E394" s="134" t="s">
        <v>48</v>
      </c>
      <c r="F394" s="135" t="s">
        <v>48</v>
      </c>
      <c r="G394" s="134" t="s">
        <v>48</v>
      </c>
      <c r="H394" s="135" t="s">
        <v>48</v>
      </c>
      <c r="I394" s="134" t="s">
        <v>48</v>
      </c>
      <c r="J394" s="134" t="s">
        <v>48</v>
      </c>
      <c r="K394" s="134" t="s">
        <v>48</v>
      </c>
      <c r="L394" s="134" t="s">
        <v>48</v>
      </c>
      <c r="M394" s="135" t="s">
        <v>48</v>
      </c>
      <c r="N394" s="134" t="s">
        <v>48</v>
      </c>
      <c r="O394" s="135" t="s">
        <v>48</v>
      </c>
      <c r="P394" s="134" t="s">
        <v>48</v>
      </c>
      <c r="Q394" s="134" t="s">
        <v>48</v>
      </c>
      <c r="R394" s="134" t="s">
        <v>48</v>
      </c>
      <c r="S394" s="135" t="s">
        <v>48</v>
      </c>
      <c r="T394" s="134" t="s">
        <v>48</v>
      </c>
      <c r="U394" s="134" t="s">
        <v>48</v>
      </c>
      <c r="V394" s="135" t="s">
        <v>48</v>
      </c>
      <c r="W394" s="134" t="s">
        <v>48</v>
      </c>
      <c r="X394" s="134" t="s">
        <v>48</v>
      </c>
      <c r="Y394" s="134" t="s">
        <v>48</v>
      </c>
      <c r="Z394" s="135" t="s">
        <v>48</v>
      </c>
      <c r="AA394" s="134" t="s">
        <v>48</v>
      </c>
      <c r="AB394" s="134" t="s">
        <v>48</v>
      </c>
      <c r="AC394" s="135" t="s">
        <v>48</v>
      </c>
      <c r="AD394" s="134" t="s">
        <v>48</v>
      </c>
      <c r="AE394" s="134" t="s">
        <v>48</v>
      </c>
      <c r="AF394" s="134" t="s">
        <v>48</v>
      </c>
      <c r="AG394" s="135" t="s">
        <v>48</v>
      </c>
      <c r="AH394" s="133" t="s">
        <v>18</v>
      </c>
      <c r="AI394" s="134" t="s">
        <v>18</v>
      </c>
      <c r="AJ394" s="134" t="s">
        <v>18</v>
      </c>
      <c r="AK394" s="134" t="s">
        <v>18</v>
      </c>
      <c r="AL394" s="134" t="s">
        <v>18</v>
      </c>
      <c r="AM394" s="134" t="s">
        <v>18</v>
      </c>
      <c r="AN394" s="134" t="s">
        <v>18</v>
      </c>
      <c r="AO394" s="134" t="s">
        <v>18</v>
      </c>
      <c r="AP394" s="134" t="s">
        <v>18</v>
      </c>
      <c r="AQ394" s="134" t="s">
        <v>18</v>
      </c>
      <c r="AR394" s="134" t="s">
        <v>18</v>
      </c>
      <c r="AS394" s="134" t="s">
        <v>18</v>
      </c>
      <c r="AT394" s="134" t="s">
        <v>18</v>
      </c>
      <c r="AU394" s="134" t="s">
        <v>18</v>
      </c>
      <c r="AV394" s="134" t="s">
        <v>18</v>
      </c>
      <c r="AW394" s="134" t="s">
        <v>18</v>
      </c>
      <c r="AX394" s="134" t="s">
        <v>18</v>
      </c>
      <c r="AY394" s="134" t="s">
        <v>18</v>
      </c>
      <c r="AZ394" s="134" t="s">
        <v>18</v>
      </c>
      <c r="BA394" s="134" t="s">
        <v>18</v>
      </c>
      <c r="BB394" s="134" t="s">
        <v>18</v>
      </c>
      <c r="BC394" s="134" t="s">
        <v>18</v>
      </c>
    </row>
    <row r="395" spans="1:55" ht="15" customHeight="1" x14ac:dyDescent="0.2">
      <c r="A395" s="128">
        <v>46451.612903225803</v>
      </c>
      <c r="B395" s="122" t="s">
        <v>12</v>
      </c>
      <c r="C395" s="123"/>
      <c r="D395" s="124"/>
      <c r="E395" s="124"/>
      <c r="F395" s="125"/>
      <c r="G395" s="124"/>
      <c r="H395" s="125"/>
      <c r="I395" s="124"/>
      <c r="J395" s="124"/>
      <c r="K395" s="124"/>
      <c r="L395" s="124"/>
      <c r="M395" s="125"/>
      <c r="N395" s="124"/>
      <c r="O395" s="125"/>
      <c r="P395" s="124"/>
      <c r="Q395" s="124"/>
      <c r="R395" s="124"/>
      <c r="S395" s="125"/>
      <c r="T395" s="124"/>
      <c r="U395" s="124"/>
      <c r="V395" s="125"/>
      <c r="W395" s="124"/>
      <c r="X395" s="124"/>
      <c r="Y395" s="124"/>
      <c r="Z395" s="125"/>
      <c r="AA395" s="124"/>
      <c r="AB395" s="124"/>
      <c r="AC395" s="125"/>
      <c r="AD395" s="124"/>
      <c r="AE395" s="124"/>
      <c r="AF395" s="124"/>
      <c r="AG395" s="125"/>
      <c r="AH395" s="123"/>
      <c r="AI395" s="124"/>
      <c r="AJ395" s="124"/>
      <c r="AK395" s="124"/>
      <c r="AL395" s="124"/>
      <c r="AM395" s="124"/>
      <c r="AN395" s="124"/>
      <c r="AO395" s="124"/>
      <c r="AP395" s="124"/>
      <c r="AQ395" s="124"/>
      <c r="AR395" s="124"/>
      <c r="AS395" s="124"/>
      <c r="AT395" s="124"/>
      <c r="AU395" s="124"/>
      <c r="AV395" s="124"/>
      <c r="AW395" s="124"/>
      <c r="AX395" s="124"/>
      <c r="AY395" s="124"/>
      <c r="AZ395" s="124"/>
      <c r="BA395" s="124"/>
      <c r="BB395" s="124"/>
      <c r="BC395" s="124"/>
    </row>
    <row r="396" spans="1:55" ht="15" customHeight="1" x14ac:dyDescent="0.2">
      <c r="A396" s="128">
        <v>480</v>
      </c>
      <c r="B396" s="136" t="s">
        <v>13</v>
      </c>
      <c r="C396" s="123">
        <v>0</v>
      </c>
      <c r="D396" s="137">
        <v>0</v>
      </c>
      <c r="E396" s="137">
        <v>65</v>
      </c>
      <c r="F396" s="125">
        <v>0</v>
      </c>
      <c r="G396" s="137">
        <v>60</v>
      </c>
      <c r="H396" s="125">
        <v>0</v>
      </c>
      <c r="I396" s="137">
        <v>0</v>
      </c>
      <c r="J396" s="137">
        <v>0</v>
      </c>
      <c r="K396" s="137">
        <v>0</v>
      </c>
      <c r="L396" s="137">
        <v>40</v>
      </c>
      <c r="M396" s="125">
        <v>0</v>
      </c>
      <c r="N396" s="137">
        <v>33</v>
      </c>
      <c r="O396" s="125">
        <v>0</v>
      </c>
      <c r="P396" s="137">
        <v>0</v>
      </c>
      <c r="Q396" s="137">
        <v>0</v>
      </c>
      <c r="R396" s="137">
        <v>45</v>
      </c>
      <c r="S396" s="125">
        <v>0</v>
      </c>
      <c r="T396" s="137">
        <v>0</v>
      </c>
      <c r="U396" s="137">
        <v>104</v>
      </c>
      <c r="V396" s="125">
        <v>0</v>
      </c>
      <c r="W396" s="137">
        <v>0</v>
      </c>
      <c r="X396" s="137">
        <v>0</v>
      </c>
      <c r="Y396" s="137">
        <v>37</v>
      </c>
      <c r="Z396" s="125">
        <v>0</v>
      </c>
      <c r="AA396" s="137">
        <v>0</v>
      </c>
      <c r="AB396" s="137">
        <v>64</v>
      </c>
      <c r="AC396" s="125">
        <v>0</v>
      </c>
      <c r="AD396" s="137">
        <v>0</v>
      </c>
      <c r="AE396" s="137">
        <v>0</v>
      </c>
      <c r="AF396" s="137">
        <v>22</v>
      </c>
      <c r="AG396" s="125">
        <v>10</v>
      </c>
      <c r="AH396" s="123" t="s">
        <v>18</v>
      </c>
      <c r="AI396" s="137" t="s">
        <v>18</v>
      </c>
      <c r="AJ396" s="137" t="s">
        <v>18</v>
      </c>
      <c r="AK396" s="137" t="s">
        <v>18</v>
      </c>
      <c r="AL396" s="137" t="s">
        <v>18</v>
      </c>
      <c r="AM396" s="137" t="s">
        <v>18</v>
      </c>
      <c r="AN396" s="137" t="s">
        <v>18</v>
      </c>
      <c r="AO396" s="137" t="s">
        <v>18</v>
      </c>
      <c r="AP396" s="137" t="s">
        <v>18</v>
      </c>
      <c r="AQ396" s="137" t="s">
        <v>18</v>
      </c>
      <c r="AR396" s="137" t="s">
        <v>18</v>
      </c>
      <c r="AS396" s="137" t="s">
        <v>18</v>
      </c>
      <c r="AT396" s="137" t="s">
        <v>18</v>
      </c>
      <c r="AU396" s="137" t="s">
        <v>18</v>
      </c>
      <c r="AV396" s="137" t="s">
        <v>18</v>
      </c>
      <c r="AW396" s="137" t="s">
        <v>18</v>
      </c>
      <c r="AX396" s="137" t="s">
        <v>18</v>
      </c>
      <c r="AY396" s="137" t="s">
        <v>18</v>
      </c>
      <c r="AZ396" s="137" t="s">
        <v>18</v>
      </c>
      <c r="BA396" s="137" t="s">
        <v>18</v>
      </c>
      <c r="BB396" s="137" t="s">
        <v>18</v>
      </c>
      <c r="BC396" s="137" t="s">
        <v>18</v>
      </c>
    </row>
    <row r="397" spans="1:55" ht="15" customHeight="1" x14ac:dyDescent="0.2">
      <c r="A397" s="128">
        <v>35</v>
      </c>
      <c r="B397" s="136" t="s">
        <v>14</v>
      </c>
      <c r="C397" s="123">
        <v>0</v>
      </c>
      <c r="D397" s="137">
        <v>0</v>
      </c>
      <c r="E397" s="137">
        <v>7</v>
      </c>
      <c r="F397" s="125">
        <v>0</v>
      </c>
      <c r="G397" s="137">
        <v>1</v>
      </c>
      <c r="H397" s="125">
        <v>0</v>
      </c>
      <c r="I397" s="137">
        <v>0</v>
      </c>
      <c r="J397" s="137">
        <v>0</v>
      </c>
      <c r="K397" s="137">
        <v>0</v>
      </c>
      <c r="L397" s="137">
        <v>4</v>
      </c>
      <c r="M397" s="125">
        <v>0</v>
      </c>
      <c r="N397" s="137">
        <v>4</v>
      </c>
      <c r="O397" s="125">
        <v>0</v>
      </c>
      <c r="P397" s="137">
        <v>0</v>
      </c>
      <c r="Q397" s="137">
        <v>0</v>
      </c>
      <c r="R397" s="137">
        <v>4</v>
      </c>
      <c r="S397" s="125">
        <v>0</v>
      </c>
      <c r="T397" s="137">
        <v>0</v>
      </c>
      <c r="U397" s="137">
        <v>4</v>
      </c>
      <c r="V397" s="125">
        <v>0</v>
      </c>
      <c r="W397" s="137">
        <v>0</v>
      </c>
      <c r="X397" s="137">
        <v>0</v>
      </c>
      <c r="Y397" s="137">
        <v>2</v>
      </c>
      <c r="Z397" s="125">
        <v>0</v>
      </c>
      <c r="AA397" s="137">
        <v>0</v>
      </c>
      <c r="AB397" s="137">
        <v>6</v>
      </c>
      <c r="AC397" s="125">
        <v>0</v>
      </c>
      <c r="AD397" s="137">
        <v>0</v>
      </c>
      <c r="AE397" s="137">
        <v>0</v>
      </c>
      <c r="AF397" s="137">
        <v>3</v>
      </c>
      <c r="AG397" s="125">
        <v>0</v>
      </c>
      <c r="AH397" s="123" t="s">
        <v>18</v>
      </c>
      <c r="AI397" s="137" t="s">
        <v>18</v>
      </c>
      <c r="AJ397" s="137" t="s">
        <v>18</v>
      </c>
      <c r="AK397" s="137" t="s">
        <v>18</v>
      </c>
      <c r="AL397" s="137" t="s">
        <v>18</v>
      </c>
      <c r="AM397" s="137" t="s">
        <v>18</v>
      </c>
      <c r="AN397" s="137" t="s">
        <v>18</v>
      </c>
      <c r="AO397" s="137" t="s">
        <v>18</v>
      </c>
      <c r="AP397" s="137" t="s">
        <v>18</v>
      </c>
      <c r="AQ397" s="137" t="s">
        <v>18</v>
      </c>
      <c r="AR397" s="137" t="s">
        <v>18</v>
      </c>
      <c r="AS397" s="137" t="s">
        <v>18</v>
      </c>
      <c r="AT397" s="137" t="s">
        <v>18</v>
      </c>
      <c r="AU397" s="137" t="s">
        <v>18</v>
      </c>
      <c r="AV397" s="137" t="s">
        <v>18</v>
      </c>
      <c r="AW397" s="137" t="s">
        <v>18</v>
      </c>
      <c r="AX397" s="137" t="s">
        <v>18</v>
      </c>
      <c r="AY397" s="137" t="s">
        <v>18</v>
      </c>
      <c r="AZ397" s="137" t="s">
        <v>18</v>
      </c>
      <c r="BA397" s="137" t="s">
        <v>18</v>
      </c>
      <c r="BB397" s="137" t="s">
        <v>18</v>
      </c>
      <c r="BC397" s="137" t="s">
        <v>18</v>
      </c>
    </row>
    <row r="398" spans="1:55" ht="15" customHeight="1" x14ac:dyDescent="0.2">
      <c r="A398" s="128">
        <v>20</v>
      </c>
      <c r="B398" s="136" t="s">
        <v>15</v>
      </c>
      <c r="C398" s="123">
        <v>0</v>
      </c>
      <c r="D398" s="137">
        <v>0</v>
      </c>
      <c r="E398" s="137">
        <v>0</v>
      </c>
      <c r="F398" s="125">
        <v>0</v>
      </c>
      <c r="G398" s="137">
        <v>1</v>
      </c>
      <c r="H398" s="125">
        <v>0</v>
      </c>
      <c r="I398" s="137">
        <v>0</v>
      </c>
      <c r="J398" s="137">
        <v>0</v>
      </c>
      <c r="K398" s="137">
        <v>0</v>
      </c>
      <c r="L398" s="137">
        <v>0</v>
      </c>
      <c r="M398" s="125">
        <v>0</v>
      </c>
      <c r="N398" s="137">
        <v>4</v>
      </c>
      <c r="O398" s="125">
        <v>0</v>
      </c>
      <c r="P398" s="137">
        <v>0</v>
      </c>
      <c r="Q398" s="137">
        <v>0</v>
      </c>
      <c r="R398" s="137">
        <v>4</v>
      </c>
      <c r="S398" s="125">
        <v>0</v>
      </c>
      <c r="T398" s="137">
        <v>0</v>
      </c>
      <c r="U398" s="137">
        <v>4</v>
      </c>
      <c r="V398" s="125">
        <v>0</v>
      </c>
      <c r="W398" s="137">
        <v>0</v>
      </c>
      <c r="X398" s="137">
        <v>0</v>
      </c>
      <c r="Y398" s="137">
        <v>0</v>
      </c>
      <c r="Z398" s="125">
        <v>0</v>
      </c>
      <c r="AA398" s="137">
        <v>0</v>
      </c>
      <c r="AB398" s="137">
        <v>6</v>
      </c>
      <c r="AC398" s="125">
        <v>0</v>
      </c>
      <c r="AD398" s="137">
        <v>0</v>
      </c>
      <c r="AE398" s="137">
        <v>0</v>
      </c>
      <c r="AF398" s="137">
        <v>1</v>
      </c>
      <c r="AG398" s="125">
        <v>0</v>
      </c>
      <c r="AH398" s="123" t="s">
        <v>18</v>
      </c>
      <c r="AI398" s="137" t="s">
        <v>18</v>
      </c>
      <c r="AJ398" s="137" t="s">
        <v>18</v>
      </c>
      <c r="AK398" s="137" t="s">
        <v>18</v>
      </c>
      <c r="AL398" s="137" t="s">
        <v>18</v>
      </c>
      <c r="AM398" s="137" t="s">
        <v>18</v>
      </c>
      <c r="AN398" s="137" t="s">
        <v>18</v>
      </c>
      <c r="AO398" s="137" t="s">
        <v>18</v>
      </c>
      <c r="AP398" s="137" t="s">
        <v>18</v>
      </c>
      <c r="AQ398" s="137" t="s">
        <v>18</v>
      </c>
      <c r="AR398" s="137" t="s">
        <v>18</v>
      </c>
      <c r="AS398" s="137" t="s">
        <v>18</v>
      </c>
      <c r="AT398" s="137" t="s">
        <v>18</v>
      </c>
      <c r="AU398" s="137" t="s">
        <v>18</v>
      </c>
      <c r="AV398" s="137" t="s">
        <v>18</v>
      </c>
      <c r="AW398" s="137" t="s">
        <v>18</v>
      </c>
      <c r="AX398" s="137" t="s">
        <v>18</v>
      </c>
      <c r="AY398" s="137" t="s">
        <v>18</v>
      </c>
      <c r="AZ398" s="137" t="s">
        <v>18</v>
      </c>
      <c r="BA398" s="137" t="s">
        <v>18</v>
      </c>
      <c r="BB398" s="137" t="s">
        <v>18</v>
      </c>
      <c r="BC398" s="137" t="s">
        <v>18</v>
      </c>
    </row>
    <row r="399" spans="1:55" ht="15" customHeight="1" x14ac:dyDescent="0.2">
      <c r="A399" s="128">
        <v>10000</v>
      </c>
      <c r="B399" s="136" t="s">
        <v>16</v>
      </c>
      <c r="C399" s="123">
        <v>0</v>
      </c>
      <c r="D399" s="137">
        <v>0</v>
      </c>
      <c r="E399" s="137">
        <v>0</v>
      </c>
      <c r="F399" s="125">
        <v>0</v>
      </c>
      <c r="G399" s="137">
        <v>500</v>
      </c>
      <c r="H399" s="125">
        <v>0</v>
      </c>
      <c r="I399" s="137">
        <v>0</v>
      </c>
      <c r="J399" s="137">
        <v>0</v>
      </c>
      <c r="K399" s="137">
        <v>0</v>
      </c>
      <c r="L399" s="137">
        <v>0</v>
      </c>
      <c r="M399" s="125">
        <v>0</v>
      </c>
      <c r="N399" s="137">
        <v>2000</v>
      </c>
      <c r="O399" s="125">
        <v>0</v>
      </c>
      <c r="P399" s="137">
        <v>0</v>
      </c>
      <c r="Q399" s="137">
        <v>0</v>
      </c>
      <c r="R399" s="137">
        <v>2000</v>
      </c>
      <c r="S399" s="125">
        <v>0</v>
      </c>
      <c r="T399" s="137">
        <v>0</v>
      </c>
      <c r="U399" s="137">
        <v>2000</v>
      </c>
      <c r="V399" s="125">
        <v>0</v>
      </c>
      <c r="W399" s="137">
        <v>0</v>
      </c>
      <c r="X399" s="137">
        <v>0</v>
      </c>
      <c r="Y399" s="137">
        <v>0</v>
      </c>
      <c r="Z399" s="125">
        <v>0</v>
      </c>
      <c r="AA399" s="137">
        <v>0</v>
      </c>
      <c r="AB399" s="137">
        <v>3000</v>
      </c>
      <c r="AC399" s="125">
        <v>0</v>
      </c>
      <c r="AD399" s="137">
        <v>0</v>
      </c>
      <c r="AE399" s="137">
        <v>0</v>
      </c>
      <c r="AF399" s="137">
        <v>500</v>
      </c>
      <c r="AG399" s="125">
        <v>0</v>
      </c>
      <c r="AH399" s="123" t="s">
        <v>18</v>
      </c>
      <c r="AI399" s="137" t="s">
        <v>18</v>
      </c>
      <c r="AJ399" s="137" t="s">
        <v>18</v>
      </c>
      <c r="AK399" s="137" t="s">
        <v>18</v>
      </c>
      <c r="AL399" s="137" t="s">
        <v>18</v>
      </c>
      <c r="AM399" s="137" t="s">
        <v>18</v>
      </c>
      <c r="AN399" s="137" t="s">
        <v>18</v>
      </c>
      <c r="AO399" s="137" t="s">
        <v>18</v>
      </c>
      <c r="AP399" s="137" t="s">
        <v>18</v>
      </c>
      <c r="AQ399" s="137" t="s">
        <v>18</v>
      </c>
      <c r="AR399" s="137" t="s">
        <v>18</v>
      </c>
      <c r="AS399" s="137" t="s">
        <v>18</v>
      </c>
      <c r="AT399" s="137" t="s">
        <v>18</v>
      </c>
      <c r="AU399" s="137" t="s">
        <v>18</v>
      </c>
      <c r="AV399" s="137" t="s">
        <v>18</v>
      </c>
      <c r="AW399" s="137" t="s">
        <v>18</v>
      </c>
      <c r="AX399" s="137" t="s">
        <v>18</v>
      </c>
      <c r="AY399" s="137" t="s">
        <v>18</v>
      </c>
      <c r="AZ399" s="137" t="s">
        <v>18</v>
      </c>
      <c r="BA399" s="137" t="s">
        <v>18</v>
      </c>
      <c r="BB399" s="137" t="s">
        <v>18</v>
      </c>
      <c r="BC399" s="137" t="s">
        <v>18</v>
      </c>
    </row>
    <row r="400" spans="1:55" ht="15" customHeight="1" thickBot="1" x14ac:dyDescent="0.25">
      <c r="A400" s="138">
        <v>0.20833333333333334</v>
      </c>
      <c r="B400" s="139" t="s">
        <v>17</v>
      </c>
      <c r="C400" s="140" t="s">
        <v>18</v>
      </c>
      <c r="D400" s="141" t="s">
        <v>18</v>
      </c>
      <c r="E400" s="141" t="s">
        <v>18</v>
      </c>
      <c r="F400" s="142" t="s">
        <v>18</v>
      </c>
      <c r="G400" s="141">
        <v>8.3333333333333329E-2</v>
      </c>
      <c r="H400" s="142" t="s">
        <v>18</v>
      </c>
      <c r="I400" s="141" t="s">
        <v>18</v>
      </c>
      <c r="J400" s="141" t="s">
        <v>18</v>
      </c>
      <c r="K400" s="141" t="s">
        <v>18</v>
      </c>
      <c r="L400" s="141" t="s">
        <v>18</v>
      </c>
      <c r="M400" s="142" t="s">
        <v>18</v>
      </c>
      <c r="N400" s="141">
        <v>0.60606060606060608</v>
      </c>
      <c r="O400" s="142" t="s">
        <v>18</v>
      </c>
      <c r="P400" s="141" t="s">
        <v>18</v>
      </c>
      <c r="Q400" s="141" t="s">
        <v>18</v>
      </c>
      <c r="R400" s="141">
        <v>0.44444444444444442</v>
      </c>
      <c r="S400" s="142" t="s">
        <v>18</v>
      </c>
      <c r="T400" s="141" t="s">
        <v>18</v>
      </c>
      <c r="U400" s="141">
        <v>0.19230769230769232</v>
      </c>
      <c r="V400" s="142" t="s">
        <v>18</v>
      </c>
      <c r="W400" s="141" t="s">
        <v>18</v>
      </c>
      <c r="X400" s="141" t="s">
        <v>18</v>
      </c>
      <c r="Y400" s="141" t="s">
        <v>18</v>
      </c>
      <c r="Z400" s="142" t="s">
        <v>18</v>
      </c>
      <c r="AA400" s="141" t="s">
        <v>18</v>
      </c>
      <c r="AB400" s="141">
        <v>0.46875</v>
      </c>
      <c r="AC400" s="142" t="s">
        <v>18</v>
      </c>
      <c r="AD400" s="141" t="s">
        <v>18</v>
      </c>
      <c r="AE400" s="141" t="s">
        <v>18</v>
      </c>
      <c r="AF400" s="141">
        <v>0.22727272727272727</v>
      </c>
      <c r="AG400" s="142" t="s">
        <v>18</v>
      </c>
      <c r="AH400" s="140" t="s">
        <v>18</v>
      </c>
      <c r="AI400" s="141" t="s">
        <v>18</v>
      </c>
      <c r="AJ400" s="141" t="s">
        <v>18</v>
      </c>
      <c r="AK400" s="141" t="s">
        <v>18</v>
      </c>
      <c r="AL400" s="141" t="s">
        <v>18</v>
      </c>
      <c r="AM400" s="141" t="s">
        <v>18</v>
      </c>
      <c r="AN400" s="141" t="s">
        <v>18</v>
      </c>
      <c r="AO400" s="141" t="s">
        <v>18</v>
      </c>
      <c r="AP400" s="141" t="s">
        <v>18</v>
      </c>
      <c r="AQ400" s="141" t="s">
        <v>18</v>
      </c>
      <c r="AR400" s="141" t="s">
        <v>18</v>
      </c>
      <c r="AS400" s="141" t="s">
        <v>18</v>
      </c>
      <c r="AT400" s="141" t="s">
        <v>18</v>
      </c>
      <c r="AU400" s="141" t="s">
        <v>18</v>
      </c>
      <c r="AV400" s="141" t="s">
        <v>18</v>
      </c>
      <c r="AW400" s="141" t="s">
        <v>18</v>
      </c>
      <c r="AX400" s="141" t="s">
        <v>18</v>
      </c>
      <c r="AY400" s="141" t="s">
        <v>18</v>
      </c>
      <c r="AZ400" s="141" t="s">
        <v>18</v>
      </c>
      <c r="BA400" s="141" t="s">
        <v>18</v>
      </c>
      <c r="BB400" s="141" t="s">
        <v>18</v>
      </c>
      <c r="BC400" s="141" t="s">
        <v>18</v>
      </c>
    </row>
    <row r="401" spans="1:55" ht="15" customHeight="1" x14ac:dyDescent="0.2">
      <c r="A401" s="116" t="s">
        <v>1</v>
      </c>
      <c r="B401" s="117" t="s">
        <v>2</v>
      </c>
      <c r="C401" s="118">
        <v>4135</v>
      </c>
      <c r="D401" s="119">
        <v>4135</v>
      </c>
      <c r="E401" s="119">
        <v>4246</v>
      </c>
      <c r="F401" s="120">
        <v>4246</v>
      </c>
      <c r="G401" s="119">
        <v>4337</v>
      </c>
      <c r="H401" s="120">
        <v>4337</v>
      </c>
      <c r="I401" s="119">
        <v>4337</v>
      </c>
      <c r="J401" s="119">
        <v>4337</v>
      </c>
      <c r="K401" s="119">
        <v>4337</v>
      </c>
      <c r="L401" s="119">
        <v>50538</v>
      </c>
      <c r="M401" s="120">
        <v>50538</v>
      </c>
      <c r="N401" s="119">
        <v>4517</v>
      </c>
      <c r="O401" s="120">
        <v>4517</v>
      </c>
      <c r="P401" s="119">
        <v>4517</v>
      </c>
      <c r="Q401" s="119">
        <v>4517</v>
      </c>
      <c r="R401" s="119">
        <v>4650</v>
      </c>
      <c r="S401" s="120">
        <v>4650</v>
      </c>
      <c r="T401" s="119">
        <v>4650</v>
      </c>
      <c r="U401" s="119">
        <v>4723</v>
      </c>
      <c r="V401" s="120">
        <v>4723</v>
      </c>
      <c r="W401" s="119">
        <v>4723</v>
      </c>
      <c r="X401" s="119">
        <v>4723</v>
      </c>
      <c r="Y401" s="119">
        <v>4769</v>
      </c>
      <c r="Z401" s="120">
        <v>4769</v>
      </c>
      <c r="AA401" s="119">
        <v>4769</v>
      </c>
      <c r="AB401" s="119">
        <v>4803</v>
      </c>
      <c r="AC401" s="120">
        <v>4803</v>
      </c>
      <c r="AD401" s="119">
        <v>4803</v>
      </c>
      <c r="AE401" s="119">
        <v>4803</v>
      </c>
      <c r="AF401" s="119">
        <v>4854</v>
      </c>
      <c r="AG401" s="120">
        <v>4872</v>
      </c>
      <c r="AH401" s="118" t="s">
        <v>18</v>
      </c>
      <c r="AI401" s="119" t="s">
        <v>18</v>
      </c>
      <c r="AJ401" s="119" t="s">
        <v>18</v>
      </c>
      <c r="AK401" s="119" t="s">
        <v>18</v>
      </c>
      <c r="AL401" s="119" t="s">
        <v>18</v>
      </c>
      <c r="AM401" s="119" t="s">
        <v>18</v>
      </c>
      <c r="AN401" s="119" t="s">
        <v>18</v>
      </c>
      <c r="AO401" s="119" t="s">
        <v>18</v>
      </c>
      <c r="AP401" s="119" t="s">
        <v>18</v>
      </c>
      <c r="AQ401" s="119" t="s">
        <v>18</v>
      </c>
      <c r="AR401" s="119" t="s">
        <v>18</v>
      </c>
      <c r="AS401" s="119" t="s">
        <v>18</v>
      </c>
      <c r="AT401" s="119" t="s">
        <v>18</v>
      </c>
      <c r="AU401" s="119" t="s">
        <v>18</v>
      </c>
      <c r="AV401" s="119" t="s">
        <v>18</v>
      </c>
      <c r="AW401" s="119" t="s">
        <v>18</v>
      </c>
      <c r="AX401" s="119" t="s">
        <v>18</v>
      </c>
      <c r="AY401" s="119" t="s">
        <v>18</v>
      </c>
      <c r="AZ401" s="119" t="s">
        <v>18</v>
      </c>
      <c r="BA401" s="119" t="s">
        <v>18</v>
      </c>
      <c r="BB401" s="119" t="s">
        <v>18</v>
      </c>
      <c r="BC401" s="119" t="s">
        <v>18</v>
      </c>
    </row>
    <row r="402" spans="1:55" ht="15" customHeight="1" x14ac:dyDescent="0.2">
      <c r="A402" s="121" t="s">
        <v>49</v>
      </c>
      <c r="B402" s="122" t="s">
        <v>4</v>
      </c>
      <c r="C402" s="123">
        <v>372</v>
      </c>
      <c r="D402" s="124">
        <v>372</v>
      </c>
      <c r="E402" s="124">
        <v>384</v>
      </c>
      <c r="F402" s="125">
        <v>384</v>
      </c>
      <c r="G402" s="124">
        <v>396</v>
      </c>
      <c r="H402" s="125">
        <v>396</v>
      </c>
      <c r="I402" s="124">
        <v>396</v>
      </c>
      <c r="J402" s="124">
        <v>396</v>
      </c>
      <c r="K402" s="124">
        <v>396</v>
      </c>
      <c r="L402" s="124">
        <v>413</v>
      </c>
      <c r="M402" s="125">
        <v>413</v>
      </c>
      <c r="N402" s="124">
        <v>418</v>
      </c>
      <c r="O402" s="125">
        <v>418</v>
      </c>
      <c r="P402" s="124">
        <v>418</v>
      </c>
      <c r="Q402" s="124">
        <v>418</v>
      </c>
      <c r="R402" s="124">
        <v>431</v>
      </c>
      <c r="S402" s="125">
        <v>431</v>
      </c>
      <c r="T402" s="124">
        <v>431</v>
      </c>
      <c r="U402" s="124">
        <v>438</v>
      </c>
      <c r="V402" s="125">
        <v>438</v>
      </c>
      <c r="W402" s="124">
        <v>438</v>
      </c>
      <c r="X402" s="124">
        <v>438</v>
      </c>
      <c r="Y402" s="124">
        <v>442</v>
      </c>
      <c r="Z402" s="125">
        <v>442</v>
      </c>
      <c r="AA402" s="124">
        <v>442</v>
      </c>
      <c r="AB402" s="124">
        <v>446</v>
      </c>
      <c r="AC402" s="125">
        <v>446</v>
      </c>
      <c r="AD402" s="124">
        <v>446</v>
      </c>
      <c r="AE402" s="124">
        <v>446</v>
      </c>
      <c r="AF402" s="124">
        <v>455</v>
      </c>
      <c r="AG402" s="125">
        <v>458</v>
      </c>
      <c r="AH402" s="123" t="s">
        <v>18</v>
      </c>
      <c r="AI402" s="124" t="s">
        <v>18</v>
      </c>
      <c r="AJ402" s="124" t="s">
        <v>18</v>
      </c>
      <c r="AK402" s="124" t="s">
        <v>18</v>
      </c>
      <c r="AL402" s="124" t="s">
        <v>18</v>
      </c>
      <c r="AM402" s="124" t="s">
        <v>18</v>
      </c>
      <c r="AN402" s="124" t="s">
        <v>18</v>
      </c>
      <c r="AO402" s="124" t="s">
        <v>18</v>
      </c>
      <c r="AP402" s="124" t="s">
        <v>18</v>
      </c>
      <c r="AQ402" s="124" t="s">
        <v>18</v>
      </c>
      <c r="AR402" s="124" t="s">
        <v>18</v>
      </c>
      <c r="AS402" s="124" t="s">
        <v>18</v>
      </c>
      <c r="AT402" s="124" t="s">
        <v>18</v>
      </c>
      <c r="AU402" s="124" t="s">
        <v>18</v>
      </c>
      <c r="AV402" s="124" t="s">
        <v>18</v>
      </c>
      <c r="AW402" s="124" t="s">
        <v>18</v>
      </c>
      <c r="AX402" s="124" t="s">
        <v>18</v>
      </c>
      <c r="AY402" s="124" t="s">
        <v>18</v>
      </c>
      <c r="AZ402" s="124" t="s">
        <v>18</v>
      </c>
      <c r="BA402" s="124" t="s">
        <v>18</v>
      </c>
      <c r="BB402" s="124" t="s">
        <v>18</v>
      </c>
      <c r="BC402" s="124" t="s">
        <v>18</v>
      </c>
    </row>
    <row r="403" spans="1:55" ht="15" customHeight="1" x14ac:dyDescent="0.25">
      <c r="A403" s="126"/>
      <c r="B403" s="122" t="s">
        <v>5</v>
      </c>
      <c r="C403" s="123">
        <v>27</v>
      </c>
      <c r="D403" s="124">
        <v>27</v>
      </c>
      <c r="E403" s="124">
        <v>15</v>
      </c>
      <c r="F403" s="125">
        <v>15</v>
      </c>
      <c r="G403" s="124">
        <v>15</v>
      </c>
      <c r="H403" s="125">
        <v>45</v>
      </c>
      <c r="I403" s="124">
        <v>45</v>
      </c>
      <c r="J403" s="124">
        <v>45</v>
      </c>
      <c r="K403" s="124">
        <v>45</v>
      </c>
      <c r="L403" s="124">
        <v>29</v>
      </c>
      <c r="M403" s="125">
        <v>29</v>
      </c>
      <c r="N403" s="124">
        <v>24</v>
      </c>
      <c r="O403" s="125">
        <v>24</v>
      </c>
      <c r="P403" s="124">
        <v>24</v>
      </c>
      <c r="Q403" s="124">
        <v>24</v>
      </c>
      <c r="R403" s="124">
        <v>11</v>
      </c>
      <c r="S403" s="125">
        <v>61</v>
      </c>
      <c r="T403" s="124">
        <v>61</v>
      </c>
      <c r="U403" s="124">
        <v>54</v>
      </c>
      <c r="V403" s="125">
        <v>54</v>
      </c>
      <c r="W403" s="124">
        <v>54</v>
      </c>
      <c r="X403" s="124">
        <v>54</v>
      </c>
      <c r="Y403" s="124">
        <v>50</v>
      </c>
      <c r="Z403" s="125">
        <v>50</v>
      </c>
      <c r="AA403" s="124">
        <v>50</v>
      </c>
      <c r="AB403" s="124">
        <v>46</v>
      </c>
      <c r="AC403" s="125">
        <v>46</v>
      </c>
      <c r="AD403" s="124">
        <v>46</v>
      </c>
      <c r="AE403" s="124">
        <v>46</v>
      </c>
      <c r="AF403" s="124">
        <v>46</v>
      </c>
      <c r="AG403" s="125">
        <v>23</v>
      </c>
      <c r="AH403" s="123" t="s">
        <v>18</v>
      </c>
      <c r="AI403" s="124" t="s">
        <v>18</v>
      </c>
      <c r="AJ403" s="124" t="s">
        <v>18</v>
      </c>
      <c r="AK403" s="124" t="s">
        <v>18</v>
      </c>
      <c r="AL403" s="124" t="s">
        <v>18</v>
      </c>
      <c r="AM403" s="124" t="s">
        <v>18</v>
      </c>
      <c r="AN403" s="124" t="s">
        <v>18</v>
      </c>
      <c r="AO403" s="124" t="s">
        <v>18</v>
      </c>
      <c r="AP403" s="124" t="s">
        <v>18</v>
      </c>
      <c r="AQ403" s="124" t="s">
        <v>18</v>
      </c>
      <c r="AR403" s="124" t="s">
        <v>18</v>
      </c>
      <c r="AS403" s="124" t="s">
        <v>18</v>
      </c>
      <c r="AT403" s="124" t="s">
        <v>18</v>
      </c>
      <c r="AU403" s="124" t="s">
        <v>18</v>
      </c>
      <c r="AV403" s="124" t="s">
        <v>18</v>
      </c>
      <c r="AW403" s="124" t="s">
        <v>18</v>
      </c>
      <c r="AX403" s="124" t="s">
        <v>18</v>
      </c>
      <c r="AY403" s="124" t="s">
        <v>18</v>
      </c>
      <c r="AZ403" s="124" t="s">
        <v>18</v>
      </c>
      <c r="BA403" s="124" t="s">
        <v>18</v>
      </c>
      <c r="BB403" s="124" t="s">
        <v>18</v>
      </c>
      <c r="BC403" s="124" t="s">
        <v>18</v>
      </c>
    </row>
    <row r="404" spans="1:55" ht="15" customHeight="1" x14ac:dyDescent="0.2">
      <c r="A404" s="127"/>
      <c r="B404" s="122" t="s">
        <v>6</v>
      </c>
      <c r="C404" s="123"/>
      <c r="D404" s="124"/>
      <c r="E404" s="124"/>
      <c r="F404" s="125"/>
      <c r="G404" s="124">
        <v>30</v>
      </c>
      <c r="H404" s="125"/>
      <c r="I404" s="124"/>
      <c r="J404" s="124"/>
      <c r="K404" s="124"/>
      <c r="L404" s="124"/>
      <c r="M404" s="125"/>
      <c r="N404" s="124"/>
      <c r="O404" s="125"/>
      <c r="P404" s="124"/>
      <c r="Q404" s="124"/>
      <c r="R404" s="124">
        <v>50</v>
      </c>
      <c r="S404" s="125"/>
      <c r="T404" s="124"/>
      <c r="U404" s="124"/>
      <c r="V404" s="125"/>
      <c r="W404" s="124"/>
      <c r="X404" s="124"/>
      <c r="Y404" s="124"/>
      <c r="Z404" s="125"/>
      <c r="AA404" s="124"/>
      <c r="AB404" s="124"/>
      <c r="AC404" s="125"/>
      <c r="AD404" s="124"/>
      <c r="AE404" s="124"/>
      <c r="AF404" s="124">
        <v>-23</v>
      </c>
      <c r="AG404" s="125"/>
      <c r="AH404" s="123"/>
      <c r="AI404" s="124"/>
      <c r="AJ404" s="124"/>
      <c r="AK404" s="124"/>
      <c r="AL404" s="124"/>
      <c r="AM404" s="124"/>
      <c r="AN404" s="124"/>
      <c r="AO404" s="124"/>
      <c r="AP404" s="124"/>
      <c r="AQ404" s="124"/>
      <c r="AR404" s="124"/>
      <c r="AS404" s="124"/>
      <c r="AT404" s="124"/>
      <c r="AU404" s="124"/>
      <c r="AV404" s="124"/>
      <c r="AW404" s="124"/>
      <c r="AX404" s="124"/>
      <c r="AY404" s="124"/>
      <c r="AZ404" s="124"/>
      <c r="BA404" s="124"/>
      <c r="BB404" s="124"/>
      <c r="BC404" s="124"/>
    </row>
    <row r="405" spans="1:55" ht="15" customHeight="1" x14ac:dyDescent="0.2">
      <c r="A405" s="128"/>
      <c r="B405" s="122" t="s">
        <v>8</v>
      </c>
      <c r="C405" s="129">
        <v>190</v>
      </c>
      <c r="D405" s="130">
        <v>190</v>
      </c>
      <c r="E405" s="130">
        <v>190</v>
      </c>
      <c r="F405" s="131">
        <v>190</v>
      </c>
      <c r="G405" s="130">
        <v>190</v>
      </c>
      <c r="H405" s="131">
        <v>190</v>
      </c>
      <c r="I405" s="130">
        <v>190</v>
      </c>
      <c r="J405" s="130">
        <v>190</v>
      </c>
      <c r="K405" s="130">
        <v>190</v>
      </c>
      <c r="L405" s="130">
        <v>190</v>
      </c>
      <c r="M405" s="131">
        <v>190</v>
      </c>
      <c r="N405" s="130">
        <v>190</v>
      </c>
      <c r="O405" s="131">
        <v>190</v>
      </c>
      <c r="P405" s="130">
        <v>190</v>
      </c>
      <c r="Q405" s="130">
        <v>190</v>
      </c>
      <c r="R405" s="130">
        <v>190</v>
      </c>
      <c r="S405" s="131">
        <v>190</v>
      </c>
      <c r="T405" s="130">
        <v>190</v>
      </c>
      <c r="U405" s="130">
        <v>190</v>
      </c>
      <c r="V405" s="131">
        <v>190</v>
      </c>
      <c r="W405" s="130">
        <v>190</v>
      </c>
      <c r="X405" s="130">
        <v>190</v>
      </c>
      <c r="Y405" s="130">
        <v>190</v>
      </c>
      <c r="Z405" s="131">
        <v>190</v>
      </c>
      <c r="AA405" s="130">
        <v>190</v>
      </c>
      <c r="AB405" s="130">
        <v>190</v>
      </c>
      <c r="AC405" s="131">
        <v>190</v>
      </c>
      <c r="AD405" s="130">
        <v>190</v>
      </c>
      <c r="AE405" s="130">
        <v>190</v>
      </c>
      <c r="AF405" s="130">
        <v>190</v>
      </c>
      <c r="AG405" s="131">
        <v>400</v>
      </c>
      <c r="AH405" s="129" t="s">
        <v>18</v>
      </c>
      <c r="AI405" s="130" t="s">
        <v>18</v>
      </c>
      <c r="AJ405" s="130" t="s">
        <v>18</v>
      </c>
      <c r="AK405" s="130" t="s">
        <v>18</v>
      </c>
      <c r="AL405" s="130" t="s">
        <v>18</v>
      </c>
      <c r="AM405" s="130" t="s">
        <v>18</v>
      </c>
      <c r="AN405" s="130" t="s">
        <v>18</v>
      </c>
      <c r="AO405" s="130" t="s">
        <v>18</v>
      </c>
      <c r="AP405" s="130" t="s">
        <v>18</v>
      </c>
      <c r="AQ405" s="130" t="s">
        <v>18</v>
      </c>
      <c r="AR405" s="130" t="s">
        <v>18</v>
      </c>
      <c r="AS405" s="130" t="s">
        <v>18</v>
      </c>
      <c r="AT405" s="130" t="s">
        <v>18</v>
      </c>
      <c r="AU405" s="130" t="s">
        <v>18</v>
      </c>
      <c r="AV405" s="130" t="s">
        <v>18</v>
      </c>
      <c r="AW405" s="130" t="s">
        <v>18</v>
      </c>
      <c r="AX405" s="130" t="s">
        <v>18</v>
      </c>
      <c r="AY405" s="130" t="s">
        <v>18</v>
      </c>
      <c r="AZ405" s="130" t="s">
        <v>18</v>
      </c>
      <c r="BA405" s="130" t="s">
        <v>18</v>
      </c>
      <c r="BB405" s="130" t="s">
        <v>18</v>
      </c>
      <c r="BC405" s="130" t="s">
        <v>18</v>
      </c>
    </row>
    <row r="406" spans="1:55" ht="15" customHeight="1" x14ac:dyDescent="0.2">
      <c r="A406" s="127" t="s">
        <v>9</v>
      </c>
      <c r="B406" s="132" t="s">
        <v>10</v>
      </c>
      <c r="C406" s="133" t="s">
        <v>27</v>
      </c>
      <c r="D406" s="134" t="s">
        <v>27</v>
      </c>
      <c r="E406" s="134" t="s">
        <v>27</v>
      </c>
      <c r="F406" s="135" t="s">
        <v>27</v>
      </c>
      <c r="G406" s="134" t="s">
        <v>27</v>
      </c>
      <c r="H406" s="135" t="s">
        <v>27</v>
      </c>
      <c r="I406" s="134" t="s">
        <v>27</v>
      </c>
      <c r="J406" s="134" t="s">
        <v>27</v>
      </c>
      <c r="K406" s="134" t="s">
        <v>27</v>
      </c>
      <c r="L406" s="134" t="s">
        <v>27</v>
      </c>
      <c r="M406" s="135" t="s">
        <v>27</v>
      </c>
      <c r="N406" s="134" t="s">
        <v>27</v>
      </c>
      <c r="O406" s="135" t="s">
        <v>27</v>
      </c>
      <c r="P406" s="134" t="s">
        <v>27</v>
      </c>
      <c r="Q406" s="134" t="s">
        <v>27</v>
      </c>
      <c r="R406" s="134" t="s">
        <v>27</v>
      </c>
      <c r="S406" s="135" t="s">
        <v>27</v>
      </c>
      <c r="T406" s="134" t="s">
        <v>27</v>
      </c>
      <c r="U406" s="134" t="s">
        <v>27</v>
      </c>
      <c r="V406" s="135" t="s">
        <v>27</v>
      </c>
      <c r="W406" s="134" t="s">
        <v>27</v>
      </c>
      <c r="X406" s="134" t="s">
        <v>27</v>
      </c>
      <c r="Y406" s="134" t="s">
        <v>27</v>
      </c>
      <c r="Z406" s="135" t="s">
        <v>27</v>
      </c>
      <c r="AA406" s="134" t="s">
        <v>27</v>
      </c>
      <c r="AB406" s="134" t="s">
        <v>27</v>
      </c>
      <c r="AC406" s="135" t="s">
        <v>27</v>
      </c>
      <c r="AD406" s="134" t="s">
        <v>27</v>
      </c>
      <c r="AE406" s="134" t="s">
        <v>27</v>
      </c>
      <c r="AF406" s="134" t="s">
        <v>27</v>
      </c>
      <c r="AG406" s="135" t="s">
        <v>237</v>
      </c>
      <c r="AH406" s="133" t="s">
        <v>18</v>
      </c>
      <c r="AI406" s="134" t="s">
        <v>18</v>
      </c>
      <c r="AJ406" s="134" t="s">
        <v>18</v>
      </c>
      <c r="AK406" s="134" t="s">
        <v>18</v>
      </c>
      <c r="AL406" s="134" t="s">
        <v>18</v>
      </c>
      <c r="AM406" s="134" t="s">
        <v>18</v>
      </c>
      <c r="AN406" s="134" t="s">
        <v>18</v>
      </c>
      <c r="AO406" s="134" t="s">
        <v>18</v>
      </c>
      <c r="AP406" s="134" t="s">
        <v>18</v>
      </c>
      <c r="AQ406" s="134" t="s">
        <v>18</v>
      </c>
      <c r="AR406" s="134" t="s">
        <v>18</v>
      </c>
      <c r="AS406" s="134" t="s">
        <v>18</v>
      </c>
      <c r="AT406" s="134" t="s">
        <v>18</v>
      </c>
      <c r="AU406" s="134" t="s">
        <v>18</v>
      </c>
      <c r="AV406" s="134" t="s">
        <v>18</v>
      </c>
      <c r="AW406" s="134" t="s">
        <v>18</v>
      </c>
      <c r="AX406" s="134" t="s">
        <v>18</v>
      </c>
      <c r="AY406" s="134" t="s">
        <v>18</v>
      </c>
      <c r="AZ406" s="134" t="s">
        <v>18</v>
      </c>
      <c r="BA406" s="134" t="s">
        <v>18</v>
      </c>
      <c r="BB406" s="134" t="s">
        <v>18</v>
      </c>
      <c r="BC406" s="134" t="s">
        <v>18</v>
      </c>
    </row>
    <row r="407" spans="1:55" ht="15" customHeight="1" x14ac:dyDescent="0.2">
      <c r="A407" s="128">
        <v>71322.580645161288</v>
      </c>
      <c r="B407" s="122" t="s">
        <v>12</v>
      </c>
      <c r="C407" s="123"/>
      <c r="D407" s="124"/>
      <c r="E407" s="124"/>
      <c r="F407" s="125"/>
      <c r="G407" s="124"/>
      <c r="H407" s="125"/>
      <c r="I407" s="124"/>
      <c r="J407" s="124"/>
      <c r="K407" s="124"/>
      <c r="L407" s="124"/>
      <c r="M407" s="125"/>
      <c r="N407" s="124"/>
      <c r="O407" s="125"/>
      <c r="P407" s="124"/>
      <c r="Q407" s="124"/>
      <c r="R407" s="124"/>
      <c r="S407" s="125"/>
      <c r="T407" s="124"/>
      <c r="U407" s="124"/>
      <c r="V407" s="125"/>
      <c r="W407" s="124"/>
      <c r="X407" s="124"/>
      <c r="Y407" s="124"/>
      <c r="Z407" s="125"/>
      <c r="AA407" s="124"/>
      <c r="AB407" s="124"/>
      <c r="AC407" s="125"/>
      <c r="AD407" s="124"/>
      <c r="AE407" s="124"/>
      <c r="AF407" s="124"/>
      <c r="AG407" s="125" t="s">
        <v>238</v>
      </c>
      <c r="AH407" s="123"/>
      <c r="AI407" s="124"/>
      <c r="AJ407" s="124"/>
      <c r="AK407" s="124"/>
      <c r="AL407" s="124"/>
      <c r="AM407" s="124"/>
      <c r="AN407" s="124"/>
      <c r="AO407" s="124"/>
      <c r="AP407" s="124"/>
      <c r="AQ407" s="124"/>
      <c r="AR407" s="124"/>
      <c r="AS407" s="124"/>
      <c r="AT407" s="124"/>
      <c r="AU407" s="124"/>
      <c r="AV407" s="124"/>
      <c r="AW407" s="124"/>
      <c r="AX407" s="124"/>
      <c r="AY407" s="124"/>
      <c r="AZ407" s="124"/>
      <c r="BA407" s="124"/>
      <c r="BB407" s="124"/>
      <c r="BC407" s="124"/>
    </row>
    <row r="408" spans="1:55" ht="15" customHeight="1" x14ac:dyDescent="0.2">
      <c r="A408" s="128">
        <v>737</v>
      </c>
      <c r="B408" s="136" t="s">
        <v>13</v>
      </c>
      <c r="C408" s="123">
        <v>0</v>
      </c>
      <c r="D408" s="137">
        <v>0</v>
      </c>
      <c r="E408" s="137">
        <v>111</v>
      </c>
      <c r="F408" s="125">
        <v>0</v>
      </c>
      <c r="G408" s="137">
        <v>91</v>
      </c>
      <c r="H408" s="125">
        <v>0</v>
      </c>
      <c r="I408" s="137">
        <v>0</v>
      </c>
      <c r="J408" s="137">
        <v>0</v>
      </c>
      <c r="K408" s="137">
        <v>0</v>
      </c>
      <c r="L408" s="137">
        <v>46201</v>
      </c>
      <c r="M408" s="125">
        <v>0</v>
      </c>
      <c r="N408" s="137">
        <v>-46021</v>
      </c>
      <c r="O408" s="125">
        <v>0</v>
      </c>
      <c r="P408" s="137">
        <v>0</v>
      </c>
      <c r="Q408" s="137">
        <v>0</v>
      </c>
      <c r="R408" s="137">
        <v>133</v>
      </c>
      <c r="S408" s="125">
        <v>0</v>
      </c>
      <c r="T408" s="137">
        <v>0</v>
      </c>
      <c r="U408" s="137">
        <v>73</v>
      </c>
      <c r="V408" s="125">
        <v>0</v>
      </c>
      <c r="W408" s="137">
        <v>0</v>
      </c>
      <c r="X408" s="137">
        <v>0</v>
      </c>
      <c r="Y408" s="137">
        <v>46</v>
      </c>
      <c r="Z408" s="125">
        <v>0</v>
      </c>
      <c r="AA408" s="137">
        <v>0</v>
      </c>
      <c r="AB408" s="137">
        <v>34</v>
      </c>
      <c r="AC408" s="125">
        <v>0</v>
      </c>
      <c r="AD408" s="137">
        <v>0</v>
      </c>
      <c r="AE408" s="137">
        <v>0</v>
      </c>
      <c r="AF408" s="137">
        <v>51</v>
      </c>
      <c r="AG408" s="125">
        <v>18</v>
      </c>
      <c r="AH408" s="123" t="s">
        <v>18</v>
      </c>
      <c r="AI408" s="137" t="s">
        <v>18</v>
      </c>
      <c r="AJ408" s="137" t="s">
        <v>18</v>
      </c>
      <c r="AK408" s="137" t="s">
        <v>18</v>
      </c>
      <c r="AL408" s="137" t="s">
        <v>18</v>
      </c>
      <c r="AM408" s="137" t="s">
        <v>18</v>
      </c>
      <c r="AN408" s="137" t="s">
        <v>18</v>
      </c>
      <c r="AO408" s="137" t="s">
        <v>18</v>
      </c>
      <c r="AP408" s="137" t="s">
        <v>18</v>
      </c>
      <c r="AQ408" s="137" t="s">
        <v>18</v>
      </c>
      <c r="AR408" s="137" t="s">
        <v>18</v>
      </c>
      <c r="AS408" s="137" t="s">
        <v>18</v>
      </c>
      <c r="AT408" s="137" t="s">
        <v>18</v>
      </c>
      <c r="AU408" s="137" t="s">
        <v>18</v>
      </c>
      <c r="AV408" s="137" t="s">
        <v>18</v>
      </c>
      <c r="AW408" s="137" t="s">
        <v>18</v>
      </c>
      <c r="AX408" s="137" t="s">
        <v>18</v>
      </c>
      <c r="AY408" s="137" t="s">
        <v>18</v>
      </c>
      <c r="AZ408" s="137" t="s">
        <v>18</v>
      </c>
      <c r="BA408" s="137" t="s">
        <v>18</v>
      </c>
      <c r="BB408" s="137" t="s">
        <v>18</v>
      </c>
      <c r="BC408" s="137" t="s">
        <v>18</v>
      </c>
    </row>
    <row r="409" spans="1:55" ht="15" customHeight="1" x14ac:dyDescent="0.2">
      <c r="A409" s="128">
        <v>86</v>
      </c>
      <c r="B409" s="136" t="s">
        <v>14</v>
      </c>
      <c r="C409" s="123">
        <v>0</v>
      </c>
      <c r="D409" s="137">
        <v>0</v>
      </c>
      <c r="E409" s="137">
        <v>12</v>
      </c>
      <c r="F409" s="125">
        <v>0</v>
      </c>
      <c r="G409" s="137">
        <v>12</v>
      </c>
      <c r="H409" s="125">
        <v>0</v>
      </c>
      <c r="I409" s="137">
        <v>0</v>
      </c>
      <c r="J409" s="137">
        <v>0</v>
      </c>
      <c r="K409" s="137">
        <v>0</v>
      </c>
      <c r="L409" s="137">
        <v>17</v>
      </c>
      <c r="M409" s="125">
        <v>0</v>
      </c>
      <c r="N409" s="137">
        <v>5</v>
      </c>
      <c r="O409" s="125">
        <v>0</v>
      </c>
      <c r="P409" s="137">
        <v>0</v>
      </c>
      <c r="Q409" s="137">
        <v>0</v>
      </c>
      <c r="R409" s="137">
        <v>13</v>
      </c>
      <c r="S409" s="125">
        <v>0</v>
      </c>
      <c r="T409" s="137">
        <v>0</v>
      </c>
      <c r="U409" s="137">
        <v>7</v>
      </c>
      <c r="V409" s="125">
        <v>0</v>
      </c>
      <c r="W409" s="137">
        <v>0</v>
      </c>
      <c r="X409" s="137">
        <v>0</v>
      </c>
      <c r="Y409" s="137">
        <v>4</v>
      </c>
      <c r="Z409" s="125">
        <v>0</v>
      </c>
      <c r="AA409" s="137">
        <v>0</v>
      </c>
      <c r="AB409" s="137">
        <v>4</v>
      </c>
      <c r="AC409" s="125">
        <v>0</v>
      </c>
      <c r="AD409" s="137">
        <v>0</v>
      </c>
      <c r="AE409" s="137">
        <v>0</v>
      </c>
      <c r="AF409" s="137">
        <v>9</v>
      </c>
      <c r="AG409" s="125">
        <v>3</v>
      </c>
      <c r="AH409" s="123" t="s">
        <v>18</v>
      </c>
      <c r="AI409" s="137" t="s">
        <v>18</v>
      </c>
      <c r="AJ409" s="137" t="s">
        <v>18</v>
      </c>
      <c r="AK409" s="137" t="s">
        <v>18</v>
      </c>
      <c r="AL409" s="137" t="s">
        <v>18</v>
      </c>
      <c r="AM409" s="137" t="s">
        <v>18</v>
      </c>
      <c r="AN409" s="137" t="s">
        <v>18</v>
      </c>
      <c r="AO409" s="137" t="s">
        <v>18</v>
      </c>
      <c r="AP409" s="137" t="s">
        <v>18</v>
      </c>
      <c r="AQ409" s="137" t="s">
        <v>18</v>
      </c>
      <c r="AR409" s="137" t="s">
        <v>18</v>
      </c>
      <c r="AS409" s="137" t="s">
        <v>18</v>
      </c>
      <c r="AT409" s="137" t="s">
        <v>18</v>
      </c>
      <c r="AU409" s="137" t="s">
        <v>18</v>
      </c>
      <c r="AV409" s="137" t="s">
        <v>18</v>
      </c>
      <c r="AW409" s="137" t="s">
        <v>18</v>
      </c>
      <c r="AX409" s="137" t="s">
        <v>18</v>
      </c>
      <c r="AY409" s="137" t="s">
        <v>18</v>
      </c>
      <c r="AZ409" s="137" t="s">
        <v>18</v>
      </c>
      <c r="BA409" s="137" t="s">
        <v>18</v>
      </c>
      <c r="BB409" s="137" t="s">
        <v>18</v>
      </c>
      <c r="BC409" s="137" t="s">
        <v>18</v>
      </c>
    </row>
    <row r="410" spans="1:55" ht="15" customHeight="1" x14ac:dyDescent="0.2">
      <c r="A410" s="128">
        <v>61</v>
      </c>
      <c r="B410" s="136" t="s">
        <v>15</v>
      </c>
      <c r="C410" s="123">
        <v>0</v>
      </c>
      <c r="D410" s="137">
        <v>0</v>
      </c>
      <c r="E410" s="137">
        <v>12</v>
      </c>
      <c r="F410" s="125">
        <v>0</v>
      </c>
      <c r="G410" s="137">
        <v>0</v>
      </c>
      <c r="H410" s="125">
        <v>0</v>
      </c>
      <c r="I410" s="137">
        <v>0</v>
      </c>
      <c r="J410" s="137">
        <v>0</v>
      </c>
      <c r="K410" s="137">
        <v>0</v>
      </c>
      <c r="L410" s="137">
        <v>16</v>
      </c>
      <c r="M410" s="125">
        <v>0</v>
      </c>
      <c r="N410" s="137">
        <v>5</v>
      </c>
      <c r="O410" s="125">
        <v>0</v>
      </c>
      <c r="P410" s="137">
        <v>0</v>
      </c>
      <c r="Q410" s="137">
        <v>0</v>
      </c>
      <c r="R410" s="137">
        <v>13</v>
      </c>
      <c r="S410" s="125">
        <v>0</v>
      </c>
      <c r="T410" s="137">
        <v>0</v>
      </c>
      <c r="U410" s="137">
        <v>7</v>
      </c>
      <c r="V410" s="125">
        <v>0</v>
      </c>
      <c r="W410" s="137">
        <v>0</v>
      </c>
      <c r="X410" s="137">
        <v>0</v>
      </c>
      <c r="Y410" s="137">
        <v>4</v>
      </c>
      <c r="Z410" s="125">
        <v>0</v>
      </c>
      <c r="AA410" s="137">
        <v>0</v>
      </c>
      <c r="AB410" s="137">
        <v>4</v>
      </c>
      <c r="AC410" s="125">
        <v>0</v>
      </c>
      <c r="AD410" s="137">
        <v>0</v>
      </c>
      <c r="AE410" s="137">
        <v>0</v>
      </c>
      <c r="AF410" s="137">
        <v>0</v>
      </c>
      <c r="AG410" s="125">
        <v>0</v>
      </c>
      <c r="AH410" s="123" t="s">
        <v>18</v>
      </c>
      <c r="AI410" s="137" t="s">
        <v>18</v>
      </c>
      <c r="AJ410" s="137" t="s">
        <v>18</v>
      </c>
      <c r="AK410" s="137" t="s">
        <v>18</v>
      </c>
      <c r="AL410" s="137" t="s">
        <v>18</v>
      </c>
      <c r="AM410" s="137" t="s">
        <v>18</v>
      </c>
      <c r="AN410" s="137" t="s">
        <v>18</v>
      </c>
      <c r="AO410" s="137" t="s">
        <v>18</v>
      </c>
      <c r="AP410" s="137" t="s">
        <v>18</v>
      </c>
      <c r="AQ410" s="137" t="s">
        <v>18</v>
      </c>
      <c r="AR410" s="137" t="s">
        <v>18</v>
      </c>
      <c r="AS410" s="137" t="s">
        <v>18</v>
      </c>
      <c r="AT410" s="137" t="s">
        <v>18</v>
      </c>
      <c r="AU410" s="137" t="s">
        <v>18</v>
      </c>
      <c r="AV410" s="137" t="s">
        <v>18</v>
      </c>
      <c r="AW410" s="137" t="s">
        <v>18</v>
      </c>
      <c r="AX410" s="137" t="s">
        <v>18</v>
      </c>
      <c r="AY410" s="137" t="s">
        <v>18</v>
      </c>
      <c r="AZ410" s="137" t="s">
        <v>18</v>
      </c>
      <c r="BA410" s="137" t="s">
        <v>18</v>
      </c>
      <c r="BB410" s="137" t="s">
        <v>18</v>
      </c>
      <c r="BC410" s="137" t="s">
        <v>18</v>
      </c>
    </row>
    <row r="411" spans="1:55" ht="15" customHeight="1" x14ac:dyDescent="0.2">
      <c r="A411" s="128">
        <v>11590</v>
      </c>
      <c r="B411" s="136" t="s">
        <v>16</v>
      </c>
      <c r="C411" s="123">
        <v>0</v>
      </c>
      <c r="D411" s="137">
        <v>0</v>
      </c>
      <c r="E411" s="137">
        <v>2280</v>
      </c>
      <c r="F411" s="125">
        <v>0</v>
      </c>
      <c r="G411" s="137">
        <v>0</v>
      </c>
      <c r="H411" s="125">
        <v>0</v>
      </c>
      <c r="I411" s="137">
        <v>0</v>
      </c>
      <c r="J411" s="137">
        <v>0</v>
      </c>
      <c r="K411" s="137">
        <v>0</v>
      </c>
      <c r="L411" s="137">
        <v>3040</v>
      </c>
      <c r="M411" s="125">
        <v>0</v>
      </c>
      <c r="N411" s="137">
        <v>950</v>
      </c>
      <c r="O411" s="125">
        <v>0</v>
      </c>
      <c r="P411" s="137">
        <v>0</v>
      </c>
      <c r="Q411" s="137">
        <v>0</v>
      </c>
      <c r="R411" s="137">
        <v>2470</v>
      </c>
      <c r="S411" s="125">
        <v>0</v>
      </c>
      <c r="T411" s="137">
        <v>0</v>
      </c>
      <c r="U411" s="137">
        <v>1330</v>
      </c>
      <c r="V411" s="125">
        <v>0</v>
      </c>
      <c r="W411" s="137">
        <v>0</v>
      </c>
      <c r="X411" s="137">
        <v>0</v>
      </c>
      <c r="Y411" s="137">
        <v>760</v>
      </c>
      <c r="Z411" s="125">
        <v>0</v>
      </c>
      <c r="AA411" s="137">
        <v>0</v>
      </c>
      <c r="AB411" s="137">
        <v>760</v>
      </c>
      <c r="AC411" s="125">
        <v>0</v>
      </c>
      <c r="AD411" s="137">
        <v>0</v>
      </c>
      <c r="AE411" s="137">
        <v>0</v>
      </c>
      <c r="AF411" s="137">
        <v>0</v>
      </c>
      <c r="AG411" s="125">
        <v>0</v>
      </c>
      <c r="AH411" s="123" t="s">
        <v>18</v>
      </c>
      <c r="AI411" s="137" t="s">
        <v>18</v>
      </c>
      <c r="AJ411" s="137" t="s">
        <v>18</v>
      </c>
      <c r="AK411" s="137" t="s">
        <v>18</v>
      </c>
      <c r="AL411" s="137" t="s">
        <v>18</v>
      </c>
      <c r="AM411" s="137" t="s">
        <v>18</v>
      </c>
      <c r="AN411" s="137" t="s">
        <v>18</v>
      </c>
      <c r="AO411" s="137" t="s">
        <v>18</v>
      </c>
      <c r="AP411" s="137" t="s">
        <v>18</v>
      </c>
      <c r="AQ411" s="137" t="s">
        <v>18</v>
      </c>
      <c r="AR411" s="137" t="s">
        <v>18</v>
      </c>
      <c r="AS411" s="137" t="s">
        <v>18</v>
      </c>
      <c r="AT411" s="137" t="s">
        <v>18</v>
      </c>
      <c r="AU411" s="137" t="s">
        <v>18</v>
      </c>
      <c r="AV411" s="137" t="s">
        <v>18</v>
      </c>
      <c r="AW411" s="137" t="s">
        <v>18</v>
      </c>
      <c r="AX411" s="137" t="s">
        <v>18</v>
      </c>
      <c r="AY411" s="137" t="s">
        <v>18</v>
      </c>
      <c r="AZ411" s="137" t="s">
        <v>18</v>
      </c>
      <c r="BA411" s="137" t="s">
        <v>18</v>
      </c>
      <c r="BB411" s="137" t="s">
        <v>18</v>
      </c>
      <c r="BC411" s="137" t="s">
        <v>18</v>
      </c>
    </row>
    <row r="412" spans="1:55" ht="15" customHeight="1" thickBot="1" x14ac:dyDescent="0.25">
      <c r="A412" s="138">
        <v>0.15725915875169608</v>
      </c>
      <c r="B412" s="139" t="s">
        <v>17</v>
      </c>
      <c r="C412" s="140" t="s">
        <v>18</v>
      </c>
      <c r="D412" s="141" t="s">
        <v>18</v>
      </c>
      <c r="E412" s="141">
        <v>0.20540540540540542</v>
      </c>
      <c r="F412" s="142" t="s">
        <v>18</v>
      </c>
      <c r="G412" s="141" t="s">
        <v>18</v>
      </c>
      <c r="H412" s="141" t="s">
        <v>18</v>
      </c>
      <c r="I412" s="141" t="s">
        <v>18</v>
      </c>
      <c r="J412" s="141" t="s">
        <v>18</v>
      </c>
      <c r="K412" s="141" t="s">
        <v>18</v>
      </c>
      <c r="L412" s="141">
        <v>6.5799441570528775E-4</v>
      </c>
      <c r="M412" s="142" t="s">
        <v>18</v>
      </c>
      <c r="N412" s="141">
        <v>-2.0642750048890723E-4</v>
      </c>
      <c r="O412" s="142" t="s">
        <v>18</v>
      </c>
      <c r="P412" s="141" t="s">
        <v>18</v>
      </c>
      <c r="Q412" s="141" t="s">
        <v>18</v>
      </c>
      <c r="R412" s="141">
        <v>0.18571428571428572</v>
      </c>
      <c r="S412" s="142" t="s">
        <v>18</v>
      </c>
      <c r="T412" s="141" t="s">
        <v>18</v>
      </c>
      <c r="U412" s="141">
        <v>0.18219178082191781</v>
      </c>
      <c r="V412" s="142" t="s">
        <v>18</v>
      </c>
      <c r="W412" s="141" t="s">
        <v>18</v>
      </c>
      <c r="X412" s="141" t="s">
        <v>18</v>
      </c>
      <c r="Y412" s="141">
        <v>0.16521739130434782</v>
      </c>
      <c r="Z412" s="142" t="s">
        <v>18</v>
      </c>
      <c r="AA412" s="141" t="s">
        <v>18</v>
      </c>
      <c r="AB412" s="141">
        <v>0.22352941176470589</v>
      </c>
      <c r="AC412" s="142" t="s">
        <v>18</v>
      </c>
      <c r="AD412" s="141" t="s">
        <v>18</v>
      </c>
      <c r="AE412" s="141" t="s">
        <v>18</v>
      </c>
      <c r="AF412" s="141" t="s">
        <v>18</v>
      </c>
      <c r="AG412" s="142" t="s">
        <v>18</v>
      </c>
      <c r="AH412" s="140" t="s">
        <v>18</v>
      </c>
      <c r="AI412" s="141" t="s">
        <v>18</v>
      </c>
      <c r="AJ412" s="141" t="s">
        <v>18</v>
      </c>
      <c r="AK412" s="141" t="s">
        <v>18</v>
      </c>
      <c r="AL412" s="141" t="s">
        <v>18</v>
      </c>
      <c r="AM412" s="141" t="s">
        <v>18</v>
      </c>
      <c r="AN412" s="141" t="s">
        <v>18</v>
      </c>
      <c r="AO412" s="141" t="s">
        <v>18</v>
      </c>
      <c r="AP412" s="141" t="s">
        <v>18</v>
      </c>
      <c r="AQ412" s="141" t="s">
        <v>18</v>
      </c>
      <c r="AR412" s="141" t="s">
        <v>18</v>
      </c>
      <c r="AS412" s="141" t="s">
        <v>18</v>
      </c>
      <c r="AT412" s="141" t="s">
        <v>18</v>
      </c>
      <c r="AU412" s="141" t="s">
        <v>18</v>
      </c>
      <c r="AV412" s="141" t="s">
        <v>18</v>
      </c>
      <c r="AW412" s="141" t="s">
        <v>18</v>
      </c>
      <c r="AX412" s="141" t="s">
        <v>18</v>
      </c>
      <c r="AY412" s="141" t="s">
        <v>18</v>
      </c>
      <c r="AZ412" s="141" t="s">
        <v>18</v>
      </c>
      <c r="BA412" s="141" t="s">
        <v>18</v>
      </c>
      <c r="BB412" s="141" t="s">
        <v>18</v>
      </c>
      <c r="BC412" s="141" t="s">
        <v>18</v>
      </c>
    </row>
    <row r="413" spans="1:55" ht="11.25" customHeight="1" x14ac:dyDescent="0.2">
      <c r="A413" s="162">
        <v>1277769.2307692305</v>
      </c>
      <c r="B413" s="163" t="s">
        <v>0</v>
      </c>
      <c r="C413" s="159">
        <v>46072</v>
      </c>
      <c r="D413" s="164">
        <v>46073</v>
      </c>
      <c r="E413" s="159">
        <v>46074</v>
      </c>
      <c r="F413" s="159">
        <v>46075</v>
      </c>
      <c r="G413" s="159">
        <v>46076</v>
      </c>
      <c r="H413" s="159">
        <v>46077</v>
      </c>
      <c r="I413" s="159">
        <v>46078</v>
      </c>
      <c r="J413" s="159">
        <v>46079</v>
      </c>
      <c r="K413" s="159">
        <v>46080</v>
      </c>
      <c r="L413" s="159">
        <v>46081</v>
      </c>
      <c r="M413" s="159">
        <v>46082</v>
      </c>
      <c r="N413" s="159">
        <v>46083</v>
      </c>
      <c r="O413" s="159">
        <v>46084</v>
      </c>
      <c r="P413" s="159">
        <v>46085</v>
      </c>
      <c r="Q413" s="159">
        <v>46086</v>
      </c>
      <c r="R413" s="159">
        <v>46087</v>
      </c>
      <c r="S413" s="159">
        <v>46088</v>
      </c>
      <c r="T413" s="159">
        <v>46089</v>
      </c>
      <c r="U413" s="159">
        <v>46090</v>
      </c>
      <c r="V413" s="159">
        <v>46091</v>
      </c>
      <c r="W413" s="159">
        <v>46092</v>
      </c>
      <c r="X413" s="159">
        <v>46093</v>
      </c>
      <c r="Y413" s="159">
        <v>46094</v>
      </c>
      <c r="Z413" s="159">
        <v>46095</v>
      </c>
      <c r="AA413" s="159">
        <v>46096</v>
      </c>
      <c r="AB413" s="159">
        <v>46097</v>
      </c>
      <c r="AC413" s="159">
        <v>46098</v>
      </c>
      <c r="AD413" s="159">
        <v>46099</v>
      </c>
      <c r="AE413" s="159">
        <v>46100</v>
      </c>
      <c r="AF413" s="159">
        <v>46101</v>
      </c>
      <c r="AG413" s="159">
        <v>46102</v>
      </c>
      <c r="AH413" s="159">
        <v>46103</v>
      </c>
      <c r="AI413" s="159">
        <v>46104</v>
      </c>
      <c r="AJ413" s="159">
        <v>46105</v>
      </c>
      <c r="AK413" s="159">
        <v>46106</v>
      </c>
      <c r="AL413" s="159">
        <v>46107</v>
      </c>
      <c r="AM413" s="159">
        <v>46108</v>
      </c>
      <c r="AN413" s="159">
        <v>46109</v>
      </c>
      <c r="AO413" s="159">
        <v>46110</v>
      </c>
      <c r="AP413" s="159">
        <v>46111</v>
      </c>
      <c r="AQ413" s="159">
        <v>46112</v>
      </c>
      <c r="AR413" s="159">
        <v>46113</v>
      </c>
      <c r="AS413" s="159">
        <v>46114</v>
      </c>
      <c r="AT413" s="159">
        <v>46115</v>
      </c>
      <c r="AU413" s="159">
        <v>46116</v>
      </c>
      <c r="AV413" s="159">
        <v>46117</v>
      </c>
      <c r="AW413" s="159">
        <v>46118</v>
      </c>
      <c r="AX413" s="159">
        <v>46119</v>
      </c>
      <c r="AY413" s="159">
        <v>46120</v>
      </c>
      <c r="AZ413" s="159">
        <v>46121</v>
      </c>
      <c r="BA413" s="159">
        <v>46122</v>
      </c>
      <c r="BB413" s="159">
        <v>46123</v>
      </c>
      <c r="BC413" s="159">
        <v>46124</v>
      </c>
    </row>
    <row r="414" spans="1:55" ht="11.25" customHeight="1" thickBot="1" x14ac:dyDescent="0.3">
      <c r="A414" s="165"/>
      <c r="B414" s="166">
        <v>16611</v>
      </c>
      <c r="C414" s="160">
        <v>0</v>
      </c>
      <c r="D414" s="167">
        <v>1058</v>
      </c>
      <c r="E414" s="160">
        <v>0</v>
      </c>
      <c r="F414" s="160">
        <v>1495</v>
      </c>
      <c r="G414" s="160">
        <v>0</v>
      </c>
      <c r="H414" s="160">
        <v>0</v>
      </c>
      <c r="I414" s="160">
        <v>0</v>
      </c>
      <c r="J414" s="160">
        <v>539</v>
      </c>
      <c r="K414" s="160">
        <v>0</v>
      </c>
      <c r="L414" s="160">
        <v>0</v>
      </c>
      <c r="M414" s="160">
        <v>1638</v>
      </c>
      <c r="N414" s="160">
        <v>0</v>
      </c>
      <c r="O414" s="160">
        <v>0</v>
      </c>
      <c r="P414" s="160">
        <v>0</v>
      </c>
      <c r="Q414" s="160">
        <v>1037</v>
      </c>
      <c r="R414" s="160">
        <v>0</v>
      </c>
      <c r="S414" s="160">
        <v>0</v>
      </c>
      <c r="T414" s="160">
        <v>1478</v>
      </c>
      <c r="U414" s="160">
        <v>0</v>
      </c>
      <c r="V414" s="160">
        <v>0</v>
      </c>
      <c r="W414" s="160">
        <v>0</v>
      </c>
      <c r="X414" s="160">
        <v>1346</v>
      </c>
      <c r="Y414" s="160">
        <v>0</v>
      </c>
      <c r="Z414" s="160">
        <v>0</v>
      </c>
      <c r="AA414" s="160">
        <v>1526</v>
      </c>
      <c r="AB414" s="160">
        <v>0</v>
      </c>
      <c r="AC414" s="160">
        <v>530</v>
      </c>
      <c r="AD414" s="160">
        <v>0</v>
      </c>
      <c r="AE414" s="160">
        <v>0</v>
      </c>
      <c r="AF414" s="160">
        <v>1571</v>
      </c>
      <c r="AG414" s="160">
        <v>0</v>
      </c>
      <c r="AH414" s="160">
        <v>1097</v>
      </c>
      <c r="AI414" s="160">
        <v>0</v>
      </c>
      <c r="AJ414" s="160">
        <v>0</v>
      </c>
      <c r="AK414" s="160">
        <v>0</v>
      </c>
      <c r="AL414" s="160">
        <v>0</v>
      </c>
      <c r="AM414" s="160">
        <v>47773</v>
      </c>
      <c r="AN414" s="160">
        <v>0</v>
      </c>
      <c r="AO414" s="160">
        <v>-44477</v>
      </c>
      <c r="AP414" s="160">
        <v>0</v>
      </c>
      <c r="AQ414" s="160">
        <v>0</v>
      </c>
      <c r="AR414" s="160">
        <v>0</v>
      </c>
      <c r="AS414" s="160">
        <v>0</v>
      </c>
      <c r="AT414" s="160">
        <v>0</v>
      </c>
      <c r="AU414" s="160">
        <v>0</v>
      </c>
      <c r="AV414" s="160">
        <v>0</v>
      </c>
      <c r="AW414" s="160">
        <v>0</v>
      </c>
      <c r="AX414" s="160">
        <v>0</v>
      </c>
      <c r="AY414" s="160">
        <v>0</v>
      </c>
      <c r="AZ414" s="160">
        <v>0</v>
      </c>
      <c r="BA414" s="160">
        <v>0</v>
      </c>
      <c r="BB414" s="160">
        <v>0</v>
      </c>
      <c r="BC414" s="160">
        <v>0</v>
      </c>
    </row>
    <row r="415" spans="1:55" ht="11.25" customHeight="1" x14ac:dyDescent="0.2">
      <c r="A415" s="116" t="s">
        <v>1</v>
      </c>
      <c r="B415" s="117" t="s">
        <v>2</v>
      </c>
      <c r="C415" s="119">
        <v>31480</v>
      </c>
      <c r="D415" s="168">
        <v>31515</v>
      </c>
      <c r="E415" s="169">
        <v>31515</v>
      </c>
      <c r="F415" s="119">
        <v>31680</v>
      </c>
      <c r="G415" s="169">
        <v>31680</v>
      </c>
      <c r="H415" s="119">
        <v>31680</v>
      </c>
      <c r="I415" s="119">
        <v>31680</v>
      </c>
      <c r="J415" s="119">
        <v>31712</v>
      </c>
      <c r="K415" s="169">
        <v>31712</v>
      </c>
      <c r="L415" s="119">
        <v>31712</v>
      </c>
      <c r="M415" s="119">
        <v>31810</v>
      </c>
      <c r="N415" s="169">
        <v>31810</v>
      </c>
      <c r="O415" s="119">
        <v>31810</v>
      </c>
      <c r="P415" s="119">
        <v>31810</v>
      </c>
      <c r="Q415" s="119">
        <v>31854</v>
      </c>
      <c r="R415" s="119">
        <v>31854</v>
      </c>
      <c r="S415" s="119">
        <v>31854</v>
      </c>
      <c r="T415" s="119">
        <v>31917</v>
      </c>
      <c r="U415" s="170">
        <v>31917</v>
      </c>
      <c r="V415" s="119">
        <v>31917</v>
      </c>
      <c r="W415" s="119">
        <v>31917</v>
      </c>
      <c r="X415" s="119">
        <v>31994</v>
      </c>
      <c r="Y415" s="120">
        <v>31994</v>
      </c>
      <c r="Z415" s="119">
        <v>31994</v>
      </c>
      <c r="AA415" s="119">
        <v>32061</v>
      </c>
      <c r="AB415" s="120">
        <v>32061</v>
      </c>
      <c r="AC415" s="119">
        <v>32104</v>
      </c>
      <c r="AD415" s="118">
        <v>32104</v>
      </c>
      <c r="AE415" s="119">
        <v>32104</v>
      </c>
      <c r="AF415" s="119">
        <v>32158</v>
      </c>
      <c r="AG415" s="120">
        <v>32158</v>
      </c>
      <c r="AH415" s="119">
        <v>32180</v>
      </c>
      <c r="AI415" s="120">
        <v>32180</v>
      </c>
      <c r="AJ415" s="119">
        <v>32180</v>
      </c>
      <c r="AK415" s="119">
        <v>32180</v>
      </c>
      <c r="AL415" s="119">
        <v>32180</v>
      </c>
      <c r="AM415" s="119">
        <v>32227</v>
      </c>
      <c r="AN415" s="120">
        <v>32227</v>
      </c>
      <c r="AO415" s="119">
        <v>32385</v>
      </c>
      <c r="AP415" s="120"/>
      <c r="AQ415" s="119"/>
      <c r="AR415" s="119"/>
      <c r="AS415" s="119"/>
      <c r="AT415" s="119"/>
      <c r="AU415" s="119"/>
      <c r="AV415" s="119"/>
      <c r="AW415" s="119"/>
      <c r="AX415" s="119"/>
      <c r="AY415" s="119"/>
      <c r="AZ415" s="119"/>
      <c r="BA415" s="119"/>
      <c r="BB415" s="119"/>
      <c r="BC415" s="119"/>
    </row>
    <row r="416" spans="1:55" ht="11.25" customHeight="1" x14ac:dyDescent="0.2">
      <c r="A416" s="121" t="s">
        <v>3</v>
      </c>
      <c r="B416" s="122" t="s">
        <v>4</v>
      </c>
      <c r="C416" s="124">
        <v>1124</v>
      </c>
      <c r="D416" s="171">
        <v>1126</v>
      </c>
      <c r="E416" s="172">
        <v>1126</v>
      </c>
      <c r="F416" s="124">
        <v>1131</v>
      </c>
      <c r="G416" s="172">
        <v>1131</v>
      </c>
      <c r="H416" s="124">
        <v>1131</v>
      </c>
      <c r="I416" s="124">
        <v>1131</v>
      </c>
      <c r="J416" s="124">
        <v>1134</v>
      </c>
      <c r="K416" s="172">
        <v>1134</v>
      </c>
      <c r="L416" s="124">
        <v>1134</v>
      </c>
      <c r="M416" s="124">
        <v>1142</v>
      </c>
      <c r="N416" s="172">
        <v>1142</v>
      </c>
      <c r="O416" s="124">
        <v>1142</v>
      </c>
      <c r="P416" s="124">
        <v>1142</v>
      </c>
      <c r="Q416" s="124">
        <v>1143</v>
      </c>
      <c r="R416" s="172">
        <v>1143</v>
      </c>
      <c r="S416" s="124">
        <v>1143</v>
      </c>
      <c r="T416" s="124">
        <v>1145</v>
      </c>
      <c r="U416" s="173">
        <v>1145</v>
      </c>
      <c r="V416" s="124">
        <v>1145</v>
      </c>
      <c r="W416" s="124">
        <v>1145</v>
      </c>
      <c r="X416" s="124">
        <v>1148</v>
      </c>
      <c r="Y416" s="125">
        <v>1148</v>
      </c>
      <c r="Z416" s="124">
        <v>1148</v>
      </c>
      <c r="AA416" s="124">
        <v>1153</v>
      </c>
      <c r="AB416" s="125">
        <v>1153</v>
      </c>
      <c r="AC416" s="124">
        <v>1158</v>
      </c>
      <c r="AD416" s="123">
        <v>1158</v>
      </c>
      <c r="AE416" s="124">
        <v>1158</v>
      </c>
      <c r="AF416" s="124">
        <v>1162</v>
      </c>
      <c r="AG416" s="125">
        <v>1162</v>
      </c>
      <c r="AH416" s="124">
        <v>1165</v>
      </c>
      <c r="AI416" s="125">
        <v>1165</v>
      </c>
      <c r="AJ416" s="124">
        <v>1165</v>
      </c>
      <c r="AK416" s="124">
        <v>1165</v>
      </c>
      <c r="AL416" s="124">
        <v>1165</v>
      </c>
      <c r="AM416" s="124">
        <v>1166</v>
      </c>
      <c r="AN416" s="125">
        <v>1166</v>
      </c>
      <c r="AO416" s="124">
        <v>1168</v>
      </c>
      <c r="AP416" s="125" t="s">
        <v>18</v>
      </c>
      <c r="AQ416" s="124" t="s">
        <v>18</v>
      </c>
      <c r="AR416" s="124" t="s">
        <v>18</v>
      </c>
      <c r="AS416" s="124" t="s">
        <v>18</v>
      </c>
      <c r="AT416" s="124" t="s">
        <v>18</v>
      </c>
      <c r="AU416" s="124" t="s">
        <v>18</v>
      </c>
      <c r="AV416" s="124" t="s">
        <v>18</v>
      </c>
      <c r="AW416" s="124" t="s">
        <v>18</v>
      </c>
      <c r="AX416" s="124" t="s">
        <v>18</v>
      </c>
      <c r="AY416" s="124" t="s">
        <v>18</v>
      </c>
      <c r="AZ416" s="124" t="s">
        <v>18</v>
      </c>
      <c r="BA416" s="124" t="s">
        <v>18</v>
      </c>
      <c r="BB416" s="124" t="s">
        <v>18</v>
      </c>
      <c r="BC416" s="124" t="s">
        <v>18</v>
      </c>
    </row>
    <row r="417" spans="1:55" ht="11.25" customHeight="1" x14ac:dyDescent="0.25">
      <c r="A417" s="126"/>
      <c r="B417" s="122" t="s">
        <v>5</v>
      </c>
      <c r="C417" s="124">
        <v>27</v>
      </c>
      <c r="D417" s="171">
        <v>25</v>
      </c>
      <c r="E417" s="172">
        <v>30</v>
      </c>
      <c r="F417" s="124">
        <v>25</v>
      </c>
      <c r="G417" s="172">
        <v>32</v>
      </c>
      <c r="H417" s="124">
        <v>32</v>
      </c>
      <c r="I417" s="124">
        <v>32</v>
      </c>
      <c r="J417" s="124">
        <v>29</v>
      </c>
      <c r="K417" s="172">
        <v>29</v>
      </c>
      <c r="L417" s="124">
        <v>29</v>
      </c>
      <c r="M417" s="124">
        <v>28</v>
      </c>
      <c r="N417" s="172">
        <v>28</v>
      </c>
      <c r="O417" s="124">
        <v>28</v>
      </c>
      <c r="P417" s="124">
        <v>28</v>
      </c>
      <c r="Q417" s="124">
        <v>27</v>
      </c>
      <c r="R417" s="172">
        <v>38</v>
      </c>
      <c r="S417" s="124">
        <v>38</v>
      </c>
      <c r="T417" s="124">
        <v>36</v>
      </c>
      <c r="U417" s="173">
        <v>36</v>
      </c>
      <c r="V417" s="124">
        <v>36</v>
      </c>
      <c r="W417" s="124">
        <v>36</v>
      </c>
      <c r="X417" s="124">
        <v>33</v>
      </c>
      <c r="Y417" s="125">
        <v>36</v>
      </c>
      <c r="Z417" s="124">
        <v>36</v>
      </c>
      <c r="AA417" s="124">
        <v>36</v>
      </c>
      <c r="AB417" s="125">
        <v>36</v>
      </c>
      <c r="AC417" s="124">
        <v>33</v>
      </c>
      <c r="AD417" s="123">
        <v>33</v>
      </c>
      <c r="AE417" s="124">
        <v>33</v>
      </c>
      <c r="AF417" s="124">
        <v>33</v>
      </c>
      <c r="AG417" s="125">
        <v>33</v>
      </c>
      <c r="AH417" s="124">
        <v>30</v>
      </c>
      <c r="AI417" s="125">
        <v>30</v>
      </c>
      <c r="AJ417" s="124">
        <v>30</v>
      </c>
      <c r="AK417" s="124">
        <v>30</v>
      </c>
      <c r="AL417" s="124">
        <v>30</v>
      </c>
      <c r="AM417" s="124">
        <v>29</v>
      </c>
      <c r="AN417" s="125">
        <v>29</v>
      </c>
      <c r="AO417" s="124">
        <v>29</v>
      </c>
      <c r="AP417" s="125" t="s">
        <v>18</v>
      </c>
      <c r="AQ417" s="124" t="s">
        <v>18</v>
      </c>
      <c r="AR417" s="124" t="s">
        <v>18</v>
      </c>
      <c r="AS417" s="124" t="s">
        <v>18</v>
      </c>
      <c r="AT417" s="124" t="s">
        <v>18</v>
      </c>
      <c r="AU417" s="124" t="s">
        <v>18</v>
      </c>
      <c r="AV417" s="124" t="s">
        <v>18</v>
      </c>
      <c r="AW417" s="124" t="s">
        <v>18</v>
      </c>
      <c r="AX417" s="124" t="s">
        <v>18</v>
      </c>
      <c r="AY417" s="124" t="s">
        <v>18</v>
      </c>
      <c r="AZ417" s="124" t="s">
        <v>18</v>
      </c>
      <c r="BA417" s="124" t="s">
        <v>18</v>
      </c>
      <c r="BB417" s="124" t="s">
        <v>18</v>
      </c>
      <c r="BC417" s="124" t="s">
        <v>18</v>
      </c>
    </row>
    <row r="418" spans="1:55" ht="11.25" customHeight="1" x14ac:dyDescent="0.2">
      <c r="A418" s="127"/>
      <c r="B418" s="122" t="s">
        <v>6</v>
      </c>
      <c r="C418" s="124"/>
      <c r="D418" s="171">
        <v>5</v>
      </c>
      <c r="E418" s="172" t="s">
        <v>7</v>
      </c>
      <c r="F418" s="124">
        <v>7</v>
      </c>
      <c r="G418" s="172"/>
      <c r="H418" s="124"/>
      <c r="I418" s="124"/>
      <c r="J418" s="124"/>
      <c r="K418" s="172"/>
      <c r="L418" s="124"/>
      <c r="M418" s="124"/>
      <c r="N418" s="172"/>
      <c r="O418" s="124"/>
      <c r="P418" s="124"/>
      <c r="Q418" s="124">
        <v>11</v>
      </c>
      <c r="R418" s="172"/>
      <c r="S418" s="124"/>
      <c r="T418" s="124"/>
      <c r="U418" s="173"/>
      <c r="V418" s="124"/>
      <c r="W418" s="124"/>
      <c r="X418" s="124">
        <v>3</v>
      </c>
      <c r="Y418" s="125"/>
      <c r="Z418" s="124"/>
      <c r="AA418" s="124"/>
      <c r="AB418" s="125"/>
      <c r="AC418" s="124"/>
      <c r="AD418" s="123"/>
      <c r="AE418" s="124"/>
      <c r="AF418" s="124"/>
      <c r="AG418" s="125"/>
      <c r="AH418" s="124"/>
      <c r="AI418" s="125"/>
      <c r="AJ418" s="124"/>
      <c r="AK418" s="124"/>
      <c r="AL418" s="124"/>
      <c r="AM418" s="124"/>
      <c r="AN418" s="125"/>
      <c r="AO418" s="124"/>
      <c r="AP418" s="125"/>
      <c r="AQ418" s="124"/>
      <c r="AR418" s="124"/>
      <c r="AS418" s="124"/>
      <c r="AT418" s="124"/>
      <c r="AU418" s="124"/>
      <c r="AV418" s="124"/>
      <c r="AW418" s="124"/>
      <c r="AX418" s="124"/>
      <c r="AY418" s="124"/>
      <c r="AZ418" s="124"/>
      <c r="BA418" s="124"/>
      <c r="BB418" s="124"/>
      <c r="BC418" s="124"/>
    </row>
    <row r="419" spans="1:55" ht="11.25" customHeight="1" x14ac:dyDescent="0.2">
      <c r="A419" s="128"/>
      <c r="B419" s="122" t="s">
        <v>8</v>
      </c>
      <c r="C419" s="130">
        <v>1100</v>
      </c>
      <c r="D419" s="174">
        <v>1100</v>
      </c>
      <c r="E419" s="175">
        <v>1100</v>
      </c>
      <c r="F419" s="130">
        <v>1100</v>
      </c>
      <c r="G419" s="175">
        <v>1100</v>
      </c>
      <c r="H419" s="130">
        <v>1100</v>
      </c>
      <c r="I419" s="130">
        <v>1100</v>
      </c>
      <c r="J419" s="130">
        <v>1100</v>
      </c>
      <c r="K419" s="175">
        <v>1100</v>
      </c>
      <c r="L419" s="130">
        <v>1100</v>
      </c>
      <c r="M419" s="130">
        <v>1100</v>
      </c>
      <c r="N419" s="175">
        <v>1100</v>
      </c>
      <c r="O419" s="130">
        <v>1100</v>
      </c>
      <c r="P419" s="130">
        <v>1100</v>
      </c>
      <c r="Q419" s="130">
        <v>1100</v>
      </c>
      <c r="R419" s="175">
        <v>1100</v>
      </c>
      <c r="S419" s="130">
        <v>1100</v>
      </c>
      <c r="T419" s="130">
        <v>1100</v>
      </c>
      <c r="U419" s="176">
        <v>1100</v>
      </c>
      <c r="V419" s="130">
        <v>1100</v>
      </c>
      <c r="W419" s="130">
        <v>1100</v>
      </c>
      <c r="X419" s="130">
        <v>1100</v>
      </c>
      <c r="Y419" s="131">
        <v>1100</v>
      </c>
      <c r="Z419" s="130">
        <v>1100</v>
      </c>
      <c r="AA419" s="130">
        <v>1100</v>
      </c>
      <c r="AB419" s="131">
        <v>1100</v>
      </c>
      <c r="AC419" s="130">
        <v>1100</v>
      </c>
      <c r="AD419" s="129">
        <v>1100</v>
      </c>
      <c r="AE419" s="130">
        <v>1100</v>
      </c>
      <c r="AF419" s="130">
        <v>1100</v>
      </c>
      <c r="AG419" s="131">
        <v>1100</v>
      </c>
      <c r="AH419" s="130">
        <v>1100</v>
      </c>
      <c r="AI419" s="131">
        <v>1100</v>
      </c>
      <c r="AJ419" s="130">
        <v>1100</v>
      </c>
      <c r="AK419" s="130">
        <v>1100</v>
      </c>
      <c r="AL419" s="130">
        <v>1100</v>
      </c>
      <c r="AM419" s="130">
        <v>1100</v>
      </c>
      <c r="AN419" s="131">
        <v>1100</v>
      </c>
      <c r="AO419" s="130">
        <v>1100</v>
      </c>
      <c r="AP419" s="131" t="s">
        <v>18</v>
      </c>
      <c r="AQ419" s="130" t="s">
        <v>18</v>
      </c>
      <c r="AR419" s="130" t="s">
        <v>18</v>
      </c>
      <c r="AS419" s="130" t="s">
        <v>18</v>
      </c>
      <c r="AT419" s="130" t="s">
        <v>18</v>
      </c>
      <c r="AU419" s="130" t="s">
        <v>18</v>
      </c>
      <c r="AV419" s="130" t="s">
        <v>18</v>
      </c>
      <c r="AW419" s="130" t="s">
        <v>18</v>
      </c>
      <c r="AX419" s="130" t="s">
        <v>18</v>
      </c>
      <c r="AY419" s="130" t="s">
        <v>18</v>
      </c>
      <c r="AZ419" s="130" t="s">
        <v>18</v>
      </c>
      <c r="BA419" s="130" t="s">
        <v>18</v>
      </c>
      <c r="BB419" s="130" t="s">
        <v>18</v>
      </c>
      <c r="BC419" s="130" t="s">
        <v>18</v>
      </c>
    </row>
    <row r="420" spans="1:55" ht="11.25" customHeight="1" x14ac:dyDescent="0.2">
      <c r="A420" s="127" t="s">
        <v>9</v>
      </c>
      <c r="B420" s="132" t="s">
        <v>10</v>
      </c>
      <c r="C420" s="134" t="s">
        <v>11</v>
      </c>
      <c r="D420" s="177" t="s">
        <v>11</v>
      </c>
      <c r="E420" s="178" t="s">
        <v>11</v>
      </c>
      <c r="F420" s="134" t="s">
        <v>11</v>
      </c>
      <c r="G420" s="178" t="s">
        <v>11</v>
      </c>
      <c r="H420" s="134" t="s">
        <v>11</v>
      </c>
      <c r="I420" s="134" t="s">
        <v>11</v>
      </c>
      <c r="J420" s="134" t="s">
        <v>11</v>
      </c>
      <c r="K420" s="178" t="s">
        <v>11</v>
      </c>
      <c r="L420" s="134" t="s">
        <v>11</v>
      </c>
      <c r="M420" s="134" t="s">
        <v>11</v>
      </c>
      <c r="N420" s="178" t="s">
        <v>11</v>
      </c>
      <c r="O420" s="134" t="s">
        <v>11</v>
      </c>
      <c r="P420" s="134" t="s">
        <v>11</v>
      </c>
      <c r="Q420" s="134" t="s">
        <v>11</v>
      </c>
      <c r="R420" s="178" t="s">
        <v>11</v>
      </c>
      <c r="S420" s="134" t="s">
        <v>11</v>
      </c>
      <c r="T420" s="134" t="s">
        <v>11</v>
      </c>
      <c r="U420" s="179" t="s">
        <v>11</v>
      </c>
      <c r="V420" s="134" t="s">
        <v>11</v>
      </c>
      <c r="W420" s="134" t="s">
        <v>11</v>
      </c>
      <c r="X420" s="134" t="s">
        <v>11</v>
      </c>
      <c r="Y420" s="135" t="s">
        <v>11</v>
      </c>
      <c r="Z420" s="134" t="s">
        <v>11</v>
      </c>
      <c r="AA420" s="134" t="s">
        <v>11</v>
      </c>
      <c r="AB420" s="135" t="s">
        <v>11</v>
      </c>
      <c r="AC420" s="134" t="s">
        <v>11</v>
      </c>
      <c r="AD420" s="133" t="s">
        <v>11</v>
      </c>
      <c r="AE420" s="134" t="s">
        <v>11</v>
      </c>
      <c r="AF420" s="134" t="s">
        <v>11</v>
      </c>
      <c r="AG420" s="135" t="s">
        <v>11</v>
      </c>
      <c r="AH420" s="134" t="s">
        <v>11</v>
      </c>
      <c r="AI420" s="135" t="s">
        <v>11</v>
      </c>
      <c r="AJ420" s="134" t="s">
        <v>11</v>
      </c>
      <c r="AK420" s="134" t="s">
        <v>11</v>
      </c>
      <c r="AL420" s="134" t="s">
        <v>11</v>
      </c>
      <c r="AM420" s="134" t="s">
        <v>11</v>
      </c>
      <c r="AN420" s="135" t="s">
        <v>11</v>
      </c>
      <c r="AO420" s="134" t="s">
        <v>11</v>
      </c>
      <c r="AP420" s="135" t="s">
        <v>18</v>
      </c>
      <c r="AQ420" s="134" t="s">
        <v>18</v>
      </c>
      <c r="AR420" s="134" t="s">
        <v>18</v>
      </c>
      <c r="AS420" s="134" t="s">
        <v>18</v>
      </c>
      <c r="AT420" s="134" t="s">
        <v>18</v>
      </c>
      <c r="AU420" s="134" t="s">
        <v>18</v>
      </c>
      <c r="AV420" s="134" t="s">
        <v>18</v>
      </c>
      <c r="AW420" s="134" t="s">
        <v>18</v>
      </c>
      <c r="AX420" s="134" t="s">
        <v>18</v>
      </c>
      <c r="AY420" s="134" t="s">
        <v>18</v>
      </c>
      <c r="AZ420" s="134" t="s">
        <v>18</v>
      </c>
      <c r="BA420" s="134" t="s">
        <v>18</v>
      </c>
      <c r="BB420" s="134" t="s">
        <v>18</v>
      </c>
      <c r="BC420" s="134" t="s">
        <v>18</v>
      </c>
    </row>
    <row r="421" spans="1:55" ht="11.25" customHeight="1" x14ac:dyDescent="0.2">
      <c r="A421" s="128">
        <v>69615.384615384624</v>
      </c>
      <c r="B421" s="122" t="s">
        <v>12</v>
      </c>
      <c r="C421" s="124"/>
      <c r="D421" s="171"/>
      <c r="E421" s="172"/>
      <c r="F421" s="124"/>
      <c r="G421" s="172"/>
      <c r="H421" s="124"/>
      <c r="I421" s="124"/>
      <c r="J421" s="124"/>
      <c r="K421" s="172"/>
      <c r="L421" s="124"/>
      <c r="M421" s="124"/>
      <c r="N421" s="172"/>
      <c r="O421" s="124"/>
      <c r="P421" s="124"/>
      <c r="Q421" s="124"/>
      <c r="R421" s="172"/>
      <c r="S421" s="124"/>
      <c r="T421" s="124"/>
      <c r="U421" s="173"/>
      <c r="V421" s="124"/>
      <c r="W421" s="124"/>
      <c r="X421" s="124"/>
      <c r="Y421" s="125"/>
      <c r="Z421" s="124"/>
      <c r="AA421" s="124"/>
      <c r="AB421" s="125"/>
      <c r="AC421" s="124"/>
      <c r="AD421" s="123"/>
      <c r="AE421" s="124"/>
      <c r="AF421" s="124"/>
      <c r="AG421" s="125"/>
      <c r="AH421" s="124"/>
      <c r="AI421" s="125" t="s">
        <v>210</v>
      </c>
      <c r="AJ421" s="124"/>
      <c r="AK421" s="124"/>
      <c r="AL421" s="124"/>
      <c r="AM421" s="124" t="s">
        <v>221</v>
      </c>
      <c r="AN421" s="125"/>
      <c r="AO421" s="124" t="s">
        <v>220</v>
      </c>
      <c r="AP421" s="125"/>
      <c r="AQ421" s="124"/>
      <c r="AR421" s="124"/>
      <c r="AS421" s="124"/>
      <c r="AT421" s="124"/>
      <c r="AU421" s="124"/>
      <c r="AV421" s="124"/>
      <c r="AW421" s="124"/>
      <c r="AX421" s="124"/>
      <c r="AY421" s="124"/>
      <c r="AZ421" s="124"/>
      <c r="BA421" s="124"/>
      <c r="BB421" s="124"/>
      <c r="BC421" s="124"/>
    </row>
    <row r="422" spans="1:55" ht="11.25" customHeight="1" x14ac:dyDescent="0.2">
      <c r="A422" s="128">
        <v>905</v>
      </c>
      <c r="B422" s="136" t="s">
        <v>13</v>
      </c>
      <c r="C422" s="137">
        <v>0</v>
      </c>
      <c r="D422" s="171">
        <v>35</v>
      </c>
      <c r="E422" s="172">
        <v>0</v>
      </c>
      <c r="F422" s="137">
        <v>165</v>
      </c>
      <c r="G422" s="172">
        <v>0</v>
      </c>
      <c r="H422" s="137">
        <v>0</v>
      </c>
      <c r="I422" s="137">
        <v>0</v>
      </c>
      <c r="J422" s="137">
        <v>32</v>
      </c>
      <c r="K422" s="172">
        <v>0</v>
      </c>
      <c r="L422" s="137">
        <v>0</v>
      </c>
      <c r="M422" s="137">
        <v>98</v>
      </c>
      <c r="N422" s="172">
        <v>0</v>
      </c>
      <c r="O422" s="137">
        <v>0</v>
      </c>
      <c r="P422" s="137">
        <v>0</v>
      </c>
      <c r="Q422" s="137">
        <v>44</v>
      </c>
      <c r="R422" s="172">
        <v>0</v>
      </c>
      <c r="S422" s="137">
        <v>0</v>
      </c>
      <c r="T422" s="137">
        <v>63</v>
      </c>
      <c r="U422" s="173">
        <v>0</v>
      </c>
      <c r="V422" s="137">
        <v>0</v>
      </c>
      <c r="W422" s="137">
        <v>0</v>
      </c>
      <c r="X422" s="137">
        <v>77</v>
      </c>
      <c r="Y422" s="125">
        <v>0</v>
      </c>
      <c r="Z422" s="137">
        <v>0</v>
      </c>
      <c r="AA422" s="137">
        <v>67</v>
      </c>
      <c r="AB422" s="125">
        <v>0</v>
      </c>
      <c r="AC422" s="137">
        <v>43</v>
      </c>
      <c r="AD422" s="123">
        <v>0</v>
      </c>
      <c r="AE422" s="137">
        <v>0</v>
      </c>
      <c r="AF422" s="137">
        <v>54</v>
      </c>
      <c r="AG422" s="125">
        <v>0</v>
      </c>
      <c r="AH422" s="137">
        <v>22</v>
      </c>
      <c r="AI422" s="125">
        <v>0</v>
      </c>
      <c r="AJ422" s="137">
        <v>0</v>
      </c>
      <c r="AK422" s="137">
        <v>0</v>
      </c>
      <c r="AL422" s="137">
        <v>0</v>
      </c>
      <c r="AM422" s="137">
        <v>47</v>
      </c>
      <c r="AN422" s="125">
        <v>0</v>
      </c>
      <c r="AO422" s="137">
        <v>158</v>
      </c>
      <c r="AP422" s="125" t="s">
        <v>18</v>
      </c>
      <c r="AQ422" s="137" t="s">
        <v>18</v>
      </c>
      <c r="AR422" s="137" t="s">
        <v>18</v>
      </c>
      <c r="AS422" s="137" t="s">
        <v>18</v>
      </c>
      <c r="AT422" s="137" t="s">
        <v>18</v>
      </c>
      <c r="AU422" s="137" t="s">
        <v>18</v>
      </c>
      <c r="AV422" s="137" t="s">
        <v>18</v>
      </c>
      <c r="AW422" s="137" t="s">
        <v>18</v>
      </c>
      <c r="AX422" s="137" t="s">
        <v>18</v>
      </c>
      <c r="AY422" s="137" t="s">
        <v>18</v>
      </c>
      <c r="AZ422" s="137" t="s">
        <v>18</v>
      </c>
      <c r="BA422" s="137" t="s">
        <v>18</v>
      </c>
      <c r="BB422" s="137" t="s">
        <v>18</v>
      </c>
      <c r="BC422" s="137" t="s">
        <v>18</v>
      </c>
    </row>
    <row r="423" spans="1:55" ht="11.25" customHeight="1" x14ac:dyDescent="0.2">
      <c r="A423" s="128">
        <v>44</v>
      </c>
      <c r="B423" s="136" t="s">
        <v>14</v>
      </c>
      <c r="C423" s="137">
        <v>0</v>
      </c>
      <c r="D423" s="171">
        <v>2</v>
      </c>
      <c r="E423" s="172">
        <v>0</v>
      </c>
      <c r="F423" s="137">
        <v>5</v>
      </c>
      <c r="G423" s="172">
        <v>0</v>
      </c>
      <c r="H423" s="137">
        <v>0</v>
      </c>
      <c r="I423" s="137">
        <v>0</v>
      </c>
      <c r="J423" s="137">
        <v>3</v>
      </c>
      <c r="K423" s="172">
        <v>0</v>
      </c>
      <c r="L423" s="137">
        <v>0</v>
      </c>
      <c r="M423" s="137">
        <v>8</v>
      </c>
      <c r="N423" s="172">
        <v>0</v>
      </c>
      <c r="O423" s="137">
        <v>0</v>
      </c>
      <c r="P423" s="137">
        <v>0</v>
      </c>
      <c r="Q423" s="137">
        <v>1</v>
      </c>
      <c r="R423" s="172">
        <v>0</v>
      </c>
      <c r="S423" s="137">
        <v>0</v>
      </c>
      <c r="T423" s="137">
        <v>2</v>
      </c>
      <c r="U423" s="173">
        <v>0</v>
      </c>
      <c r="V423" s="137">
        <v>0</v>
      </c>
      <c r="W423" s="137">
        <v>0</v>
      </c>
      <c r="X423" s="137">
        <v>3</v>
      </c>
      <c r="Y423" s="125">
        <v>0</v>
      </c>
      <c r="Z423" s="137">
        <v>0</v>
      </c>
      <c r="AA423" s="137">
        <v>5</v>
      </c>
      <c r="AB423" s="125">
        <v>0</v>
      </c>
      <c r="AC423" s="137">
        <v>5</v>
      </c>
      <c r="AD423" s="123">
        <v>0</v>
      </c>
      <c r="AE423" s="137">
        <v>0</v>
      </c>
      <c r="AF423" s="137">
        <v>4</v>
      </c>
      <c r="AG423" s="125">
        <v>0</v>
      </c>
      <c r="AH423" s="137">
        <v>3</v>
      </c>
      <c r="AI423" s="125">
        <v>0</v>
      </c>
      <c r="AJ423" s="137">
        <v>0</v>
      </c>
      <c r="AK423" s="137">
        <v>0</v>
      </c>
      <c r="AL423" s="137">
        <v>0</v>
      </c>
      <c r="AM423" s="137">
        <v>1</v>
      </c>
      <c r="AN423" s="125">
        <v>0</v>
      </c>
      <c r="AO423" s="137">
        <v>2</v>
      </c>
      <c r="AP423" s="125" t="s">
        <v>18</v>
      </c>
      <c r="AQ423" s="137" t="s">
        <v>18</v>
      </c>
      <c r="AR423" s="137" t="s">
        <v>18</v>
      </c>
      <c r="AS423" s="137" t="s">
        <v>18</v>
      </c>
      <c r="AT423" s="137" t="s">
        <v>18</v>
      </c>
      <c r="AU423" s="137" t="s">
        <v>18</v>
      </c>
      <c r="AV423" s="137" t="s">
        <v>18</v>
      </c>
      <c r="AW423" s="137" t="s">
        <v>18</v>
      </c>
      <c r="AX423" s="137" t="s">
        <v>18</v>
      </c>
      <c r="AY423" s="137" t="s">
        <v>18</v>
      </c>
      <c r="AZ423" s="137" t="s">
        <v>18</v>
      </c>
      <c r="BA423" s="137" t="s">
        <v>18</v>
      </c>
      <c r="BB423" s="137" t="s">
        <v>18</v>
      </c>
      <c r="BC423" s="137" t="s">
        <v>18</v>
      </c>
    </row>
    <row r="424" spans="1:55" ht="11.25" customHeight="1" x14ac:dyDescent="0.2">
      <c r="A424" s="128" t="e">
        <v>#VALUE!</v>
      </c>
      <c r="B424" s="136" t="s">
        <v>15</v>
      </c>
      <c r="C424" s="137">
        <v>0</v>
      </c>
      <c r="D424" s="171">
        <v>2</v>
      </c>
      <c r="E424" s="172">
        <v>0</v>
      </c>
      <c r="F424" s="137" t="e">
        <v>#VALUE!</v>
      </c>
      <c r="G424" s="172">
        <v>0</v>
      </c>
      <c r="H424" s="137">
        <v>0</v>
      </c>
      <c r="I424" s="137">
        <v>0</v>
      </c>
      <c r="J424" s="137">
        <v>3</v>
      </c>
      <c r="K424" s="172">
        <v>0</v>
      </c>
      <c r="L424" s="137">
        <v>0</v>
      </c>
      <c r="M424" s="137">
        <v>1</v>
      </c>
      <c r="N424" s="172">
        <v>0</v>
      </c>
      <c r="O424" s="137">
        <v>0</v>
      </c>
      <c r="P424" s="137">
        <v>0</v>
      </c>
      <c r="Q424" s="137">
        <v>1</v>
      </c>
      <c r="R424" s="172">
        <v>0</v>
      </c>
      <c r="S424" s="137">
        <v>0</v>
      </c>
      <c r="T424" s="137">
        <v>2</v>
      </c>
      <c r="U424" s="173">
        <v>0</v>
      </c>
      <c r="V424" s="137">
        <v>0</v>
      </c>
      <c r="W424" s="137">
        <v>0</v>
      </c>
      <c r="X424" s="137">
        <v>3</v>
      </c>
      <c r="Y424" s="125">
        <v>0</v>
      </c>
      <c r="Z424" s="137">
        <v>0</v>
      </c>
      <c r="AA424" s="137">
        <v>0</v>
      </c>
      <c r="AB424" s="125">
        <v>0</v>
      </c>
      <c r="AC424" s="137">
        <v>3</v>
      </c>
      <c r="AD424" s="123">
        <v>0</v>
      </c>
      <c r="AE424" s="137">
        <v>0</v>
      </c>
      <c r="AF424" s="137">
        <v>0</v>
      </c>
      <c r="AG424" s="125">
        <v>0</v>
      </c>
      <c r="AH424" s="137">
        <v>3</v>
      </c>
      <c r="AI424" s="125">
        <v>0</v>
      </c>
      <c r="AJ424" s="137">
        <v>0</v>
      </c>
      <c r="AK424" s="137">
        <v>0</v>
      </c>
      <c r="AL424" s="137">
        <v>0</v>
      </c>
      <c r="AM424" s="137">
        <v>1</v>
      </c>
      <c r="AN424" s="125">
        <v>0</v>
      </c>
      <c r="AO424" s="137">
        <v>0</v>
      </c>
      <c r="AP424" s="125" t="s">
        <v>18</v>
      </c>
      <c r="AQ424" s="137" t="s">
        <v>18</v>
      </c>
      <c r="AR424" s="137" t="s">
        <v>18</v>
      </c>
      <c r="AS424" s="137" t="s">
        <v>18</v>
      </c>
      <c r="AT424" s="137" t="s">
        <v>18</v>
      </c>
      <c r="AU424" s="137" t="s">
        <v>18</v>
      </c>
      <c r="AV424" s="137" t="s">
        <v>18</v>
      </c>
      <c r="AW424" s="137" t="s">
        <v>18</v>
      </c>
      <c r="AX424" s="137" t="s">
        <v>18</v>
      </c>
      <c r="AY424" s="137" t="s">
        <v>18</v>
      </c>
      <c r="AZ424" s="137" t="s">
        <v>18</v>
      </c>
      <c r="BA424" s="137" t="s">
        <v>18</v>
      </c>
      <c r="BB424" s="137" t="s">
        <v>18</v>
      </c>
      <c r="BC424" s="137" t="s">
        <v>18</v>
      </c>
    </row>
    <row r="425" spans="1:55" ht="11.25" customHeight="1" x14ac:dyDescent="0.2">
      <c r="A425" s="128" t="e">
        <v>#VALUE!</v>
      </c>
      <c r="B425" s="136" t="s">
        <v>16</v>
      </c>
      <c r="C425" s="137">
        <v>0</v>
      </c>
      <c r="D425" s="171">
        <v>2200</v>
      </c>
      <c r="E425" s="172">
        <v>0</v>
      </c>
      <c r="F425" s="137" t="e">
        <v>#VALUE!</v>
      </c>
      <c r="G425" s="172">
        <v>0</v>
      </c>
      <c r="H425" s="137">
        <v>0</v>
      </c>
      <c r="I425" s="137">
        <v>0</v>
      </c>
      <c r="J425" s="137">
        <v>3300</v>
      </c>
      <c r="K425" s="172">
        <v>0</v>
      </c>
      <c r="L425" s="137">
        <v>0</v>
      </c>
      <c r="M425" s="137">
        <v>1100</v>
      </c>
      <c r="N425" s="172">
        <v>0</v>
      </c>
      <c r="O425" s="137">
        <v>0</v>
      </c>
      <c r="P425" s="137">
        <v>0</v>
      </c>
      <c r="Q425" s="137">
        <v>1100</v>
      </c>
      <c r="R425" s="172">
        <v>0</v>
      </c>
      <c r="S425" s="137">
        <v>0</v>
      </c>
      <c r="T425" s="137">
        <v>2200</v>
      </c>
      <c r="U425" s="173">
        <v>0</v>
      </c>
      <c r="V425" s="137">
        <v>0</v>
      </c>
      <c r="W425" s="137">
        <v>0</v>
      </c>
      <c r="X425" s="137">
        <v>3300</v>
      </c>
      <c r="Y425" s="125">
        <v>0</v>
      </c>
      <c r="Z425" s="137">
        <v>0</v>
      </c>
      <c r="AA425" s="137">
        <v>0</v>
      </c>
      <c r="AB425" s="125">
        <v>0</v>
      </c>
      <c r="AC425" s="137">
        <v>3300</v>
      </c>
      <c r="AD425" s="123">
        <v>0</v>
      </c>
      <c r="AE425" s="137">
        <v>0</v>
      </c>
      <c r="AF425" s="137">
        <v>0</v>
      </c>
      <c r="AG425" s="125">
        <v>0</v>
      </c>
      <c r="AH425" s="137">
        <v>3300</v>
      </c>
      <c r="AI425" s="125">
        <v>0</v>
      </c>
      <c r="AJ425" s="137">
        <v>0</v>
      </c>
      <c r="AK425" s="137">
        <v>0</v>
      </c>
      <c r="AL425" s="137">
        <v>0</v>
      </c>
      <c r="AM425" s="137">
        <v>1100</v>
      </c>
      <c r="AN425" s="125">
        <v>0</v>
      </c>
      <c r="AO425" s="137">
        <v>0</v>
      </c>
      <c r="AP425" s="125" t="s">
        <v>18</v>
      </c>
      <c r="AQ425" s="137" t="s">
        <v>18</v>
      </c>
      <c r="AR425" s="137" t="s">
        <v>18</v>
      </c>
      <c r="AS425" s="137" t="s">
        <v>18</v>
      </c>
      <c r="AT425" s="137" t="s">
        <v>18</v>
      </c>
      <c r="AU425" s="137" t="s">
        <v>18</v>
      </c>
      <c r="AV425" s="137" t="s">
        <v>18</v>
      </c>
      <c r="AW425" s="137" t="s">
        <v>18</v>
      </c>
      <c r="AX425" s="137" t="s">
        <v>18</v>
      </c>
      <c r="AY425" s="137" t="s">
        <v>18</v>
      </c>
      <c r="AZ425" s="137" t="s">
        <v>18</v>
      </c>
      <c r="BA425" s="137" t="s">
        <v>18</v>
      </c>
      <c r="BB425" s="137" t="s">
        <v>18</v>
      </c>
      <c r="BC425" s="137" t="s">
        <v>18</v>
      </c>
    </row>
    <row r="426" spans="1:55" ht="11.25" customHeight="1" thickBot="1" x14ac:dyDescent="0.25">
      <c r="A426" s="138" t="e">
        <v>#VALUE!</v>
      </c>
      <c r="B426" s="139" t="s">
        <v>17</v>
      </c>
      <c r="C426" s="141" t="s">
        <v>18</v>
      </c>
      <c r="D426" s="180">
        <v>0.62857142857142856</v>
      </c>
      <c r="E426" s="181" t="s">
        <v>18</v>
      </c>
      <c r="F426" s="141" t="e">
        <v>#VALUE!</v>
      </c>
      <c r="G426" s="181" t="s">
        <v>18</v>
      </c>
      <c r="H426" s="141" t="s">
        <v>18</v>
      </c>
      <c r="I426" s="141" t="s">
        <v>18</v>
      </c>
      <c r="J426" s="141">
        <v>1.03125</v>
      </c>
      <c r="K426" s="181" t="s">
        <v>18</v>
      </c>
      <c r="L426" s="141" t="s">
        <v>18</v>
      </c>
      <c r="M426" s="141">
        <v>0.11224489795918367</v>
      </c>
      <c r="N426" s="181" t="s">
        <v>18</v>
      </c>
      <c r="O426" s="141" t="s">
        <v>18</v>
      </c>
      <c r="P426" s="141" t="s">
        <v>18</v>
      </c>
      <c r="Q426" s="141">
        <v>0.25</v>
      </c>
      <c r="R426" s="181" t="s">
        <v>18</v>
      </c>
      <c r="S426" s="141" t="s">
        <v>18</v>
      </c>
      <c r="T426" s="141">
        <v>0.34920634920634919</v>
      </c>
      <c r="U426" s="182" t="s">
        <v>18</v>
      </c>
      <c r="V426" s="141" t="s">
        <v>18</v>
      </c>
      <c r="W426" s="141" t="s">
        <v>18</v>
      </c>
      <c r="X426" s="141">
        <v>0.42857142857142855</v>
      </c>
      <c r="Y426" s="142" t="s">
        <v>18</v>
      </c>
      <c r="Z426" s="141" t="s">
        <v>18</v>
      </c>
      <c r="AA426" s="141" t="s">
        <v>18</v>
      </c>
      <c r="AB426" s="142" t="s">
        <v>18</v>
      </c>
      <c r="AC426" s="141">
        <v>0.76744186046511631</v>
      </c>
      <c r="AD426" s="140" t="s">
        <v>18</v>
      </c>
      <c r="AE426" s="141" t="s">
        <v>18</v>
      </c>
      <c r="AF426" s="141" t="s">
        <v>18</v>
      </c>
      <c r="AG426" s="142" t="s">
        <v>18</v>
      </c>
      <c r="AH426" s="141">
        <v>1.5</v>
      </c>
      <c r="AI426" s="142" t="s">
        <v>18</v>
      </c>
      <c r="AJ426" s="141" t="s">
        <v>18</v>
      </c>
      <c r="AK426" s="141" t="s">
        <v>18</v>
      </c>
      <c r="AL426" s="141" t="s">
        <v>18</v>
      </c>
      <c r="AM426" s="141">
        <v>0.23404255319148937</v>
      </c>
      <c r="AN426" s="142" t="s">
        <v>18</v>
      </c>
      <c r="AO426" s="141" t="s">
        <v>18</v>
      </c>
      <c r="AP426" s="142" t="s">
        <v>18</v>
      </c>
      <c r="AQ426" s="141" t="s">
        <v>18</v>
      </c>
      <c r="AR426" s="141" t="s">
        <v>18</v>
      </c>
      <c r="AS426" s="141" t="s">
        <v>18</v>
      </c>
      <c r="AT426" s="141" t="s">
        <v>18</v>
      </c>
      <c r="AU426" s="141" t="s">
        <v>18</v>
      </c>
      <c r="AV426" s="141" t="s">
        <v>18</v>
      </c>
      <c r="AW426" s="141" t="s">
        <v>18</v>
      </c>
      <c r="AX426" s="141" t="s">
        <v>18</v>
      </c>
      <c r="AY426" s="141" t="s">
        <v>18</v>
      </c>
      <c r="AZ426" s="141" t="s">
        <v>18</v>
      </c>
      <c r="BA426" s="141" t="s">
        <v>18</v>
      </c>
      <c r="BB426" s="141" t="s">
        <v>18</v>
      </c>
      <c r="BC426" s="141" t="s">
        <v>18</v>
      </c>
    </row>
    <row r="427" spans="1:55" ht="11.25" customHeight="1" x14ac:dyDescent="0.2">
      <c r="A427" s="116" t="s">
        <v>1</v>
      </c>
      <c r="B427" s="117" t="s">
        <v>2</v>
      </c>
      <c r="C427" s="119">
        <v>25891</v>
      </c>
      <c r="D427" s="168">
        <v>25977</v>
      </c>
      <c r="E427" s="169">
        <v>25977</v>
      </c>
      <c r="F427" s="119">
        <v>26123</v>
      </c>
      <c r="G427" s="169">
        <v>26123</v>
      </c>
      <c r="H427" s="119">
        <v>26123</v>
      </c>
      <c r="I427" s="119">
        <v>26123</v>
      </c>
      <c r="J427" s="119">
        <v>26164</v>
      </c>
      <c r="K427" s="169">
        <v>26164</v>
      </c>
      <c r="L427" s="119">
        <v>26164</v>
      </c>
      <c r="M427" s="119">
        <v>26293</v>
      </c>
      <c r="N427" s="169">
        <v>26293</v>
      </c>
      <c r="O427" s="119">
        <v>26293</v>
      </c>
      <c r="P427" s="119">
        <v>26293</v>
      </c>
      <c r="Q427" s="119">
        <v>26335</v>
      </c>
      <c r="R427" s="169">
        <v>26335</v>
      </c>
      <c r="S427" s="119">
        <v>26335</v>
      </c>
      <c r="T427" s="119">
        <v>26424</v>
      </c>
      <c r="U427" s="170">
        <v>26424</v>
      </c>
      <c r="V427" s="119">
        <v>26424</v>
      </c>
      <c r="W427" s="119">
        <v>26424</v>
      </c>
      <c r="X427" s="119">
        <v>26504</v>
      </c>
      <c r="Y427" s="120">
        <v>26504</v>
      </c>
      <c r="Z427" s="119">
        <v>26504</v>
      </c>
      <c r="AA427" s="119">
        <v>26678</v>
      </c>
      <c r="AB427" s="120">
        <v>26678</v>
      </c>
      <c r="AC427" s="119">
        <v>26713</v>
      </c>
      <c r="AD427" s="118">
        <v>26713</v>
      </c>
      <c r="AE427" s="119">
        <v>26713</v>
      </c>
      <c r="AF427" s="119">
        <v>26817</v>
      </c>
      <c r="AG427" s="120">
        <v>26817</v>
      </c>
      <c r="AH427" s="119">
        <v>26849</v>
      </c>
      <c r="AI427" s="120">
        <v>26849</v>
      </c>
      <c r="AJ427" s="119">
        <v>26849</v>
      </c>
      <c r="AK427" s="119">
        <v>26849</v>
      </c>
      <c r="AL427" s="119">
        <v>26849</v>
      </c>
      <c r="AM427" s="119">
        <v>26934</v>
      </c>
      <c r="AN427" s="120">
        <v>26934</v>
      </c>
      <c r="AO427" s="119">
        <v>27005</v>
      </c>
      <c r="AP427" s="120" t="s">
        <v>18</v>
      </c>
      <c r="AQ427" s="119" t="s">
        <v>18</v>
      </c>
      <c r="AR427" s="119" t="s">
        <v>18</v>
      </c>
      <c r="AS427" s="119" t="s">
        <v>18</v>
      </c>
      <c r="AT427" s="119" t="s">
        <v>18</v>
      </c>
      <c r="AU427" s="119" t="s">
        <v>18</v>
      </c>
      <c r="AV427" s="119" t="s">
        <v>18</v>
      </c>
      <c r="AW427" s="119" t="s">
        <v>18</v>
      </c>
      <c r="AX427" s="119" t="s">
        <v>18</v>
      </c>
      <c r="AY427" s="119" t="s">
        <v>18</v>
      </c>
      <c r="AZ427" s="119" t="s">
        <v>18</v>
      </c>
      <c r="BA427" s="119" t="s">
        <v>18</v>
      </c>
      <c r="BB427" s="119" t="s">
        <v>18</v>
      </c>
      <c r="BC427" s="119" t="s">
        <v>18</v>
      </c>
    </row>
    <row r="428" spans="1:55" ht="11.25" customHeight="1" x14ac:dyDescent="0.2">
      <c r="A428" s="121" t="s">
        <v>19</v>
      </c>
      <c r="B428" s="122" t="s">
        <v>4</v>
      </c>
      <c r="C428" s="124">
        <v>937</v>
      </c>
      <c r="D428" s="171">
        <v>938</v>
      </c>
      <c r="E428" s="172">
        <v>938</v>
      </c>
      <c r="F428" s="124">
        <v>939</v>
      </c>
      <c r="G428" s="172">
        <v>939</v>
      </c>
      <c r="H428" s="124">
        <v>939</v>
      </c>
      <c r="I428" s="124">
        <v>939</v>
      </c>
      <c r="J428" s="124">
        <v>940</v>
      </c>
      <c r="K428" s="172">
        <v>940</v>
      </c>
      <c r="L428" s="124">
        <v>940</v>
      </c>
      <c r="M428" s="124">
        <v>943</v>
      </c>
      <c r="N428" s="172">
        <v>943</v>
      </c>
      <c r="O428" s="124">
        <v>943</v>
      </c>
      <c r="P428" s="124">
        <v>943</v>
      </c>
      <c r="Q428" s="124">
        <v>943</v>
      </c>
      <c r="R428" s="172">
        <v>943</v>
      </c>
      <c r="S428" s="124">
        <v>943</v>
      </c>
      <c r="T428" s="124">
        <v>944</v>
      </c>
      <c r="U428" s="173">
        <v>944</v>
      </c>
      <c r="V428" s="124">
        <v>944</v>
      </c>
      <c r="W428" s="124">
        <v>944</v>
      </c>
      <c r="X428" s="124">
        <v>945</v>
      </c>
      <c r="Y428" s="125">
        <v>945</v>
      </c>
      <c r="Z428" s="124">
        <v>945</v>
      </c>
      <c r="AA428" s="124">
        <v>948</v>
      </c>
      <c r="AB428" s="125">
        <v>948</v>
      </c>
      <c r="AC428" s="124">
        <v>948</v>
      </c>
      <c r="AD428" s="123">
        <v>948</v>
      </c>
      <c r="AE428" s="124">
        <v>948</v>
      </c>
      <c r="AF428" s="124">
        <v>950</v>
      </c>
      <c r="AG428" s="125">
        <v>950</v>
      </c>
      <c r="AH428" s="124">
        <v>950</v>
      </c>
      <c r="AI428" s="125">
        <v>950</v>
      </c>
      <c r="AJ428" s="124">
        <v>950</v>
      </c>
      <c r="AK428" s="124">
        <v>950</v>
      </c>
      <c r="AL428" s="124">
        <v>950</v>
      </c>
      <c r="AM428" s="124">
        <v>951</v>
      </c>
      <c r="AN428" s="125">
        <v>951</v>
      </c>
      <c r="AO428" s="124">
        <v>954</v>
      </c>
      <c r="AP428" s="125" t="s">
        <v>18</v>
      </c>
      <c r="AQ428" s="124" t="s">
        <v>18</v>
      </c>
      <c r="AR428" s="124" t="s">
        <v>18</v>
      </c>
      <c r="AS428" s="124" t="s">
        <v>18</v>
      </c>
      <c r="AT428" s="124" t="s">
        <v>18</v>
      </c>
      <c r="AU428" s="124" t="s">
        <v>18</v>
      </c>
      <c r="AV428" s="124" t="s">
        <v>18</v>
      </c>
      <c r="AW428" s="124" t="s">
        <v>18</v>
      </c>
      <c r="AX428" s="124" t="s">
        <v>18</v>
      </c>
      <c r="AY428" s="124" t="s">
        <v>18</v>
      </c>
      <c r="AZ428" s="124" t="s">
        <v>18</v>
      </c>
      <c r="BA428" s="124" t="s">
        <v>18</v>
      </c>
      <c r="BB428" s="124" t="s">
        <v>18</v>
      </c>
      <c r="BC428" s="124" t="s">
        <v>18</v>
      </c>
    </row>
    <row r="429" spans="1:55" ht="11.25" customHeight="1" x14ac:dyDescent="0.25">
      <c r="A429" s="143">
        <v>1</v>
      </c>
      <c r="B429" s="122" t="s">
        <v>5</v>
      </c>
      <c r="C429" s="124">
        <v>10</v>
      </c>
      <c r="D429" s="171">
        <v>10</v>
      </c>
      <c r="E429" s="172">
        <v>10</v>
      </c>
      <c r="F429" s="124">
        <v>10</v>
      </c>
      <c r="G429" s="172">
        <v>11</v>
      </c>
      <c r="H429" s="124">
        <v>11</v>
      </c>
      <c r="I429" s="124">
        <v>11</v>
      </c>
      <c r="J429" s="124">
        <v>11</v>
      </c>
      <c r="K429" s="172">
        <v>11</v>
      </c>
      <c r="L429" s="124">
        <v>11</v>
      </c>
      <c r="M429" s="124">
        <v>8</v>
      </c>
      <c r="N429" s="172">
        <v>12</v>
      </c>
      <c r="O429" s="124">
        <v>12</v>
      </c>
      <c r="P429" s="124">
        <v>12</v>
      </c>
      <c r="Q429" s="124">
        <v>12</v>
      </c>
      <c r="R429" s="172">
        <v>12</v>
      </c>
      <c r="S429" s="124">
        <v>12</v>
      </c>
      <c r="T429" s="124">
        <v>12</v>
      </c>
      <c r="U429" s="173">
        <v>12</v>
      </c>
      <c r="V429" s="124">
        <v>12</v>
      </c>
      <c r="W429" s="124">
        <v>12</v>
      </c>
      <c r="X429" s="124">
        <v>11</v>
      </c>
      <c r="Y429" s="125">
        <v>11</v>
      </c>
      <c r="Z429" s="124">
        <v>11</v>
      </c>
      <c r="AA429" s="124">
        <v>9</v>
      </c>
      <c r="AB429" s="125">
        <v>12</v>
      </c>
      <c r="AC429" s="124">
        <v>12</v>
      </c>
      <c r="AD429" s="123">
        <v>12</v>
      </c>
      <c r="AE429" s="124">
        <v>12</v>
      </c>
      <c r="AF429" s="124">
        <v>10</v>
      </c>
      <c r="AG429" s="125">
        <v>11</v>
      </c>
      <c r="AH429" s="124">
        <v>11</v>
      </c>
      <c r="AI429" s="125">
        <v>11</v>
      </c>
      <c r="AJ429" s="124">
        <v>11</v>
      </c>
      <c r="AK429" s="124">
        <v>11</v>
      </c>
      <c r="AL429" s="124">
        <v>11</v>
      </c>
      <c r="AM429" s="124">
        <v>11</v>
      </c>
      <c r="AN429" s="125">
        <v>11</v>
      </c>
      <c r="AO429" s="124">
        <v>7</v>
      </c>
      <c r="AP429" s="125" t="s">
        <v>18</v>
      </c>
      <c r="AQ429" s="124" t="s">
        <v>18</v>
      </c>
      <c r="AR429" s="124" t="s">
        <v>18</v>
      </c>
      <c r="AS429" s="124" t="s">
        <v>18</v>
      </c>
      <c r="AT429" s="124" t="s">
        <v>18</v>
      </c>
      <c r="AU429" s="124" t="s">
        <v>18</v>
      </c>
      <c r="AV429" s="124" t="s">
        <v>18</v>
      </c>
      <c r="AW429" s="124" t="s">
        <v>18</v>
      </c>
      <c r="AX429" s="124" t="s">
        <v>18</v>
      </c>
      <c r="AY429" s="124" t="s">
        <v>18</v>
      </c>
      <c r="AZ429" s="124" t="s">
        <v>18</v>
      </c>
      <c r="BA429" s="124" t="s">
        <v>18</v>
      </c>
      <c r="BB429" s="124" t="s">
        <v>18</v>
      </c>
      <c r="BC429" s="124" t="s">
        <v>18</v>
      </c>
    </row>
    <row r="430" spans="1:55" ht="11.25" customHeight="1" x14ac:dyDescent="0.25">
      <c r="A430" s="144" t="s">
        <v>20</v>
      </c>
      <c r="B430" s="122" t="s">
        <v>6</v>
      </c>
      <c r="C430" s="124">
        <v>1</v>
      </c>
      <c r="D430" s="171"/>
      <c r="E430" s="172"/>
      <c r="F430" s="124">
        <v>1</v>
      </c>
      <c r="G430" s="172"/>
      <c r="H430" s="124"/>
      <c r="I430" s="124"/>
      <c r="J430" s="124"/>
      <c r="K430" s="172"/>
      <c r="L430" s="124"/>
      <c r="M430" s="124">
        <v>4</v>
      </c>
      <c r="N430" s="172"/>
      <c r="O430" s="124"/>
      <c r="P430" s="124"/>
      <c r="Q430" s="124"/>
      <c r="R430" s="172"/>
      <c r="S430" s="124"/>
      <c r="T430" s="124"/>
      <c r="U430" s="173"/>
      <c r="V430" s="124"/>
      <c r="W430" s="124"/>
      <c r="X430" s="124"/>
      <c r="Y430" s="125"/>
      <c r="Z430" s="124"/>
      <c r="AA430" s="124">
        <v>3</v>
      </c>
      <c r="AB430" s="125"/>
      <c r="AC430" s="124"/>
      <c r="AD430" s="123"/>
      <c r="AE430" s="124"/>
      <c r="AF430" s="124">
        <v>1</v>
      </c>
      <c r="AG430" s="125"/>
      <c r="AH430" s="124"/>
      <c r="AI430" s="125"/>
      <c r="AJ430" s="124"/>
      <c r="AK430" s="124"/>
      <c r="AL430" s="124"/>
      <c r="AM430" s="124"/>
      <c r="AN430" s="125"/>
      <c r="AO430" s="124"/>
      <c r="AP430" s="125"/>
      <c r="AQ430" s="124"/>
      <c r="AR430" s="124"/>
      <c r="AS430" s="124"/>
      <c r="AT430" s="124"/>
      <c r="AU430" s="124"/>
      <c r="AV430" s="124"/>
      <c r="AW430" s="124"/>
      <c r="AX430" s="124"/>
      <c r="AY430" s="124"/>
      <c r="AZ430" s="124"/>
      <c r="BA430" s="124"/>
      <c r="BB430" s="124"/>
      <c r="BC430" s="124"/>
    </row>
    <row r="431" spans="1:55" ht="11.25" customHeight="1" x14ac:dyDescent="0.25">
      <c r="A431" s="145">
        <v>333300</v>
      </c>
      <c r="B431" s="122" t="s">
        <v>8</v>
      </c>
      <c r="C431" s="130">
        <v>780</v>
      </c>
      <c r="D431" s="174">
        <v>780</v>
      </c>
      <c r="E431" s="175">
        <v>780</v>
      </c>
      <c r="F431" s="130">
        <v>780</v>
      </c>
      <c r="G431" s="175">
        <v>780</v>
      </c>
      <c r="H431" s="130">
        <v>780</v>
      </c>
      <c r="I431" s="130">
        <v>780</v>
      </c>
      <c r="J431" s="130">
        <v>780</v>
      </c>
      <c r="K431" s="175">
        <v>780</v>
      </c>
      <c r="L431" s="130">
        <v>780</v>
      </c>
      <c r="M431" s="130">
        <v>780</v>
      </c>
      <c r="N431" s="175">
        <v>780</v>
      </c>
      <c r="O431" s="130">
        <v>780</v>
      </c>
      <c r="P431" s="130">
        <v>780</v>
      </c>
      <c r="Q431" s="130">
        <v>780</v>
      </c>
      <c r="R431" s="175">
        <v>780</v>
      </c>
      <c r="S431" s="130">
        <v>780</v>
      </c>
      <c r="T431" s="130">
        <v>780</v>
      </c>
      <c r="U431" s="176">
        <v>780</v>
      </c>
      <c r="V431" s="130">
        <v>780</v>
      </c>
      <c r="W431" s="130">
        <v>780</v>
      </c>
      <c r="X431" s="130">
        <v>780</v>
      </c>
      <c r="Y431" s="131">
        <v>780</v>
      </c>
      <c r="Z431" s="130">
        <v>780</v>
      </c>
      <c r="AA431" s="130">
        <v>780</v>
      </c>
      <c r="AB431" s="131">
        <v>780</v>
      </c>
      <c r="AC431" s="130">
        <v>780</v>
      </c>
      <c r="AD431" s="129">
        <v>780</v>
      </c>
      <c r="AE431" s="130">
        <v>780</v>
      </c>
      <c r="AF431" s="130">
        <v>780</v>
      </c>
      <c r="AG431" s="131">
        <v>780</v>
      </c>
      <c r="AH431" s="130">
        <v>780</v>
      </c>
      <c r="AI431" s="131">
        <v>780</v>
      </c>
      <c r="AJ431" s="130">
        <v>780</v>
      </c>
      <c r="AK431" s="130">
        <v>780</v>
      </c>
      <c r="AL431" s="130">
        <v>780</v>
      </c>
      <c r="AM431" s="130">
        <v>780</v>
      </c>
      <c r="AN431" s="131">
        <v>780</v>
      </c>
      <c r="AO431" s="130">
        <v>780</v>
      </c>
      <c r="AP431" s="131" t="s">
        <v>18</v>
      </c>
      <c r="AQ431" s="130" t="s">
        <v>18</v>
      </c>
      <c r="AR431" s="130" t="s">
        <v>18</v>
      </c>
      <c r="AS431" s="130" t="s">
        <v>18</v>
      </c>
      <c r="AT431" s="130" t="s">
        <v>18</v>
      </c>
      <c r="AU431" s="130" t="s">
        <v>18</v>
      </c>
      <c r="AV431" s="130" t="s">
        <v>18</v>
      </c>
      <c r="AW431" s="130" t="s">
        <v>18</v>
      </c>
      <c r="AX431" s="130" t="s">
        <v>18</v>
      </c>
      <c r="AY431" s="130" t="s">
        <v>18</v>
      </c>
      <c r="AZ431" s="130" t="s">
        <v>18</v>
      </c>
      <c r="BA431" s="130" t="s">
        <v>18</v>
      </c>
      <c r="BB431" s="130" t="s">
        <v>18</v>
      </c>
      <c r="BC431" s="130" t="s">
        <v>18</v>
      </c>
    </row>
    <row r="432" spans="1:55" ht="11.25" customHeight="1" x14ac:dyDescent="0.2">
      <c r="A432" s="127" t="s">
        <v>9</v>
      </c>
      <c r="B432" s="132" t="s">
        <v>10</v>
      </c>
      <c r="C432" s="134" t="s">
        <v>21</v>
      </c>
      <c r="D432" s="177" t="s">
        <v>21</v>
      </c>
      <c r="E432" s="178" t="s">
        <v>21</v>
      </c>
      <c r="F432" s="134" t="s">
        <v>21</v>
      </c>
      <c r="G432" s="178" t="s">
        <v>21</v>
      </c>
      <c r="H432" s="134" t="s">
        <v>21</v>
      </c>
      <c r="I432" s="134" t="s">
        <v>21</v>
      </c>
      <c r="J432" s="134" t="s">
        <v>21</v>
      </c>
      <c r="K432" s="178" t="s">
        <v>21</v>
      </c>
      <c r="L432" s="134" t="s">
        <v>21</v>
      </c>
      <c r="M432" s="134" t="s">
        <v>21</v>
      </c>
      <c r="N432" s="178" t="s">
        <v>21</v>
      </c>
      <c r="O432" s="134" t="s">
        <v>21</v>
      </c>
      <c r="P432" s="134" t="s">
        <v>21</v>
      </c>
      <c r="Q432" s="134" t="s">
        <v>21</v>
      </c>
      <c r="R432" s="178" t="s">
        <v>21</v>
      </c>
      <c r="S432" s="134" t="s">
        <v>21</v>
      </c>
      <c r="T432" s="134" t="s">
        <v>21</v>
      </c>
      <c r="U432" s="179" t="s">
        <v>21</v>
      </c>
      <c r="V432" s="134" t="s">
        <v>21</v>
      </c>
      <c r="W432" s="134" t="s">
        <v>21</v>
      </c>
      <c r="X432" s="134" t="s">
        <v>21</v>
      </c>
      <c r="Y432" s="135" t="s">
        <v>21</v>
      </c>
      <c r="Z432" s="134" t="s">
        <v>21</v>
      </c>
      <c r="AA432" s="134" t="s">
        <v>21</v>
      </c>
      <c r="AB432" s="135" t="s">
        <v>21</v>
      </c>
      <c r="AC432" s="134" t="s">
        <v>21</v>
      </c>
      <c r="AD432" s="133" t="s">
        <v>21</v>
      </c>
      <c r="AE432" s="134" t="s">
        <v>21</v>
      </c>
      <c r="AF432" s="134" t="s">
        <v>21</v>
      </c>
      <c r="AG432" s="135" t="s">
        <v>21</v>
      </c>
      <c r="AH432" s="134" t="s">
        <v>21</v>
      </c>
      <c r="AI432" s="135" t="s">
        <v>21</v>
      </c>
      <c r="AJ432" s="134" t="s">
        <v>21</v>
      </c>
      <c r="AK432" s="134" t="s">
        <v>21</v>
      </c>
      <c r="AL432" s="134" t="s">
        <v>21</v>
      </c>
      <c r="AM432" s="134" t="s">
        <v>21</v>
      </c>
      <c r="AN432" s="135" t="s">
        <v>21</v>
      </c>
      <c r="AO432" s="134" t="s">
        <v>21</v>
      </c>
      <c r="AP432" s="135" t="s">
        <v>18</v>
      </c>
      <c r="AQ432" s="134" t="s">
        <v>18</v>
      </c>
      <c r="AR432" s="134" t="s">
        <v>18</v>
      </c>
      <c r="AS432" s="134" t="s">
        <v>18</v>
      </c>
      <c r="AT432" s="134" t="s">
        <v>18</v>
      </c>
      <c r="AU432" s="134" t="s">
        <v>18</v>
      </c>
      <c r="AV432" s="134" t="s">
        <v>18</v>
      </c>
      <c r="AW432" s="134" t="s">
        <v>18</v>
      </c>
      <c r="AX432" s="134" t="s">
        <v>18</v>
      </c>
      <c r="AY432" s="134" t="s">
        <v>18</v>
      </c>
      <c r="AZ432" s="134" t="s">
        <v>18</v>
      </c>
      <c r="BA432" s="134" t="s">
        <v>18</v>
      </c>
      <c r="BB432" s="134" t="s">
        <v>18</v>
      </c>
      <c r="BC432" s="134" t="s">
        <v>18</v>
      </c>
    </row>
    <row r="433" spans="1:55" ht="11.25" customHeight="1" x14ac:dyDescent="0.2">
      <c r="A433" s="128">
        <v>85692.307692307702</v>
      </c>
      <c r="B433" s="122" t="s">
        <v>12</v>
      </c>
      <c r="C433" s="124"/>
      <c r="D433" s="171"/>
      <c r="E433" s="172"/>
      <c r="F433" s="124"/>
      <c r="G433" s="172"/>
      <c r="H433" s="124"/>
      <c r="I433" s="124"/>
      <c r="J433" s="124"/>
      <c r="K433" s="172"/>
      <c r="L433" s="124"/>
      <c r="M433" s="124"/>
      <c r="N433" s="172"/>
      <c r="O433" s="124"/>
      <c r="P433" s="124"/>
      <c r="Q433" s="124"/>
      <c r="R433" s="172"/>
      <c r="S433" s="124"/>
      <c r="T433" s="124"/>
      <c r="U433" s="173"/>
      <c r="V433" s="124"/>
      <c r="W433" s="124"/>
      <c r="X433" s="124"/>
      <c r="Y433" s="125"/>
      <c r="Z433" s="124"/>
      <c r="AA433" s="124"/>
      <c r="AB433" s="125"/>
      <c r="AC433" s="124"/>
      <c r="AD433" s="123"/>
      <c r="AE433" s="124"/>
      <c r="AF433" s="124"/>
      <c r="AG433" s="125"/>
      <c r="AH433" s="124"/>
      <c r="AI433" s="125"/>
      <c r="AJ433" s="124"/>
      <c r="AK433" s="124"/>
      <c r="AL433" s="124"/>
      <c r="AM433" s="124"/>
      <c r="AN433" s="125"/>
      <c r="AO433" s="124"/>
      <c r="AP433" s="125"/>
      <c r="AQ433" s="124"/>
      <c r="AR433" s="124"/>
      <c r="AS433" s="124"/>
      <c r="AT433" s="124"/>
      <c r="AU433" s="124"/>
      <c r="AV433" s="124"/>
      <c r="AW433" s="124"/>
      <c r="AX433" s="124"/>
      <c r="AY433" s="124"/>
      <c r="AZ433" s="124"/>
      <c r="BA433" s="124"/>
      <c r="BB433" s="124"/>
      <c r="BC433" s="124"/>
    </row>
    <row r="434" spans="1:55" ht="11.25" customHeight="1" x14ac:dyDescent="0.2">
      <c r="A434" s="128">
        <v>1114</v>
      </c>
      <c r="B434" s="136" t="s">
        <v>13</v>
      </c>
      <c r="C434" s="137">
        <v>0</v>
      </c>
      <c r="D434" s="171">
        <v>86</v>
      </c>
      <c r="E434" s="172">
        <v>0</v>
      </c>
      <c r="F434" s="137">
        <v>146</v>
      </c>
      <c r="G434" s="172">
        <v>0</v>
      </c>
      <c r="H434" s="137">
        <v>0</v>
      </c>
      <c r="I434" s="137">
        <v>0</v>
      </c>
      <c r="J434" s="137">
        <v>41</v>
      </c>
      <c r="K434" s="172">
        <v>0</v>
      </c>
      <c r="L434" s="137">
        <v>0</v>
      </c>
      <c r="M434" s="137">
        <v>129</v>
      </c>
      <c r="N434" s="172">
        <v>0</v>
      </c>
      <c r="O434" s="137">
        <v>0</v>
      </c>
      <c r="P434" s="137">
        <v>0</v>
      </c>
      <c r="Q434" s="137">
        <v>42</v>
      </c>
      <c r="R434" s="172">
        <v>0</v>
      </c>
      <c r="S434" s="137">
        <v>0</v>
      </c>
      <c r="T434" s="137">
        <v>89</v>
      </c>
      <c r="U434" s="173">
        <v>0</v>
      </c>
      <c r="V434" s="137">
        <v>0</v>
      </c>
      <c r="W434" s="137">
        <v>0</v>
      </c>
      <c r="X434" s="137">
        <v>80</v>
      </c>
      <c r="Y434" s="125">
        <v>0</v>
      </c>
      <c r="Z434" s="137">
        <v>0</v>
      </c>
      <c r="AA434" s="137">
        <v>174</v>
      </c>
      <c r="AB434" s="125">
        <v>0</v>
      </c>
      <c r="AC434" s="137">
        <v>35</v>
      </c>
      <c r="AD434" s="123">
        <v>0</v>
      </c>
      <c r="AE434" s="137">
        <v>0</v>
      </c>
      <c r="AF434" s="137">
        <v>104</v>
      </c>
      <c r="AG434" s="125">
        <v>0</v>
      </c>
      <c r="AH434" s="137">
        <v>32</v>
      </c>
      <c r="AI434" s="125">
        <v>0</v>
      </c>
      <c r="AJ434" s="137">
        <v>0</v>
      </c>
      <c r="AK434" s="137">
        <v>0</v>
      </c>
      <c r="AL434" s="137">
        <v>0</v>
      </c>
      <c r="AM434" s="137">
        <v>85</v>
      </c>
      <c r="AN434" s="125">
        <v>0</v>
      </c>
      <c r="AO434" s="137">
        <v>71</v>
      </c>
      <c r="AP434" s="125" t="s">
        <v>18</v>
      </c>
      <c r="AQ434" s="137" t="s">
        <v>18</v>
      </c>
      <c r="AR434" s="137" t="s">
        <v>18</v>
      </c>
      <c r="AS434" s="137" t="s">
        <v>18</v>
      </c>
      <c r="AT434" s="137" t="s">
        <v>18</v>
      </c>
      <c r="AU434" s="137" t="s">
        <v>18</v>
      </c>
      <c r="AV434" s="137" t="s">
        <v>18</v>
      </c>
      <c r="AW434" s="137" t="s">
        <v>18</v>
      </c>
      <c r="AX434" s="137" t="s">
        <v>18</v>
      </c>
      <c r="AY434" s="137" t="s">
        <v>18</v>
      </c>
      <c r="AZ434" s="137" t="s">
        <v>18</v>
      </c>
      <c r="BA434" s="137" t="s">
        <v>18</v>
      </c>
      <c r="BB434" s="137" t="s">
        <v>18</v>
      </c>
      <c r="BC434" s="137" t="s">
        <v>18</v>
      </c>
    </row>
    <row r="435" spans="1:55" ht="11.25" customHeight="1" x14ac:dyDescent="0.2">
      <c r="A435" s="128">
        <v>17</v>
      </c>
      <c r="B435" s="136" t="s">
        <v>14</v>
      </c>
      <c r="C435" s="137">
        <v>0</v>
      </c>
      <c r="D435" s="171">
        <v>1</v>
      </c>
      <c r="E435" s="172">
        <v>0</v>
      </c>
      <c r="F435" s="137">
        <v>1</v>
      </c>
      <c r="G435" s="172">
        <v>0</v>
      </c>
      <c r="H435" s="137">
        <v>0</v>
      </c>
      <c r="I435" s="137">
        <v>0</v>
      </c>
      <c r="J435" s="137">
        <v>1</v>
      </c>
      <c r="K435" s="172">
        <v>0</v>
      </c>
      <c r="L435" s="137">
        <v>0</v>
      </c>
      <c r="M435" s="137">
        <v>3</v>
      </c>
      <c r="N435" s="172">
        <v>0</v>
      </c>
      <c r="O435" s="137">
        <v>0</v>
      </c>
      <c r="P435" s="137">
        <v>0</v>
      </c>
      <c r="Q435" s="137">
        <v>0</v>
      </c>
      <c r="R435" s="172">
        <v>0</v>
      </c>
      <c r="S435" s="137">
        <v>0</v>
      </c>
      <c r="T435" s="137">
        <v>1</v>
      </c>
      <c r="U435" s="173">
        <v>0</v>
      </c>
      <c r="V435" s="137">
        <v>0</v>
      </c>
      <c r="W435" s="137">
        <v>0</v>
      </c>
      <c r="X435" s="137">
        <v>1</v>
      </c>
      <c r="Y435" s="125">
        <v>0</v>
      </c>
      <c r="Z435" s="137">
        <v>0</v>
      </c>
      <c r="AA435" s="137">
        <v>3</v>
      </c>
      <c r="AB435" s="125">
        <v>0</v>
      </c>
      <c r="AC435" s="137">
        <v>0</v>
      </c>
      <c r="AD435" s="123">
        <v>0</v>
      </c>
      <c r="AE435" s="137">
        <v>0</v>
      </c>
      <c r="AF435" s="137">
        <v>2</v>
      </c>
      <c r="AG435" s="125">
        <v>0</v>
      </c>
      <c r="AH435" s="137">
        <v>0</v>
      </c>
      <c r="AI435" s="125">
        <v>0</v>
      </c>
      <c r="AJ435" s="137">
        <v>0</v>
      </c>
      <c r="AK435" s="137">
        <v>0</v>
      </c>
      <c r="AL435" s="137">
        <v>0</v>
      </c>
      <c r="AM435" s="137">
        <v>1</v>
      </c>
      <c r="AN435" s="125">
        <v>0</v>
      </c>
      <c r="AO435" s="137">
        <v>3</v>
      </c>
      <c r="AP435" s="125" t="s">
        <v>18</v>
      </c>
      <c r="AQ435" s="137" t="s">
        <v>18</v>
      </c>
      <c r="AR435" s="137" t="s">
        <v>18</v>
      </c>
      <c r="AS435" s="137" t="s">
        <v>18</v>
      </c>
      <c r="AT435" s="137" t="s">
        <v>18</v>
      </c>
      <c r="AU435" s="137" t="s">
        <v>18</v>
      </c>
      <c r="AV435" s="137" t="s">
        <v>18</v>
      </c>
      <c r="AW435" s="137" t="s">
        <v>18</v>
      </c>
      <c r="AX435" s="137" t="s">
        <v>18</v>
      </c>
      <c r="AY435" s="137" t="s">
        <v>18</v>
      </c>
      <c r="AZ435" s="137" t="s">
        <v>18</v>
      </c>
      <c r="BA435" s="137" t="s">
        <v>18</v>
      </c>
      <c r="BB435" s="137" t="s">
        <v>18</v>
      </c>
      <c r="BC435" s="137" t="s">
        <v>18</v>
      </c>
    </row>
    <row r="436" spans="1:55" ht="11.25" customHeight="1" x14ac:dyDescent="0.2">
      <c r="A436" s="128">
        <v>14</v>
      </c>
      <c r="B436" s="136" t="s">
        <v>15</v>
      </c>
      <c r="C436" s="137">
        <v>1</v>
      </c>
      <c r="D436" s="171">
        <v>1</v>
      </c>
      <c r="E436" s="172">
        <v>0</v>
      </c>
      <c r="F436" s="137">
        <v>0</v>
      </c>
      <c r="G436" s="172">
        <v>0</v>
      </c>
      <c r="H436" s="137">
        <v>0</v>
      </c>
      <c r="I436" s="137">
        <v>0</v>
      </c>
      <c r="J436" s="137">
        <v>0</v>
      </c>
      <c r="K436" s="172">
        <v>0</v>
      </c>
      <c r="L436" s="137">
        <v>0</v>
      </c>
      <c r="M436" s="137">
        <v>3</v>
      </c>
      <c r="N436" s="172">
        <v>0</v>
      </c>
      <c r="O436" s="137">
        <v>0</v>
      </c>
      <c r="P436" s="137">
        <v>0</v>
      </c>
      <c r="Q436" s="137">
        <v>0</v>
      </c>
      <c r="R436" s="172">
        <v>0</v>
      </c>
      <c r="S436" s="137">
        <v>0</v>
      </c>
      <c r="T436" s="137">
        <v>0</v>
      </c>
      <c r="U436" s="173">
        <v>0</v>
      </c>
      <c r="V436" s="137">
        <v>0</v>
      </c>
      <c r="W436" s="137">
        <v>0</v>
      </c>
      <c r="X436" s="137">
        <v>1</v>
      </c>
      <c r="Y436" s="125">
        <v>0</v>
      </c>
      <c r="Z436" s="137">
        <v>0</v>
      </c>
      <c r="AA436" s="137">
        <v>2</v>
      </c>
      <c r="AB436" s="125">
        <v>0</v>
      </c>
      <c r="AC436" s="137">
        <v>0</v>
      </c>
      <c r="AD436" s="123">
        <v>0</v>
      </c>
      <c r="AE436" s="137">
        <v>0</v>
      </c>
      <c r="AF436" s="137">
        <v>2</v>
      </c>
      <c r="AG436" s="125">
        <v>0</v>
      </c>
      <c r="AH436" s="137">
        <v>0</v>
      </c>
      <c r="AI436" s="125">
        <v>0</v>
      </c>
      <c r="AJ436" s="137">
        <v>0</v>
      </c>
      <c r="AK436" s="137">
        <v>0</v>
      </c>
      <c r="AL436" s="137">
        <v>0</v>
      </c>
      <c r="AM436" s="137">
        <v>0</v>
      </c>
      <c r="AN436" s="125">
        <v>0</v>
      </c>
      <c r="AO436" s="137">
        <v>4</v>
      </c>
      <c r="AP436" s="125" t="s">
        <v>18</v>
      </c>
      <c r="AQ436" s="137" t="s">
        <v>18</v>
      </c>
      <c r="AR436" s="137" t="s">
        <v>18</v>
      </c>
      <c r="AS436" s="137" t="s">
        <v>18</v>
      </c>
      <c r="AT436" s="137" t="s">
        <v>18</v>
      </c>
      <c r="AU436" s="137" t="s">
        <v>18</v>
      </c>
      <c r="AV436" s="137" t="s">
        <v>18</v>
      </c>
      <c r="AW436" s="137" t="s">
        <v>18</v>
      </c>
      <c r="AX436" s="137" t="s">
        <v>18</v>
      </c>
      <c r="AY436" s="137" t="s">
        <v>18</v>
      </c>
      <c r="AZ436" s="137" t="s">
        <v>18</v>
      </c>
      <c r="BA436" s="137" t="s">
        <v>18</v>
      </c>
      <c r="BB436" s="137" t="s">
        <v>18</v>
      </c>
      <c r="BC436" s="137" t="s">
        <v>18</v>
      </c>
    </row>
    <row r="437" spans="1:55" ht="11.25" customHeight="1" x14ac:dyDescent="0.2">
      <c r="A437" s="128">
        <v>10920</v>
      </c>
      <c r="B437" s="136" t="s">
        <v>16</v>
      </c>
      <c r="C437" s="137">
        <v>780</v>
      </c>
      <c r="D437" s="171">
        <v>780</v>
      </c>
      <c r="E437" s="172">
        <v>0</v>
      </c>
      <c r="F437" s="137">
        <v>0</v>
      </c>
      <c r="G437" s="172">
        <v>0</v>
      </c>
      <c r="H437" s="137">
        <v>0</v>
      </c>
      <c r="I437" s="137">
        <v>0</v>
      </c>
      <c r="J437" s="137">
        <v>0</v>
      </c>
      <c r="K437" s="172">
        <v>0</v>
      </c>
      <c r="L437" s="137">
        <v>0</v>
      </c>
      <c r="M437" s="137">
        <v>2340</v>
      </c>
      <c r="N437" s="172">
        <v>0</v>
      </c>
      <c r="O437" s="137">
        <v>0</v>
      </c>
      <c r="P437" s="137">
        <v>0</v>
      </c>
      <c r="Q437" s="137">
        <v>0</v>
      </c>
      <c r="R437" s="172">
        <v>0</v>
      </c>
      <c r="S437" s="137">
        <v>0</v>
      </c>
      <c r="T437" s="137">
        <v>0</v>
      </c>
      <c r="U437" s="173">
        <v>0</v>
      </c>
      <c r="V437" s="137">
        <v>0</v>
      </c>
      <c r="W437" s="137">
        <v>0</v>
      </c>
      <c r="X437" s="137">
        <v>780</v>
      </c>
      <c r="Y437" s="125">
        <v>0</v>
      </c>
      <c r="Z437" s="137">
        <v>0</v>
      </c>
      <c r="AA437" s="137">
        <v>1560</v>
      </c>
      <c r="AB437" s="125">
        <v>0</v>
      </c>
      <c r="AC437" s="137">
        <v>0</v>
      </c>
      <c r="AD437" s="123">
        <v>0</v>
      </c>
      <c r="AE437" s="137">
        <v>0</v>
      </c>
      <c r="AF437" s="137">
        <v>1560</v>
      </c>
      <c r="AG437" s="125">
        <v>0</v>
      </c>
      <c r="AH437" s="137">
        <v>0</v>
      </c>
      <c r="AI437" s="125">
        <v>0</v>
      </c>
      <c r="AJ437" s="137">
        <v>0</v>
      </c>
      <c r="AK437" s="137">
        <v>0</v>
      </c>
      <c r="AL437" s="137">
        <v>0</v>
      </c>
      <c r="AM437" s="137">
        <v>0</v>
      </c>
      <c r="AN437" s="125">
        <v>0</v>
      </c>
      <c r="AO437" s="137">
        <v>3120</v>
      </c>
      <c r="AP437" s="125" t="s">
        <v>18</v>
      </c>
      <c r="AQ437" s="137" t="s">
        <v>18</v>
      </c>
      <c r="AR437" s="137" t="s">
        <v>18</v>
      </c>
      <c r="AS437" s="137" t="s">
        <v>18</v>
      </c>
      <c r="AT437" s="137" t="s">
        <v>18</v>
      </c>
      <c r="AU437" s="137" t="s">
        <v>18</v>
      </c>
      <c r="AV437" s="137" t="s">
        <v>18</v>
      </c>
      <c r="AW437" s="137" t="s">
        <v>18</v>
      </c>
      <c r="AX437" s="137" t="s">
        <v>18</v>
      </c>
      <c r="AY437" s="137" t="s">
        <v>18</v>
      </c>
      <c r="AZ437" s="137" t="s">
        <v>18</v>
      </c>
      <c r="BA437" s="137" t="s">
        <v>18</v>
      </c>
      <c r="BB437" s="137" t="s">
        <v>18</v>
      </c>
      <c r="BC437" s="137" t="s">
        <v>18</v>
      </c>
    </row>
    <row r="438" spans="1:55" ht="11.25" customHeight="1" thickBot="1" x14ac:dyDescent="0.25">
      <c r="A438" s="138">
        <v>9.8025134649910237E-2</v>
      </c>
      <c r="B438" s="136" t="s">
        <v>17</v>
      </c>
      <c r="C438" s="147" t="e">
        <v>#DIV/0!</v>
      </c>
      <c r="D438" s="183">
        <v>9.0697674418604657E-2</v>
      </c>
      <c r="E438" s="184" t="s">
        <v>18</v>
      </c>
      <c r="F438" s="147" t="s">
        <v>18</v>
      </c>
      <c r="G438" s="184" t="s">
        <v>18</v>
      </c>
      <c r="H438" s="147" t="s">
        <v>18</v>
      </c>
      <c r="I438" s="147" t="s">
        <v>18</v>
      </c>
      <c r="J438" s="147" t="s">
        <v>18</v>
      </c>
      <c r="K438" s="184" t="s">
        <v>18</v>
      </c>
      <c r="L438" s="147" t="s">
        <v>18</v>
      </c>
      <c r="M438" s="147">
        <v>0.18139534883720931</v>
      </c>
      <c r="N438" s="184" t="s">
        <v>18</v>
      </c>
      <c r="O438" s="147" t="s">
        <v>18</v>
      </c>
      <c r="P438" s="147" t="s">
        <v>18</v>
      </c>
      <c r="Q438" s="147" t="s">
        <v>18</v>
      </c>
      <c r="R438" s="184" t="s">
        <v>18</v>
      </c>
      <c r="S438" s="147" t="s">
        <v>18</v>
      </c>
      <c r="T438" s="147" t="s">
        <v>18</v>
      </c>
      <c r="U438" s="185" t="s">
        <v>18</v>
      </c>
      <c r="V438" s="147" t="s">
        <v>18</v>
      </c>
      <c r="W438" s="147" t="s">
        <v>18</v>
      </c>
      <c r="X438" s="147">
        <v>9.7500000000000003E-2</v>
      </c>
      <c r="Y438" s="148" t="s">
        <v>18</v>
      </c>
      <c r="Z438" s="147" t="s">
        <v>18</v>
      </c>
      <c r="AA438" s="147">
        <v>8.9655172413793102E-2</v>
      </c>
      <c r="AB438" s="148" t="s">
        <v>18</v>
      </c>
      <c r="AC438" s="147" t="s">
        <v>18</v>
      </c>
      <c r="AD438" s="146" t="s">
        <v>18</v>
      </c>
      <c r="AE438" s="147" t="s">
        <v>18</v>
      </c>
      <c r="AF438" s="147">
        <v>0.15</v>
      </c>
      <c r="AG438" s="148" t="s">
        <v>18</v>
      </c>
      <c r="AH438" s="147" t="s">
        <v>18</v>
      </c>
      <c r="AI438" s="148" t="s">
        <v>18</v>
      </c>
      <c r="AJ438" s="147" t="s">
        <v>18</v>
      </c>
      <c r="AK438" s="147" t="s">
        <v>18</v>
      </c>
      <c r="AL438" s="147" t="s">
        <v>18</v>
      </c>
      <c r="AM438" s="147" t="s">
        <v>18</v>
      </c>
      <c r="AN438" s="148" t="s">
        <v>18</v>
      </c>
      <c r="AO438" s="147">
        <v>0.43943661971830988</v>
      </c>
      <c r="AP438" s="148" t="s">
        <v>18</v>
      </c>
      <c r="AQ438" s="147" t="s">
        <v>18</v>
      </c>
      <c r="AR438" s="147" t="s">
        <v>18</v>
      </c>
      <c r="AS438" s="147" t="s">
        <v>18</v>
      </c>
      <c r="AT438" s="147" t="s">
        <v>18</v>
      </c>
      <c r="AU438" s="147" t="s">
        <v>18</v>
      </c>
      <c r="AV438" s="147" t="s">
        <v>18</v>
      </c>
      <c r="AW438" s="147" t="s">
        <v>18</v>
      </c>
      <c r="AX438" s="147" t="s">
        <v>18</v>
      </c>
      <c r="AY438" s="147" t="s">
        <v>18</v>
      </c>
      <c r="AZ438" s="147" t="s">
        <v>18</v>
      </c>
      <c r="BA438" s="147" t="s">
        <v>18</v>
      </c>
      <c r="BB438" s="147" t="s">
        <v>18</v>
      </c>
      <c r="BC438" s="147" t="s">
        <v>18</v>
      </c>
    </row>
    <row r="439" spans="1:55" ht="11.25" customHeight="1" x14ac:dyDescent="0.2">
      <c r="A439" s="149" t="s">
        <v>1</v>
      </c>
      <c r="B439" s="150" t="s">
        <v>2</v>
      </c>
      <c r="C439" s="130">
        <v>19203</v>
      </c>
      <c r="D439" s="174">
        <v>19223</v>
      </c>
      <c r="E439" s="175">
        <v>19223</v>
      </c>
      <c r="F439" s="130">
        <v>19285</v>
      </c>
      <c r="G439" s="175">
        <v>19285</v>
      </c>
      <c r="H439" s="130">
        <v>19285</v>
      </c>
      <c r="I439" s="130">
        <v>19285</v>
      </c>
      <c r="J439" s="130">
        <v>19303</v>
      </c>
      <c r="K439" s="175">
        <v>19303</v>
      </c>
      <c r="L439" s="130">
        <v>19303</v>
      </c>
      <c r="M439" s="130">
        <v>19382</v>
      </c>
      <c r="N439" s="175">
        <v>19382</v>
      </c>
      <c r="O439" s="130">
        <v>19382</v>
      </c>
      <c r="P439" s="130">
        <v>19382</v>
      </c>
      <c r="Q439" s="130">
        <v>19438</v>
      </c>
      <c r="R439" s="175">
        <v>19438</v>
      </c>
      <c r="S439" s="130">
        <v>19438</v>
      </c>
      <c r="T439" s="130">
        <v>19482</v>
      </c>
      <c r="U439" s="176">
        <v>19482</v>
      </c>
      <c r="V439" s="130">
        <v>19482</v>
      </c>
      <c r="W439" s="130">
        <v>19482</v>
      </c>
      <c r="X439" s="130">
        <v>19528</v>
      </c>
      <c r="Y439" s="131">
        <v>19528</v>
      </c>
      <c r="Z439" s="130">
        <v>19528</v>
      </c>
      <c r="AA439" s="130">
        <v>19581</v>
      </c>
      <c r="AB439" s="131">
        <v>19581</v>
      </c>
      <c r="AC439" s="130">
        <v>19595</v>
      </c>
      <c r="AD439" s="129">
        <v>19595</v>
      </c>
      <c r="AE439" s="130">
        <v>19595</v>
      </c>
      <c r="AF439" s="130">
        <v>19774</v>
      </c>
      <c r="AG439" s="131">
        <v>19774</v>
      </c>
      <c r="AH439" s="130">
        <v>19845</v>
      </c>
      <c r="AI439" s="131">
        <v>19845</v>
      </c>
      <c r="AJ439" s="130">
        <v>19845</v>
      </c>
      <c r="AK439" s="130">
        <v>19845</v>
      </c>
      <c r="AL439" s="130">
        <v>19845</v>
      </c>
      <c r="AM439" s="130">
        <v>20018</v>
      </c>
      <c r="AN439" s="131">
        <v>20018</v>
      </c>
      <c r="AO439" s="130">
        <v>20089</v>
      </c>
      <c r="AP439" s="131" t="s">
        <v>18</v>
      </c>
      <c r="AQ439" s="130" t="s">
        <v>18</v>
      </c>
      <c r="AR439" s="130" t="s">
        <v>18</v>
      </c>
      <c r="AS439" s="130" t="s">
        <v>18</v>
      </c>
      <c r="AT439" s="130" t="s">
        <v>18</v>
      </c>
      <c r="AU439" s="130" t="s">
        <v>18</v>
      </c>
      <c r="AV439" s="130" t="s">
        <v>18</v>
      </c>
      <c r="AW439" s="130" t="s">
        <v>18</v>
      </c>
      <c r="AX439" s="130" t="s">
        <v>18</v>
      </c>
      <c r="AY439" s="130" t="s">
        <v>18</v>
      </c>
      <c r="AZ439" s="130" t="s">
        <v>18</v>
      </c>
      <c r="BA439" s="130" t="s">
        <v>18</v>
      </c>
      <c r="BB439" s="130" t="s">
        <v>18</v>
      </c>
      <c r="BC439" s="130" t="s">
        <v>18</v>
      </c>
    </row>
    <row r="440" spans="1:55" ht="11.25" customHeight="1" x14ac:dyDescent="0.2">
      <c r="A440" s="121" t="s">
        <v>19</v>
      </c>
      <c r="B440" s="122" t="s">
        <v>4</v>
      </c>
      <c r="C440" s="124">
        <v>920</v>
      </c>
      <c r="D440" s="171">
        <v>920</v>
      </c>
      <c r="E440" s="172">
        <v>920</v>
      </c>
      <c r="F440" s="124">
        <v>922</v>
      </c>
      <c r="G440" s="172">
        <v>922</v>
      </c>
      <c r="H440" s="124">
        <v>922</v>
      </c>
      <c r="I440" s="124">
        <v>922</v>
      </c>
      <c r="J440" s="124">
        <v>922</v>
      </c>
      <c r="K440" s="172">
        <v>922</v>
      </c>
      <c r="L440" s="124">
        <v>922</v>
      </c>
      <c r="M440" s="124">
        <v>922</v>
      </c>
      <c r="N440" s="172">
        <v>922</v>
      </c>
      <c r="O440" s="124">
        <v>922</v>
      </c>
      <c r="P440" s="124">
        <v>922</v>
      </c>
      <c r="Q440" s="124">
        <v>924</v>
      </c>
      <c r="R440" s="172">
        <v>924</v>
      </c>
      <c r="S440" s="124">
        <v>924</v>
      </c>
      <c r="T440" s="124">
        <v>924</v>
      </c>
      <c r="U440" s="173">
        <v>924</v>
      </c>
      <c r="V440" s="124">
        <v>924</v>
      </c>
      <c r="W440" s="124">
        <v>924</v>
      </c>
      <c r="X440" s="124">
        <v>924</v>
      </c>
      <c r="Y440" s="125">
        <v>924</v>
      </c>
      <c r="Z440" s="124">
        <v>924</v>
      </c>
      <c r="AA440" s="124">
        <v>924</v>
      </c>
      <c r="AB440" s="125">
        <v>924</v>
      </c>
      <c r="AC440" s="124">
        <v>924</v>
      </c>
      <c r="AD440" s="123">
        <v>924</v>
      </c>
      <c r="AE440" s="124">
        <v>924</v>
      </c>
      <c r="AF440" s="124">
        <v>934</v>
      </c>
      <c r="AG440" s="125">
        <v>934</v>
      </c>
      <c r="AH440" s="124">
        <v>939</v>
      </c>
      <c r="AI440" s="125">
        <v>939</v>
      </c>
      <c r="AJ440" s="124">
        <v>939</v>
      </c>
      <c r="AK440" s="124">
        <v>939</v>
      </c>
      <c r="AL440" s="124">
        <v>939</v>
      </c>
      <c r="AM440" s="124">
        <v>942</v>
      </c>
      <c r="AN440" s="125">
        <v>942</v>
      </c>
      <c r="AO440" s="124">
        <v>943</v>
      </c>
      <c r="AP440" s="125" t="s">
        <v>18</v>
      </c>
      <c r="AQ440" s="124" t="s">
        <v>18</v>
      </c>
      <c r="AR440" s="124" t="s">
        <v>18</v>
      </c>
      <c r="AS440" s="124" t="s">
        <v>18</v>
      </c>
      <c r="AT440" s="124" t="s">
        <v>18</v>
      </c>
      <c r="AU440" s="124" t="s">
        <v>18</v>
      </c>
      <c r="AV440" s="124" t="s">
        <v>18</v>
      </c>
      <c r="AW440" s="124" t="s">
        <v>18</v>
      </c>
      <c r="AX440" s="124" t="s">
        <v>18</v>
      </c>
      <c r="AY440" s="124" t="s">
        <v>18</v>
      </c>
      <c r="AZ440" s="124" t="s">
        <v>18</v>
      </c>
      <c r="BA440" s="124" t="s">
        <v>18</v>
      </c>
      <c r="BB440" s="124" t="s">
        <v>18</v>
      </c>
      <c r="BC440" s="124" t="s">
        <v>18</v>
      </c>
    </row>
    <row r="441" spans="1:55" ht="11.25" customHeight="1" x14ac:dyDescent="0.25">
      <c r="A441" s="143">
        <v>2</v>
      </c>
      <c r="B441" s="122" t="s">
        <v>5</v>
      </c>
      <c r="C441" s="124">
        <v>18</v>
      </c>
      <c r="D441" s="171">
        <v>18</v>
      </c>
      <c r="E441" s="172">
        <v>58</v>
      </c>
      <c r="F441" s="124">
        <v>56</v>
      </c>
      <c r="G441" s="172">
        <v>17</v>
      </c>
      <c r="H441" s="124">
        <v>17</v>
      </c>
      <c r="I441" s="124">
        <v>17</v>
      </c>
      <c r="J441" s="124">
        <v>17</v>
      </c>
      <c r="K441" s="172">
        <v>21</v>
      </c>
      <c r="L441" s="124">
        <v>21</v>
      </c>
      <c r="M441" s="124">
        <v>21</v>
      </c>
      <c r="N441" s="172">
        <v>21</v>
      </c>
      <c r="O441" s="124">
        <v>21</v>
      </c>
      <c r="P441" s="124">
        <v>21</v>
      </c>
      <c r="Q441" s="124">
        <v>19</v>
      </c>
      <c r="R441" s="172">
        <v>19</v>
      </c>
      <c r="S441" s="124">
        <v>19</v>
      </c>
      <c r="T441" s="124">
        <v>19</v>
      </c>
      <c r="U441" s="173">
        <v>19</v>
      </c>
      <c r="V441" s="124">
        <v>19</v>
      </c>
      <c r="W441" s="124">
        <v>19</v>
      </c>
      <c r="X441" s="124">
        <v>19</v>
      </c>
      <c r="Y441" s="125">
        <v>19</v>
      </c>
      <c r="Z441" s="124">
        <v>19</v>
      </c>
      <c r="AA441" s="124">
        <v>19</v>
      </c>
      <c r="AB441" s="125">
        <v>19</v>
      </c>
      <c r="AC441" s="124">
        <v>19</v>
      </c>
      <c r="AD441" s="123">
        <v>10</v>
      </c>
      <c r="AE441" s="124">
        <v>10</v>
      </c>
      <c r="AF441" s="124">
        <v>0</v>
      </c>
      <c r="AG441" s="125">
        <v>7</v>
      </c>
      <c r="AH441" s="124">
        <v>5</v>
      </c>
      <c r="AI441" s="125">
        <v>12</v>
      </c>
      <c r="AJ441" s="124">
        <v>12</v>
      </c>
      <c r="AK441" s="124">
        <v>12</v>
      </c>
      <c r="AL441" s="124">
        <v>12</v>
      </c>
      <c r="AM441" s="124">
        <v>9</v>
      </c>
      <c r="AN441" s="125">
        <v>12</v>
      </c>
      <c r="AO441" s="124">
        <v>11</v>
      </c>
      <c r="AP441" s="125" t="s">
        <v>18</v>
      </c>
      <c r="AQ441" s="124" t="s">
        <v>18</v>
      </c>
      <c r="AR441" s="124" t="s">
        <v>18</v>
      </c>
      <c r="AS441" s="124" t="s">
        <v>18</v>
      </c>
      <c r="AT441" s="124" t="s">
        <v>18</v>
      </c>
      <c r="AU441" s="124" t="s">
        <v>18</v>
      </c>
      <c r="AV441" s="124" t="s">
        <v>18</v>
      </c>
      <c r="AW441" s="124" t="s">
        <v>18</v>
      </c>
      <c r="AX441" s="124" t="s">
        <v>18</v>
      </c>
      <c r="AY441" s="124" t="s">
        <v>18</v>
      </c>
      <c r="AZ441" s="124" t="s">
        <v>18</v>
      </c>
      <c r="BA441" s="124" t="s">
        <v>18</v>
      </c>
      <c r="BB441" s="124" t="s">
        <v>18</v>
      </c>
      <c r="BC441" s="124" t="s">
        <v>18</v>
      </c>
    </row>
    <row r="442" spans="1:55" ht="11.25" customHeight="1" x14ac:dyDescent="0.2">
      <c r="A442" s="127"/>
      <c r="B442" s="122" t="s">
        <v>6</v>
      </c>
      <c r="C442" s="124"/>
      <c r="D442" s="171">
        <v>40</v>
      </c>
      <c r="E442" s="172"/>
      <c r="F442" s="124">
        <v>-39</v>
      </c>
      <c r="G442" s="172"/>
      <c r="H442" s="124"/>
      <c r="I442" s="124"/>
      <c r="J442" s="124">
        <v>4</v>
      </c>
      <c r="K442" s="172"/>
      <c r="L442" s="124"/>
      <c r="M442" s="124"/>
      <c r="N442" s="172"/>
      <c r="O442" s="124"/>
      <c r="P442" s="124"/>
      <c r="Q442" s="124"/>
      <c r="R442" s="172"/>
      <c r="S442" s="124"/>
      <c r="T442" s="124"/>
      <c r="U442" s="173"/>
      <c r="V442" s="124"/>
      <c r="W442" s="124"/>
      <c r="X442" s="124"/>
      <c r="Y442" s="125"/>
      <c r="Z442" s="124"/>
      <c r="AA442" s="124"/>
      <c r="AB442" s="125"/>
      <c r="AC442" s="124">
        <v>-9</v>
      </c>
      <c r="AD442" s="123"/>
      <c r="AE442" s="124"/>
      <c r="AF442" s="124">
        <v>7</v>
      </c>
      <c r="AG442" s="125"/>
      <c r="AH442" s="124">
        <v>7</v>
      </c>
      <c r="AI442" s="125"/>
      <c r="AJ442" s="124"/>
      <c r="AK442" s="124"/>
      <c r="AL442" s="124"/>
      <c r="AM442" s="124">
        <v>3</v>
      </c>
      <c r="AN442" s="125"/>
      <c r="AO442" s="124"/>
      <c r="AP442" s="125"/>
      <c r="AQ442" s="124"/>
      <c r="AR442" s="124"/>
      <c r="AS442" s="124"/>
      <c r="AT442" s="124"/>
      <c r="AU442" s="124"/>
      <c r="AV442" s="124"/>
      <c r="AW442" s="124"/>
      <c r="AX442" s="124"/>
      <c r="AY442" s="124"/>
      <c r="AZ442" s="124"/>
      <c r="BA442" s="124"/>
      <c r="BB442" s="124"/>
      <c r="BC442" s="124"/>
    </row>
    <row r="443" spans="1:55" ht="11.25" customHeight="1" x14ac:dyDescent="0.2">
      <c r="A443" s="128"/>
      <c r="B443" s="122" t="s">
        <v>8</v>
      </c>
      <c r="C443" s="130">
        <v>400</v>
      </c>
      <c r="D443" s="174">
        <v>400</v>
      </c>
      <c r="E443" s="175">
        <v>400</v>
      </c>
      <c r="F443" s="130">
        <v>400</v>
      </c>
      <c r="G443" s="175">
        <v>900</v>
      </c>
      <c r="H443" s="130">
        <v>900</v>
      </c>
      <c r="I443" s="130">
        <v>900</v>
      </c>
      <c r="J443" s="130">
        <v>900</v>
      </c>
      <c r="K443" s="175">
        <v>900</v>
      </c>
      <c r="L443" s="130">
        <v>900</v>
      </c>
      <c r="M443" s="130">
        <v>900</v>
      </c>
      <c r="N443" s="175">
        <v>900</v>
      </c>
      <c r="O443" s="130">
        <v>900</v>
      </c>
      <c r="P443" s="130">
        <v>900</v>
      </c>
      <c r="Q443" s="130">
        <v>900</v>
      </c>
      <c r="R443" s="175">
        <v>900</v>
      </c>
      <c r="S443" s="130">
        <v>900</v>
      </c>
      <c r="T443" s="130">
        <v>900</v>
      </c>
      <c r="U443" s="176">
        <v>900</v>
      </c>
      <c r="V443" s="130">
        <v>900</v>
      </c>
      <c r="W443" s="130">
        <v>900</v>
      </c>
      <c r="X443" s="130">
        <v>900</v>
      </c>
      <c r="Y443" s="131">
        <v>900</v>
      </c>
      <c r="Z443" s="130">
        <v>900</v>
      </c>
      <c r="AA443" s="130">
        <v>900</v>
      </c>
      <c r="AB443" s="131">
        <v>900</v>
      </c>
      <c r="AC443" s="130">
        <v>900</v>
      </c>
      <c r="AD443" s="129">
        <v>500</v>
      </c>
      <c r="AE443" s="130">
        <v>500</v>
      </c>
      <c r="AF443" s="130">
        <v>500</v>
      </c>
      <c r="AG443" s="131">
        <v>500</v>
      </c>
      <c r="AH443" s="130">
        <v>500</v>
      </c>
      <c r="AI443" s="131">
        <v>500</v>
      </c>
      <c r="AJ443" s="130">
        <v>500</v>
      </c>
      <c r="AK443" s="130">
        <v>500</v>
      </c>
      <c r="AL443" s="130">
        <v>500</v>
      </c>
      <c r="AM443" s="130">
        <v>500</v>
      </c>
      <c r="AN443" s="131">
        <v>500</v>
      </c>
      <c r="AO443" s="130">
        <v>500</v>
      </c>
      <c r="AP443" s="131" t="s">
        <v>18</v>
      </c>
      <c r="AQ443" s="130" t="s">
        <v>18</v>
      </c>
      <c r="AR443" s="130" t="s">
        <v>18</v>
      </c>
      <c r="AS443" s="130" t="s">
        <v>18</v>
      </c>
      <c r="AT443" s="130" t="s">
        <v>18</v>
      </c>
      <c r="AU443" s="130" t="s">
        <v>18</v>
      </c>
      <c r="AV443" s="130" t="s">
        <v>18</v>
      </c>
      <c r="AW443" s="130" t="s">
        <v>18</v>
      </c>
      <c r="AX443" s="130" t="s">
        <v>18</v>
      </c>
      <c r="AY443" s="130" t="s">
        <v>18</v>
      </c>
      <c r="AZ443" s="130" t="s">
        <v>18</v>
      </c>
      <c r="BA443" s="130" t="s">
        <v>18</v>
      </c>
      <c r="BB443" s="130" t="s">
        <v>18</v>
      </c>
      <c r="BC443" s="130" t="s">
        <v>18</v>
      </c>
    </row>
    <row r="444" spans="1:55" ht="11.25" customHeight="1" x14ac:dyDescent="0.2">
      <c r="A444" s="127" t="s">
        <v>9</v>
      </c>
      <c r="B444" s="132" t="s">
        <v>10</v>
      </c>
      <c r="C444" s="134" t="s">
        <v>22</v>
      </c>
      <c r="D444" s="177" t="s">
        <v>22</v>
      </c>
      <c r="E444" s="178" t="s">
        <v>22</v>
      </c>
      <c r="F444" s="134" t="s">
        <v>22</v>
      </c>
      <c r="G444" s="178" t="s">
        <v>23</v>
      </c>
      <c r="H444" s="134" t="s">
        <v>23</v>
      </c>
      <c r="I444" s="134" t="s">
        <v>23</v>
      </c>
      <c r="J444" s="134" t="s">
        <v>23</v>
      </c>
      <c r="K444" s="178" t="s">
        <v>23</v>
      </c>
      <c r="L444" s="134" t="s">
        <v>23</v>
      </c>
      <c r="M444" s="134" t="s">
        <v>23</v>
      </c>
      <c r="N444" s="178" t="s">
        <v>23</v>
      </c>
      <c r="O444" s="134" t="s">
        <v>23</v>
      </c>
      <c r="P444" s="134" t="s">
        <v>23</v>
      </c>
      <c r="Q444" s="134" t="s">
        <v>23</v>
      </c>
      <c r="R444" s="178" t="s">
        <v>23</v>
      </c>
      <c r="S444" s="134" t="s">
        <v>23</v>
      </c>
      <c r="T444" s="134" t="s">
        <v>23</v>
      </c>
      <c r="U444" s="179" t="s">
        <v>23</v>
      </c>
      <c r="V444" s="134" t="s">
        <v>23</v>
      </c>
      <c r="W444" s="134" t="s">
        <v>23</v>
      </c>
      <c r="X444" s="134" t="s">
        <v>23</v>
      </c>
      <c r="Y444" s="135" t="s">
        <v>23</v>
      </c>
      <c r="Z444" s="134" t="s">
        <v>23</v>
      </c>
      <c r="AA444" s="134" t="s">
        <v>23</v>
      </c>
      <c r="AB444" s="135" t="s">
        <v>23</v>
      </c>
      <c r="AC444" s="134" t="s">
        <v>23</v>
      </c>
      <c r="AD444" s="133" t="s">
        <v>207</v>
      </c>
      <c r="AE444" s="134" t="s">
        <v>207</v>
      </c>
      <c r="AF444" s="134" t="s">
        <v>207</v>
      </c>
      <c r="AG444" s="135" t="s">
        <v>207</v>
      </c>
      <c r="AH444" s="134" t="s">
        <v>207</v>
      </c>
      <c r="AI444" s="135" t="s">
        <v>207</v>
      </c>
      <c r="AJ444" s="134" t="s">
        <v>207</v>
      </c>
      <c r="AK444" s="134" t="s">
        <v>207</v>
      </c>
      <c r="AL444" s="134" t="s">
        <v>207</v>
      </c>
      <c r="AM444" s="134" t="s">
        <v>207</v>
      </c>
      <c r="AN444" s="135" t="s">
        <v>207</v>
      </c>
      <c r="AO444" s="134" t="s">
        <v>207</v>
      </c>
      <c r="AP444" s="135" t="s">
        <v>18</v>
      </c>
      <c r="AQ444" s="134" t="s">
        <v>18</v>
      </c>
      <c r="AR444" s="134" t="s">
        <v>18</v>
      </c>
      <c r="AS444" s="134" t="s">
        <v>18</v>
      </c>
      <c r="AT444" s="134" t="s">
        <v>18</v>
      </c>
      <c r="AU444" s="134" t="s">
        <v>18</v>
      </c>
      <c r="AV444" s="134" t="s">
        <v>18</v>
      </c>
      <c r="AW444" s="134" t="s">
        <v>18</v>
      </c>
      <c r="AX444" s="134" t="s">
        <v>18</v>
      </c>
      <c r="AY444" s="134" t="s">
        <v>18</v>
      </c>
      <c r="AZ444" s="134" t="s">
        <v>18</v>
      </c>
      <c r="BA444" s="134" t="s">
        <v>18</v>
      </c>
      <c r="BB444" s="134" t="s">
        <v>18</v>
      </c>
      <c r="BC444" s="134" t="s">
        <v>18</v>
      </c>
    </row>
    <row r="445" spans="1:55" ht="11.25" customHeight="1" x14ac:dyDescent="0.2">
      <c r="A445" s="128">
        <v>68153.846153846156</v>
      </c>
      <c r="B445" s="122" t="s">
        <v>12</v>
      </c>
      <c r="C445" s="124"/>
      <c r="D445" s="171"/>
      <c r="E445" s="172"/>
      <c r="F445" s="124"/>
      <c r="G445" s="172" t="s">
        <v>24</v>
      </c>
      <c r="H445" s="124"/>
      <c r="I445" s="124"/>
      <c r="J445" s="124"/>
      <c r="K445" s="172"/>
      <c r="L445" s="124"/>
      <c r="M445" s="124"/>
      <c r="N445" s="172"/>
      <c r="O445" s="124"/>
      <c r="P445" s="124"/>
      <c r="Q445" s="124"/>
      <c r="R445" s="172"/>
      <c r="S445" s="124"/>
      <c r="T445" s="124"/>
      <c r="U445" s="173"/>
      <c r="V445" s="124"/>
      <c r="W445" s="124"/>
      <c r="X445" s="124"/>
      <c r="Y445" s="125"/>
      <c r="Z445" s="124"/>
      <c r="AA445" s="124"/>
      <c r="AB445" s="125"/>
      <c r="AC445" s="124"/>
      <c r="AD445" s="123" t="s">
        <v>208</v>
      </c>
      <c r="AE445" s="124"/>
      <c r="AF445" s="124"/>
      <c r="AG445" s="125"/>
      <c r="AH445" s="124"/>
      <c r="AI445" s="125"/>
      <c r="AJ445" s="124"/>
      <c r="AK445" s="124"/>
      <c r="AL445" s="124"/>
      <c r="AM445" s="124"/>
      <c r="AN445" s="125"/>
      <c r="AO445" s="124"/>
      <c r="AP445" s="125"/>
      <c r="AQ445" s="124"/>
      <c r="AR445" s="124"/>
      <c r="AS445" s="124"/>
      <c r="AT445" s="124"/>
      <c r="AU445" s="124"/>
      <c r="AV445" s="124"/>
      <c r="AW445" s="124"/>
      <c r="AX445" s="124"/>
      <c r="AY445" s="124"/>
      <c r="AZ445" s="124"/>
      <c r="BA445" s="124"/>
      <c r="BB445" s="124"/>
      <c r="BC445" s="124"/>
    </row>
    <row r="446" spans="1:55" ht="11.25" customHeight="1" x14ac:dyDescent="0.2">
      <c r="A446" s="128">
        <v>886</v>
      </c>
      <c r="B446" s="136" t="s">
        <v>13</v>
      </c>
      <c r="C446" s="137">
        <v>0</v>
      </c>
      <c r="D446" s="171">
        <v>20</v>
      </c>
      <c r="E446" s="172">
        <v>0</v>
      </c>
      <c r="F446" s="137">
        <v>62</v>
      </c>
      <c r="G446" s="172">
        <v>0</v>
      </c>
      <c r="H446" s="137">
        <v>0</v>
      </c>
      <c r="I446" s="137">
        <v>0</v>
      </c>
      <c r="J446" s="137">
        <v>18</v>
      </c>
      <c r="K446" s="172">
        <v>0</v>
      </c>
      <c r="L446" s="137">
        <v>0</v>
      </c>
      <c r="M446" s="137">
        <v>79</v>
      </c>
      <c r="N446" s="172">
        <v>0</v>
      </c>
      <c r="O446" s="137">
        <v>0</v>
      </c>
      <c r="P446" s="137">
        <v>0</v>
      </c>
      <c r="Q446" s="137">
        <v>56</v>
      </c>
      <c r="R446" s="172">
        <v>0</v>
      </c>
      <c r="S446" s="137">
        <v>0</v>
      </c>
      <c r="T446" s="137">
        <v>44</v>
      </c>
      <c r="U446" s="173">
        <v>0</v>
      </c>
      <c r="V446" s="137">
        <v>0</v>
      </c>
      <c r="W446" s="137">
        <v>0</v>
      </c>
      <c r="X446" s="137">
        <v>46</v>
      </c>
      <c r="Y446" s="125">
        <v>0</v>
      </c>
      <c r="Z446" s="137">
        <v>0</v>
      </c>
      <c r="AA446" s="137">
        <v>53</v>
      </c>
      <c r="AB446" s="125">
        <v>0</v>
      </c>
      <c r="AC446" s="137">
        <v>14</v>
      </c>
      <c r="AD446" s="123">
        <v>0</v>
      </c>
      <c r="AE446" s="137">
        <v>0</v>
      </c>
      <c r="AF446" s="137">
        <v>179</v>
      </c>
      <c r="AG446" s="125">
        <v>0</v>
      </c>
      <c r="AH446" s="137">
        <v>71</v>
      </c>
      <c r="AI446" s="125">
        <v>0</v>
      </c>
      <c r="AJ446" s="137">
        <v>0</v>
      </c>
      <c r="AK446" s="137">
        <v>0</v>
      </c>
      <c r="AL446" s="137">
        <v>0</v>
      </c>
      <c r="AM446" s="137">
        <v>173</v>
      </c>
      <c r="AN446" s="125">
        <v>0</v>
      </c>
      <c r="AO446" s="137">
        <v>71</v>
      </c>
      <c r="AP446" s="125" t="s">
        <v>18</v>
      </c>
      <c r="AQ446" s="137" t="s">
        <v>18</v>
      </c>
      <c r="AR446" s="137" t="s">
        <v>18</v>
      </c>
      <c r="AS446" s="137" t="s">
        <v>18</v>
      </c>
      <c r="AT446" s="137" t="s">
        <v>18</v>
      </c>
      <c r="AU446" s="137" t="s">
        <v>18</v>
      </c>
      <c r="AV446" s="137" t="s">
        <v>18</v>
      </c>
      <c r="AW446" s="137" t="s">
        <v>18</v>
      </c>
      <c r="AX446" s="137" t="s">
        <v>18</v>
      </c>
      <c r="AY446" s="137" t="s">
        <v>18</v>
      </c>
      <c r="AZ446" s="137" t="s">
        <v>18</v>
      </c>
      <c r="BA446" s="137" t="s">
        <v>18</v>
      </c>
      <c r="BB446" s="137" t="s">
        <v>18</v>
      </c>
      <c r="BC446" s="137" t="s">
        <v>18</v>
      </c>
    </row>
    <row r="447" spans="1:55" ht="11.25" customHeight="1" x14ac:dyDescent="0.2">
      <c r="A447" s="128">
        <v>23</v>
      </c>
      <c r="B447" s="136" t="s">
        <v>14</v>
      </c>
      <c r="C447" s="137">
        <v>0</v>
      </c>
      <c r="D447" s="171">
        <v>0</v>
      </c>
      <c r="E447" s="172">
        <v>0</v>
      </c>
      <c r="F447" s="137">
        <v>2</v>
      </c>
      <c r="G447" s="172">
        <v>0</v>
      </c>
      <c r="H447" s="137">
        <v>0</v>
      </c>
      <c r="I447" s="137">
        <v>0</v>
      </c>
      <c r="J447" s="137">
        <v>0</v>
      </c>
      <c r="K447" s="172">
        <v>0</v>
      </c>
      <c r="L447" s="137">
        <v>0</v>
      </c>
      <c r="M447" s="137">
        <v>0</v>
      </c>
      <c r="N447" s="172">
        <v>0</v>
      </c>
      <c r="O447" s="137">
        <v>0</v>
      </c>
      <c r="P447" s="137">
        <v>0</v>
      </c>
      <c r="Q447" s="137">
        <v>2</v>
      </c>
      <c r="R447" s="172">
        <v>0</v>
      </c>
      <c r="S447" s="137">
        <v>0</v>
      </c>
      <c r="T447" s="137">
        <v>0</v>
      </c>
      <c r="U447" s="173">
        <v>0</v>
      </c>
      <c r="V447" s="137">
        <v>0</v>
      </c>
      <c r="W447" s="137">
        <v>0</v>
      </c>
      <c r="X447" s="137">
        <v>0</v>
      </c>
      <c r="Y447" s="125">
        <v>0</v>
      </c>
      <c r="Z447" s="137">
        <v>0</v>
      </c>
      <c r="AA447" s="137">
        <v>0</v>
      </c>
      <c r="AB447" s="125">
        <v>0</v>
      </c>
      <c r="AC447" s="137">
        <v>0</v>
      </c>
      <c r="AD447" s="123">
        <v>0</v>
      </c>
      <c r="AE447" s="137">
        <v>0</v>
      </c>
      <c r="AF447" s="137">
        <v>10</v>
      </c>
      <c r="AG447" s="125">
        <v>0</v>
      </c>
      <c r="AH447" s="137">
        <v>5</v>
      </c>
      <c r="AI447" s="125">
        <v>0</v>
      </c>
      <c r="AJ447" s="137">
        <v>0</v>
      </c>
      <c r="AK447" s="137">
        <v>0</v>
      </c>
      <c r="AL447" s="137">
        <v>0</v>
      </c>
      <c r="AM447" s="137">
        <v>3</v>
      </c>
      <c r="AN447" s="125">
        <v>0</v>
      </c>
      <c r="AO447" s="137">
        <v>1</v>
      </c>
      <c r="AP447" s="125" t="s">
        <v>18</v>
      </c>
      <c r="AQ447" s="137" t="s">
        <v>18</v>
      </c>
      <c r="AR447" s="137" t="s">
        <v>18</v>
      </c>
      <c r="AS447" s="137" t="s">
        <v>18</v>
      </c>
      <c r="AT447" s="137" t="s">
        <v>18</v>
      </c>
      <c r="AU447" s="137" t="s">
        <v>18</v>
      </c>
      <c r="AV447" s="137" t="s">
        <v>18</v>
      </c>
      <c r="AW447" s="137" t="s">
        <v>18</v>
      </c>
      <c r="AX447" s="137" t="s">
        <v>18</v>
      </c>
      <c r="AY447" s="137" t="s">
        <v>18</v>
      </c>
      <c r="AZ447" s="137" t="s">
        <v>18</v>
      </c>
      <c r="BA447" s="137" t="s">
        <v>18</v>
      </c>
      <c r="BB447" s="137" t="s">
        <v>18</v>
      </c>
      <c r="BC447" s="137" t="s">
        <v>18</v>
      </c>
    </row>
    <row r="448" spans="1:55" ht="11.25" customHeight="1" x14ac:dyDescent="0.2">
      <c r="A448" s="128">
        <v>20</v>
      </c>
      <c r="B448" s="136" t="s">
        <v>15</v>
      </c>
      <c r="C448" s="137">
        <v>0</v>
      </c>
      <c r="D448" s="171">
        <v>0</v>
      </c>
      <c r="E448" s="172">
        <v>0</v>
      </c>
      <c r="F448" s="137">
        <v>2</v>
      </c>
      <c r="G448" s="172">
        <v>0</v>
      </c>
      <c r="H448" s="137">
        <v>0</v>
      </c>
      <c r="I448" s="137">
        <v>0</v>
      </c>
      <c r="J448" s="137">
        <v>0</v>
      </c>
      <c r="K448" s="172">
        <v>0</v>
      </c>
      <c r="L448" s="137">
        <v>0</v>
      </c>
      <c r="M448" s="137">
        <v>0</v>
      </c>
      <c r="N448" s="172">
        <v>0</v>
      </c>
      <c r="O448" s="137">
        <v>0</v>
      </c>
      <c r="P448" s="137">
        <v>0</v>
      </c>
      <c r="Q448" s="137">
        <v>2</v>
      </c>
      <c r="R448" s="172">
        <v>0</v>
      </c>
      <c r="S448" s="137">
        <v>0</v>
      </c>
      <c r="T448" s="137">
        <v>0</v>
      </c>
      <c r="U448" s="173">
        <v>0</v>
      </c>
      <c r="V448" s="137">
        <v>0</v>
      </c>
      <c r="W448" s="137">
        <v>0</v>
      </c>
      <c r="X448" s="137">
        <v>0</v>
      </c>
      <c r="Y448" s="125">
        <v>0</v>
      </c>
      <c r="Z448" s="137">
        <v>0</v>
      </c>
      <c r="AA448" s="137">
        <v>0</v>
      </c>
      <c r="AB448" s="125">
        <v>0</v>
      </c>
      <c r="AC448" s="137">
        <v>0</v>
      </c>
      <c r="AD448" s="123">
        <v>0</v>
      </c>
      <c r="AE448" s="137">
        <v>0</v>
      </c>
      <c r="AF448" s="137">
        <v>10</v>
      </c>
      <c r="AG448" s="125">
        <v>0</v>
      </c>
      <c r="AH448" s="137">
        <v>2</v>
      </c>
      <c r="AI448" s="125">
        <v>0</v>
      </c>
      <c r="AJ448" s="137">
        <v>0</v>
      </c>
      <c r="AK448" s="137">
        <v>0</v>
      </c>
      <c r="AL448" s="137">
        <v>0</v>
      </c>
      <c r="AM448" s="137">
        <v>3</v>
      </c>
      <c r="AN448" s="125">
        <v>0</v>
      </c>
      <c r="AO448" s="137">
        <v>1</v>
      </c>
      <c r="AP448" s="125" t="s">
        <v>18</v>
      </c>
      <c r="AQ448" s="137" t="s">
        <v>18</v>
      </c>
      <c r="AR448" s="137" t="s">
        <v>18</v>
      </c>
      <c r="AS448" s="137" t="s">
        <v>18</v>
      </c>
      <c r="AT448" s="137" t="s">
        <v>18</v>
      </c>
      <c r="AU448" s="137" t="s">
        <v>18</v>
      </c>
      <c r="AV448" s="137" t="s">
        <v>18</v>
      </c>
      <c r="AW448" s="137" t="s">
        <v>18</v>
      </c>
      <c r="AX448" s="137" t="s">
        <v>18</v>
      </c>
      <c r="AY448" s="137" t="s">
        <v>18</v>
      </c>
      <c r="AZ448" s="137" t="s">
        <v>18</v>
      </c>
      <c r="BA448" s="137" t="s">
        <v>18</v>
      </c>
      <c r="BB448" s="137" t="s">
        <v>18</v>
      </c>
      <c r="BC448" s="137" t="s">
        <v>18</v>
      </c>
    </row>
    <row r="449" spans="1:55" ht="11.25" customHeight="1" x14ac:dyDescent="0.2">
      <c r="A449" s="128">
        <v>10600</v>
      </c>
      <c r="B449" s="136" t="s">
        <v>16</v>
      </c>
      <c r="C449" s="137">
        <v>0</v>
      </c>
      <c r="D449" s="171">
        <v>0</v>
      </c>
      <c r="E449" s="172">
        <v>0</v>
      </c>
      <c r="F449" s="137">
        <v>800</v>
      </c>
      <c r="G449" s="172">
        <v>0</v>
      </c>
      <c r="H449" s="137">
        <v>0</v>
      </c>
      <c r="I449" s="137">
        <v>0</v>
      </c>
      <c r="J449" s="137">
        <v>0</v>
      </c>
      <c r="K449" s="172">
        <v>0</v>
      </c>
      <c r="L449" s="137">
        <v>0</v>
      </c>
      <c r="M449" s="137">
        <v>0</v>
      </c>
      <c r="N449" s="172">
        <v>0</v>
      </c>
      <c r="O449" s="137">
        <v>0</v>
      </c>
      <c r="P449" s="137">
        <v>0</v>
      </c>
      <c r="Q449" s="137">
        <v>1800</v>
      </c>
      <c r="R449" s="172">
        <v>0</v>
      </c>
      <c r="S449" s="137">
        <v>0</v>
      </c>
      <c r="T449" s="137">
        <v>0</v>
      </c>
      <c r="U449" s="173">
        <v>0</v>
      </c>
      <c r="V449" s="137">
        <v>0</v>
      </c>
      <c r="W449" s="137">
        <v>0</v>
      </c>
      <c r="X449" s="137">
        <v>0</v>
      </c>
      <c r="Y449" s="125">
        <v>0</v>
      </c>
      <c r="Z449" s="137">
        <v>0</v>
      </c>
      <c r="AA449" s="137">
        <v>0</v>
      </c>
      <c r="AB449" s="125">
        <v>0</v>
      </c>
      <c r="AC449" s="137">
        <v>0</v>
      </c>
      <c r="AD449" s="123">
        <v>0</v>
      </c>
      <c r="AE449" s="137">
        <v>0</v>
      </c>
      <c r="AF449" s="137">
        <v>5000</v>
      </c>
      <c r="AG449" s="125">
        <v>0</v>
      </c>
      <c r="AH449" s="137">
        <v>1000</v>
      </c>
      <c r="AI449" s="125">
        <v>0</v>
      </c>
      <c r="AJ449" s="137">
        <v>0</v>
      </c>
      <c r="AK449" s="137">
        <v>0</v>
      </c>
      <c r="AL449" s="137">
        <v>0</v>
      </c>
      <c r="AM449" s="137">
        <v>1500</v>
      </c>
      <c r="AN449" s="125">
        <v>0</v>
      </c>
      <c r="AO449" s="137">
        <v>500</v>
      </c>
      <c r="AP449" s="125" t="s">
        <v>18</v>
      </c>
      <c r="AQ449" s="137" t="s">
        <v>18</v>
      </c>
      <c r="AR449" s="137" t="s">
        <v>18</v>
      </c>
      <c r="AS449" s="137" t="s">
        <v>18</v>
      </c>
      <c r="AT449" s="137" t="s">
        <v>18</v>
      </c>
      <c r="AU449" s="137" t="s">
        <v>18</v>
      </c>
      <c r="AV449" s="137" t="s">
        <v>18</v>
      </c>
      <c r="AW449" s="137" t="s">
        <v>18</v>
      </c>
      <c r="AX449" s="137" t="s">
        <v>18</v>
      </c>
      <c r="AY449" s="137" t="s">
        <v>18</v>
      </c>
      <c r="AZ449" s="137" t="s">
        <v>18</v>
      </c>
      <c r="BA449" s="137" t="s">
        <v>18</v>
      </c>
      <c r="BB449" s="137" t="s">
        <v>18</v>
      </c>
      <c r="BC449" s="137" t="s">
        <v>18</v>
      </c>
    </row>
    <row r="450" spans="1:55" ht="11.25" customHeight="1" thickBot="1" x14ac:dyDescent="0.25">
      <c r="A450" s="138">
        <v>0.11963882618510158</v>
      </c>
      <c r="B450" s="136" t="s">
        <v>17</v>
      </c>
      <c r="C450" s="147" t="s">
        <v>18</v>
      </c>
      <c r="D450" s="183" t="s">
        <v>18</v>
      </c>
      <c r="E450" s="184" t="s">
        <v>18</v>
      </c>
      <c r="F450" s="147">
        <v>0.12903225806451613</v>
      </c>
      <c r="G450" s="184" t="s">
        <v>18</v>
      </c>
      <c r="H450" s="147" t="s">
        <v>18</v>
      </c>
      <c r="I450" s="147" t="s">
        <v>18</v>
      </c>
      <c r="J450" s="147" t="s">
        <v>18</v>
      </c>
      <c r="K450" s="184" t="s">
        <v>18</v>
      </c>
      <c r="L450" s="147" t="s">
        <v>18</v>
      </c>
      <c r="M450" s="147" t="s">
        <v>18</v>
      </c>
      <c r="N450" s="184" t="s">
        <v>18</v>
      </c>
      <c r="O450" s="147" t="s">
        <v>18</v>
      </c>
      <c r="P450" s="147" t="s">
        <v>18</v>
      </c>
      <c r="Q450" s="147">
        <v>0.32142857142857145</v>
      </c>
      <c r="R450" s="184" t="s">
        <v>18</v>
      </c>
      <c r="S450" s="147" t="s">
        <v>18</v>
      </c>
      <c r="T450" s="147" t="s">
        <v>18</v>
      </c>
      <c r="U450" s="185" t="s">
        <v>18</v>
      </c>
      <c r="V450" s="147" t="s">
        <v>18</v>
      </c>
      <c r="W450" s="147" t="s">
        <v>18</v>
      </c>
      <c r="X450" s="147" t="s">
        <v>18</v>
      </c>
      <c r="Y450" s="148" t="s">
        <v>18</v>
      </c>
      <c r="Z450" s="147" t="s">
        <v>18</v>
      </c>
      <c r="AA450" s="147" t="s">
        <v>18</v>
      </c>
      <c r="AB450" s="148" t="s">
        <v>18</v>
      </c>
      <c r="AC450" s="147" t="s">
        <v>18</v>
      </c>
      <c r="AD450" s="146" t="s">
        <v>18</v>
      </c>
      <c r="AE450" s="147" t="s">
        <v>18</v>
      </c>
      <c r="AF450" s="147">
        <v>0.27932960893854747</v>
      </c>
      <c r="AG450" s="148" t="s">
        <v>18</v>
      </c>
      <c r="AH450" s="147">
        <v>0.14084507042253522</v>
      </c>
      <c r="AI450" s="148" t="s">
        <v>18</v>
      </c>
      <c r="AJ450" s="147" t="s">
        <v>18</v>
      </c>
      <c r="AK450" s="147" t="s">
        <v>18</v>
      </c>
      <c r="AL450" s="147" t="s">
        <v>18</v>
      </c>
      <c r="AM450" s="147">
        <v>8.6705202312138727E-2</v>
      </c>
      <c r="AN450" s="148" t="s">
        <v>18</v>
      </c>
      <c r="AO450" s="147">
        <v>7.0422535211267609E-2</v>
      </c>
      <c r="AP450" s="148" t="s">
        <v>18</v>
      </c>
      <c r="AQ450" s="147" t="s">
        <v>18</v>
      </c>
      <c r="AR450" s="147" t="s">
        <v>18</v>
      </c>
      <c r="AS450" s="147" t="s">
        <v>18</v>
      </c>
      <c r="AT450" s="147" t="s">
        <v>18</v>
      </c>
      <c r="AU450" s="147" t="s">
        <v>18</v>
      </c>
      <c r="AV450" s="147" t="s">
        <v>18</v>
      </c>
      <c r="AW450" s="147" t="s">
        <v>18</v>
      </c>
      <c r="AX450" s="147" t="s">
        <v>18</v>
      </c>
      <c r="AY450" s="147" t="s">
        <v>18</v>
      </c>
      <c r="AZ450" s="147" t="s">
        <v>18</v>
      </c>
      <c r="BA450" s="147" t="s">
        <v>18</v>
      </c>
      <c r="BB450" s="147" t="s">
        <v>18</v>
      </c>
      <c r="BC450" s="147" t="s">
        <v>18</v>
      </c>
    </row>
    <row r="451" spans="1:55" ht="11.25" customHeight="1" x14ac:dyDescent="0.2">
      <c r="A451" s="149" t="s">
        <v>1</v>
      </c>
      <c r="B451" s="150" t="s">
        <v>2</v>
      </c>
      <c r="C451" s="130">
        <v>18761</v>
      </c>
      <c r="D451" s="174">
        <v>18783</v>
      </c>
      <c r="E451" s="175">
        <v>18783</v>
      </c>
      <c r="F451" s="130">
        <v>18868</v>
      </c>
      <c r="G451" s="175">
        <v>18868</v>
      </c>
      <c r="H451" s="130">
        <v>18868</v>
      </c>
      <c r="I451" s="130">
        <v>18868</v>
      </c>
      <c r="J451" s="130">
        <v>18879</v>
      </c>
      <c r="K451" s="175">
        <v>18879</v>
      </c>
      <c r="L451" s="130">
        <v>18879</v>
      </c>
      <c r="M451" s="130">
        <v>18953</v>
      </c>
      <c r="N451" s="175">
        <v>18953</v>
      </c>
      <c r="O451" s="130">
        <v>18953</v>
      </c>
      <c r="P451" s="130">
        <v>18953</v>
      </c>
      <c r="Q451" s="130">
        <v>18998</v>
      </c>
      <c r="R451" s="175">
        <v>18998</v>
      </c>
      <c r="S451" s="130">
        <v>18998</v>
      </c>
      <c r="T451" s="130">
        <v>19033</v>
      </c>
      <c r="U451" s="176">
        <v>19033</v>
      </c>
      <c r="V451" s="130">
        <v>19033</v>
      </c>
      <c r="W451" s="130">
        <v>19033</v>
      </c>
      <c r="X451" s="130">
        <v>19138</v>
      </c>
      <c r="Y451" s="131">
        <v>19138</v>
      </c>
      <c r="Z451" s="130">
        <v>19138</v>
      </c>
      <c r="AA451" s="130">
        <v>19217</v>
      </c>
      <c r="AB451" s="131">
        <v>19217</v>
      </c>
      <c r="AC451" s="130">
        <v>19222</v>
      </c>
      <c r="AD451" s="129">
        <v>19222</v>
      </c>
      <c r="AE451" s="130">
        <v>19222</v>
      </c>
      <c r="AF451" s="130">
        <v>19257</v>
      </c>
      <c r="AG451" s="131">
        <v>19257</v>
      </c>
      <c r="AH451" s="130">
        <v>19323</v>
      </c>
      <c r="AI451" s="131">
        <v>19323</v>
      </c>
      <c r="AJ451" s="130">
        <v>19323</v>
      </c>
      <c r="AK451" s="130">
        <v>19323</v>
      </c>
      <c r="AL451" s="130">
        <v>19323</v>
      </c>
      <c r="AM451" s="130">
        <v>19353</v>
      </c>
      <c r="AN451" s="131">
        <v>19353</v>
      </c>
      <c r="AO451" s="130">
        <v>19416</v>
      </c>
      <c r="AP451" s="131" t="s">
        <v>18</v>
      </c>
      <c r="AQ451" s="130" t="s">
        <v>18</v>
      </c>
      <c r="AR451" s="130" t="s">
        <v>18</v>
      </c>
      <c r="AS451" s="130" t="s">
        <v>18</v>
      </c>
      <c r="AT451" s="130" t="s">
        <v>18</v>
      </c>
      <c r="AU451" s="130" t="s">
        <v>18</v>
      </c>
      <c r="AV451" s="130" t="s">
        <v>18</v>
      </c>
      <c r="AW451" s="130" t="s">
        <v>18</v>
      </c>
      <c r="AX451" s="130" t="s">
        <v>18</v>
      </c>
      <c r="AY451" s="130" t="s">
        <v>18</v>
      </c>
      <c r="AZ451" s="130" t="s">
        <v>18</v>
      </c>
      <c r="BA451" s="130" t="s">
        <v>18</v>
      </c>
      <c r="BB451" s="130" t="s">
        <v>18</v>
      </c>
      <c r="BC451" s="130" t="s">
        <v>18</v>
      </c>
    </row>
    <row r="452" spans="1:55" ht="11.25" customHeight="1" x14ac:dyDescent="0.2">
      <c r="A452" s="121" t="s">
        <v>19</v>
      </c>
      <c r="B452" s="122" t="s">
        <v>4</v>
      </c>
      <c r="C452" s="124">
        <v>918</v>
      </c>
      <c r="D452" s="171">
        <v>918</v>
      </c>
      <c r="E452" s="172">
        <v>918</v>
      </c>
      <c r="F452" s="124">
        <v>918</v>
      </c>
      <c r="G452" s="172">
        <v>918</v>
      </c>
      <c r="H452" s="124">
        <v>918</v>
      </c>
      <c r="I452" s="124">
        <v>918</v>
      </c>
      <c r="J452" s="124">
        <v>919</v>
      </c>
      <c r="K452" s="172">
        <v>919</v>
      </c>
      <c r="L452" s="124">
        <v>919</v>
      </c>
      <c r="M452" s="124">
        <v>920</v>
      </c>
      <c r="N452" s="172">
        <v>920</v>
      </c>
      <c r="O452" s="124">
        <v>920</v>
      </c>
      <c r="P452" s="124">
        <v>920</v>
      </c>
      <c r="Q452" s="124">
        <v>922</v>
      </c>
      <c r="R452" s="172">
        <v>922</v>
      </c>
      <c r="S452" s="124">
        <v>922</v>
      </c>
      <c r="T452" s="124">
        <v>922</v>
      </c>
      <c r="U452" s="173">
        <v>922</v>
      </c>
      <c r="V452" s="124">
        <v>922</v>
      </c>
      <c r="W452" s="124">
        <v>922</v>
      </c>
      <c r="X452" s="124">
        <v>924</v>
      </c>
      <c r="Y452" s="125">
        <v>924</v>
      </c>
      <c r="Z452" s="124">
        <v>924</v>
      </c>
      <c r="AA452" s="124">
        <v>925</v>
      </c>
      <c r="AB452" s="125">
        <v>925</v>
      </c>
      <c r="AC452" s="124">
        <v>925</v>
      </c>
      <c r="AD452" s="123">
        <v>925</v>
      </c>
      <c r="AE452" s="124">
        <v>925</v>
      </c>
      <c r="AF452" s="124">
        <v>927</v>
      </c>
      <c r="AG452" s="125">
        <v>927</v>
      </c>
      <c r="AH452" s="124">
        <v>928</v>
      </c>
      <c r="AI452" s="125">
        <v>928</v>
      </c>
      <c r="AJ452" s="124">
        <v>928</v>
      </c>
      <c r="AK452" s="124">
        <v>928</v>
      </c>
      <c r="AL452" s="124">
        <v>928</v>
      </c>
      <c r="AM452" s="124">
        <v>928</v>
      </c>
      <c r="AN452" s="125">
        <v>928</v>
      </c>
      <c r="AO452" s="124">
        <v>930</v>
      </c>
      <c r="AP452" s="125" t="s">
        <v>18</v>
      </c>
      <c r="AQ452" s="124" t="s">
        <v>18</v>
      </c>
      <c r="AR452" s="124" t="s">
        <v>18</v>
      </c>
      <c r="AS452" s="124" t="s">
        <v>18</v>
      </c>
      <c r="AT452" s="124" t="s">
        <v>18</v>
      </c>
      <c r="AU452" s="124" t="s">
        <v>18</v>
      </c>
      <c r="AV452" s="124" t="s">
        <v>18</v>
      </c>
      <c r="AW452" s="124" t="s">
        <v>18</v>
      </c>
      <c r="AX452" s="124" t="s">
        <v>18</v>
      </c>
      <c r="AY452" s="124" t="s">
        <v>18</v>
      </c>
      <c r="AZ452" s="124" t="s">
        <v>18</v>
      </c>
      <c r="BA452" s="124" t="s">
        <v>18</v>
      </c>
      <c r="BB452" s="124" t="s">
        <v>18</v>
      </c>
      <c r="BC452" s="124" t="s">
        <v>18</v>
      </c>
    </row>
    <row r="453" spans="1:55" ht="11.25" customHeight="1" x14ac:dyDescent="0.25">
      <c r="A453" s="143">
        <v>3</v>
      </c>
      <c r="B453" s="122" t="s">
        <v>5</v>
      </c>
      <c r="C453" s="124">
        <v>6</v>
      </c>
      <c r="D453" s="171">
        <v>6</v>
      </c>
      <c r="E453" s="172">
        <v>6</v>
      </c>
      <c r="F453" s="124">
        <v>5</v>
      </c>
      <c r="G453" s="172">
        <v>5</v>
      </c>
      <c r="H453" s="124">
        <v>5</v>
      </c>
      <c r="I453" s="124">
        <v>5</v>
      </c>
      <c r="J453" s="124">
        <v>5</v>
      </c>
      <c r="K453" s="172">
        <v>5</v>
      </c>
      <c r="L453" s="124">
        <v>5</v>
      </c>
      <c r="M453" s="124">
        <v>4</v>
      </c>
      <c r="N453" s="172">
        <v>4</v>
      </c>
      <c r="O453" s="124">
        <v>4</v>
      </c>
      <c r="P453" s="124">
        <v>4</v>
      </c>
      <c r="Q453" s="124">
        <v>3</v>
      </c>
      <c r="R453" s="172">
        <v>6</v>
      </c>
      <c r="S453" s="124">
        <v>6</v>
      </c>
      <c r="T453" s="124">
        <v>6</v>
      </c>
      <c r="U453" s="173">
        <v>6</v>
      </c>
      <c r="V453" s="124">
        <v>6</v>
      </c>
      <c r="W453" s="124">
        <v>6</v>
      </c>
      <c r="X453" s="124">
        <v>4</v>
      </c>
      <c r="Y453" s="125">
        <v>6</v>
      </c>
      <c r="Z453" s="124">
        <v>6</v>
      </c>
      <c r="AA453" s="124">
        <v>5</v>
      </c>
      <c r="AB453" s="125">
        <v>6</v>
      </c>
      <c r="AC453" s="124">
        <v>6</v>
      </c>
      <c r="AD453" s="123">
        <v>6</v>
      </c>
      <c r="AE453" s="124">
        <v>6</v>
      </c>
      <c r="AF453" s="124">
        <v>4</v>
      </c>
      <c r="AG453" s="125">
        <v>6</v>
      </c>
      <c r="AH453" s="124">
        <v>5</v>
      </c>
      <c r="AI453" s="125">
        <v>5</v>
      </c>
      <c r="AJ453" s="124">
        <v>5</v>
      </c>
      <c r="AK453" s="124">
        <v>5</v>
      </c>
      <c r="AL453" s="124">
        <v>5</v>
      </c>
      <c r="AM453" s="124">
        <v>5</v>
      </c>
      <c r="AN453" s="125">
        <v>11</v>
      </c>
      <c r="AO453" s="124">
        <v>9</v>
      </c>
      <c r="AP453" s="125" t="s">
        <v>18</v>
      </c>
      <c r="AQ453" s="124" t="s">
        <v>18</v>
      </c>
      <c r="AR453" s="124" t="s">
        <v>18</v>
      </c>
      <c r="AS453" s="124" t="s">
        <v>18</v>
      </c>
      <c r="AT453" s="124" t="s">
        <v>18</v>
      </c>
      <c r="AU453" s="124" t="s">
        <v>18</v>
      </c>
      <c r="AV453" s="124" t="s">
        <v>18</v>
      </c>
      <c r="AW453" s="124" t="s">
        <v>18</v>
      </c>
      <c r="AX453" s="124" t="s">
        <v>18</v>
      </c>
      <c r="AY453" s="124" t="s">
        <v>18</v>
      </c>
      <c r="AZ453" s="124" t="s">
        <v>18</v>
      </c>
      <c r="BA453" s="124" t="s">
        <v>18</v>
      </c>
      <c r="BB453" s="124" t="s">
        <v>18</v>
      </c>
      <c r="BC453" s="124" t="s">
        <v>18</v>
      </c>
    </row>
    <row r="454" spans="1:55" ht="11.25" customHeight="1" x14ac:dyDescent="0.2">
      <c r="A454" s="127"/>
      <c r="B454" s="122" t="s">
        <v>6</v>
      </c>
      <c r="C454" s="124"/>
      <c r="D454" s="171"/>
      <c r="E454" s="172"/>
      <c r="F454" s="124"/>
      <c r="G454" s="172"/>
      <c r="H454" s="124"/>
      <c r="I454" s="124"/>
      <c r="J454" s="124"/>
      <c r="K454" s="172"/>
      <c r="L454" s="124"/>
      <c r="M454" s="124"/>
      <c r="N454" s="172"/>
      <c r="O454" s="124"/>
      <c r="P454" s="124"/>
      <c r="Q454" s="124">
        <v>3</v>
      </c>
      <c r="R454" s="172"/>
      <c r="S454" s="124"/>
      <c r="T454" s="124"/>
      <c r="U454" s="173"/>
      <c r="V454" s="124"/>
      <c r="W454" s="124"/>
      <c r="X454" s="124">
        <v>2</v>
      </c>
      <c r="Y454" s="125"/>
      <c r="Z454" s="124"/>
      <c r="AA454" s="124">
        <v>1</v>
      </c>
      <c r="AB454" s="125"/>
      <c r="AC454" s="124"/>
      <c r="AD454" s="123"/>
      <c r="AE454" s="124"/>
      <c r="AF454" s="124">
        <v>2</v>
      </c>
      <c r="AG454" s="125"/>
      <c r="AH454" s="124"/>
      <c r="AI454" s="125"/>
      <c r="AJ454" s="124"/>
      <c r="AK454" s="124"/>
      <c r="AL454" s="124"/>
      <c r="AM454" s="124">
        <v>6</v>
      </c>
      <c r="AN454" s="125"/>
      <c r="AO454" s="124"/>
      <c r="AP454" s="125"/>
      <c r="AQ454" s="124"/>
      <c r="AR454" s="124"/>
      <c r="AS454" s="124"/>
      <c r="AT454" s="124"/>
      <c r="AU454" s="124"/>
      <c r="AV454" s="124"/>
      <c r="AW454" s="124"/>
      <c r="AX454" s="124"/>
      <c r="AY454" s="124"/>
      <c r="AZ454" s="124"/>
      <c r="BA454" s="124"/>
      <c r="BB454" s="124"/>
      <c r="BC454" s="124"/>
    </row>
    <row r="455" spans="1:55" ht="11.25" customHeight="1" x14ac:dyDescent="0.2">
      <c r="A455" s="128"/>
      <c r="B455" s="122" t="s">
        <v>8</v>
      </c>
      <c r="C455" s="130">
        <v>780</v>
      </c>
      <c r="D455" s="174">
        <v>780</v>
      </c>
      <c r="E455" s="175">
        <v>780</v>
      </c>
      <c r="F455" s="130">
        <v>780</v>
      </c>
      <c r="G455" s="175">
        <v>780</v>
      </c>
      <c r="H455" s="130">
        <v>780</v>
      </c>
      <c r="I455" s="130">
        <v>780</v>
      </c>
      <c r="J455" s="130">
        <v>780</v>
      </c>
      <c r="K455" s="175">
        <v>780</v>
      </c>
      <c r="L455" s="130">
        <v>780</v>
      </c>
      <c r="M455" s="130">
        <v>780</v>
      </c>
      <c r="N455" s="175">
        <v>780</v>
      </c>
      <c r="O455" s="130">
        <v>780</v>
      </c>
      <c r="P455" s="130">
        <v>780</v>
      </c>
      <c r="Q455" s="130">
        <v>780</v>
      </c>
      <c r="R455" s="175">
        <v>780</v>
      </c>
      <c r="S455" s="130">
        <v>780</v>
      </c>
      <c r="T455" s="130">
        <v>780</v>
      </c>
      <c r="U455" s="176">
        <v>780</v>
      </c>
      <c r="V455" s="130">
        <v>780</v>
      </c>
      <c r="W455" s="130">
        <v>780</v>
      </c>
      <c r="X455" s="130">
        <v>780</v>
      </c>
      <c r="Y455" s="131">
        <v>780</v>
      </c>
      <c r="Z455" s="130">
        <v>780</v>
      </c>
      <c r="AA455" s="130">
        <v>780</v>
      </c>
      <c r="AB455" s="131">
        <v>780</v>
      </c>
      <c r="AC455" s="130">
        <v>780</v>
      </c>
      <c r="AD455" s="129">
        <v>780</v>
      </c>
      <c r="AE455" s="130">
        <v>780</v>
      </c>
      <c r="AF455" s="130">
        <v>780</v>
      </c>
      <c r="AG455" s="131">
        <v>780</v>
      </c>
      <c r="AH455" s="130">
        <v>780</v>
      </c>
      <c r="AI455" s="131">
        <v>780</v>
      </c>
      <c r="AJ455" s="130">
        <v>780</v>
      </c>
      <c r="AK455" s="130">
        <v>780</v>
      </c>
      <c r="AL455" s="130">
        <v>780</v>
      </c>
      <c r="AM455" s="130">
        <v>780</v>
      </c>
      <c r="AN455" s="131">
        <v>780</v>
      </c>
      <c r="AO455" s="130">
        <v>780</v>
      </c>
      <c r="AP455" s="131" t="s">
        <v>18</v>
      </c>
      <c r="AQ455" s="130" t="s">
        <v>18</v>
      </c>
      <c r="AR455" s="130" t="s">
        <v>18</v>
      </c>
      <c r="AS455" s="130" t="s">
        <v>18</v>
      </c>
      <c r="AT455" s="130" t="s">
        <v>18</v>
      </c>
      <c r="AU455" s="130" t="s">
        <v>18</v>
      </c>
      <c r="AV455" s="130" t="s">
        <v>18</v>
      </c>
      <c r="AW455" s="130" t="s">
        <v>18</v>
      </c>
      <c r="AX455" s="130" t="s">
        <v>18</v>
      </c>
      <c r="AY455" s="130" t="s">
        <v>18</v>
      </c>
      <c r="AZ455" s="130" t="s">
        <v>18</v>
      </c>
      <c r="BA455" s="130" t="s">
        <v>18</v>
      </c>
      <c r="BB455" s="130" t="s">
        <v>18</v>
      </c>
      <c r="BC455" s="130" t="s">
        <v>18</v>
      </c>
    </row>
    <row r="456" spans="1:55" ht="11.25" customHeight="1" x14ac:dyDescent="0.2">
      <c r="A456" s="127" t="s">
        <v>9</v>
      </c>
      <c r="B456" s="132" t="s">
        <v>10</v>
      </c>
      <c r="C456" s="134" t="s">
        <v>25</v>
      </c>
      <c r="D456" s="177" t="s">
        <v>25</v>
      </c>
      <c r="E456" s="178" t="s">
        <v>25</v>
      </c>
      <c r="F456" s="134" t="s">
        <v>25</v>
      </c>
      <c r="G456" s="178" t="s">
        <v>25</v>
      </c>
      <c r="H456" s="134" t="s">
        <v>25</v>
      </c>
      <c r="I456" s="134" t="s">
        <v>25</v>
      </c>
      <c r="J456" s="134" t="s">
        <v>25</v>
      </c>
      <c r="K456" s="178" t="s">
        <v>25</v>
      </c>
      <c r="L456" s="134" t="s">
        <v>25</v>
      </c>
      <c r="M456" s="134" t="s">
        <v>25</v>
      </c>
      <c r="N456" s="178" t="s">
        <v>25</v>
      </c>
      <c r="O456" s="134" t="s">
        <v>25</v>
      </c>
      <c r="P456" s="134" t="s">
        <v>25</v>
      </c>
      <c r="Q456" s="134" t="s">
        <v>25</v>
      </c>
      <c r="R456" s="178" t="s">
        <v>25</v>
      </c>
      <c r="S456" s="134" t="s">
        <v>25</v>
      </c>
      <c r="T456" s="134" t="s">
        <v>25</v>
      </c>
      <c r="U456" s="179" t="s">
        <v>25</v>
      </c>
      <c r="V456" s="134" t="s">
        <v>25</v>
      </c>
      <c r="W456" s="134" t="s">
        <v>25</v>
      </c>
      <c r="X456" s="134" t="s">
        <v>25</v>
      </c>
      <c r="Y456" s="135" t="s">
        <v>25</v>
      </c>
      <c r="Z456" s="134" t="s">
        <v>25</v>
      </c>
      <c r="AA456" s="134" t="s">
        <v>25</v>
      </c>
      <c r="AB456" s="135" t="s">
        <v>25</v>
      </c>
      <c r="AC456" s="134" t="s">
        <v>25</v>
      </c>
      <c r="AD456" s="133" t="s">
        <v>25</v>
      </c>
      <c r="AE456" s="134" t="s">
        <v>25</v>
      </c>
      <c r="AF456" s="134" t="s">
        <v>25</v>
      </c>
      <c r="AG456" s="135" t="s">
        <v>25</v>
      </c>
      <c r="AH456" s="134" t="s">
        <v>25</v>
      </c>
      <c r="AI456" s="135" t="s">
        <v>25</v>
      </c>
      <c r="AJ456" s="134" t="s">
        <v>25</v>
      </c>
      <c r="AK456" s="134" t="s">
        <v>25</v>
      </c>
      <c r="AL456" s="134" t="s">
        <v>25</v>
      </c>
      <c r="AM456" s="134" t="s">
        <v>25</v>
      </c>
      <c r="AN456" s="135" t="s">
        <v>217</v>
      </c>
      <c r="AO456" s="134" t="s">
        <v>217</v>
      </c>
      <c r="AP456" s="135" t="s">
        <v>18</v>
      </c>
      <c r="AQ456" s="134" t="s">
        <v>18</v>
      </c>
      <c r="AR456" s="134" t="s">
        <v>18</v>
      </c>
      <c r="AS456" s="134" t="s">
        <v>18</v>
      </c>
      <c r="AT456" s="134" t="s">
        <v>18</v>
      </c>
      <c r="AU456" s="134" t="s">
        <v>18</v>
      </c>
      <c r="AV456" s="134" t="s">
        <v>18</v>
      </c>
      <c r="AW456" s="134" t="s">
        <v>18</v>
      </c>
      <c r="AX456" s="134" t="s">
        <v>18</v>
      </c>
      <c r="AY456" s="134" t="s">
        <v>18</v>
      </c>
      <c r="AZ456" s="134" t="s">
        <v>18</v>
      </c>
      <c r="BA456" s="134" t="s">
        <v>18</v>
      </c>
      <c r="BB456" s="134" t="s">
        <v>18</v>
      </c>
      <c r="BC456" s="134" t="s">
        <v>18</v>
      </c>
    </row>
    <row r="457" spans="1:55" ht="11.25" customHeight="1" x14ac:dyDescent="0.2">
      <c r="A457" s="128">
        <v>50384.61538461539</v>
      </c>
      <c r="B457" s="122" t="s">
        <v>12</v>
      </c>
      <c r="C457" s="124"/>
      <c r="D457" s="171"/>
      <c r="E457" s="172"/>
      <c r="F457" s="124"/>
      <c r="G457" s="172"/>
      <c r="H457" s="124"/>
      <c r="I457" s="124"/>
      <c r="J457" s="124"/>
      <c r="K457" s="172"/>
      <c r="L457" s="124"/>
      <c r="M457" s="124"/>
      <c r="N457" s="172"/>
      <c r="O457" s="124"/>
      <c r="P457" s="124"/>
      <c r="Q457" s="124"/>
      <c r="R457" s="172"/>
      <c r="S457" s="124"/>
      <c r="T457" s="124"/>
      <c r="U457" s="173"/>
      <c r="V457" s="124"/>
      <c r="W457" s="124"/>
      <c r="X457" s="124"/>
      <c r="Y457" s="125"/>
      <c r="Z457" s="124"/>
      <c r="AA457" s="124"/>
      <c r="AB457" s="125"/>
      <c r="AC457" s="124"/>
      <c r="AD457" s="123"/>
      <c r="AE457" s="124"/>
      <c r="AF457" s="124"/>
      <c r="AG457" s="125"/>
      <c r="AH457" s="124"/>
      <c r="AI457" s="125"/>
      <c r="AJ457" s="124"/>
      <c r="AK457" s="124"/>
      <c r="AL457" s="124"/>
      <c r="AM457" s="124"/>
      <c r="AN457" s="125" t="s">
        <v>205</v>
      </c>
      <c r="AO457" s="124"/>
      <c r="AP457" s="125"/>
      <c r="AQ457" s="124"/>
      <c r="AR457" s="124"/>
      <c r="AS457" s="124"/>
      <c r="AT457" s="124"/>
      <c r="AU457" s="124"/>
      <c r="AV457" s="124"/>
      <c r="AW457" s="124"/>
      <c r="AX457" s="124"/>
      <c r="AY457" s="124"/>
      <c r="AZ457" s="124"/>
      <c r="BA457" s="124"/>
      <c r="BB457" s="124"/>
      <c r="BC457" s="124"/>
    </row>
    <row r="458" spans="1:55" ht="11.25" customHeight="1" x14ac:dyDescent="0.2">
      <c r="A458" s="128">
        <v>655</v>
      </c>
      <c r="B458" s="136" t="s">
        <v>13</v>
      </c>
      <c r="C458" s="137">
        <v>0</v>
      </c>
      <c r="D458" s="171">
        <v>22</v>
      </c>
      <c r="E458" s="172">
        <v>0</v>
      </c>
      <c r="F458" s="137">
        <v>85</v>
      </c>
      <c r="G458" s="172">
        <v>0</v>
      </c>
      <c r="H458" s="137">
        <v>0</v>
      </c>
      <c r="I458" s="137">
        <v>0</v>
      </c>
      <c r="J458" s="137">
        <v>11</v>
      </c>
      <c r="K458" s="172">
        <v>0</v>
      </c>
      <c r="L458" s="137">
        <v>0</v>
      </c>
      <c r="M458" s="137">
        <v>74</v>
      </c>
      <c r="N458" s="172">
        <v>0</v>
      </c>
      <c r="O458" s="137">
        <v>0</v>
      </c>
      <c r="P458" s="137">
        <v>0</v>
      </c>
      <c r="Q458" s="137">
        <v>45</v>
      </c>
      <c r="R458" s="172">
        <v>0</v>
      </c>
      <c r="S458" s="137">
        <v>0</v>
      </c>
      <c r="T458" s="137">
        <v>35</v>
      </c>
      <c r="U458" s="173">
        <v>0</v>
      </c>
      <c r="V458" s="137">
        <v>0</v>
      </c>
      <c r="W458" s="137">
        <v>0</v>
      </c>
      <c r="X458" s="137">
        <v>105</v>
      </c>
      <c r="Y458" s="125">
        <v>0</v>
      </c>
      <c r="Z458" s="137">
        <v>0</v>
      </c>
      <c r="AA458" s="137">
        <v>79</v>
      </c>
      <c r="AB458" s="125">
        <v>0</v>
      </c>
      <c r="AC458" s="137">
        <v>5</v>
      </c>
      <c r="AD458" s="123">
        <v>0</v>
      </c>
      <c r="AE458" s="137">
        <v>0</v>
      </c>
      <c r="AF458" s="137">
        <v>35</v>
      </c>
      <c r="AG458" s="125">
        <v>0</v>
      </c>
      <c r="AH458" s="137">
        <v>66</v>
      </c>
      <c r="AI458" s="125">
        <v>0</v>
      </c>
      <c r="AJ458" s="137">
        <v>0</v>
      </c>
      <c r="AK458" s="137">
        <v>0</v>
      </c>
      <c r="AL458" s="137">
        <v>0</v>
      </c>
      <c r="AM458" s="137">
        <v>30</v>
      </c>
      <c r="AN458" s="125">
        <v>0</v>
      </c>
      <c r="AO458" s="137">
        <v>63</v>
      </c>
      <c r="AP458" s="125" t="s">
        <v>18</v>
      </c>
      <c r="AQ458" s="137" t="s">
        <v>18</v>
      </c>
      <c r="AR458" s="137" t="s">
        <v>18</v>
      </c>
      <c r="AS458" s="137" t="s">
        <v>18</v>
      </c>
      <c r="AT458" s="137" t="s">
        <v>18</v>
      </c>
      <c r="AU458" s="137" t="s">
        <v>18</v>
      </c>
      <c r="AV458" s="137" t="s">
        <v>18</v>
      </c>
      <c r="AW458" s="137" t="s">
        <v>18</v>
      </c>
      <c r="AX458" s="137" t="s">
        <v>18</v>
      </c>
      <c r="AY458" s="137" t="s">
        <v>18</v>
      </c>
      <c r="AZ458" s="137" t="s">
        <v>18</v>
      </c>
      <c r="BA458" s="137" t="s">
        <v>18</v>
      </c>
      <c r="BB458" s="137" t="s">
        <v>18</v>
      </c>
      <c r="BC458" s="137" t="s">
        <v>18</v>
      </c>
    </row>
    <row r="459" spans="1:55" ht="11.25" customHeight="1" x14ac:dyDescent="0.2">
      <c r="A459" s="128">
        <v>12</v>
      </c>
      <c r="B459" s="136" t="s">
        <v>14</v>
      </c>
      <c r="C459" s="137">
        <v>0</v>
      </c>
      <c r="D459" s="171">
        <v>0</v>
      </c>
      <c r="E459" s="172">
        <v>0</v>
      </c>
      <c r="F459" s="137">
        <v>0</v>
      </c>
      <c r="G459" s="172">
        <v>0</v>
      </c>
      <c r="H459" s="137">
        <v>0</v>
      </c>
      <c r="I459" s="137">
        <v>0</v>
      </c>
      <c r="J459" s="137">
        <v>1</v>
      </c>
      <c r="K459" s="172">
        <v>0</v>
      </c>
      <c r="L459" s="137">
        <v>0</v>
      </c>
      <c r="M459" s="137">
        <v>1</v>
      </c>
      <c r="N459" s="172">
        <v>0</v>
      </c>
      <c r="O459" s="137">
        <v>0</v>
      </c>
      <c r="P459" s="137">
        <v>0</v>
      </c>
      <c r="Q459" s="137">
        <v>2</v>
      </c>
      <c r="R459" s="172">
        <v>0</v>
      </c>
      <c r="S459" s="137">
        <v>0</v>
      </c>
      <c r="T459" s="137">
        <v>0</v>
      </c>
      <c r="U459" s="173">
        <v>0</v>
      </c>
      <c r="V459" s="137">
        <v>0</v>
      </c>
      <c r="W459" s="137">
        <v>0</v>
      </c>
      <c r="X459" s="137">
        <v>2</v>
      </c>
      <c r="Y459" s="125">
        <v>0</v>
      </c>
      <c r="Z459" s="137">
        <v>0</v>
      </c>
      <c r="AA459" s="137">
        <v>1</v>
      </c>
      <c r="AB459" s="125">
        <v>0</v>
      </c>
      <c r="AC459" s="137">
        <v>0</v>
      </c>
      <c r="AD459" s="123">
        <v>0</v>
      </c>
      <c r="AE459" s="137">
        <v>0</v>
      </c>
      <c r="AF459" s="137">
        <v>2</v>
      </c>
      <c r="AG459" s="125">
        <v>0</v>
      </c>
      <c r="AH459" s="137">
        <v>1</v>
      </c>
      <c r="AI459" s="125">
        <v>0</v>
      </c>
      <c r="AJ459" s="137">
        <v>0</v>
      </c>
      <c r="AK459" s="137">
        <v>0</v>
      </c>
      <c r="AL459" s="137">
        <v>0</v>
      </c>
      <c r="AM459" s="137">
        <v>0</v>
      </c>
      <c r="AN459" s="125">
        <v>0</v>
      </c>
      <c r="AO459" s="137">
        <v>2</v>
      </c>
      <c r="AP459" s="125" t="s">
        <v>18</v>
      </c>
      <c r="AQ459" s="137" t="s">
        <v>18</v>
      </c>
      <c r="AR459" s="137" t="s">
        <v>18</v>
      </c>
      <c r="AS459" s="137" t="s">
        <v>18</v>
      </c>
      <c r="AT459" s="137" t="s">
        <v>18</v>
      </c>
      <c r="AU459" s="137" t="s">
        <v>18</v>
      </c>
      <c r="AV459" s="137" t="s">
        <v>18</v>
      </c>
      <c r="AW459" s="137" t="s">
        <v>18</v>
      </c>
      <c r="AX459" s="137" t="s">
        <v>18</v>
      </c>
      <c r="AY459" s="137" t="s">
        <v>18</v>
      </c>
      <c r="AZ459" s="137" t="s">
        <v>18</v>
      </c>
      <c r="BA459" s="137" t="s">
        <v>18</v>
      </c>
      <c r="BB459" s="137" t="s">
        <v>18</v>
      </c>
      <c r="BC459" s="137" t="s">
        <v>18</v>
      </c>
    </row>
    <row r="460" spans="1:55" ht="11.25" customHeight="1" x14ac:dyDescent="0.2">
      <c r="A460" s="128">
        <v>11</v>
      </c>
      <c r="B460" s="136" t="s">
        <v>15</v>
      </c>
      <c r="C460" s="137">
        <v>0</v>
      </c>
      <c r="D460" s="171">
        <v>0</v>
      </c>
      <c r="E460" s="172">
        <v>0</v>
      </c>
      <c r="F460" s="137">
        <v>1</v>
      </c>
      <c r="G460" s="172">
        <v>0</v>
      </c>
      <c r="H460" s="137">
        <v>0</v>
      </c>
      <c r="I460" s="137">
        <v>0</v>
      </c>
      <c r="J460" s="137">
        <v>0</v>
      </c>
      <c r="K460" s="172">
        <v>0</v>
      </c>
      <c r="L460" s="137">
        <v>0</v>
      </c>
      <c r="M460" s="137">
        <v>1</v>
      </c>
      <c r="N460" s="172">
        <v>0</v>
      </c>
      <c r="O460" s="137">
        <v>0</v>
      </c>
      <c r="P460" s="137">
        <v>0</v>
      </c>
      <c r="Q460" s="137">
        <v>1</v>
      </c>
      <c r="R460" s="172">
        <v>0</v>
      </c>
      <c r="S460" s="137">
        <v>0</v>
      </c>
      <c r="T460" s="137">
        <v>0</v>
      </c>
      <c r="U460" s="173">
        <v>0</v>
      </c>
      <c r="V460" s="137">
        <v>0</v>
      </c>
      <c r="W460" s="137">
        <v>0</v>
      </c>
      <c r="X460" s="137">
        <v>2</v>
      </c>
      <c r="Y460" s="125">
        <v>0</v>
      </c>
      <c r="Z460" s="137">
        <v>0</v>
      </c>
      <c r="AA460" s="137">
        <v>1</v>
      </c>
      <c r="AB460" s="125">
        <v>0</v>
      </c>
      <c r="AC460" s="137">
        <v>0</v>
      </c>
      <c r="AD460" s="123">
        <v>0</v>
      </c>
      <c r="AE460" s="137">
        <v>0</v>
      </c>
      <c r="AF460" s="137">
        <v>2</v>
      </c>
      <c r="AG460" s="125">
        <v>0</v>
      </c>
      <c r="AH460" s="137">
        <v>1</v>
      </c>
      <c r="AI460" s="125">
        <v>0</v>
      </c>
      <c r="AJ460" s="137">
        <v>0</v>
      </c>
      <c r="AK460" s="137">
        <v>0</v>
      </c>
      <c r="AL460" s="137">
        <v>0</v>
      </c>
      <c r="AM460" s="137">
        <v>0</v>
      </c>
      <c r="AN460" s="125">
        <v>0</v>
      </c>
      <c r="AO460" s="137">
        <v>2</v>
      </c>
      <c r="AP460" s="125" t="s">
        <v>18</v>
      </c>
      <c r="AQ460" s="137" t="s">
        <v>18</v>
      </c>
      <c r="AR460" s="137" t="s">
        <v>18</v>
      </c>
      <c r="AS460" s="137" t="s">
        <v>18</v>
      </c>
      <c r="AT460" s="137" t="s">
        <v>18</v>
      </c>
      <c r="AU460" s="137" t="s">
        <v>18</v>
      </c>
      <c r="AV460" s="137" t="s">
        <v>18</v>
      </c>
      <c r="AW460" s="137" t="s">
        <v>18</v>
      </c>
      <c r="AX460" s="137" t="s">
        <v>18</v>
      </c>
      <c r="AY460" s="137" t="s">
        <v>18</v>
      </c>
      <c r="AZ460" s="137" t="s">
        <v>18</v>
      </c>
      <c r="BA460" s="137" t="s">
        <v>18</v>
      </c>
      <c r="BB460" s="137" t="s">
        <v>18</v>
      </c>
      <c r="BC460" s="137" t="s">
        <v>18</v>
      </c>
    </row>
    <row r="461" spans="1:55" ht="11.25" customHeight="1" x14ac:dyDescent="0.2">
      <c r="A461" s="128">
        <v>8580</v>
      </c>
      <c r="B461" s="136" t="s">
        <v>16</v>
      </c>
      <c r="C461" s="137">
        <v>0</v>
      </c>
      <c r="D461" s="171">
        <v>0</v>
      </c>
      <c r="E461" s="172">
        <v>0</v>
      </c>
      <c r="F461" s="137">
        <v>780</v>
      </c>
      <c r="G461" s="172">
        <v>0</v>
      </c>
      <c r="H461" s="137">
        <v>0</v>
      </c>
      <c r="I461" s="137">
        <v>0</v>
      </c>
      <c r="J461" s="137">
        <v>0</v>
      </c>
      <c r="K461" s="172">
        <v>0</v>
      </c>
      <c r="L461" s="137">
        <v>0</v>
      </c>
      <c r="M461" s="137">
        <v>780</v>
      </c>
      <c r="N461" s="172">
        <v>0</v>
      </c>
      <c r="O461" s="137">
        <v>0</v>
      </c>
      <c r="P461" s="137">
        <v>0</v>
      </c>
      <c r="Q461" s="137">
        <v>780</v>
      </c>
      <c r="R461" s="172">
        <v>0</v>
      </c>
      <c r="S461" s="137">
        <v>0</v>
      </c>
      <c r="T461" s="137">
        <v>0</v>
      </c>
      <c r="U461" s="173">
        <v>0</v>
      </c>
      <c r="V461" s="137">
        <v>0</v>
      </c>
      <c r="W461" s="137">
        <v>0</v>
      </c>
      <c r="X461" s="137">
        <v>1560</v>
      </c>
      <c r="Y461" s="125">
        <v>0</v>
      </c>
      <c r="Z461" s="137">
        <v>0</v>
      </c>
      <c r="AA461" s="137">
        <v>780</v>
      </c>
      <c r="AB461" s="125">
        <v>0</v>
      </c>
      <c r="AC461" s="137">
        <v>0</v>
      </c>
      <c r="AD461" s="123">
        <v>0</v>
      </c>
      <c r="AE461" s="137">
        <v>0</v>
      </c>
      <c r="AF461" s="137">
        <v>1560</v>
      </c>
      <c r="AG461" s="125">
        <v>0</v>
      </c>
      <c r="AH461" s="137">
        <v>780</v>
      </c>
      <c r="AI461" s="125">
        <v>0</v>
      </c>
      <c r="AJ461" s="137">
        <v>0</v>
      </c>
      <c r="AK461" s="137">
        <v>0</v>
      </c>
      <c r="AL461" s="137">
        <v>0</v>
      </c>
      <c r="AM461" s="137">
        <v>0</v>
      </c>
      <c r="AN461" s="125">
        <v>0</v>
      </c>
      <c r="AO461" s="137">
        <v>1560</v>
      </c>
      <c r="AP461" s="125" t="s">
        <v>18</v>
      </c>
      <c r="AQ461" s="137" t="s">
        <v>18</v>
      </c>
      <c r="AR461" s="137" t="s">
        <v>18</v>
      </c>
      <c r="AS461" s="137" t="s">
        <v>18</v>
      </c>
      <c r="AT461" s="137" t="s">
        <v>18</v>
      </c>
      <c r="AU461" s="137" t="s">
        <v>18</v>
      </c>
      <c r="AV461" s="137" t="s">
        <v>18</v>
      </c>
      <c r="AW461" s="137" t="s">
        <v>18</v>
      </c>
      <c r="AX461" s="137" t="s">
        <v>18</v>
      </c>
      <c r="AY461" s="137" t="s">
        <v>18</v>
      </c>
      <c r="AZ461" s="137" t="s">
        <v>18</v>
      </c>
      <c r="BA461" s="137" t="s">
        <v>18</v>
      </c>
      <c r="BB461" s="137" t="s">
        <v>18</v>
      </c>
      <c r="BC461" s="137" t="s">
        <v>18</v>
      </c>
    </row>
    <row r="462" spans="1:55" ht="11.25" customHeight="1" thickBot="1" x14ac:dyDescent="0.25">
      <c r="A462" s="138">
        <v>0.13099236641221373</v>
      </c>
      <c r="B462" s="136" t="s">
        <v>17</v>
      </c>
      <c r="C462" s="147" t="s">
        <v>18</v>
      </c>
      <c r="D462" s="183" t="s">
        <v>18</v>
      </c>
      <c r="E462" s="184" t="s">
        <v>18</v>
      </c>
      <c r="F462" s="147">
        <v>9.1764705882352943E-2</v>
      </c>
      <c r="G462" s="184" t="s">
        <v>18</v>
      </c>
      <c r="H462" s="147" t="s">
        <v>18</v>
      </c>
      <c r="I462" s="147" t="s">
        <v>18</v>
      </c>
      <c r="J462" s="147" t="s">
        <v>18</v>
      </c>
      <c r="K462" s="184" t="s">
        <v>18</v>
      </c>
      <c r="L462" s="147" t="s">
        <v>18</v>
      </c>
      <c r="M462" s="147">
        <v>0.10540540540540541</v>
      </c>
      <c r="N462" s="184" t="s">
        <v>18</v>
      </c>
      <c r="O462" s="147" t="s">
        <v>18</v>
      </c>
      <c r="P462" s="147" t="s">
        <v>18</v>
      </c>
      <c r="Q462" s="147">
        <v>0.17333333333333334</v>
      </c>
      <c r="R462" s="184" t="s">
        <v>18</v>
      </c>
      <c r="S462" s="147" t="s">
        <v>18</v>
      </c>
      <c r="T462" s="147" t="s">
        <v>18</v>
      </c>
      <c r="U462" s="185" t="s">
        <v>18</v>
      </c>
      <c r="V462" s="147" t="s">
        <v>18</v>
      </c>
      <c r="W462" s="147" t="s">
        <v>18</v>
      </c>
      <c r="X462" s="147">
        <v>0.14857142857142858</v>
      </c>
      <c r="Y462" s="148" t="s">
        <v>18</v>
      </c>
      <c r="Z462" s="147" t="s">
        <v>18</v>
      </c>
      <c r="AA462" s="147">
        <v>9.8734177215189872E-2</v>
      </c>
      <c r="AB462" s="148" t="s">
        <v>18</v>
      </c>
      <c r="AC462" s="147" t="s">
        <v>18</v>
      </c>
      <c r="AD462" s="146" t="s">
        <v>18</v>
      </c>
      <c r="AE462" s="147" t="s">
        <v>18</v>
      </c>
      <c r="AF462" s="147">
        <v>0.44571428571428573</v>
      </c>
      <c r="AG462" s="148" t="s">
        <v>18</v>
      </c>
      <c r="AH462" s="147">
        <v>0.11818181818181818</v>
      </c>
      <c r="AI462" s="148" t="s">
        <v>18</v>
      </c>
      <c r="AJ462" s="147" t="s">
        <v>18</v>
      </c>
      <c r="AK462" s="147" t="s">
        <v>18</v>
      </c>
      <c r="AL462" s="147" t="s">
        <v>18</v>
      </c>
      <c r="AM462" s="147" t="s">
        <v>18</v>
      </c>
      <c r="AN462" s="148" t="s">
        <v>18</v>
      </c>
      <c r="AO462" s="147">
        <v>0.24761904761904763</v>
      </c>
      <c r="AP462" s="148" t="s">
        <v>18</v>
      </c>
      <c r="AQ462" s="147" t="s">
        <v>18</v>
      </c>
      <c r="AR462" s="147" t="s">
        <v>18</v>
      </c>
      <c r="AS462" s="147" t="s">
        <v>18</v>
      </c>
      <c r="AT462" s="147" t="s">
        <v>18</v>
      </c>
      <c r="AU462" s="147" t="s">
        <v>18</v>
      </c>
      <c r="AV462" s="147" t="s">
        <v>18</v>
      </c>
      <c r="AW462" s="147" t="s">
        <v>18</v>
      </c>
      <c r="AX462" s="147" t="s">
        <v>18</v>
      </c>
      <c r="AY462" s="147" t="s">
        <v>18</v>
      </c>
      <c r="AZ462" s="147" t="s">
        <v>18</v>
      </c>
      <c r="BA462" s="147" t="s">
        <v>18</v>
      </c>
      <c r="BB462" s="147" t="s">
        <v>18</v>
      </c>
      <c r="BC462" s="147" t="s">
        <v>18</v>
      </c>
    </row>
    <row r="463" spans="1:55" ht="11.25" customHeight="1" x14ac:dyDescent="0.2">
      <c r="A463" s="149" t="s">
        <v>1</v>
      </c>
      <c r="B463" s="150" t="s">
        <v>2</v>
      </c>
      <c r="C463" s="130">
        <v>17222</v>
      </c>
      <c r="D463" s="174">
        <v>17267</v>
      </c>
      <c r="E463" s="175">
        <v>17267</v>
      </c>
      <c r="F463" s="130">
        <v>17331</v>
      </c>
      <c r="G463" s="175">
        <v>17331</v>
      </c>
      <c r="H463" s="130">
        <v>17331</v>
      </c>
      <c r="I463" s="130">
        <v>17331</v>
      </c>
      <c r="J463" s="130">
        <v>17349</v>
      </c>
      <c r="K463" s="175">
        <v>17349</v>
      </c>
      <c r="L463" s="130">
        <v>17349</v>
      </c>
      <c r="M463" s="130">
        <v>17400</v>
      </c>
      <c r="N463" s="175">
        <v>17400</v>
      </c>
      <c r="O463" s="130">
        <v>17400</v>
      </c>
      <c r="P463" s="130">
        <v>17400</v>
      </c>
      <c r="Q463" s="130">
        <v>17425</v>
      </c>
      <c r="R463" s="175">
        <v>17425</v>
      </c>
      <c r="S463" s="130">
        <v>17425</v>
      </c>
      <c r="T463" s="130">
        <v>17506</v>
      </c>
      <c r="U463" s="176">
        <v>17506</v>
      </c>
      <c r="V463" s="130">
        <v>17506</v>
      </c>
      <c r="W463" s="130">
        <v>17506</v>
      </c>
      <c r="X463" s="130">
        <v>17529</v>
      </c>
      <c r="Y463" s="131">
        <v>17529</v>
      </c>
      <c r="Z463" s="130">
        <v>17529</v>
      </c>
      <c r="AA463" s="130">
        <v>17601</v>
      </c>
      <c r="AB463" s="131">
        <v>17601</v>
      </c>
      <c r="AC463" s="130">
        <v>17617</v>
      </c>
      <c r="AD463" s="129">
        <v>17617</v>
      </c>
      <c r="AE463" s="130">
        <v>17617</v>
      </c>
      <c r="AF463" s="130">
        <v>17720</v>
      </c>
      <c r="AG463" s="131">
        <v>17720</v>
      </c>
      <c r="AH463" s="130">
        <v>17760</v>
      </c>
      <c r="AI463" s="131">
        <v>17760</v>
      </c>
      <c r="AJ463" s="130">
        <v>17760</v>
      </c>
      <c r="AK463" s="130">
        <v>17760</v>
      </c>
      <c r="AL463" s="130">
        <v>17760</v>
      </c>
      <c r="AM463" s="130">
        <v>17862</v>
      </c>
      <c r="AN463" s="131">
        <v>17862</v>
      </c>
      <c r="AO463" s="130">
        <v>17900</v>
      </c>
      <c r="AP463" s="131" t="s">
        <v>18</v>
      </c>
      <c r="AQ463" s="130" t="s">
        <v>18</v>
      </c>
      <c r="AR463" s="130" t="s">
        <v>18</v>
      </c>
      <c r="AS463" s="130" t="s">
        <v>18</v>
      </c>
      <c r="AT463" s="130" t="s">
        <v>18</v>
      </c>
      <c r="AU463" s="130" t="s">
        <v>18</v>
      </c>
      <c r="AV463" s="130" t="s">
        <v>18</v>
      </c>
      <c r="AW463" s="130" t="s">
        <v>18</v>
      </c>
      <c r="AX463" s="130" t="s">
        <v>18</v>
      </c>
      <c r="AY463" s="130" t="s">
        <v>18</v>
      </c>
      <c r="AZ463" s="130" t="s">
        <v>18</v>
      </c>
      <c r="BA463" s="130" t="s">
        <v>18</v>
      </c>
      <c r="BB463" s="130" t="s">
        <v>18</v>
      </c>
      <c r="BC463" s="130" t="s">
        <v>18</v>
      </c>
    </row>
    <row r="464" spans="1:55" ht="11.25" customHeight="1" x14ac:dyDescent="0.2">
      <c r="A464" s="121" t="s">
        <v>19</v>
      </c>
      <c r="B464" s="122" t="s">
        <v>4</v>
      </c>
      <c r="C464" s="124">
        <v>1524</v>
      </c>
      <c r="D464" s="171">
        <v>1524</v>
      </c>
      <c r="E464" s="172">
        <v>1524</v>
      </c>
      <c r="F464" s="124">
        <v>1527</v>
      </c>
      <c r="G464" s="172">
        <v>1527</v>
      </c>
      <c r="H464" s="124">
        <v>1527</v>
      </c>
      <c r="I464" s="124">
        <v>1527</v>
      </c>
      <c r="J464" s="124">
        <v>1527</v>
      </c>
      <c r="K464" s="172">
        <v>1527</v>
      </c>
      <c r="L464" s="124">
        <v>1527</v>
      </c>
      <c r="M464" s="124">
        <v>1530</v>
      </c>
      <c r="N464" s="172">
        <v>1530</v>
      </c>
      <c r="O464" s="124">
        <v>1530</v>
      </c>
      <c r="P464" s="124">
        <v>1530</v>
      </c>
      <c r="Q464" s="124">
        <v>1532</v>
      </c>
      <c r="R464" s="172">
        <v>1532</v>
      </c>
      <c r="S464" s="124">
        <v>1532</v>
      </c>
      <c r="T464" s="124">
        <v>1545</v>
      </c>
      <c r="U464" s="173">
        <v>1545</v>
      </c>
      <c r="V464" s="124">
        <v>1545</v>
      </c>
      <c r="W464" s="124">
        <v>1545</v>
      </c>
      <c r="X464" s="124">
        <v>1548</v>
      </c>
      <c r="Y464" s="125">
        <v>1548</v>
      </c>
      <c r="Z464" s="124">
        <v>1548</v>
      </c>
      <c r="AA464" s="124">
        <v>1560</v>
      </c>
      <c r="AB464" s="125">
        <v>1560</v>
      </c>
      <c r="AC464" s="124">
        <v>1564</v>
      </c>
      <c r="AD464" s="123">
        <v>1564</v>
      </c>
      <c r="AE464" s="124">
        <v>1564</v>
      </c>
      <c r="AF464" s="124">
        <v>1582</v>
      </c>
      <c r="AG464" s="125">
        <v>1582</v>
      </c>
      <c r="AH464" s="124">
        <v>1588</v>
      </c>
      <c r="AI464" s="125">
        <v>1588</v>
      </c>
      <c r="AJ464" s="124">
        <v>1588</v>
      </c>
      <c r="AK464" s="124">
        <v>1588</v>
      </c>
      <c r="AL464" s="124">
        <v>1588</v>
      </c>
      <c r="AM464" s="124">
        <v>1608</v>
      </c>
      <c r="AN464" s="125">
        <v>1608</v>
      </c>
      <c r="AO464" s="124">
        <v>1614</v>
      </c>
      <c r="AP464" s="125" t="s">
        <v>18</v>
      </c>
      <c r="AQ464" s="124" t="s">
        <v>18</v>
      </c>
      <c r="AR464" s="124" t="s">
        <v>18</v>
      </c>
      <c r="AS464" s="124" t="s">
        <v>18</v>
      </c>
      <c r="AT464" s="124" t="s">
        <v>18</v>
      </c>
      <c r="AU464" s="124" t="s">
        <v>18</v>
      </c>
      <c r="AV464" s="124" t="s">
        <v>18</v>
      </c>
      <c r="AW464" s="124" t="s">
        <v>18</v>
      </c>
      <c r="AX464" s="124" t="s">
        <v>18</v>
      </c>
      <c r="AY464" s="124" t="s">
        <v>18</v>
      </c>
      <c r="AZ464" s="124" t="s">
        <v>18</v>
      </c>
      <c r="BA464" s="124" t="s">
        <v>18</v>
      </c>
      <c r="BB464" s="124" t="s">
        <v>18</v>
      </c>
      <c r="BC464" s="124" t="s">
        <v>18</v>
      </c>
    </row>
    <row r="465" spans="1:55" ht="11.25" customHeight="1" x14ac:dyDescent="0.25">
      <c r="A465" s="143">
        <v>4</v>
      </c>
      <c r="B465" s="122" t="s">
        <v>5</v>
      </c>
      <c r="C465" s="124">
        <v>11</v>
      </c>
      <c r="D465" s="171">
        <v>14</v>
      </c>
      <c r="E465" s="172">
        <v>14</v>
      </c>
      <c r="F465" s="124">
        <v>12</v>
      </c>
      <c r="G465" s="172">
        <v>12</v>
      </c>
      <c r="H465" s="124">
        <v>12</v>
      </c>
      <c r="I465" s="124">
        <v>12</v>
      </c>
      <c r="J465" s="124">
        <v>12</v>
      </c>
      <c r="K465" s="172">
        <v>12</v>
      </c>
      <c r="L465" s="124">
        <v>12</v>
      </c>
      <c r="M465" s="124">
        <v>12</v>
      </c>
      <c r="N465" s="172">
        <v>12</v>
      </c>
      <c r="O465" s="124">
        <v>12</v>
      </c>
      <c r="P465" s="124">
        <v>12</v>
      </c>
      <c r="Q465" s="124">
        <v>10</v>
      </c>
      <c r="R465" s="172">
        <v>30</v>
      </c>
      <c r="S465" s="124">
        <v>30</v>
      </c>
      <c r="T465" s="124">
        <v>21</v>
      </c>
      <c r="U465" s="173">
        <v>35</v>
      </c>
      <c r="V465" s="124">
        <v>35</v>
      </c>
      <c r="W465" s="124">
        <v>35</v>
      </c>
      <c r="X465" s="124">
        <v>35</v>
      </c>
      <c r="Y465" s="125">
        <v>49</v>
      </c>
      <c r="Z465" s="124">
        <v>49</v>
      </c>
      <c r="AA465" s="124">
        <v>37</v>
      </c>
      <c r="AB465" s="125">
        <v>49</v>
      </c>
      <c r="AC465" s="124">
        <v>45</v>
      </c>
      <c r="AD465" s="123">
        <v>45</v>
      </c>
      <c r="AE465" s="124">
        <v>45</v>
      </c>
      <c r="AF465" s="124">
        <v>29</v>
      </c>
      <c r="AG465" s="125">
        <v>45</v>
      </c>
      <c r="AH465" s="124">
        <v>39</v>
      </c>
      <c r="AI465" s="125">
        <v>49</v>
      </c>
      <c r="AJ465" s="124">
        <v>49</v>
      </c>
      <c r="AK465" s="124">
        <v>49</v>
      </c>
      <c r="AL465" s="124">
        <v>49</v>
      </c>
      <c r="AM465" s="124">
        <v>29</v>
      </c>
      <c r="AN465" s="125">
        <v>29</v>
      </c>
      <c r="AO465" s="124">
        <v>23</v>
      </c>
      <c r="AP465" s="125" t="s">
        <v>18</v>
      </c>
      <c r="AQ465" s="124" t="s">
        <v>18</v>
      </c>
      <c r="AR465" s="124" t="s">
        <v>18</v>
      </c>
      <c r="AS465" s="124" t="s">
        <v>18</v>
      </c>
      <c r="AT465" s="124" t="s">
        <v>18</v>
      </c>
      <c r="AU465" s="124" t="s">
        <v>18</v>
      </c>
      <c r="AV465" s="124" t="s">
        <v>18</v>
      </c>
      <c r="AW465" s="124" t="s">
        <v>18</v>
      </c>
      <c r="AX465" s="124" t="s">
        <v>18</v>
      </c>
      <c r="AY465" s="124" t="s">
        <v>18</v>
      </c>
      <c r="AZ465" s="124" t="s">
        <v>18</v>
      </c>
      <c r="BA465" s="124" t="s">
        <v>18</v>
      </c>
      <c r="BB465" s="124" t="s">
        <v>18</v>
      </c>
      <c r="BC465" s="124" t="s">
        <v>18</v>
      </c>
    </row>
    <row r="466" spans="1:55" ht="11.25" customHeight="1" x14ac:dyDescent="0.2">
      <c r="A466" s="127"/>
      <c r="B466" s="122" t="s">
        <v>6</v>
      </c>
      <c r="C466" s="124">
        <v>3</v>
      </c>
      <c r="D466" s="171"/>
      <c r="E466" s="172"/>
      <c r="F466" s="124"/>
      <c r="G466" s="172"/>
      <c r="H466" s="124"/>
      <c r="I466" s="124"/>
      <c r="J466" s="124"/>
      <c r="K466" s="172"/>
      <c r="L466" s="124"/>
      <c r="M466" s="124"/>
      <c r="N466" s="172"/>
      <c r="O466" s="124"/>
      <c r="P466" s="124"/>
      <c r="Q466" s="124">
        <v>20</v>
      </c>
      <c r="R466" s="172"/>
      <c r="S466" s="124"/>
      <c r="T466" s="124">
        <v>14</v>
      </c>
      <c r="U466" s="173"/>
      <c r="V466" s="124"/>
      <c r="W466" s="124"/>
      <c r="X466" s="124">
        <v>14</v>
      </c>
      <c r="Y466" s="125"/>
      <c r="Z466" s="124"/>
      <c r="AA466" s="124">
        <v>12</v>
      </c>
      <c r="AB466" s="125"/>
      <c r="AC466" s="124"/>
      <c r="AD466" s="123"/>
      <c r="AE466" s="124"/>
      <c r="AF466" s="124">
        <v>16</v>
      </c>
      <c r="AG466" s="125"/>
      <c r="AH466" s="124">
        <v>10</v>
      </c>
      <c r="AI466" s="125"/>
      <c r="AJ466" s="124"/>
      <c r="AK466" s="124"/>
      <c r="AL466" s="124"/>
      <c r="AM466" s="124"/>
      <c r="AN466" s="125"/>
      <c r="AO466" s="124"/>
      <c r="AP466" s="125"/>
      <c r="AQ466" s="124"/>
      <c r="AR466" s="124"/>
      <c r="AS466" s="124"/>
      <c r="AT466" s="124"/>
      <c r="AU466" s="124"/>
      <c r="AV466" s="124"/>
      <c r="AW466" s="124"/>
      <c r="AX466" s="124"/>
      <c r="AY466" s="124"/>
      <c r="AZ466" s="124"/>
      <c r="BA466" s="124"/>
      <c r="BB466" s="124"/>
      <c r="BC466" s="124"/>
    </row>
    <row r="467" spans="1:55" ht="11.25" customHeight="1" x14ac:dyDescent="0.2">
      <c r="A467" s="128"/>
      <c r="B467" s="122" t="s">
        <v>8</v>
      </c>
      <c r="C467" s="130">
        <v>650</v>
      </c>
      <c r="D467" s="174">
        <v>650</v>
      </c>
      <c r="E467" s="175">
        <v>650</v>
      </c>
      <c r="F467" s="130">
        <v>650</v>
      </c>
      <c r="G467" s="175">
        <v>650</v>
      </c>
      <c r="H467" s="130">
        <v>650</v>
      </c>
      <c r="I467" s="130">
        <v>650</v>
      </c>
      <c r="J467" s="130">
        <v>650</v>
      </c>
      <c r="K467" s="175">
        <v>650</v>
      </c>
      <c r="L467" s="130">
        <v>650</v>
      </c>
      <c r="M467" s="130">
        <v>650</v>
      </c>
      <c r="N467" s="175">
        <v>650</v>
      </c>
      <c r="O467" s="130">
        <v>650</v>
      </c>
      <c r="P467" s="130">
        <v>650</v>
      </c>
      <c r="Q467" s="130">
        <v>650</v>
      </c>
      <c r="R467" s="175">
        <v>185</v>
      </c>
      <c r="S467" s="130">
        <v>185</v>
      </c>
      <c r="T467" s="130">
        <v>185</v>
      </c>
      <c r="U467" s="176">
        <v>185</v>
      </c>
      <c r="V467" s="130">
        <v>185</v>
      </c>
      <c r="W467" s="130">
        <v>185</v>
      </c>
      <c r="X467" s="130">
        <v>185</v>
      </c>
      <c r="Y467" s="131">
        <v>185</v>
      </c>
      <c r="Z467" s="130">
        <v>185</v>
      </c>
      <c r="AA467" s="130">
        <v>185</v>
      </c>
      <c r="AB467" s="131">
        <v>185</v>
      </c>
      <c r="AC467" s="130">
        <v>185</v>
      </c>
      <c r="AD467" s="129">
        <v>185</v>
      </c>
      <c r="AE467" s="130">
        <v>185</v>
      </c>
      <c r="AF467" s="130">
        <v>185</v>
      </c>
      <c r="AG467" s="131">
        <v>185</v>
      </c>
      <c r="AH467" s="130">
        <v>185</v>
      </c>
      <c r="AI467" s="131">
        <v>185</v>
      </c>
      <c r="AJ467" s="130">
        <v>185</v>
      </c>
      <c r="AK467" s="130">
        <v>185</v>
      </c>
      <c r="AL467" s="130">
        <v>185</v>
      </c>
      <c r="AM467" s="130">
        <v>185</v>
      </c>
      <c r="AN467" s="131">
        <v>185</v>
      </c>
      <c r="AO467" s="130">
        <v>185</v>
      </c>
      <c r="AP467" s="131" t="s">
        <v>18</v>
      </c>
      <c r="AQ467" s="130" t="s">
        <v>18</v>
      </c>
      <c r="AR467" s="130" t="s">
        <v>18</v>
      </c>
      <c r="AS467" s="130" t="s">
        <v>18</v>
      </c>
      <c r="AT467" s="130" t="s">
        <v>18</v>
      </c>
      <c r="AU467" s="130" t="s">
        <v>18</v>
      </c>
      <c r="AV467" s="130" t="s">
        <v>18</v>
      </c>
      <c r="AW467" s="130" t="s">
        <v>18</v>
      </c>
      <c r="AX467" s="130" t="s">
        <v>18</v>
      </c>
      <c r="AY467" s="130" t="s">
        <v>18</v>
      </c>
      <c r="AZ467" s="130" t="s">
        <v>18</v>
      </c>
      <c r="BA467" s="130" t="s">
        <v>18</v>
      </c>
      <c r="BB467" s="130" t="s">
        <v>18</v>
      </c>
      <c r="BC467" s="130" t="s">
        <v>18</v>
      </c>
    </row>
    <row r="468" spans="1:55" ht="11.25" customHeight="1" x14ac:dyDescent="0.2">
      <c r="A468" s="127" t="s">
        <v>9</v>
      </c>
      <c r="B468" s="132" t="s">
        <v>10</v>
      </c>
      <c r="C468" s="134" t="s">
        <v>26</v>
      </c>
      <c r="D468" s="177" t="s">
        <v>26</v>
      </c>
      <c r="E468" s="178" t="s">
        <v>26</v>
      </c>
      <c r="F468" s="134" t="s">
        <v>26</v>
      </c>
      <c r="G468" s="178" t="s">
        <v>26</v>
      </c>
      <c r="H468" s="134" t="s">
        <v>26</v>
      </c>
      <c r="I468" s="134" t="s">
        <v>26</v>
      </c>
      <c r="J468" s="134" t="s">
        <v>26</v>
      </c>
      <c r="K468" s="178" t="s">
        <v>26</v>
      </c>
      <c r="L468" s="134" t="s">
        <v>26</v>
      </c>
      <c r="M468" s="134" t="s">
        <v>26</v>
      </c>
      <c r="N468" s="178" t="s">
        <v>26</v>
      </c>
      <c r="O468" s="134" t="s">
        <v>26</v>
      </c>
      <c r="P468" s="134" t="s">
        <v>26</v>
      </c>
      <c r="Q468" s="134" t="s">
        <v>26</v>
      </c>
      <c r="R468" s="178" t="s">
        <v>27</v>
      </c>
      <c r="S468" s="134" t="s">
        <v>27</v>
      </c>
      <c r="T468" s="134" t="s">
        <v>27</v>
      </c>
      <c r="U468" s="179" t="s">
        <v>27</v>
      </c>
      <c r="V468" s="134" t="s">
        <v>27</v>
      </c>
      <c r="W468" s="134" t="s">
        <v>27</v>
      </c>
      <c r="X468" s="134" t="s">
        <v>27</v>
      </c>
      <c r="Y468" s="135" t="s">
        <v>27</v>
      </c>
      <c r="Z468" s="134" t="s">
        <v>27</v>
      </c>
      <c r="AA468" s="134" t="s">
        <v>27</v>
      </c>
      <c r="AB468" s="135" t="s">
        <v>27</v>
      </c>
      <c r="AC468" s="134" t="s">
        <v>27</v>
      </c>
      <c r="AD468" s="133" t="s">
        <v>27</v>
      </c>
      <c r="AE468" s="134" t="s">
        <v>27</v>
      </c>
      <c r="AF468" s="134" t="s">
        <v>27</v>
      </c>
      <c r="AG468" s="135" t="s">
        <v>27</v>
      </c>
      <c r="AH468" s="134" t="s">
        <v>27</v>
      </c>
      <c r="AI468" s="135" t="s">
        <v>27</v>
      </c>
      <c r="AJ468" s="134" t="s">
        <v>27</v>
      </c>
      <c r="AK468" s="134" t="s">
        <v>27</v>
      </c>
      <c r="AL468" s="134" t="s">
        <v>27</v>
      </c>
      <c r="AM468" s="134" t="s">
        <v>27</v>
      </c>
      <c r="AN468" s="135" t="s">
        <v>27</v>
      </c>
      <c r="AO468" s="134" t="s">
        <v>27</v>
      </c>
      <c r="AP468" s="135" t="s">
        <v>18</v>
      </c>
      <c r="AQ468" s="134" t="s">
        <v>18</v>
      </c>
      <c r="AR468" s="134" t="s">
        <v>18</v>
      </c>
      <c r="AS468" s="134" t="s">
        <v>18</v>
      </c>
      <c r="AT468" s="134" t="s">
        <v>18</v>
      </c>
      <c r="AU468" s="134" t="s">
        <v>18</v>
      </c>
      <c r="AV468" s="134" t="s">
        <v>18</v>
      </c>
      <c r="AW468" s="134" t="s">
        <v>18</v>
      </c>
      <c r="AX468" s="134" t="s">
        <v>18</v>
      </c>
      <c r="AY468" s="134" t="s">
        <v>18</v>
      </c>
      <c r="AZ468" s="134" t="s">
        <v>18</v>
      </c>
      <c r="BA468" s="134" t="s">
        <v>18</v>
      </c>
      <c r="BB468" s="134" t="s">
        <v>18</v>
      </c>
      <c r="BC468" s="134" t="s">
        <v>18</v>
      </c>
    </row>
    <row r="469" spans="1:55" ht="11.25" customHeight="1" x14ac:dyDescent="0.2">
      <c r="A469" s="128">
        <v>52153.846153846156</v>
      </c>
      <c r="B469" s="122" t="s">
        <v>12</v>
      </c>
      <c r="C469" s="124"/>
      <c r="D469" s="171"/>
      <c r="E469" s="172"/>
      <c r="F469" s="124"/>
      <c r="G469" s="172"/>
      <c r="H469" s="124"/>
      <c r="I469" s="124"/>
      <c r="J469" s="124"/>
      <c r="K469" s="172"/>
      <c r="L469" s="124"/>
      <c r="M469" s="124"/>
      <c r="N469" s="172"/>
      <c r="O469" s="124"/>
      <c r="P469" s="124"/>
      <c r="Q469" s="124"/>
      <c r="R469" s="172" t="s">
        <v>28</v>
      </c>
      <c r="S469" s="124"/>
      <c r="T469" s="124"/>
      <c r="U469" s="173"/>
      <c r="V469" s="124"/>
      <c r="W469" s="124"/>
      <c r="X469" s="124"/>
      <c r="Y469" s="125"/>
      <c r="Z469" s="124"/>
      <c r="AA469" s="124"/>
      <c r="AB469" s="125"/>
      <c r="AC469" s="124"/>
      <c r="AD469" s="123"/>
      <c r="AE469" s="124"/>
      <c r="AF469" s="124"/>
      <c r="AG469" s="125"/>
      <c r="AH469" s="124"/>
      <c r="AI469" s="125"/>
      <c r="AJ469" s="124"/>
      <c r="AK469" s="124"/>
      <c r="AL469" s="124"/>
      <c r="AM469" s="124"/>
      <c r="AN469" s="125"/>
      <c r="AO469" s="124"/>
      <c r="AP469" s="125"/>
      <c r="AQ469" s="124"/>
      <c r="AR469" s="124"/>
      <c r="AS469" s="124"/>
      <c r="AT469" s="124"/>
      <c r="AU469" s="124"/>
      <c r="AV469" s="124"/>
      <c r="AW469" s="124"/>
      <c r="AX469" s="124"/>
      <c r="AY469" s="124"/>
      <c r="AZ469" s="124"/>
      <c r="BA469" s="124"/>
      <c r="BB469" s="124"/>
      <c r="BC469" s="124"/>
    </row>
    <row r="470" spans="1:55" ht="11.25" customHeight="1" x14ac:dyDescent="0.2">
      <c r="A470" s="128">
        <v>678</v>
      </c>
      <c r="B470" s="136" t="s">
        <v>13</v>
      </c>
      <c r="C470" s="137">
        <v>0</v>
      </c>
      <c r="D470" s="171">
        <v>45</v>
      </c>
      <c r="E470" s="172">
        <v>0</v>
      </c>
      <c r="F470" s="137">
        <v>64</v>
      </c>
      <c r="G470" s="172">
        <v>0</v>
      </c>
      <c r="H470" s="137">
        <v>0</v>
      </c>
      <c r="I470" s="137">
        <v>0</v>
      </c>
      <c r="J470" s="137">
        <v>18</v>
      </c>
      <c r="K470" s="172">
        <v>0</v>
      </c>
      <c r="L470" s="137">
        <v>0</v>
      </c>
      <c r="M470" s="137">
        <v>51</v>
      </c>
      <c r="N470" s="172">
        <v>0</v>
      </c>
      <c r="O470" s="137">
        <v>0</v>
      </c>
      <c r="P470" s="137">
        <v>0</v>
      </c>
      <c r="Q470" s="137">
        <v>25</v>
      </c>
      <c r="R470" s="172">
        <v>0</v>
      </c>
      <c r="S470" s="137">
        <v>0</v>
      </c>
      <c r="T470" s="137">
        <v>81</v>
      </c>
      <c r="U470" s="173">
        <v>0</v>
      </c>
      <c r="V470" s="137">
        <v>0</v>
      </c>
      <c r="W470" s="137">
        <v>0</v>
      </c>
      <c r="X470" s="137">
        <v>23</v>
      </c>
      <c r="Y470" s="125">
        <v>0</v>
      </c>
      <c r="Z470" s="137">
        <v>0</v>
      </c>
      <c r="AA470" s="137">
        <v>72</v>
      </c>
      <c r="AB470" s="125">
        <v>0</v>
      </c>
      <c r="AC470" s="137">
        <v>16</v>
      </c>
      <c r="AD470" s="123">
        <v>0</v>
      </c>
      <c r="AE470" s="137">
        <v>0</v>
      </c>
      <c r="AF470" s="137">
        <v>103</v>
      </c>
      <c r="AG470" s="125">
        <v>0</v>
      </c>
      <c r="AH470" s="137">
        <v>40</v>
      </c>
      <c r="AI470" s="125">
        <v>0</v>
      </c>
      <c r="AJ470" s="137">
        <v>0</v>
      </c>
      <c r="AK470" s="137">
        <v>0</v>
      </c>
      <c r="AL470" s="137">
        <v>0</v>
      </c>
      <c r="AM470" s="137">
        <v>102</v>
      </c>
      <c r="AN470" s="125">
        <v>0</v>
      </c>
      <c r="AO470" s="137">
        <v>38</v>
      </c>
      <c r="AP470" s="125" t="s">
        <v>18</v>
      </c>
      <c r="AQ470" s="137" t="s">
        <v>18</v>
      </c>
      <c r="AR470" s="137" t="s">
        <v>18</v>
      </c>
      <c r="AS470" s="137" t="s">
        <v>18</v>
      </c>
      <c r="AT470" s="137" t="s">
        <v>18</v>
      </c>
      <c r="AU470" s="137" t="s">
        <v>18</v>
      </c>
      <c r="AV470" s="137" t="s">
        <v>18</v>
      </c>
      <c r="AW470" s="137" t="s">
        <v>18</v>
      </c>
      <c r="AX470" s="137" t="s">
        <v>18</v>
      </c>
      <c r="AY470" s="137" t="s">
        <v>18</v>
      </c>
      <c r="AZ470" s="137" t="s">
        <v>18</v>
      </c>
      <c r="BA470" s="137" t="s">
        <v>18</v>
      </c>
      <c r="BB470" s="137" t="s">
        <v>18</v>
      </c>
      <c r="BC470" s="137" t="s">
        <v>18</v>
      </c>
    </row>
    <row r="471" spans="1:55" ht="11.25" customHeight="1" x14ac:dyDescent="0.2">
      <c r="A471" s="128">
        <v>90</v>
      </c>
      <c r="B471" s="136" t="s">
        <v>14</v>
      </c>
      <c r="C471" s="137">
        <v>0</v>
      </c>
      <c r="D471" s="171">
        <v>0</v>
      </c>
      <c r="E471" s="172">
        <v>0</v>
      </c>
      <c r="F471" s="137">
        <v>3</v>
      </c>
      <c r="G471" s="172">
        <v>0</v>
      </c>
      <c r="H471" s="137">
        <v>0</v>
      </c>
      <c r="I471" s="137">
        <v>0</v>
      </c>
      <c r="J471" s="137">
        <v>0</v>
      </c>
      <c r="K471" s="172">
        <v>0</v>
      </c>
      <c r="L471" s="137">
        <v>0</v>
      </c>
      <c r="M471" s="137">
        <v>3</v>
      </c>
      <c r="N471" s="172">
        <v>0</v>
      </c>
      <c r="O471" s="137">
        <v>0</v>
      </c>
      <c r="P471" s="137">
        <v>0</v>
      </c>
      <c r="Q471" s="137">
        <v>2</v>
      </c>
      <c r="R471" s="172">
        <v>0</v>
      </c>
      <c r="S471" s="137">
        <v>0</v>
      </c>
      <c r="T471" s="137">
        <v>13</v>
      </c>
      <c r="U471" s="173">
        <v>0</v>
      </c>
      <c r="V471" s="137">
        <v>0</v>
      </c>
      <c r="W471" s="137">
        <v>0</v>
      </c>
      <c r="X471" s="137">
        <v>3</v>
      </c>
      <c r="Y471" s="125">
        <v>0</v>
      </c>
      <c r="Z471" s="137">
        <v>0</v>
      </c>
      <c r="AA471" s="137">
        <v>12</v>
      </c>
      <c r="AB471" s="125">
        <v>0</v>
      </c>
      <c r="AC471" s="137">
        <v>4</v>
      </c>
      <c r="AD471" s="123">
        <v>0</v>
      </c>
      <c r="AE471" s="137">
        <v>0</v>
      </c>
      <c r="AF471" s="137">
        <v>18</v>
      </c>
      <c r="AG471" s="125">
        <v>0</v>
      </c>
      <c r="AH471" s="137">
        <v>6</v>
      </c>
      <c r="AI471" s="125">
        <v>0</v>
      </c>
      <c r="AJ471" s="137">
        <v>0</v>
      </c>
      <c r="AK471" s="137">
        <v>0</v>
      </c>
      <c r="AL471" s="137">
        <v>0</v>
      </c>
      <c r="AM471" s="137">
        <v>20</v>
      </c>
      <c r="AN471" s="125">
        <v>0</v>
      </c>
      <c r="AO471" s="137">
        <v>6</v>
      </c>
      <c r="AP471" s="125" t="s">
        <v>18</v>
      </c>
      <c r="AQ471" s="137" t="s">
        <v>18</v>
      </c>
      <c r="AR471" s="137" t="s">
        <v>18</v>
      </c>
      <c r="AS471" s="137" t="s">
        <v>18</v>
      </c>
      <c r="AT471" s="137" t="s">
        <v>18</v>
      </c>
      <c r="AU471" s="137" t="s">
        <v>18</v>
      </c>
      <c r="AV471" s="137" t="s">
        <v>18</v>
      </c>
      <c r="AW471" s="137" t="s">
        <v>18</v>
      </c>
      <c r="AX471" s="137" t="s">
        <v>18</v>
      </c>
      <c r="AY471" s="137" t="s">
        <v>18</v>
      </c>
      <c r="AZ471" s="137" t="s">
        <v>18</v>
      </c>
      <c r="BA471" s="137" t="s">
        <v>18</v>
      </c>
      <c r="BB471" s="137" t="s">
        <v>18</v>
      </c>
      <c r="BC471" s="137" t="s">
        <v>18</v>
      </c>
    </row>
    <row r="472" spans="1:55" ht="11.25" customHeight="1" x14ac:dyDescent="0.2">
      <c r="A472" s="128">
        <v>80</v>
      </c>
      <c r="B472" s="136" t="s">
        <v>15</v>
      </c>
      <c r="C472" s="137">
        <v>3</v>
      </c>
      <c r="D472" s="171">
        <v>0</v>
      </c>
      <c r="E472" s="172">
        <v>0</v>
      </c>
      <c r="F472" s="137">
        <v>2</v>
      </c>
      <c r="G472" s="172">
        <v>0</v>
      </c>
      <c r="H472" s="137">
        <v>0</v>
      </c>
      <c r="I472" s="137">
        <v>0</v>
      </c>
      <c r="J472" s="137">
        <v>0</v>
      </c>
      <c r="K472" s="172">
        <v>0</v>
      </c>
      <c r="L472" s="137">
        <v>0</v>
      </c>
      <c r="M472" s="137">
        <v>0</v>
      </c>
      <c r="N472" s="172">
        <v>0</v>
      </c>
      <c r="O472" s="137">
        <v>0</v>
      </c>
      <c r="P472" s="137">
        <v>0</v>
      </c>
      <c r="Q472" s="137">
        <v>2</v>
      </c>
      <c r="R472" s="172">
        <v>0</v>
      </c>
      <c r="S472" s="137">
        <v>0</v>
      </c>
      <c r="T472" s="137">
        <v>9</v>
      </c>
      <c r="U472" s="173">
        <v>0</v>
      </c>
      <c r="V472" s="137">
        <v>0</v>
      </c>
      <c r="W472" s="137">
        <v>0</v>
      </c>
      <c r="X472" s="137">
        <v>0</v>
      </c>
      <c r="Y472" s="125">
        <v>0</v>
      </c>
      <c r="Z472" s="137">
        <v>0</v>
      </c>
      <c r="AA472" s="137">
        <v>12</v>
      </c>
      <c r="AB472" s="125">
        <v>0</v>
      </c>
      <c r="AC472" s="137">
        <v>4</v>
      </c>
      <c r="AD472" s="123">
        <v>0</v>
      </c>
      <c r="AE472" s="137">
        <v>0</v>
      </c>
      <c r="AF472" s="137">
        <v>16</v>
      </c>
      <c r="AG472" s="125">
        <v>0</v>
      </c>
      <c r="AH472" s="137">
        <v>6</v>
      </c>
      <c r="AI472" s="125">
        <v>0</v>
      </c>
      <c r="AJ472" s="137">
        <v>0</v>
      </c>
      <c r="AK472" s="137">
        <v>0</v>
      </c>
      <c r="AL472" s="137">
        <v>0</v>
      </c>
      <c r="AM472" s="137">
        <v>20</v>
      </c>
      <c r="AN472" s="125">
        <v>0</v>
      </c>
      <c r="AO472" s="137">
        <v>6</v>
      </c>
      <c r="AP472" s="125" t="s">
        <v>18</v>
      </c>
      <c r="AQ472" s="137" t="s">
        <v>18</v>
      </c>
      <c r="AR472" s="137" t="s">
        <v>18</v>
      </c>
      <c r="AS472" s="137" t="s">
        <v>18</v>
      </c>
      <c r="AT472" s="137" t="s">
        <v>18</v>
      </c>
      <c r="AU472" s="137" t="s">
        <v>18</v>
      </c>
      <c r="AV472" s="137" t="s">
        <v>18</v>
      </c>
      <c r="AW472" s="137" t="s">
        <v>18</v>
      </c>
      <c r="AX472" s="137" t="s">
        <v>18</v>
      </c>
      <c r="AY472" s="137" t="s">
        <v>18</v>
      </c>
      <c r="AZ472" s="137" t="s">
        <v>18</v>
      </c>
      <c r="BA472" s="137" t="s">
        <v>18</v>
      </c>
      <c r="BB472" s="137" t="s">
        <v>18</v>
      </c>
      <c r="BC472" s="137" t="s">
        <v>18</v>
      </c>
    </row>
    <row r="473" spans="1:55" ht="11.25" customHeight="1" x14ac:dyDescent="0.2">
      <c r="A473" s="128">
        <v>18055</v>
      </c>
      <c r="B473" s="136" t="s">
        <v>16</v>
      </c>
      <c r="C473" s="137">
        <v>1950</v>
      </c>
      <c r="D473" s="171">
        <v>0</v>
      </c>
      <c r="E473" s="172">
        <v>0</v>
      </c>
      <c r="F473" s="137">
        <v>1300</v>
      </c>
      <c r="G473" s="172">
        <v>0</v>
      </c>
      <c r="H473" s="137">
        <v>0</v>
      </c>
      <c r="I473" s="137">
        <v>0</v>
      </c>
      <c r="J473" s="137">
        <v>0</v>
      </c>
      <c r="K473" s="172">
        <v>0</v>
      </c>
      <c r="L473" s="137">
        <v>0</v>
      </c>
      <c r="M473" s="137">
        <v>0</v>
      </c>
      <c r="N473" s="172">
        <v>0</v>
      </c>
      <c r="O473" s="137">
        <v>0</v>
      </c>
      <c r="P473" s="137">
        <v>0</v>
      </c>
      <c r="Q473" s="137">
        <v>1300</v>
      </c>
      <c r="R473" s="172">
        <v>0</v>
      </c>
      <c r="S473" s="137">
        <v>0</v>
      </c>
      <c r="T473" s="137">
        <v>1665</v>
      </c>
      <c r="U473" s="173">
        <v>0</v>
      </c>
      <c r="V473" s="137">
        <v>0</v>
      </c>
      <c r="W473" s="137">
        <v>0</v>
      </c>
      <c r="X473" s="137">
        <v>0</v>
      </c>
      <c r="Y473" s="125">
        <v>0</v>
      </c>
      <c r="Z473" s="137">
        <v>0</v>
      </c>
      <c r="AA473" s="137">
        <v>2220</v>
      </c>
      <c r="AB473" s="125">
        <v>0</v>
      </c>
      <c r="AC473" s="137">
        <v>740</v>
      </c>
      <c r="AD473" s="123">
        <v>0</v>
      </c>
      <c r="AE473" s="137">
        <v>0</v>
      </c>
      <c r="AF473" s="137">
        <v>2960</v>
      </c>
      <c r="AG473" s="125">
        <v>0</v>
      </c>
      <c r="AH473" s="137">
        <v>1110</v>
      </c>
      <c r="AI473" s="125">
        <v>0</v>
      </c>
      <c r="AJ473" s="137">
        <v>0</v>
      </c>
      <c r="AK473" s="137">
        <v>0</v>
      </c>
      <c r="AL473" s="137">
        <v>0</v>
      </c>
      <c r="AM473" s="137">
        <v>3700</v>
      </c>
      <c r="AN473" s="125">
        <v>0</v>
      </c>
      <c r="AO473" s="137">
        <v>1110</v>
      </c>
      <c r="AP473" s="125" t="s">
        <v>18</v>
      </c>
      <c r="AQ473" s="137" t="s">
        <v>18</v>
      </c>
      <c r="AR473" s="137" t="s">
        <v>18</v>
      </c>
      <c r="AS473" s="137" t="s">
        <v>18</v>
      </c>
      <c r="AT473" s="137" t="s">
        <v>18</v>
      </c>
      <c r="AU473" s="137" t="s">
        <v>18</v>
      </c>
      <c r="AV473" s="137" t="s">
        <v>18</v>
      </c>
      <c r="AW473" s="137" t="s">
        <v>18</v>
      </c>
      <c r="AX473" s="137" t="s">
        <v>18</v>
      </c>
      <c r="AY473" s="137" t="s">
        <v>18</v>
      </c>
      <c r="AZ473" s="137" t="s">
        <v>18</v>
      </c>
      <c r="BA473" s="137" t="s">
        <v>18</v>
      </c>
      <c r="BB473" s="137" t="s">
        <v>18</v>
      </c>
      <c r="BC473" s="137" t="s">
        <v>18</v>
      </c>
    </row>
    <row r="474" spans="1:55" ht="11.25" customHeight="1" thickBot="1" x14ac:dyDescent="0.25">
      <c r="A474" s="138">
        <v>0.26629793510324484</v>
      </c>
      <c r="B474" s="139" t="s">
        <v>17</v>
      </c>
      <c r="C474" s="141" t="e">
        <v>#DIV/0!</v>
      </c>
      <c r="D474" s="180" t="s">
        <v>18</v>
      </c>
      <c r="E474" s="181" t="s">
        <v>18</v>
      </c>
      <c r="F474" s="141">
        <v>0.203125</v>
      </c>
      <c r="G474" s="181" t="s">
        <v>18</v>
      </c>
      <c r="H474" s="141" t="s">
        <v>18</v>
      </c>
      <c r="I474" s="141" t="s">
        <v>18</v>
      </c>
      <c r="J474" s="141" t="s">
        <v>18</v>
      </c>
      <c r="K474" s="181" t="s">
        <v>18</v>
      </c>
      <c r="L474" s="141" t="s">
        <v>18</v>
      </c>
      <c r="M474" s="141" t="s">
        <v>18</v>
      </c>
      <c r="N474" s="181" t="s">
        <v>18</v>
      </c>
      <c r="O474" s="141" t="s">
        <v>18</v>
      </c>
      <c r="P474" s="141" t="s">
        <v>18</v>
      </c>
      <c r="Q474" s="141">
        <v>0.52</v>
      </c>
      <c r="R474" s="181" t="s">
        <v>18</v>
      </c>
      <c r="S474" s="141" t="s">
        <v>18</v>
      </c>
      <c r="T474" s="141">
        <v>0.20555555555555555</v>
      </c>
      <c r="U474" s="182" t="s">
        <v>18</v>
      </c>
      <c r="V474" s="141" t="s">
        <v>18</v>
      </c>
      <c r="W474" s="141" t="s">
        <v>18</v>
      </c>
      <c r="X474" s="141" t="s">
        <v>18</v>
      </c>
      <c r="Y474" s="142" t="s">
        <v>18</v>
      </c>
      <c r="Z474" s="141" t="s">
        <v>18</v>
      </c>
      <c r="AA474" s="141">
        <v>0.30833333333333335</v>
      </c>
      <c r="AB474" s="142" t="s">
        <v>18</v>
      </c>
      <c r="AC474" s="141">
        <v>0.46250000000000002</v>
      </c>
      <c r="AD474" s="140" t="s">
        <v>18</v>
      </c>
      <c r="AE474" s="141" t="s">
        <v>18</v>
      </c>
      <c r="AF474" s="141">
        <v>0.287378640776699</v>
      </c>
      <c r="AG474" s="142" t="s">
        <v>18</v>
      </c>
      <c r="AH474" s="141">
        <v>0.27750000000000002</v>
      </c>
      <c r="AI474" s="142" t="s">
        <v>18</v>
      </c>
      <c r="AJ474" s="141" t="s">
        <v>18</v>
      </c>
      <c r="AK474" s="141" t="s">
        <v>18</v>
      </c>
      <c r="AL474" s="141" t="s">
        <v>18</v>
      </c>
      <c r="AM474" s="141">
        <v>0.36274509803921567</v>
      </c>
      <c r="AN474" s="142" t="s">
        <v>18</v>
      </c>
      <c r="AO474" s="141">
        <v>0.29210526315789476</v>
      </c>
      <c r="AP474" s="142" t="s">
        <v>18</v>
      </c>
      <c r="AQ474" s="141" t="s">
        <v>18</v>
      </c>
      <c r="AR474" s="141" t="s">
        <v>18</v>
      </c>
      <c r="AS474" s="141" t="s">
        <v>18</v>
      </c>
      <c r="AT474" s="141" t="s">
        <v>18</v>
      </c>
      <c r="AU474" s="141" t="s">
        <v>18</v>
      </c>
      <c r="AV474" s="141" t="s">
        <v>18</v>
      </c>
      <c r="AW474" s="141" t="s">
        <v>18</v>
      </c>
      <c r="AX474" s="141" t="s">
        <v>18</v>
      </c>
      <c r="AY474" s="141" t="s">
        <v>18</v>
      </c>
      <c r="AZ474" s="141" t="s">
        <v>18</v>
      </c>
      <c r="BA474" s="141" t="s">
        <v>18</v>
      </c>
      <c r="BB474" s="141" t="s">
        <v>18</v>
      </c>
      <c r="BC474" s="141" t="s">
        <v>18</v>
      </c>
    </row>
    <row r="475" spans="1:55" ht="11.25" customHeight="1" x14ac:dyDescent="0.2">
      <c r="A475" s="116" t="s">
        <v>1</v>
      </c>
      <c r="B475" s="117" t="s">
        <v>2</v>
      </c>
      <c r="C475" s="119">
        <v>20839</v>
      </c>
      <c r="D475" s="168">
        <v>20876</v>
      </c>
      <c r="E475" s="169">
        <v>20876</v>
      </c>
      <c r="F475" s="119">
        <v>20944</v>
      </c>
      <c r="G475" s="169">
        <v>20944</v>
      </c>
      <c r="H475" s="119">
        <v>20944</v>
      </c>
      <c r="I475" s="119">
        <v>20944</v>
      </c>
      <c r="J475" s="119">
        <v>20981</v>
      </c>
      <c r="K475" s="169">
        <v>20981</v>
      </c>
      <c r="L475" s="119">
        <v>20981</v>
      </c>
      <c r="M475" s="119">
        <v>21055</v>
      </c>
      <c r="N475" s="169">
        <v>21055</v>
      </c>
      <c r="O475" s="119">
        <v>21055</v>
      </c>
      <c r="P475" s="119">
        <v>21055</v>
      </c>
      <c r="Q475" s="119">
        <v>21071</v>
      </c>
      <c r="R475" s="169">
        <v>21071</v>
      </c>
      <c r="S475" s="119">
        <v>21071</v>
      </c>
      <c r="T475" s="119">
        <v>21117</v>
      </c>
      <c r="U475" s="170">
        <v>21117</v>
      </c>
      <c r="V475" s="119">
        <v>21117</v>
      </c>
      <c r="W475" s="119">
        <v>21117</v>
      </c>
      <c r="X475" s="119">
        <v>21393</v>
      </c>
      <c r="Y475" s="120">
        <v>21393</v>
      </c>
      <c r="Z475" s="119">
        <v>21393</v>
      </c>
      <c r="AA475" s="119">
        <v>21505</v>
      </c>
      <c r="AB475" s="120">
        <v>21505</v>
      </c>
      <c r="AC475" s="119">
        <v>21633</v>
      </c>
      <c r="AD475" s="118">
        <v>21633</v>
      </c>
      <c r="AE475" s="119">
        <v>21633</v>
      </c>
      <c r="AF475" s="119">
        <v>21951</v>
      </c>
      <c r="AG475" s="120">
        <v>21951</v>
      </c>
      <c r="AH475" s="119">
        <v>22155</v>
      </c>
      <c r="AI475" s="120">
        <v>22155</v>
      </c>
      <c r="AJ475" s="119">
        <v>22155</v>
      </c>
      <c r="AK475" s="119">
        <v>22155</v>
      </c>
      <c r="AL475" s="119">
        <v>22155</v>
      </c>
      <c r="AM475" s="119">
        <v>22307</v>
      </c>
      <c r="AN475" s="120">
        <v>22307</v>
      </c>
      <c r="AO475" s="119">
        <v>22404</v>
      </c>
      <c r="AP475" s="120" t="s">
        <v>18</v>
      </c>
      <c r="AQ475" s="119" t="s">
        <v>18</v>
      </c>
      <c r="AR475" s="119" t="s">
        <v>18</v>
      </c>
      <c r="AS475" s="119" t="s">
        <v>18</v>
      </c>
      <c r="AT475" s="119" t="s">
        <v>18</v>
      </c>
      <c r="AU475" s="119" t="s">
        <v>18</v>
      </c>
      <c r="AV475" s="119" t="s">
        <v>18</v>
      </c>
      <c r="AW475" s="119" t="s">
        <v>18</v>
      </c>
      <c r="AX475" s="119" t="s">
        <v>18</v>
      </c>
      <c r="AY475" s="119" t="s">
        <v>18</v>
      </c>
      <c r="AZ475" s="119" t="s">
        <v>18</v>
      </c>
      <c r="BA475" s="119" t="s">
        <v>18</v>
      </c>
      <c r="BB475" s="119" t="s">
        <v>18</v>
      </c>
      <c r="BC475" s="119" t="s">
        <v>18</v>
      </c>
    </row>
    <row r="476" spans="1:55" ht="11.25" customHeight="1" x14ac:dyDescent="0.2">
      <c r="A476" s="121" t="s">
        <v>29</v>
      </c>
      <c r="B476" s="122" t="s">
        <v>4</v>
      </c>
      <c r="C476" s="124">
        <v>1164</v>
      </c>
      <c r="D476" s="171">
        <v>1165</v>
      </c>
      <c r="E476" s="172">
        <v>1165</v>
      </c>
      <c r="F476" s="124">
        <v>1166</v>
      </c>
      <c r="G476" s="172">
        <v>1166</v>
      </c>
      <c r="H476" s="124">
        <v>1166</v>
      </c>
      <c r="I476" s="124">
        <v>1166</v>
      </c>
      <c r="J476" s="124">
        <v>1167</v>
      </c>
      <c r="K476" s="172">
        <v>1167</v>
      </c>
      <c r="L476" s="124">
        <v>1167</v>
      </c>
      <c r="M476" s="124">
        <v>1168</v>
      </c>
      <c r="N476" s="172">
        <v>1168</v>
      </c>
      <c r="O476" s="124">
        <v>1168</v>
      </c>
      <c r="P476" s="124">
        <v>1168</v>
      </c>
      <c r="Q476" s="124">
        <v>1169</v>
      </c>
      <c r="R476" s="172">
        <v>1169</v>
      </c>
      <c r="S476" s="124">
        <v>1169</v>
      </c>
      <c r="T476" s="124">
        <v>1170</v>
      </c>
      <c r="U476" s="173">
        <v>1170</v>
      </c>
      <c r="V476" s="124">
        <v>1170</v>
      </c>
      <c r="W476" s="124">
        <v>1170</v>
      </c>
      <c r="X476" s="124">
        <v>1183</v>
      </c>
      <c r="Y476" s="125">
        <v>1183</v>
      </c>
      <c r="Z476" s="124">
        <v>1183</v>
      </c>
      <c r="AA476" s="124">
        <v>1185</v>
      </c>
      <c r="AB476" s="125">
        <v>1185</v>
      </c>
      <c r="AC476" s="124">
        <v>1188</v>
      </c>
      <c r="AD476" s="123">
        <v>1188</v>
      </c>
      <c r="AE476" s="124">
        <v>1188</v>
      </c>
      <c r="AF476" s="124">
        <v>1194</v>
      </c>
      <c r="AG476" s="125">
        <v>1194</v>
      </c>
      <c r="AH476" s="124">
        <v>1197</v>
      </c>
      <c r="AI476" s="125">
        <v>1197</v>
      </c>
      <c r="AJ476" s="124">
        <v>1197</v>
      </c>
      <c r="AK476" s="124">
        <v>1197</v>
      </c>
      <c r="AL476" s="124">
        <v>1197</v>
      </c>
      <c r="AM476" s="124">
        <v>1202</v>
      </c>
      <c r="AN476" s="125">
        <v>1202</v>
      </c>
      <c r="AO476" s="124">
        <v>1202</v>
      </c>
      <c r="AP476" s="125" t="s">
        <v>18</v>
      </c>
      <c r="AQ476" s="124" t="s">
        <v>18</v>
      </c>
      <c r="AR476" s="124" t="s">
        <v>18</v>
      </c>
      <c r="AS476" s="124" t="s">
        <v>18</v>
      </c>
      <c r="AT476" s="124" t="s">
        <v>18</v>
      </c>
      <c r="AU476" s="124" t="s">
        <v>18</v>
      </c>
      <c r="AV476" s="124" t="s">
        <v>18</v>
      </c>
      <c r="AW476" s="124" t="s">
        <v>18</v>
      </c>
      <c r="AX476" s="124" t="s">
        <v>18</v>
      </c>
      <c r="AY476" s="124" t="s">
        <v>18</v>
      </c>
      <c r="AZ476" s="124" t="s">
        <v>18</v>
      </c>
      <c r="BA476" s="124" t="s">
        <v>18</v>
      </c>
      <c r="BB476" s="124" t="s">
        <v>18</v>
      </c>
      <c r="BC476" s="124" t="s">
        <v>18</v>
      </c>
    </row>
    <row r="477" spans="1:55" ht="11.25" customHeight="1" x14ac:dyDescent="0.25">
      <c r="A477" s="143">
        <v>1</v>
      </c>
      <c r="B477" s="122" t="s">
        <v>5</v>
      </c>
      <c r="C477" s="124">
        <v>7</v>
      </c>
      <c r="D477" s="171">
        <v>9</v>
      </c>
      <c r="E477" s="172">
        <v>10</v>
      </c>
      <c r="F477" s="124">
        <v>9</v>
      </c>
      <c r="G477" s="172">
        <v>10</v>
      </c>
      <c r="H477" s="124">
        <v>10</v>
      </c>
      <c r="I477" s="124">
        <v>10</v>
      </c>
      <c r="J477" s="124">
        <v>9</v>
      </c>
      <c r="K477" s="172">
        <v>10</v>
      </c>
      <c r="L477" s="124">
        <v>10</v>
      </c>
      <c r="M477" s="124">
        <v>9</v>
      </c>
      <c r="N477" s="172">
        <v>9</v>
      </c>
      <c r="O477" s="124">
        <v>9</v>
      </c>
      <c r="P477" s="124">
        <v>9</v>
      </c>
      <c r="Q477" s="124">
        <v>8</v>
      </c>
      <c r="R477" s="172">
        <v>8</v>
      </c>
      <c r="S477" s="124">
        <v>8</v>
      </c>
      <c r="T477" s="124">
        <v>7</v>
      </c>
      <c r="U477" s="173">
        <v>15</v>
      </c>
      <c r="V477" s="124">
        <v>15</v>
      </c>
      <c r="W477" s="124">
        <v>15</v>
      </c>
      <c r="X477" s="124">
        <v>0</v>
      </c>
      <c r="Y477" s="125">
        <v>8</v>
      </c>
      <c r="Z477" s="124">
        <v>8</v>
      </c>
      <c r="AA477" s="124">
        <v>7</v>
      </c>
      <c r="AB477" s="125">
        <v>9</v>
      </c>
      <c r="AC477" s="124">
        <v>6</v>
      </c>
      <c r="AD477" s="123">
        <v>9</v>
      </c>
      <c r="AE477" s="124">
        <v>9</v>
      </c>
      <c r="AF477" s="124">
        <v>3</v>
      </c>
      <c r="AG477" s="125">
        <v>9</v>
      </c>
      <c r="AH477" s="124">
        <v>7</v>
      </c>
      <c r="AI477" s="125">
        <v>9</v>
      </c>
      <c r="AJ477" s="124">
        <v>9</v>
      </c>
      <c r="AK477" s="124">
        <v>9</v>
      </c>
      <c r="AL477" s="124">
        <v>9</v>
      </c>
      <c r="AM477" s="124">
        <v>4</v>
      </c>
      <c r="AN477" s="125">
        <v>9</v>
      </c>
      <c r="AO477" s="124">
        <v>9</v>
      </c>
      <c r="AP477" s="125" t="s">
        <v>18</v>
      </c>
      <c r="AQ477" s="124" t="s">
        <v>18</v>
      </c>
      <c r="AR477" s="124" t="s">
        <v>18</v>
      </c>
      <c r="AS477" s="124" t="s">
        <v>18</v>
      </c>
      <c r="AT477" s="124" t="s">
        <v>18</v>
      </c>
      <c r="AU477" s="124" t="s">
        <v>18</v>
      </c>
      <c r="AV477" s="124" t="s">
        <v>18</v>
      </c>
      <c r="AW477" s="124" t="s">
        <v>18</v>
      </c>
      <c r="AX477" s="124" t="s">
        <v>18</v>
      </c>
      <c r="AY477" s="124" t="s">
        <v>18</v>
      </c>
      <c r="AZ477" s="124" t="s">
        <v>18</v>
      </c>
      <c r="BA477" s="124" t="s">
        <v>18</v>
      </c>
      <c r="BB477" s="124" t="s">
        <v>18</v>
      </c>
      <c r="BC477" s="124" t="s">
        <v>18</v>
      </c>
    </row>
    <row r="478" spans="1:55" ht="11.25" customHeight="1" x14ac:dyDescent="0.25">
      <c r="A478" s="144" t="s">
        <v>20</v>
      </c>
      <c r="B478" s="122" t="s">
        <v>6</v>
      </c>
      <c r="C478" s="124">
        <v>2</v>
      </c>
      <c r="D478" s="171">
        <v>1</v>
      </c>
      <c r="E478" s="172"/>
      <c r="F478" s="124">
        <v>1</v>
      </c>
      <c r="G478" s="172"/>
      <c r="H478" s="124"/>
      <c r="I478" s="124"/>
      <c r="J478" s="124">
        <v>1</v>
      </c>
      <c r="K478" s="172"/>
      <c r="L478" s="124"/>
      <c r="M478" s="124"/>
      <c r="N478" s="172"/>
      <c r="O478" s="124"/>
      <c r="P478" s="124"/>
      <c r="Q478" s="124"/>
      <c r="R478" s="172"/>
      <c r="S478" s="124"/>
      <c r="T478" s="124">
        <v>8</v>
      </c>
      <c r="U478" s="173"/>
      <c r="V478" s="124"/>
      <c r="W478" s="124"/>
      <c r="X478" s="124">
        <v>8</v>
      </c>
      <c r="Y478" s="125"/>
      <c r="Z478" s="124"/>
      <c r="AA478" s="124">
        <v>2</v>
      </c>
      <c r="AB478" s="125"/>
      <c r="AC478" s="124">
        <v>3</v>
      </c>
      <c r="AD478" s="123"/>
      <c r="AE478" s="124"/>
      <c r="AF478" s="124">
        <v>6</v>
      </c>
      <c r="AG478" s="125"/>
      <c r="AH478" s="124">
        <v>2</v>
      </c>
      <c r="AI478" s="125"/>
      <c r="AJ478" s="124"/>
      <c r="AK478" s="124"/>
      <c r="AL478" s="124"/>
      <c r="AM478" s="124">
        <v>5</v>
      </c>
      <c r="AN478" s="125"/>
      <c r="AO478" s="124"/>
      <c r="AP478" s="125"/>
      <c r="AQ478" s="124"/>
      <c r="AR478" s="124"/>
      <c r="AS478" s="124"/>
      <c r="AT478" s="124"/>
      <c r="AU478" s="124"/>
      <c r="AV478" s="124"/>
      <c r="AW478" s="124"/>
      <c r="AX478" s="124"/>
      <c r="AY478" s="124"/>
      <c r="AZ478" s="124"/>
      <c r="BA478" s="124"/>
      <c r="BB478" s="124"/>
      <c r="BC478" s="124"/>
    </row>
    <row r="479" spans="1:55" ht="11.25" customHeight="1" x14ac:dyDescent="0.25">
      <c r="A479" s="145">
        <v>519600</v>
      </c>
      <c r="B479" s="122" t="s">
        <v>8</v>
      </c>
      <c r="C479" s="130">
        <v>500</v>
      </c>
      <c r="D479" s="174">
        <v>500</v>
      </c>
      <c r="E479" s="175">
        <v>500</v>
      </c>
      <c r="F479" s="130">
        <v>500</v>
      </c>
      <c r="G479" s="175">
        <v>500</v>
      </c>
      <c r="H479" s="130">
        <v>500</v>
      </c>
      <c r="I479" s="130">
        <v>500</v>
      </c>
      <c r="J479" s="130">
        <v>500</v>
      </c>
      <c r="K479" s="175">
        <v>500</v>
      </c>
      <c r="L479" s="130">
        <v>500</v>
      </c>
      <c r="M479" s="130">
        <v>500</v>
      </c>
      <c r="N479" s="175">
        <v>500</v>
      </c>
      <c r="O479" s="130">
        <v>500</v>
      </c>
      <c r="P479" s="130">
        <v>500</v>
      </c>
      <c r="Q479" s="130">
        <v>500</v>
      </c>
      <c r="R479" s="175">
        <v>500</v>
      </c>
      <c r="S479" s="130">
        <v>500</v>
      </c>
      <c r="T479" s="130">
        <v>500</v>
      </c>
      <c r="U479" s="176">
        <v>500</v>
      </c>
      <c r="V479" s="130">
        <v>500</v>
      </c>
      <c r="W479" s="130">
        <v>500</v>
      </c>
      <c r="X479" s="130">
        <v>500</v>
      </c>
      <c r="Y479" s="131">
        <v>500</v>
      </c>
      <c r="Z479" s="130">
        <v>500</v>
      </c>
      <c r="AA479" s="130">
        <v>500</v>
      </c>
      <c r="AB479" s="131">
        <v>500</v>
      </c>
      <c r="AC479" s="130">
        <v>500</v>
      </c>
      <c r="AD479" s="129">
        <v>500</v>
      </c>
      <c r="AE479" s="130">
        <v>500</v>
      </c>
      <c r="AF479" s="130">
        <v>500</v>
      </c>
      <c r="AG479" s="131">
        <v>500</v>
      </c>
      <c r="AH479" s="130">
        <v>500</v>
      </c>
      <c r="AI479" s="131">
        <v>500</v>
      </c>
      <c r="AJ479" s="130">
        <v>500</v>
      </c>
      <c r="AK479" s="130">
        <v>500</v>
      </c>
      <c r="AL479" s="130">
        <v>500</v>
      </c>
      <c r="AM479" s="130">
        <v>500</v>
      </c>
      <c r="AN479" s="131">
        <v>500</v>
      </c>
      <c r="AO479" s="130">
        <v>500</v>
      </c>
      <c r="AP479" s="131" t="s">
        <v>18</v>
      </c>
      <c r="AQ479" s="130" t="s">
        <v>18</v>
      </c>
      <c r="AR479" s="130" t="s">
        <v>18</v>
      </c>
      <c r="AS479" s="130" t="s">
        <v>18</v>
      </c>
      <c r="AT479" s="130" t="s">
        <v>18</v>
      </c>
      <c r="AU479" s="130" t="s">
        <v>18</v>
      </c>
      <c r="AV479" s="130" t="s">
        <v>18</v>
      </c>
      <c r="AW479" s="130" t="s">
        <v>18</v>
      </c>
      <c r="AX479" s="130" t="s">
        <v>18</v>
      </c>
      <c r="AY479" s="130" t="s">
        <v>18</v>
      </c>
      <c r="AZ479" s="130" t="s">
        <v>18</v>
      </c>
      <c r="BA479" s="130" t="s">
        <v>18</v>
      </c>
      <c r="BB479" s="130" t="s">
        <v>18</v>
      </c>
      <c r="BC479" s="130" t="s">
        <v>18</v>
      </c>
    </row>
    <row r="480" spans="1:55" ht="11.25" customHeight="1" x14ac:dyDescent="0.2">
      <c r="A480" s="127" t="s">
        <v>9</v>
      </c>
      <c r="B480" s="132" t="s">
        <v>10</v>
      </c>
      <c r="C480" s="134" t="s">
        <v>30</v>
      </c>
      <c r="D480" s="177" t="s">
        <v>30</v>
      </c>
      <c r="E480" s="178" t="s">
        <v>30</v>
      </c>
      <c r="F480" s="134" t="s">
        <v>30</v>
      </c>
      <c r="G480" s="178" t="s">
        <v>30</v>
      </c>
      <c r="H480" s="134" t="s">
        <v>30</v>
      </c>
      <c r="I480" s="134" t="s">
        <v>30</v>
      </c>
      <c r="J480" s="134" t="s">
        <v>30</v>
      </c>
      <c r="K480" s="178" t="s">
        <v>30</v>
      </c>
      <c r="L480" s="134" t="s">
        <v>30</v>
      </c>
      <c r="M480" s="134" t="s">
        <v>30</v>
      </c>
      <c r="N480" s="178" t="s">
        <v>30</v>
      </c>
      <c r="O480" s="134" t="s">
        <v>30</v>
      </c>
      <c r="P480" s="134" t="s">
        <v>30</v>
      </c>
      <c r="Q480" s="134" t="s">
        <v>30</v>
      </c>
      <c r="R480" s="178" t="s">
        <v>30</v>
      </c>
      <c r="S480" s="134" t="s">
        <v>30</v>
      </c>
      <c r="T480" s="134" t="s">
        <v>30</v>
      </c>
      <c r="U480" s="186" t="s">
        <v>31</v>
      </c>
      <c r="V480" s="134" t="s">
        <v>31</v>
      </c>
      <c r="W480" s="134" t="s">
        <v>31</v>
      </c>
      <c r="X480" s="134" t="s">
        <v>31</v>
      </c>
      <c r="Y480" s="135" t="s">
        <v>31</v>
      </c>
      <c r="Z480" s="134" t="s">
        <v>31</v>
      </c>
      <c r="AA480" s="134" t="s">
        <v>31</v>
      </c>
      <c r="AB480" s="135" t="s">
        <v>31</v>
      </c>
      <c r="AC480" s="134" t="s">
        <v>31</v>
      </c>
      <c r="AD480" s="133" t="s">
        <v>31</v>
      </c>
      <c r="AE480" s="134" t="s">
        <v>31</v>
      </c>
      <c r="AF480" s="134" t="s">
        <v>31</v>
      </c>
      <c r="AG480" s="135" t="s">
        <v>31</v>
      </c>
      <c r="AH480" s="134" t="s">
        <v>31</v>
      </c>
      <c r="AI480" s="135" t="s">
        <v>31</v>
      </c>
      <c r="AJ480" s="134" t="s">
        <v>31</v>
      </c>
      <c r="AK480" s="134" t="s">
        <v>31</v>
      </c>
      <c r="AL480" s="134" t="s">
        <v>31</v>
      </c>
      <c r="AM480" s="134" t="s">
        <v>31</v>
      </c>
      <c r="AN480" s="135" t="s">
        <v>31</v>
      </c>
      <c r="AO480" s="134" t="s">
        <v>31</v>
      </c>
      <c r="AP480" s="135" t="s">
        <v>18</v>
      </c>
      <c r="AQ480" s="134" t="s">
        <v>18</v>
      </c>
      <c r="AR480" s="134" t="s">
        <v>18</v>
      </c>
      <c r="AS480" s="134" t="s">
        <v>18</v>
      </c>
      <c r="AT480" s="134" t="s">
        <v>18</v>
      </c>
      <c r="AU480" s="134" t="s">
        <v>18</v>
      </c>
      <c r="AV480" s="134" t="s">
        <v>18</v>
      </c>
      <c r="AW480" s="134" t="s">
        <v>18</v>
      </c>
      <c r="AX480" s="134" t="s">
        <v>18</v>
      </c>
      <c r="AY480" s="134" t="s">
        <v>18</v>
      </c>
      <c r="AZ480" s="134" t="s">
        <v>18</v>
      </c>
      <c r="BA480" s="134" t="s">
        <v>18</v>
      </c>
      <c r="BB480" s="134" t="s">
        <v>18</v>
      </c>
      <c r="BC480" s="134" t="s">
        <v>18</v>
      </c>
    </row>
    <row r="481" spans="1:55" ht="11.25" customHeight="1" x14ac:dyDescent="0.2">
      <c r="A481" s="128">
        <v>120384.6153846154</v>
      </c>
      <c r="B481" s="122" t="s">
        <v>12</v>
      </c>
      <c r="C481" s="124"/>
      <c r="D481" s="171"/>
      <c r="E481" s="172"/>
      <c r="F481" s="124"/>
      <c r="G481" s="172"/>
      <c r="H481" s="124"/>
      <c r="I481" s="124"/>
      <c r="J481" s="124"/>
      <c r="K481" s="172"/>
      <c r="L481" s="124"/>
      <c r="M481" s="124"/>
      <c r="N481" s="172"/>
      <c r="O481" s="124"/>
      <c r="P481" s="124"/>
      <c r="Q481" s="124"/>
      <c r="R481" s="172"/>
      <c r="S481" s="124"/>
      <c r="T481" s="124"/>
      <c r="U481" s="173" t="s">
        <v>32</v>
      </c>
      <c r="V481" s="124"/>
      <c r="W481" s="124"/>
      <c r="X481" s="124"/>
      <c r="Y481" s="125"/>
      <c r="Z481" s="124"/>
      <c r="AA481" s="124"/>
      <c r="AB481" s="125"/>
      <c r="AC481" s="124"/>
      <c r="AD481" s="123"/>
      <c r="AE481" s="124"/>
      <c r="AF481" s="124"/>
      <c r="AG481" s="125" t="s">
        <v>209</v>
      </c>
      <c r="AH481" s="124"/>
      <c r="AI481" s="125"/>
      <c r="AJ481" s="124"/>
      <c r="AK481" s="124"/>
      <c r="AL481" s="124"/>
      <c r="AM481" s="124"/>
      <c r="AN481" s="125"/>
      <c r="AO481" s="124"/>
      <c r="AP481" s="125"/>
      <c r="AQ481" s="124"/>
      <c r="AR481" s="124"/>
      <c r="AS481" s="124"/>
      <c r="AT481" s="124"/>
      <c r="AU481" s="124"/>
      <c r="AV481" s="124"/>
      <c r="AW481" s="124"/>
      <c r="AX481" s="124"/>
      <c r="AY481" s="124"/>
      <c r="AZ481" s="124"/>
      <c r="BA481" s="124"/>
      <c r="BB481" s="124"/>
      <c r="BC481" s="124"/>
    </row>
    <row r="482" spans="1:55" ht="11.25" customHeight="1" x14ac:dyDescent="0.2">
      <c r="A482" s="128">
        <v>1565</v>
      </c>
      <c r="B482" s="136" t="s">
        <v>13</v>
      </c>
      <c r="C482" s="137">
        <v>0</v>
      </c>
      <c r="D482" s="171">
        <v>37</v>
      </c>
      <c r="E482" s="172">
        <v>0</v>
      </c>
      <c r="F482" s="137">
        <v>68</v>
      </c>
      <c r="G482" s="172">
        <v>0</v>
      </c>
      <c r="H482" s="137">
        <v>0</v>
      </c>
      <c r="I482" s="137">
        <v>0</v>
      </c>
      <c r="J482" s="137">
        <v>37</v>
      </c>
      <c r="K482" s="172">
        <v>0</v>
      </c>
      <c r="L482" s="137">
        <v>0</v>
      </c>
      <c r="M482" s="137">
        <v>74</v>
      </c>
      <c r="N482" s="172">
        <v>0</v>
      </c>
      <c r="O482" s="137">
        <v>0</v>
      </c>
      <c r="P482" s="137">
        <v>0</v>
      </c>
      <c r="Q482" s="137">
        <v>16</v>
      </c>
      <c r="R482" s="172">
        <v>0</v>
      </c>
      <c r="S482" s="137">
        <v>0</v>
      </c>
      <c r="T482" s="137">
        <v>46</v>
      </c>
      <c r="U482" s="173">
        <v>0</v>
      </c>
      <c r="V482" s="137">
        <v>0</v>
      </c>
      <c r="W482" s="137">
        <v>0</v>
      </c>
      <c r="X482" s="137">
        <v>276</v>
      </c>
      <c r="Y482" s="125">
        <v>0</v>
      </c>
      <c r="Z482" s="137">
        <v>0</v>
      </c>
      <c r="AA482" s="137">
        <v>112</v>
      </c>
      <c r="AB482" s="125">
        <v>0</v>
      </c>
      <c r="AC482" s="137">
        <v>128</v>
      </c>
      <c r="AD482" s="123">
        <v>0</v>
      </c>
      <c r="AE482" s="137">
        <v>0</v>
      </c>
      <c r="AF482" s="137">
        <v>318</v>
      </c>
      <c r="AG482" s="125">
        <v>0</v>
      </c>
      <c r="AH482" s="137">
        <v>204</v>
      </c>
      <c r="AI482" s="125">
        <v>0</v>
      </c>
      <c r="AJ482" s="137">
        <v>0</v>
      </c>
      <c r="AK482" s="137">
        <v>0</v>
      </c>
      <c r="AL482" s="137">
        <v>0</v>
      </c>
      <c r="AM482" s="137">
        <v>152</v>
      </c>
      <c r="AN482" s="125">
        <v>0</v>
      </c>
      <c r="AO482" s="137">
        <v>97</v>
      </c>
      <c r="AP482" s="125" t="s">
        <v>18</v>
      </c>
      <c r="AQ482" s="137" t="s">
        <v>18</v>
      </c>
      <c r="AR482" s="137" t="s">
        <v>18</v>
      </c>
      <c r="AS482" s="137" t="s">
        <v>18</v>
      </c>
      <c r="AT482" s="137" t="s">
        <v>18</v>
      </c>
      <c r="AU482" s="137" t="s">
        <v>18</v>
      </c>
      <c r="AV482" s="137" t="s">
        <v>18</v>
      </c>
      <c r="AW482" s="137" t="s">
        <v>18</v>
      </c>
      <c r="AX482" s="137" t="s">
        <v>18</v>
      </c>
      <c r="AY482" s="137" t="s">
        <v>18</v>
      </c>
      <c r="AZ482" s="137" t="s">
        <v>18</v>
      </c>
      <c r="BA482" s="137" t="s">
        <v>18</v>
      </c>
      <c r="BB482" s="137" t="s">
        <v>18</v>
      </c>
      <c r="BC482" s="137" t="s">
        <v>18</v>
      </c>
    </row>
    <row r="483" spans="1:55" ht="11.25" customHeight="1" x14ac:dyDescent="0.2">
      <c r="A483" s="128">
        <v>38</v>
      </c>
      <c r="B483" s="136" t="s">
        <v>14</v>
      </c>
      <c r="C483" s="137">
        <v>0</v>
      </c>
      <c r="D483" s="171">
        <v>1</v>
      </c>
      <c r="E483" s="172">
        <v>0</v>
      </c>
      <c r="F483" s="137">
        <v>1</v>
      </c>
      <c r="G483" s="172">
        <v>0</v>
      </c>
      <c r="H483" s="137">
        <v>0</v>
      </c>
      <c r="I483" s="137">
        <v>0</v>
      </c>
      <c r="J483" s="137">
        <v>1</v>
      </c>
      <c r="K483" s="172">
        <v>0</v>
      </c>
      <c r="L483" s="137">
        <v>0</v>
      </c>
      <c r="M483" s="137">
        <v>1</v>
      </c>
      <c r="N483" s="172">
        <v>0</v>
      </c>
      <c r="O483" s="137">
        <v>0</v>
      </c>
      <c r="P483" s="137">
        <v>0</v>
      </c>
      <c r="Q483" s="137">
        <v>1</v>
      </c>
      <c r="R483" s="172">
        <v>0</v>
      </c>
      <c r="S483" s="137">
        <v>0</v>
      </c>
      <c r="T483" s="137">
        <v>1</v>
      </c>
      <c r="U483" s="173">
        <v>0</v>
      </c>
      <c r="V483" s="137">
        <v>0</v>
      </c>
      <c r="W483" s="137">
        <v>0</v>
      </c>
      <c r="X483" s="137">
        <v>13</v>
      </c>
      <c r="Y483" s="125">
        <v>0</v>
      </c>
      <c r="Z483" s="137">
        <v>0</v>
      </c>
      <c r="AA483" s="137">
        <v>2</v>
      </c>
      <c r="AB483" s="125">
        <v>0</v>
      </c>
      <c r="AC483" s="137">
        <v>3</v>
      </c>
      <c r="AD483" s="123">
        <v>0</v>
      </c>
      <c r="AE483" s="137">
        <v>0</v>
      </c>
      <c r="AF483" s="137">
        <v>6</v>
      </c>
      <c r="AG483" s="125">
        <v>0</v>
      </c>
      <c r="AH483" s="137">
        <v>3</v>
      </c>
      <c r="AI483" s="125">
        <v>0</v>
      </c>
      <c r="AJ483" s="137">
        <v>0</v>
      </c>
      <c r="AK483" s="137">
        <v>0</v>
      </c>
      <c r="AL483" s="137">
        <v>0</v>
      </c>
      <c r="AM483" s="137">
        <v>5</v>
      </c>
      <c r="AN483" s="125">
        <v>0</v>
      </c>
      <c r="AO483" s="137">
        <v>0</v>
      </c>
      <c r="AP483" s="125" t="s">
        <v>18</v>
      </c>
      <c r="AQ483" s="137" t="s">
        <v>18</v>
      </c>
      <c r="AR483" s="137" t="s">
        <v>18</v>
      </c>
      <c r="AS483" s="137" t="s">
        <v>18</v>
      </c>
      <c r="AT483" s="137" t="s">
        <v>18</v>
      </c>
      <c r="AU483" s="137" t="s">
        <v>18</v>
      </c>
      <c r="AV483" s="137" t="s">
        <v>18</v>
      </c>
      <c r="AW483" s="137" t="s">
        <v>18</v>
      </c>
      <c r="AX483" s="137" t="s">
        <v>18</v>
      </c>
      <c r="AY483" s="137" t="s">
        <v>18</v>
      </c>
      <c r="AZ483" s="137" t="s">
        <v>18</v>
      </c>
      <c r="BA483" s="137" t="s">
        <v>18</v>
      </c>
      <c r="BB483" s="137" t="s">
        <v>18</v>
      </c>
      <c r="BC483" s="137" t="s">
        <v>18</v>
      </c>
    </row>
    <row r="484" spans="1:55" ht="11.25" customHeight="1" x14ac:dyDescent="0.2">
      <c r="A484" s="128">
        <v>39</v>
      </c>
      <c r="B484" s="136" t="s">
        <v>15</v>
      </c>
      <c r="C484" s="137">
        <v>2</v>
      </c>
      <c r="D484" s="171">
        <v>0</v>
      </c>
      <c r="E484" s="172">
        <v>0</v>
      </c>
      <c r="F484" s="137">
        <v>1</v>
      </c>
      <c r="G484" s="172">
        <v>0</v>
      </c>
      <c r="H484" s="137">
        <v>0</v>
      </c>
      <c r="I484" s="137">
        <v>0</v>
      </c>
      <c r="J484" s="137">
        <v>1</v>
      </c>
      <c r="K484" s="172">
        <v>0</v>
      </c>
      <c r="L484" s="137">
        <v>0</v>
      </c>
      <c r="M484" s="137">
        <v>1</v>
      </c>
      <c r="N484" s="172">
        <v>0</v>
      </c>
      <c r="O484" s="137">
        <v>0</v>
      </c>
      <c r="P484" s="137">
        <v>0</v>
      </c>
      <c r="Q484" s="137">
        <v>1</v>
      </c>
      <c r="R484" s="172">
        <v>0</v>
      </c>
      <c r="S484" s="137">
        <v>0</v>
      </c>
      <c r="T484" s="137">
        <v>1</v>
      </c>
      <c r="U484" s="173">
        <v>0</v>
      </c>
      <c r="V484" s="137">
        <v>0</v>
      </c>
      <c r="W484" s="137">
        <v>0</v>
      </c>
      <c r="X484" s="137">
        <v>15</v>
      </c>
      <c r="Y484" s="125">
        <v>0</v>
      </c>
      <c r="Z484" s="137">
        <v>0</v>
      </c>
      <c r="AA484" s="137">
        <v>1</v>
      </c>
      <c r="AB484" s="125">
        <v>0</v>
      </c>
      <c r="AC484" s="137">
        <v>3</v>
      </c>
      <c r="AD484" s="123">
        <v>0</v>
      </c>
      <c r="AE484" s="137">
        <v>0</v>
      </c>
      <c r="AF484" s="137">
        <v>6</v>
      </c>
      <c r="AG484" s="125">
        <v>0</v>
      </c>
      <c r="AH484" s="137">
        <v>2</v>
      </c>
      <c r="AI484" s="125">
        <v>0</v>
      </c>
      <c r="AJ484" s="137">
        <v>0</v>
      </c>
      <c r="AK484" s="137">
        <v>0</v>
      </c>
      <c r="AL484" s="137">
        <v>0</v>
      </c>
      <c r="AM484" s="137">
        <v>5</v>
      </c>
      <c r="AN484" s="125">
        <v>0</v>
      </c>
      <c r="AO484" s="137">
        <v>0</v>
      </c>
      <c r="AP484" s="125" t="s">
        <v>18</v>
      </c>
      <c r="AQ484" s="137" t="s">
        <v>18</v>
      </c>
      <c r="AR484" s="137" t="s">
        <v>18</v>
      </c>
      <c r="AS484" s="137" t="s">
        <v>18</v>
      </c>
      <c r="AT484" s="137" t="s">
        <v>18</v>
      </c>
      <c r="AU484" s="137" t="s">
        <v>18</v>
      </c>
      <c r="AV484" s="137" t="s">
        <v>18</v>
      </c>
      <c r="AW484" s="137" t="s">
        <v>18</v>
      </c>
      <c r="AX484" s="137" t="s">
        <v>18</v>
      </c>
      <c r="AY484" s="137" t="s">
        <v>18</v>
      </c>
      <c r="AZ484" s="137" t="s">
        <v>18</v>
      </c>
      <c r="BA484" s="137" t="s">
        <v>18</v>
      </c>
      <c r="BB484" s="137" t="s">
        <v>18</v>
      </c>
      <c r="BC484" s="137" t="s">
        <v>18</v>
      </c>
    </row>
    <row r="485" spans="1:55" ht="11.25" customHeight="1" x14ac:dyDescent="0.2">
      <c r="A485" s="128">
        <v>19500</v>
      </c>
      <c r="B485" s="136" t="s">
        <v>16</v>
      </c>
      <c r="C485" s="137">
        <v>1000</v>
      </c>
      <c r="D485" s="171">
        <v>0</v>
      </c>
      <c r="E485" s="172">
        <v>0</v>
      </c>
      <c r="F485" s="137">
        <v>500</v>
      </c>
      <c r="G485" s="172">
        <v>0</v>
      </c>
      <c r="H485" s="137">
        <v>0</v>
      </c>
      <c r="I485" s="137">
        <v>0</v>
      </c>
      <c r="J485" s="137">
        <v>500</v>
      </c>
      <c r="K485" s="172">
        <v>0</v>
      </c>
      <c r="L485" s="137">
        <v>0</v>
      </c>
      <c r="M485" s="137">
        <v>500</v>
      </c>
      <c r="N485" s="172">
        <v>0</v>
      </c>
      <c r="O485" s="137">
        <v>0</v>
      </c>
      <c r="P485" s="137">
        <v>0</v>
      </c>
      <c r="Q485" s="137">
        <v>500</v>
      </c>
      <c r="R485" s="172">
        <v>0</v>
      </c>
      <c r="S485" s="137">
        <v>0</v>
      </c>
      <c r="T485" s="137">
        <v>500</v>
      </c>
      <c r="U485" s="173">
        <v>0</v>
      </c>
      <c r="V485" s="137">
        <v>0</v>
      </c>
      <c r="W485" s="137">
        <v>0</v>
      </c>
      <c r="X485" s="137">
        <v>7500</v>
      </c>
      <c r="Y485" s="125">
        <v>0</v>
      </c>
      <c r="Z485" s="137">
        <v>0</v>
      </c>
      <c r="AA485" s="137">
        <v>500</v>
      </c>
      <c r="AB485" s="125">
        <v>0</v>
      </c>
      <c r="AC485" s="137">
        <v>1500</v>
      </c>
      <c r="AD485" s="123">
        <v>0</v>
      </c>
      <c r="AE485" s="137">
        <v>0</v>
      </c>
      <c r="AF485" s="137">
        <v>3000</v>
      </c>
      <c r="AG485" s="125">
        <v>0</v>
      </c>
      <c r="AH485" s="137">
        <v>1000</v>
      </c>
      <c r="AI485" s="125">
        <v>0</v>
      </c>
      <c r="AJ485" s="137">
        <v>0</v>
      </c>
      <c r="AK485" s="137">
        <v>0</v>
      </c>
      <c r="AL485" s="137">
        <v>0</v>
      </c>
      <c r="AM485" s="137">
        <v>2500</v>
      </c>
      <c r="AN485" s="125">
        <v>0</v>
      </c>
      <c r="AO485" s="137">
        <v>0</v>
      </c>
      <c r="AP485" s="125" t="s">
        <v>18</v>
      </c>
      <c r="AQ485" s="137" t="s">
        <v>18</v>
      </c>
      <c r="AR485" s="137" t="s">
        <v>18</v>
      </c>
      <c r="AS485" s="137" t="s">
        <v>18</v>
      </c>
      <c r="AT485" s="137" t="s">
        <v>18</v>
      </c>
      <c r="AU485" s="137" t="s">
        <v>18</v>
      </c>
      <c r="AV485" s="137" t="s">
        <v>18</v>
      </c>
      <c r="AW485" s="137" t="s">
        <v>18</v>
      </c>
      <c r="AX485" s="137" t="s">
        <v>18</v>
      </c>
      <c r="AY485" s="137" t="s">
        <v>18</v>
      </c>
      <c r="AZ485" s="137" t="s">
        <v>18</v>
      </c>
      <c r="BA485" s="137" t="s">
        <v>18</v>
      </c>
      <c r="BB485" s="137" t="s">
        <v>18</v>
      </c>
      <c r="BC485" s="137" t="s">
        <v>18</v>
      </c>
    </row>
    <row r="486" spans="1:55" ht="11.25" customHeight="1" thickBot="1" x14ac:dyDescent="0.25">
      <c r="A486" s="138">
        <v>0.12460063897763578</v>
      </c>
      <c r="B486" s="136" t="s">
        <v>17</v>
      </c>
      <c r="C486" s="147" t="e">
        <v>#DIV/0!</v>
      </c>
      <c r="D486" s="183" t="s">
        <v>18</v>
      </c>
      <c r="E486" s="184" t="s">
        <v>18</v>
      </c>
      <c r="F486" s="147">
        <v>7.3529411764705885E-2</v>
      </c>
      <c r="G486" s="184" t="s">
        <v>18</v>
      </c>
      <c r="H486" s="147" t="s">
        <v>18</v>
      </c>
      <c r="I486" s="147" t="s">
        <v>18</v>
      </c>
      <c r="J486" s="147">
        <v>0.13513513513513514</v>
      </c>
      <c r="K486" s="184" t="s">
        <v>18</v>
      </c>
      <c r="L486" s="147" t="s">
        <v>18</v>
      </c>
      <c r="M486" s="147">
        <v>6.7567567567567571E-2</v>
      </c>
      <c r="N486" s="184" t="s">
        <v>18</v>
      </c>
      <c r="O486" s="147" t="s">
        <v>18</v>
      </c>
      <c r="P486" s="147" t="s">
        <v>18</v>
      </c>
      <c r="Q486" s="147">
        <v>0.3125</v>
      </c>
      <c r="R486" s="184" t="s">
        <v>18</v>
      </c>
      <c r="S486" s="147" t="s">
        <v>18</v>
      </c>
      <c r="T486" s="147">
        <v>0.10869565217391304</v>
      </c>
      <c r="U486" s="185" t="s">
        <v>18</v>
      </c>
      <c r="V486" s="147" t="s">
        <v>18</v>
      </c>
      <c r="W486" s="147" t="s">
        <v>18</v>
      </c>
      <c r="X486" s="147">
        <v>0.27173913043478259</v>
      </c>
      <c r="Y486" s="148" t="s">
        <v>18</v>
      </c>
      <c r="Z486" s="147" t="s">
        <v>18</v>
      </c>
      <c r="AA486" s="147">
        <v>4.4642857142857144E-2</v>
      </c>
      <c r="AB486" s="148" t="s">
        <v>18</v>
      </c>
      <c r="AC486" s="147">
        <v>0.1171875</v>
      </c>
      <c r="AD486" s="146" t="s">
        <v>18</v>
      </c>
      <c r="AE486" s="147" t="s">
        <v>18</v>
      </c>
      <c r="AF486" s="147">
        <v>9.4339622641509441E-2</v>
      </c>
      <c r="AG486" s="148" t="s">
        <v>18</v>
      </c>
      <c r="AH486" s="147">
        <v>4.9019607843137254E-2</v>
      </c>
      <c r="AI486" s="148" t="s">
        <v>18</v>
      </c>
      <c r="AJ486" s="147" t="s">
        <v>18</v>
      </c>
      <c r="AK486" s="147" t="s">
        <v>18</v>
      </c>
      <c r="AL486" s="147" t="s">
        <v>18</v>
      </c>
      <c r="AM486" s="147">
        <v>0.16447368421052633</v>
      </c>
      <c r="AN486" s="148" t="s">
        <v>18</v>
      </c>
      <c r="AO486" s="147" t="s">
        <v>18</v>
      </c>
      <c r="AP486" s="148" t="s">
        <v>18</v>
      </c>
      <c r="AQ486" s="147" t="s">
        <v>18</v>
      </c>
      <c r="AR486" s="147" t="s">
        <v>18</v>
      </c>
      <c r="AS486" s="147" t="s">
        <v>18</v>
      </c>
      <c r="AT486" s="147" t="s">
        <v>18</v>
      </c>
      <c r="AU486" s="147" t="s">
        <v>18</v>
      </c>
      <c r="AV486" s="147" t="s">
        <v>18</v>
      </c>
      <c r="AW486" s="147" t="s">
        <v>18</v>
      </c>
      <c r="AX486" s="147" t="s">
        <v>18</v>
      </c>
      <c r="AY486" s="147" t="s">
        <v>18</v>
      </c>
      <c r="AZ486" s="147" t="s">
        <v>18</v>
      </c>
      <c r="BA486" s="147" t="s">
        <v>18</v>
      </c>
      <c r="BB486" s="147" t="s">
        <v>18</v>
      </c>
      <c r="BC486" s="147" t="s">
        <v>18</v>
      </c>
    </row>
    <row r="487" spans="1:55" ht="11.25" customHeight="1" x14ac:dyDescent="0.2">
      <c r="A487" s="149" t="s">
        <v>1</v>
      </c>
      <c r="B487" s="150" t="s">
        <v>2</v>
      </c>
      <c r="C487" s="130">
        <v>16958</v>
      </c>
      <c r="D487" s="174">
        <v>16958</v>
      </c>
      <c r="E487" s="175">
        <v>16958</v>
      </c>
      <c r="F487" s="130">
        <v>17048</v>
      </c>
      <c r="G487" s="175">
        <v>17048</v>
      </c>
      <c r="H487" s="130">
        <v>17048</v>
      </c>
      <c r="I487" s="130">
        <v>17048</v>
      </c>
      <c r="J487" s="130">
        <v>17079</v>
      </c>
      <c r="K487" s="175">
        <v>17079</v>
      </c>
      <c r="L487" s="130">
        <v>17079</v>
      </c>
      <c r="M487" s="130">
        <v>17137</v>
      </c>
      <c r="N487" s="175">
        <v>17137</v>
      </c>
      <c r="O487" s="130">
        <v>17137</v>
      </c>
      <c r="P487" s="130">
        <v>17137</v>
      </c>
      <c r="Q487" s="130">
        <v>17138</v>
      </c>
      <c r="R487" s="175">
        <v>17138</v>
      </c>
      <c r="S487" s="130">
        <v>17138</v>
      </c>
      <c r="T487" s="130">
        <v>17299</v>
      </c>
      <c r="U487" s="176">
        <v>17299</v>
      </c>
      <c r="V487" s="130">
        <v>17299</v>
      </c>
      <c r="W487" s="130">
        <v>17299</v>
      </c>
      <c r="X487" s="130">
        <v>17411</v>
      </c>
      <c r="Y487" s="131">
        <v>17411</v>
      </c>
      <c r="Z487" s="130">
        <v>17411</v>
      </c>
      <c r="AA487" s="130">
        <v>17571</v>
      </c>
      <c r="AB487" s="131">
        <v>17571</v>
      </c>
      <c r="AC487" s="130">
        <v>17632</v>
      </c>
      <c r="AD487" s="129">
        <v>17632</v>
      </c>
      <c r="AE487" s="130">
        <v>17632</v>
      </c>
      <c r="AF487" s="130">
        <v>17774</v>
      </c>
      <c r="AG487" s="131">
        <v>17774</v>
      </c>
      <c r="AH487" s="130">
        <v>17890</v>
      </c>
      <c r="AI487" s="131">
        <v>17890</v>
      </c>
      <c r="AJ487" s="130">
        <v>17890</v>
      </c>
      <c r="AK487" s="130">
        <v>17890</v>
      </c>
      <c r="AL487" s="130">
        <v>17890</v>
      </c>
      <c r="AM487" s="130">
        <v>18026</v>
      </c>
      <c r="AN487" s="131">
        <v>18026</v>
      </c>
      <c r="AO487" s="130">
        <v>18223</v>
      </c>
      <c r="AP487" s="131" t="s">
        <v>18</v>
      </c>
      <c r="AQ487" s="130" t="s">
        <v>18</v>
      </c>
      <c r="AR487" s="130" t="s">
        <v>18</v>
      </c>
      <c r="AS487" s="130" t="s">
        <v>18</v>
      </c>
      <c r="AT487" s="130" t="s">
        <v>18</v>
      </c>
      <c r="AU487" s="130" t="s">
        <v>18</v>
      </c>
      <c r="AV487" s="130" t="s">
        <v>18</v>
      </c>
      <c r="AW487" s="130" t="s">
        <v>18</v>
      </c>
      <c r="AX487" s="130" t="s">
        <v>18</v>
      </c>
      <c r="AY487" s="130" t="s">
        <v>18</v>
      </c>
      <c r="AZ487" s="130" t="s">
        <v>18</v>
      </c>
      <c r="BA487" s="130" t="s">
        <v>18</v>
      </c>
      <c r="BB487" s="130" t="s">
        <v>18</v>
      </c>
      <c r="BC487" s="130" t="s">
        <v>18</v>
      </c>
    </row>
    <row r="488" spans="1:55" ht="11.25" customHeight="1" x14ac:dyDescent="0.2">
      <c r="A488" s="121" t="s">
        <v>29</v>
      </c>
      <c r="B488" s="122" t="s">
        <v>4</v>
      </c>
      <c r="C488" s="124">
        <v>1098</v>
      </c>
      <c r="D488" s="171">
        <v>1098</v>
      </c>
      <c r="E488" s="172">
        <v>1098</v>
      </c>
      <c r="F488" s="124">
        <v>1103</v>
      </c>
      <c r="G488" s="172">
        <v>1103</v>
      </c>
      <c r="H488" s="124">
        <v>1103</v>
      </c>
      <c r="I488" s="124">
        <v>1103</v>
      </c>
      <c r="J488" s="124">
        <v>1106</v>
      </c>
      <c r="K488" s="172">
        <v>1106</v>
      </c>
      <c r="L488" s="124">
        <v>1106</v>
      </c>
      <c r="M488" s="124">
        <v>1112</v>
      </c>
      <c r="N488" s="172">
        <v>1112</v>
      </c>
      <c r="O488" s="124">
        <v>1112</v>
      </c>
      <c r="P488" s="124">
        <v>1112</v>
      </c>
      <c r="Q488" s="124">
        <v>1113</v>
      </c>
      <c r="R488" s="172">
        <v>1113</v>
      </c>
      <c r="S488" s="124">
        <v>1113</v>
      </c>
      <c r="T488" s="124">
        <v>1131</v>
      </c>
      <c r="U488" s="173">
        <v>1131</v>
      </c>
      <c r="V488" s="124">
        <v>1131</v>
      </c>
      <c r="W488" s="124">
        <v>1131</v>
      </c>
      <c r="X488" s="124">
        <v>1137</v>
      </c>
      <c r="Y488" s="125">
        <v>1137</v>
      </c>
      <c r="Z488" s="124">
        <v>1137</v>
      </c>
      <c r="AA488" s="124">
        <v>1144</v>
      </c>
      <c r="AB488" s="125">
        <v>1144</v>
      </c>
      <c r="AC488" s="124">
        <v>1146</v>
      </c>
      <c r="AD488" s="123">
        <v>1146</v>
      </c>
      <c r="AE488" s="124">
        <v>1146</v>
      </c>
      <c r="AF488" s="124">
        <v>1157</v>
      </c>
      <c r="AG488" s="125">
        <v>1157</v>
      </c>
      <c r="AH488" s="124">
        <v>1162</v>
      </c>
      <c r="AI488" s="125">
        <v>1162</v>
      </c>
      <c r="AJ488" s="124">
        <v>1162</v>
      </c>
      <c r="AK488" s="124">
        <v>1162</v>
      </c>
      <c r="AL488" s="124">
        <v>1162</v>
      </c>
      <c r="AM488" s="124">
        <v>1169</v>
      </c>
      <c r="AN488" s="125">
        <v>1169</v>
      </c>
      <c r="AO488" s="124">
        <v>1174</v>
      </c>
      <c r="AP488" s="125" t="s">
        <v>18</v>
      </c>
      <c r="AQ488" s="124" t="s">
        <v>18</v>
      </c>
      <c r="AR488" s="124" t="s">
        <v>18</v>
      </c>
      <c r="AS488" s="124" t="s">
        <v>18</v>
      </c>
      <c r="AT488" s="124" t="s">
        <v>18</v>
      </c>
      <c r="AU488" s="124" t="s">
        <v>18</v>
      </c>
      <c r="AV488" s="124" t="s">
        <v>18</v>
      </c>
      <c r="AW488" s="124" t="s">
        <v>18</v>
      </c>
      <c r="AX488" s="124" t="s">
        <v>18</v>
      </c>
      <c r="AY488" s="124" t="s">
        <v>18</v>
      </c>
      <c r="AZ488" s="124" t="s">
        <v>18</v>
      </c>
      <c r="BA488" s="124" t="s">
        <v>18</v>
      </c>
      <c r="BB488" s="124" t="s">
        <v>18</v>
      </c>
      <c r="BC488" s="124" t="s">
        <v>18</v>
      </c>
    </row>
    <row r="489" spans="1:55" ht="11.25" customHeight="1" x14ac:dyDescent="0.25">
      <c r="A489" s="143">
        <v>2</v>
      </c>
      <c r="B489" s="122" t="s">
        <v>5</v>
      </c>
      <c r="C489" s="124">
        <v>10</v>
      </c>
      <c r="D489" s="171">
        <v>10</v>
      </c>
      <c r="E489" s="172">
        <v>13</v>
      </c>
      <c r="F489" s="124">
        <v>10</v>
      </c>
      <c r="G489" s="172">
        <v>13</v>
      </c>
      <c r="H489" s="124">
        <v>13</v>
      </c>
      <c r="I489" s="124">
        <v>13</v>
      </c>
      <c r="J489" s="124">
        <v>11</v>
      </c>
      <c r="K489" s="172">
        <v>13</v>
      </c>
      <c r="L489" s="124">
        <v>13</v>
      </c>
      <c r="M489" s="124">
        <v>8</v>
      </c>
      <c r="N489" s="172">
        <v>8</v>
      </c>
      <c r="O489" s="124">
        <v>8</v>
      </c>
      <c r="P489" s="124">
        <v>8</v>
      </c>
      <c r="Q489" s="124">
        <v>8</v>
      </c>
      <c r="R489" s="172">
        <v>28</v>
      </c>
      <c r="S489" s="124">
        <v>28</v>
      </c>
      <c r="T489" s="124">
        <v>20</v>
      </c>
      <c r="U489" s="173">
        <v>27</v>
      </c>
      <c r="V489" s="124">
        <v>27</v>
      </c>
      <c r="W489" s="124">
        <v>27</v>
      </c>
      <c r="X489" s="124">
        <v>22</v>
      </c>
      <c r="Y489" s="125">
        <v>30</v>
      </c>
      <c r="Z489" s="124">
        <v>30</v>
      </c>
      <c r="AA489" s="124">
        <v>23</v>
      </c>
      <c r="AB489" s="125">
        <v>30</v>
      </c>
      <c r="AC489" s="124">
        <v>28</v>
      </c>
      <c r="AD489" s="123">
        <v>28</v>
      </c>
      <c r="AE489" s="124">
        <v>28</v>
      </c>
      <c r="AF489" s="124">
        <v>24</v>
      </c>
      <c r="AG489" s="125">
        <v>26</v>
      </c>
      <c r="AH489" s="124">
        <v>21</v>
      </c>
      <c r="AI489" s="125">
        <v>25</v>
      </c>
      <c r="AJ489" s="124">
        <v>25</v>
      </c>
      <c r="AK489" s="124">
        <v>25</v>
      </c>
      <c r="AL489" s="124">
        <v>25</v>
      </c>
      <c r="AM489" s="124">
        <v>20</v>
      </c>
      <c r="AN489" s="125">
        <v>20</v>
      </c>
      <c r="AO489" s="124">
        <v>15</v>
      </c>
      <c r="AP489" s="125" t="s">
        <v>18</v>
      </c>
      <c r="AQ489" s="124" t="s">
        <v>18</v>
      </c>
      <c r="AR489" s="124" t="s">
        <v>18</v>
      </c>
      <c r="AS489" s="124" t="s">
        <v>18</v>
      </c>
      <c r="AT489" s="124" t="s">
        <v>18</v>
      </c>
      <c r="AU489" s="124" t="s">
        <v>18</v>
      </c>
      <c r="AV489" s="124" t="s">
        <v>18</v>
      </c>
      <c r="AW489" s="124" t="s">
        <v>18</v>
      </c>
      <c r="AX489" s="124" t="s">
        <v>18</v>
      </c>
      <c r="AY489" s="124" t="s">
        <v>18</v>
      </c>
      <c r="AZ489" s="124" t="s">
        <v>18</v>
      </c>
      <c r="BA489" s="124" t="s">
        <v>18</v>
      </c>
      <c r="BB489" s="124" t="s">
        <v>18</v>
      </c>
      <c r="BC489" s="124" t="s">
        <v>18</v>
      </c>
    </row>
    <row r="490" spans="1:55" ht="11.25" customHeight="1" x14ac:dyDescent="0.2">
      <c r="A490" s="127"/>
      <c r="B490" s="122" t="s">
        <v>6</v>
      </c>
      <c r="C490" s="124"/>
      <c r="D490" s="171">
        <v>3</v>
      </c>
      <c r="E490" s="172"/>
      <c r="F490" s="124">
        <v>3</v>
      </c>
      <c r="G490" s="172"/>
      <c r="H490" s="124"/>
      <c r="I490" s="124"/>
      <c r="J490" s="124">
        <v>2</v>
      </c>
      <c r="K490" s="172"/>
      <c r="L490" s="124"/>
      <c r="M490" s="124"/>
      <c r="N490" s="172"/>
      <c r="O490" s="124"/>
      <c r="P490" s="124"/>
      <c r="Q490" s="124">
        <v>20</v>
      </c>
      <c r="R490" s="172"/>
      <c r="S490" s="124"/>
      <c r="T490" s="124">
        <v>7</v>
      </c>
      <c r="U490" s="173"/>
      <c r="V490" s="124"/>
      <c r="W490" s="124"/>
      <c r="X490" s="124">
        <v>8</v>
      </c>
      <c r="Y490" s="125"/>
      <c r="Z490" s="124"/>
      <c r="AA490" s="124">
        <v>7</v>
      </c>
      <c r="AB490" s="125"/>
      <c r="AC490" s="124"/>
      <c r="AD490" s="123"/>
      <c r="AE490" s="124"/>
      <c r="AF490" s="124">
        <v>2</v>
      </c>
      <c r="AG490" s="125"/>
      <c r="AH490" s="124">
        <v>4</v>
      </c>
      <c r="AI490" s="125"/>
      <c r="AJ490" s="124"/>
      <c r="AK490" s="124"/>
      <c r="AL490" s="124"/>
      <c r="AM490" s="124"/>
      <c r="AN490" s="125"/>
      <c r="AO490" s="124"/>
      <c r="AP490" s="125"/>
      <c r="AQ490" s="124"/>
      <c r="AR490" s="124"/>
      <c r="AS490" s="124"/>
      <c r="AT490" s="124"/>
      <c r="AU490" s="124"/>
      <c r="AV490" s="124"/>
      <c r="AW490" s="124"/>
      <c r="AX490" s="124"/>
      <c r="AY490" s="124"/>
      <c r="AZ490" s="124"/>
      <c r="BA490" s="124"/>
      <c r="BB490" s="124"/>
      <c r="BC490" s="124"/>
    </row>
    <row r="491" spans="1:55" ht="11.25" customHeight="1" x14ac:dyDescent="0.2">
      <c r="A491" s="128"/>
      <c r="B491" s="122" t="s">
        <v>8</v>
      </c>
      <c r="C491" s="130">
        <v>687</v>
      </c>
      <c r="D491" s="174">
        <v>687</v>
      </c>
      <c r="E491" s="175">
        <v>687</v>
      </c>
      <c r="F491" s="130">
        <v>687</v>
      </c>
      <c r="G491" s="175">
        <v>687</v>
      </c>
      <c r="H491" s="130">
        <v>687</v>
      </c>
      <c r="I491" s="130">
        <v>687</v>
      </c>
      <c r="J491" s="130">
        <v>687</v>
      </c>
      <c r="K491" s="175">
        <v>687</v>
      </c>
      <c r="L491" s="130">
        <v>687</v>
      </c>
      <c r="M491" s="130">
        <v>687</v>
      </c>
      <c r="N491" s="175">
        <v>687</v>
      </c>
      <c r="O491" s="130">
        <v>687</v>
      </c>
      <c r="P491" s="130">
        <v>687</v>
      </c>
      <c r="Q491" s="130">
        <v>687</v>
      </c>
      <c r="R491" s="175">
        <v>340</v>
      </c>
      <c r="S491" s="130">
        <v>340</v>
      </c>
      <c r="T491" s="130">
        <v>340</v>
      </c>
      <c r="U491" s="176">
        <v>340</v>
      </c>
      <c r="V491" s="130">
        <v>340</v>
      </c>
      <c r="W491" s="130">
        <v>340</v>
      </c>
      <c r="X491" s="130">
        <v>340</v>
      </c>
      <c r="Y491" s="131">
        <v>340</v>
      </c>
      <c r="Z491" s="130">
        <v>340</v>
      </c>
      <c r="AA491" s="130">
        <v>340</v>
      </c>
      <c r="AB491" s="131">
        <v>340</v>
      </c>
      <c r="AC491" s="130">
        <v>340</v>
      </c>
      <c r="AD491" s="129">
        <v>340</v>
      </c>
      <c r="AE491" s="130">
        <v>340</v>
      </c>
      <c r="AF491" s="130">
        <v>340</v>
      </c>
      <c r="AG491" s="131">
        <v>340</v>
      </c>
      <c r="AH491" s="130">
        <v>340</v>
      </c>
      <c r="AI491" s="131">
        <v>340</v>
      </c>
      <c r="AJ491" s="130">
        <v>340</v>
      </c>
      <c r="AK491" s="130">
        <v>340</v>
      </c>
      <c r="AL491" s="130">
        <v>340</v>
      </c>
      <c r="AM491" s="130">
        <v>340</v>
      </c>
      <c r="AN491" s="131">
        <v>340</v>
      </c>
      <c r="AO491" s="130">
        <v>340</v>
      </c>
      <c r="AP491" s="131" t="s">
        <v>18</v>
      </c>
      <c r="AQ491" s="130" t="s">
        <v>18</v>
      </c>
      <c r="AR491" s="130" t="s">
        <v>18</v>
      </c>
      <c r="AS491" s="130" t="s">
        <v>18</v>
      </c>
      <c r="AT491" s="130" t="s">
        <v>18</v>
      </c>
      <c r="AU491" s="130" t="s">
        <v>18</v>
      </c>
      <c r="AV491" s="130" t="s">
        <v>18</v>
      </c>
      <c r="AW491" s="130" t="s">
        <v>18</v>
      </c>
      <c r="AX491" s="130" t="s">
        <v>18</v>
      </c>
      <c r="AY491" s="130" t="s">
        <v>18</v>
      </c>
      <c r="AZ491" s="130" t="s">
        <v>18</v>
      </c>
      <c r="BA491" s="130" t="s">
        <v>18</v>
      </c>
      <c r="BB491" s="130" t="s">
        <v>18</v>
      </c>
      <c r="BC491" s="130" t="s">
        <v>18</v>
      </c>
    </row>
    <row r="492" spans="1:55" ht="11.25" customHeight="1" x14ac:dyDescent="0.2">
      <c r="A492" s="127" t="s">
        <v>9</v>
      </c>
      <c r="B492" s="132" t="s">
        <v>10</v>
      </c>
      <c r="C492" s="134" t="s">
        <v>33</v>
      </c>
      <c r="D492" s="177" t="s">
        <v>34</v>
      </c>
      <c r="E492" s="178" t="s">
        <v>34</v>
      </c>
      <c r="F492" s="134" t="s">
        <v>34</v>
      </c>
      <c r="G492" s="178" t="s">
        <v>34</v>
      </c>
      <c r="H492" s="134" t="s">
        <v>34</v>
      </c>
      <c r="I492" s="134" t="s">
        <v>34</v>
      </c>
      <c r="J492" s="134" t="s">
        <v>34</v>
      </c>
      <c r="K492" s="178" t="s">
        <v>34</v>
      </c>
      <c r="L492" s="134" t="s">
        <v>34</v>
      </c>
      <c r="M492" s="134" t="s">
        <v>34</v>
      </c>
      <c r="N492" s="178" t="s">
        <v>34</v>
      </c>
      <c r="O492" s="134" t="s">
        <v>34</v>
      </c>
      <c r="P492" s="134" t="s">
        <v>34</v>
      </c>
      <c r="Q492" s="134" t="s">
        <v>34</v>
      </c>
      <c r="R492" s="178" t="s">
        <v>35</v>
      </c>
      <c r="S492" s="134" t="s">
        <v>35</v>
      </c>
      <c r="T492" s="134" t="s">
        <v>35</v>
      </c>
      <c r="U492" s="179" t="s">
        <v>35</v>
      </c>
      <c r="V492" s="134" t="s">
        <v>35</v>
      </c>
      <c r="W492" s="134" t="s">
        <v>35</v>
      </c>
      <c r="X492" s="134" t="s">
        <v>35</v>
      </c>
      <c r="Y492" s="135" t="s">
        <v>35</v>
      </c>
      <c r="Z492" s="134" t="s">
        <v>35</v>
      </c>
      <c r="AA492" s="134" t="s">
        <v>35</v>
      </c>
      <c r="AB492" s="135" t="s">
        <v>35</v>
      </c>
      <c r="AC492" s="134" t="s">
        <v>35</v>
      </c>
      <c r="AD492" s="133" t="s">
        <v>35</v>
      </c>
      <c r="AE492" s="134" t="s">
        <v>35</v>
      </c>
      <c r="AF492" s="134" t="s">
        <v>35</v>
      </c>
      <c r="AG492" s="135" t="s">
        <v>35</v>
      </c>
      <c r="AH492" s="134" t="s">
        <v>35</v>
      </c>
      <c r="AI492" s="135" t="s">
        <v>35</v>
      </c>
      <c r="AJ492" s="134" t="s">
        <v>35</v>
      </c>
      <c r="AK492" s="134" t="s">
        <v>35</v>
      </c>
      <c r="AL492" s="134" t="s">
        <v>35</v>
      </c>
      <c r="AM492" s="134" t="s">
        <v>35</v>
      </c>
      <c r="AN492" s="135" t="s">
        <v>35</v>
      </c>
      <c r="AO492" s="134" t="s">
        <v>35</v>
      </c>
      <c r="AP492" s="135" t="s">
        <v>18</v>
      </c>
      <c r="AQ492" s="134" t="s">
        <v>18</v>
      </c>
      <c r="AR492" s="134" t="s">
        <v>18</v>
      </c>
      <c r="AS492" s="134" t="s">
        <v>18</v>
      </c>
      <c r="AT492" s="134" t="s">
        <v>18</v>
      </c>
      <c r="AU492" s="134" t="s">
        <v>18</v>
      </c>
      <c r="AV492" s="134" t="s">
        <v>18</v>
      </c>
      <c r="AW492" s="134" t="s">
        <v>18</v>
      </c>
      <c r="AX492" s="134" t="s">
        <v>18</v>
      </c>
      <c r="AY492" s="134" t="s">
        <v>18</v>
      </c>
      <c r="AZ492" s="134" t="s">
        <v>18</v>
      </c>
      <c r="BA492" s="134" t="s">
        <v>18</v>
      </c>
      <c r="BB492" s="134" t="s">
        <v>18</v>
      </c>
      <c r="BC492" s="134" t="s">
        <v>18</v>
      </c>
    </row>
    <row r="493" spans="1:55" ht="11.25" customHeight="1" x14ac:dyDescent="0.2">
      <c r="A493" s="128">
        <v>97307.692307692312</v>
      </c>
      <c r="B493" s="122" t="s">
        <v>12</v>
      </c>
      <c r="C493" s="124"/>
      <c r="D493" s="171"/>
      <c r="E493" s="172"/>
      <c r="F493" s="124"/>
      <c r="G493" s="172"/>
      <c r="H493" s="124"/>
      <c r="I493" s="124"/>
      <c r="J493" s="124"/>
      <c r="K493" s="172"/>
      <c r="L493" s="124"/>
      <c r="M493" s="124"/>
      <c r="N493" s="172"/>
      <c r="O493" s="124"/>
      <c r="P493" s="124"/>
      <c r="Q493" s="124"/>
      <c r="R493" s="172" t="s">
        <v>36</v>
      </c>
      <c r="S493" s="124"/>
      <c r="T493" s="124"/>
      <c r="U493" s="173"/>
      <c r="V493" s="124"/>
      <c r="W493" s="124"/>
      <c r="X493" s="124"/>
      <c r="Y493" s="125"/>
      <c r="Z493" s="124"/>
      <c r="AA493" s="124"/>
      <c r="AB493" s="125"/>
      <c r="AC493" s="124"/>
      <c r="AD493" s="123"/>
      <c r="AE493" s="124"/>
      <c r="AF493" s="124"/>
      <c r="AG493" s="125"/>
      <c r="AH493" s="124"/>
      <c r="AI493" s="125"/>
      <c r="AJ493" s="124"/>
      <c r="AK493" s="124"/>
      <c r="AL493" s="124"/>
      <c r="AM493" s="124"/>
      <c r="AN493" s="125"/>
      <c r="AO493" s="124"/>
      <c r="AP493" s="125"/>
      <c r="AQ493" s="124"/>
      <c r="AR493" s="124"/>
      <c r="AS493" s="124"/>
      <c r="AT493" s="124"/>
      <c r="AU493" s="124"/>
      <c r="AV493" s="124"/>
      <c r="AW493" s="124"/>
      <c r="AX493" s="124"/>
      <c r="AY493" s="124"/>
      <c r="AZ493" s="124"/>
      <c r="BA493" s="124"/>
      <c r="BB493" s="124"/>
      <c r="BC493" s="124"/>
    </row>
    <row r="494" spans="1:55" ht="11.25" customHeight="1" x14ac:dyDescent="0.2">
      <c r="A494" s="128">
        <v>1265</v>
      </c>
      <c r="B494" s="136" t="s">
        <v>13</v>
      </c>
      <c r="C494" s="137">
        <v>0</v>
      </c>
      <c r="D494" s="171">
        <v>0</v>
      </c>
      <c r="E494" s="172">
        <v>0</v>
      </c>
      <c r="F494" s="137">
        <v>90</v>
      </c>
      <c r="G494" s="172">
        <v>0</v>
      </c>
      <c r="H494" s="137">
        <v>0</v>
      </c>
      <c r="I494" s="137">
        <v>0</v>
      </c>
      <c r="J494" s="137">
        <v>31</v>
      </c>
      <c r="K494" s="172">
        <v>0</v>
      </c>
      <c r="L494" s="137">
        <v>0</v>
      </c>
      <c r="M494" s="137">
        <v>58</v>
      </c>
      <c r="N494" s="172">
        <v>0</v>
      </c>
      <c r="O494" s="137">
        <v>0</v>
      </c>
      <c r="P494" s="137">
        <v>0</v>
      </c>
      <c r="Q494" s="137">
        <v>1</v>
      </c>
      <c r="R494" s="172">
        <v>0</v>
      </c>
      <c r="S494" s="137">
        <v>0</v>
      </c>
      <c r="T494" s="137">
        <v>161</v>
      </c>
      <c r="U494" s="173">
        <v>0</v>
      </c>
      <c r="V494" s="137">
        <v>0</v>
      </c>
      <c r="W494" s="137">
        <v>0</v>
      </c>
      <c r="X494" s="137">
        <v>112</v>
      </c>
      <c r="Y494" s="125">
        <v>0</v>
      </c>
      <c r="Z494" s="137">
        <v>0</v>
      </c>
      <c r="AA494" s="137">
        <v>160</v>
      </c>
      <c r="AB494" s="125">
        <v>0</v>
      </c>
      <c r="AC494" s="137">
        <v>61</v>
      </c>
      <c r="AD494" s="123">
        <v>0</v>
      </c>
      <c r="AE494" s="137">
        <v>0</v>
      </c>
      <c r="AF494" s="137">
        <v>142</v>
      </c>
      <c r="AG494" s="125">
        <v>0</v>
      </c>
      <c r="AH494" s="137">
        <v>116</v>
      </c>
      <c r="AI494" s="125">
        <v>0</v>
      </c>
      <c r="AJ494" s="137">
        <v>0</v>
      </c>
      <c r="AK494" s="137">
        <v>0</v>
      </c>
      <c r="AL494" s="137">
        <v>0</v>
      </c>
      <c r="AM494" s="137">
        <v>136</v>
      </c>
      <c r="AN494" s="125">
        <v>0</v>
      </c>
      <c r="AO494" s="137">
        <v>197</v>
      </c>
      <c r="AP494" s="125" t="s">
        <v>18</v>
      </c>
      <c r="AQ494" s="137" t="s">
        <v>18</v>
      </c>
      <c r="AR494" s="137" t="s">
        <v>18</v>
      </c>
      <c r="AS494" s="137" t="s">
        <v>18</v>
      </c>
      <c r="AT494" s="137" t="s">
        <v>18</v>
      </c>
      <c r="AU494" s="137" t="s">
        <v>18</v>
      </c>
      <c r="AV494" s="137" t="s">
        <v>18</v>
      </c>
      <c r="AW494" s="137" t="s">
        <v>18</v>
      </c>
      <c r="AX494" s="137" t="s">
        <v>18</v>
      </c>
      <c r="AY494" s="137" t="s">
        <v>18</v>
      </c>
      <c r="AZ494" s="137" t="s">
        <v>18</v>
      </c>
      <c r="BA494" s="137" t="s">
        <v>18</v>
      </c>
      <c r="BB494" s="137" t="s">
        <v>18</v>
      </c>
      <c r="BC494" s="137" t="s">
        <v>18</v>
      </c>
    </row>
    <row r="495" spans="1:55" ht="11.25" customHeight="1" x14ac:dyDescent="0.2">
      <c r="A495" s="128">
        <v>76</v>
      </c>
      <c r="B495" s="136" t="s">
        <v>14</v>
      </c>
      <c r="C495" s="137">
        <v>0</v>
      </c>
      <c r="D495" s="171">
        <v>0</v>
      </c>
      <c r="E495" s="172">
        <v>0</v>
      </c>
      <c r="F495" s="137">
        <v>5</v>
      </c>
      <c r="G495" s="172">
        <v>0</v>
      </c>
      <c r="H495" s="137">
        <v>0</v>
      </c>
      <c r="I495" s="137">
        <v>0</v>
      </c>
      <c r="J495" s="137">
        <v>3</v>
      </c>
      <c r="K495" s="172">
        <v>0</v>
      </c>
      <c r="L495" s="137">
        <v>0</v>
      </c>
      <c r="M495" s="137">
        <v>6</v>
      </c>
      <c r="N495" s="172">
        <v>0</v>
      </c>
      <c r="O495" s="137">
        <v>0</v>
      </c>
      <c r="P495" s="137">
        <v>0</v>
      </c>
      <c r="Q495" s="137">
        <v>1</v>
      </c>
      <c r="R495" s="172">
        <v>0</v>
      </c>
      <c r="S495" s="137">
        <v>0</v>
      </c>
      <c r="T495" s="137">
        <v>18</v>
      </c>
      <c r="U495" s="173">
        <v>0</v>
      </c>
      <c r="V495" s="137">
        <v>0</v>
      </c>
      <c r="W495" s="137">
        <v>0</v>
      </c>
      <c r="X495" s="137">
        <v>6</v>
      </c>
      <c r="Y495" s="125">
        <v>0</v>
      </c>
      <c r="Z495" s="137">
        <v>0</v>
      </c>
      <c r="AA495" s="137">
        <v>7</v>
      </c>
      <c r="AB495" s="125">
        <v>0</v>
      </c>
      <c r="AC495" s="137">
        <v>2</v>
      </c>
      <c r="AD495" s="123">
        <v>0</v>
      </c>
      <c r="AE495" s="137">
        <v>0</v>
      </c>
      <c r="AF495" s="137">
        <v>11</v>
      </c>
      <c r="AG495" s="125">
        <v>0</v>
      </c>
      <c r="AH495" s="137">
        <v>5</v>
      </c>
      <c r="AI495" s="125">
        <v>0</v>
      </c>
      <c r="AJ495" s="137">
        <v>0</v>
      </c>
      <c r="AK495" s="137">
        <v>0</v>
      </c>
      <c r="AL495" s="137">
        <v>0</v>
      </c>
      <c r="AM495" s="137">
        <v>7</v>
      </c>
      <c r="AN495" s="125">
        <v>0</v>
      </c>
      <c r="AO495" s="137">
        <v>5</v>
      </c>
      <c r="AP495" s="125" t="s">
        <v>18</v>
      </c>
      <c r="AQ495" s="137" t="s">
        <v>18</v>
      </c>
      <c r="AR495" s="137" t="s">
        <v>18</v>
      </c>
      <c r="AS495" s="137" t="s">
        <v>18</v>
      </c>
      <c r="AT495" s="137" t="s">
        <v>18</v>
      </c>
      <c r="AU495" s="137" t="s">
        <v>18</v>
      </c>
      <c r="AV495" s="137" t="s">
        <v>18</v>
      </c>
      <c r="AW495" s="137" t="s">
        <v>18</v>
      </c>
      <c r="AX495" s="137" t="s">
        <v>18</v>
      </c>
      <c r="AY495" s="137" t="s">
        <v>18</v>
      </c>
      <c r="AZ495" s="137" t="s">
        <v>18</v>
      </c>
      <c r="BA495" s="137" t="s">
        <v>18</v>
      </c>
      <c r="BB495" s="137" t="s">
        <v>18</v>
      </c>
      <c r="BC495" s="137" t="s">
        <v>18</v>
      </c>
    </row>
    <row r="496" spans="1:55" ht="11.25" customHeight="1" x14ac:dyDescent="0.2">
      <c r="A496" s="128">
        <v>51</v>
      </c>
      <c r="B496" s="136" t="s">
        <v>15</v>
      </c>
      <c r="C496" s="137">
        <v>0</v>
      </c>
      <c r="D496" s="171">
        <v>0</v>
      </c>
      <c r="E496" s="172">
        <v>0</v>
      </c>
      <c r="F496" s="137">
        <v>3</v>
      </c>
      <c r="G496" s="172">
        <v>0</v>
      </c>
      <c r="H496" s="137">
        <v>0</v>
      </c>
      <c r="I496" s="137">
        <v>0</v>
      </c>
      <c r="J496" s="137">
        <v>2</v>
      </c>
      <c r="K496" s="172">
        <v>0</v>
      </c>
      <c r="L496" s="137">
        <v>0</v>
      </c>
      <c r="M496" s="137">
        <v>5</v>
      </c>
      <c r="N496" s="172">
        <v>0</v>
      </c>
      <c r="O496" s="137">
        <v>0</v>
      </c>
      <c r="P496" s="137">
        <v>0</v>
      </c>
      <c r="Q496" s="137">
        <v>0</v>
      </c>
      <c r="R496" s="172">
        <v>0</v>
      </c>
      <c r="S496" s="137">
        <v>0</v>
      </c>
      <c r="T496" s="137">
        <v>8</v>
      </c>
      <c r="U496" s="173">
        <v>0</v>
      </c>
      <c r="V496" s="137">
        <v>0</v>
      </c>
      <c r="W496" s="137">
        <v>0</v>
      </c>
      <c r="X496" s="137">
        <v>5</v>
      </c>
      <c r="Y496" s="125">
        <v>0</v>
      </c>
      <c r="Z496" s="137">
        <v>0</v>
      </c>
      <c r="AA496" s="137">
        <v>7</v>
      </c>
      <c r="AB496" s="125">
        <v>0</v>
      </c>
      <c r="AC496" s="137">
        <v>2</v>
      </c>
      <c r="AD496" s="123">
        <v>0</v>
      </c>
      <c r="AE496" s="137">
        <v>0</v>
      </c>
      <c r="AF496" s="137">
        <v>4</v>
      </c>
      <c r="AG496" s="125">
        <v>0</v>
      </c>
      <c r="AH496" s="137">
        <v>5</v>
      </c>
      <c r="AI496" s="125">
        <v>0</v>
      </c>
      <c r="AJ496" s="137">
        <v>0</v>
      </c>
      <c r="AK496" s="137">
        <v>0</v>
      </c>
      <c r="AL496" s="137">
        <v>0</v>
      </c>
      <c r="AM496" s="137">
        <v>5</v>
      </c>
      <c r="AN496" s="125">
        <v>0</v>
      </c>
      <c r="AO496" s="137">
        <v>5</v>
      </c>
      <c r="AP496" s="125" t="s">
        <v>18</v>
      </c>
      <c r="AQ496" s="137" t="s">
        <v>18</v>
      </c>
      <c r="AR496" s="137" t="s">
        <v>18</v>
      </c>
      <c r="AS496" s="137" t="s">
        <v>18</v>
      </c>
      <c r="AT496" s="137" t="s">
        <v>18</v>
      </c>
      <c r="AU496" s="137" t="s">
        <v>18</v>
      </c>
      <c r="AV496" s="137" t="s">
        <v>18</v>
      </c>
      <c r="AW496" s="137" t="s">
        <v>18</v>
      </c>
      <c r="AX496" s="137" t="s">
        <v>18</v>
      </c>
      <c r="AY496" s="137" t="s">
        <v>18</v>
      </c>
      <c r="AZ496" s="137" t="s">
        <v>18</v>
      </c>
      <c r="BA496" s="137" t="s">
        <v>18</v>
      </c>
      <c r="BB496" s="137" t="s">
        <v>18</v>
      </c>
      <c r="BC496" s="137" t="s">
        <v>18</v>
      </c>
    </row>
    <row r="497" spans="1:55" ht="11.25" customHeight="1" x14ac:dyDescent="0.2">
      <c r="A497" s="128">
        <v>20810</v>
      </c>
      <c r="B497" s="136" t="s">
        <v>16</v>
      </c>
      <c r="C497" s="137">
        <v>0</v>
      </c>
      <c r="D497" s="171">
        <v>0</v>
      </c>
      <c r="E497" s="172">
        <v>0</v>
      </c>
      <c r="F497" s="137">
        <v>2061</v>
      </c>
      <c r="G497" s="172">
        <v>0</v>
      </c>
      <c r="H497" s="137">
        <v>0</v>
      </c>
      <c r="I497" s="137">
        <v>0</v>
      </c>
      <c r="J497" s="137">
        <v>1374</v>
      </c>
      <c r="K497" s="172">
        <v>0</v>
      </c>
      <c r="L497" s="137">
        <v>0</v>
      </c>
      <c r="M497" s="137">
        <v>3435</v>
      </c>
      <c r="N497" s="172">
        <v>0</v>
      </c>
      <c r="O497" s="137">
        <v>0</v>
      </c>
      <c r="P497" s="137">
        <v>0</v>
      </c>
      <c r="Q497" s="137">
        <v>0</v>
      </c>
      <c r="R497" s="172">
        <v>0</v>
      </c>
      <c r="S497" s="137">
        <v>0</v>
      </c>
      <c r="T497" s="137">
        <v>2720</v>
      </c>
      <c r="U497" s="173">
        <v>0</v>
      </c>
      <c r="V497" s="137">
        <v>0</v>
      </c>
      <c r="W497" s="137">
        <v>0</v>
      </c>
      <c r="X497" s="137">
        <v>1700</v>
      </c>
      <c r="Y497" s="125">
        <v>0</v>
      </c>
      <c r="Z497" s="137">
        <v>0</v>
      </c>
      <c r="AA497" s="137">
        <v>2380</v>
      </c>
      <c r="AB497" s="125">
        <v>0</v>
      </c>
      <c r="AC497" s="137">
        <v>680</v>
      </c>
      <c r="AD497" s="123">
        <v>0</v>
      </c>
      <c r="AE497" s="137">
        <v>0</v>
      </c>
      <c r="AF497" s="137">
        <v>1360</v>
      </c>
      <c r="AG497" s="125">
        <v>0</v>
      </c>
      <c r="AH497" s="137">
        <v>1700</v>
      </c>
      <c r="AI497" s="125">
        <v>0</v>
      </c>
      <c r="AJ497" s="137">
        <v>0</v>
      </c>
      <c r="AK497" s="137">
        <v>0</v>
      </c>
      <c r="AL497" s="137">
        <v>0</v>
      </c>
      <c r="AM497" s="137">
        <v>1700</v>
      </c>
      <c r="AN497" s="125">
        <v>0</v>
      </c>
      <c r="AO497" s="137">
        <v>1700</v>
      </c>
      <c r="AP497" s="125" t="s">
        <v>18</v>
      </c>
      <c r="AQ497" s="137" t="s">
        <v>18</v>
      </c>
      <c r="AR497" s="137" t="s">
        <v>18</v>
      </c>
      <c r="AS497" s="137" t="s">
        <v>18</v>
      </c>
      <c r="AT497" s="137" t="s">
        <v>18</v>
      </c>
      <c r="AU497" s="137" t="s">
        <v>18</v>
      </c>
      <c r="AV497" s="137" t="s">
        <v>18</v>
      </c>
      <c r="AW497" s="137" t="s">
        <v>18</v>
      </c>
      <c r="AX497" s="137" t="s">
        <v>18</v>
      </c>
      <c r="AY497" s="137" t="s">
        <v>18</v>
      </c>
      <c r="AZ497" s="137" t="s">
        <v>18</v>
      </c>
      <c r="BA497" s="137" t="s">
        <v>18</v>
      </c>
      <c r="BB497" s="137" t="s">
        <v>18</v>
      </c>
      <c r="BC497" s="137" t="s">
        <v>18</v>
      </c>
    </row>
    <row r="498" spans="1:55" ht="11.25" customHeight="1" thickBot="1" x14ac:dyDescent="0.25">
      <c r="A498" s="138">
        <v>0.16450592885375495</v>
      </c>
      <c r="B498" s="136" t="s">
        <v>17</v>
      </c>
      <c r="C498" s="147" t="s">
        <v>18</v>
      </c>
      <c r="D498" s="183" t="s">
        <v>18</v>
      </c>
      <c r="E498" s="184" t="s">
        <v>18</v>
      </c>
      <c r="F498" s="147">
        <v>0.22900000000000001</v>
      </c>
      <c r="G498" s="184" t="s">
        <v>18</v>
      </c>
      <c r="H498" s="147" t="s">
        <v>18</v>
      </c>
      <c r="I498" s="147" t="s">
        <v>18</v>
      </c>
      <c r="J498" s="147">
        <v>0.44322580645161291</v>
      </c>
      <c r="K498" s="184" t="s">
        <v>18</v>
      </c>
      <c r="L498" s="147" t="s">
        <v>18</v>
      </c>
      <c r="M498" s="147">
        <v>0.59224137931034482</v>
      </c>
      <c r="N498" s="184" t="s">
        <v>18</v>
      </c>
      <c r="O498" s="147" t="s">
        <v>18</v>
      </c>
      <c r="P498" s="147" t="s">
        <v>18</v>
      </c>
      <c r="Q498" s="147" t="s">
        <v>18</v>
      </c>
      <c r="R498" s="184" t="s">
        <v>18</v>
      </c>
      <c r="S498" s="147" t="s">
        <v>18</v>
      </c>
      <c r="T498" s="147">
        <v>0.168944099378882</v>
      </c>
      <c r="U498" s="185" t="s">
        <v>18</v>
      </c>
      <c r="V498" s="147" t="s">
        <v>18</v>
      </c>
      <c r="W498" s="147" t="s">
        <v>18</v>
      </c>
      <c r="X498" s="147">
        <v>0.15178571428571427</v>
      </c>
      <c r="Y498" s="148" t="s">
        <v>18</v>
      </c>
      <c r="Z498" s="147" t="s">
        <v>18</v>
      </c>
      <c r="AA498" s="147">
        <v>0.14874999999999999</v>
      </c>
      <c r="AB498" s="148" t="s">
        <v>18</v>
      </c>
      <c r="AC498" s="147">
        <v>0.11147540983606558</v>
      </c>
      <c r="AD498" s="146" t="s">
        <v>18</v>
      </c>
      <c r="AE498" s="147" t="s">
        <v>18</v>
      </c>
      <c r="AF498" s="147">
        <v>9.5774647887323941E-2</v>
      </c>
      <c r="AG498" s="148" t="s">
        <v>18</v>
      </c>
      <c r="AH498" s="147">
        <v>0.14655172413793102</v>
      </c>
      <c r="AI498" s="148" t="s">
        <v>18</v>
      </c>
      <c r="AJ498" s="147" t="s">
        <v>18</v>
      </c>
      <c r="AK498" s="147" t="s">
        <v>18</v>
      </c>
      <c r="AL498" s="147" t="s">
        <v>18</v>
      </c>
      <c r="AM498" s="147">
        <v>0.125</v>
      </c>
      <c r="AN498" s="148" t="s">
        <v>18</v>
      </c>
      <c r="AO498" s="147">
        <v>8.6294416243654817E-2</v>
      </c>
      <c r="AP498" s="148" t="s">
        <v>18</v>
      </c>
      <c r="AQ498" s="147" t="s">
        <v>18</v>
      </c>
      <c r="AR498" s="147" t="s">
        <v>18</v>
      </c>
      <c r="AS498" s="147" t="s">
        <v>18</v>
      </c>
      <c r="AT498" s="147" t="s">
        <v>18</v>
      </c>
      <c r="AU498" s="147" t="s">
        <v>18</v>
      </c>
      <c r="AV498" s="147" t="s">
        <v>18</v>
      </c>
      <c r="AW498" s="147" t="s">
        <v>18</v>
      </c>
      <c r="AX498" s="147" t="s">
        <v>18</v>
      </c>
      <c r="AY498" s="147" t="s">
        <v>18</v>
      </c>
      <c r="AZ498" s="147" t="s">
        <v>18</v>
      </c>
      <c r="BA498" s="147" t="s">
        <v>18</v>
      </c>
      <c r="BB498" s="147" t="s">
        <v>18</v>
      </c>
      <c r="BC498" s="147" t="s">
        <v>18</v>
      </c>
    </row>
    <row r="499" spans="1:55" ht="11.25" customHeight="1" x14ac:dyDescent="0.2">
      <c r="A499" s="149" t="s">
        <v>1</v>
      </c>
      <c r="B499" s="150" t="s">
        <v>2</v>
      </c>
      <c r="C499" s="130">
        <v>19184</v>
      </c>
      <c r="D499" s="174">
        <v>19293</v>
      </c>
      <c r="E499" s="175">
        <v>19293</v>
      </c>
      <c r="F499" s="130">
        <v>19383</v>
      </c>
      <c r="G499" s="175">
        <v>19383</v>
      </c>
      <c r="H499" s="130">
        <v>19383</v>
      </c>
      <c r="I499" s="130">
        <v>19383</v>
      </c>
      <c r="J499" s="130">
        <v>19427</v>
      </c>
      <c r="K499" s="175">
        <v>19427</v>
      </c>
      <c r="L499" s="130">
        <v>19427</v>
      </c>
      <c r="M499" s="130">
        <v>19533</v>
      </c>
      <c r="N499" s="175">
        <v>19533</v>
      </c>
      <c r="O499" s="130">
        <v>19533</v>
      </c>
      <c r="P499" s="130">
        <v>19533</v>
      </c>
      <c r="Q499" s="130">
        <v>19664</v>
      </c>
      <c r="R499" s="175">
        <v>19664</v>
      </c>
      <c r="S499" s="130">
        <v>19664</v>
      </c>
      <c r="T499" s="130">
        <v>19915</v>
      </c>
      <c r="U499" s="176">
        <v>19915</v>
      </c>
      <c r="V499" s="130">
        <v>19915</v>
      </c>
      <c r="W499" s="130">
        <v>19915</v>
      </c>
      <c r="X499" s="130">
        <v>20076</v>
      </c>
      <c r="Y499" s="131">
        <v>20076</v>
      </c>
      <c r="Z499" s="130">
        <v>20076</v>
      </c>
      <c r="AA499" s="130">
        <v>20155</v>
      </c>
      <c r="AB499" s="131">
        <v>20155</v>
      </c>
      <c r="AC499" s="130">
        <v>20175</v>
      </c>
      <c r="AD499" s="129">
        <v>20175</v>
      </c>
      <c r="AE499" s="130">
        <v>20175</v>
      </c>
      <c r="AF499" s="130">
        <v>20238</v>
      </c>
      <c r="AG499" s="131">
        <v>20238</v>
      </c>
      <c r="AH499" s="130">
        <v>20317</v>
      </c>
      <c r="AI499" s="131">
        <v>20317</v>
      </c>
      <c r="AJ499" s="130">
        <v>20317</v>
      </c>
      <c r="AK499" s="130">
        <v>20317</v>
      </c>
      <c r="AL499" s="130">
        <v>20317</v>
      </c>
      <c r="AM499" s="130">
        <v>20447</v>
      </c>
      <c r="AN499" s="131">
        <v>20447</v>
      </c>
      <c r="AO499" s="130">
        <v>20513</v>
      </c>
      <c r="AP499" s="131" t="s">
        <v>18</v>
      </c>
      <c r="AQ499" s="130" t="s">
        <v>18</v>
      </c>
      <c r="AR499" s="130" t="s">
        <v>18</v>
      </c>
      <c r="AS499" s="130" t="s">
        <v>18</v>
      </c>
      <c r="AT499" s="130" t="s">
        <v>18</v>
      </c>
      <c r="AU499" s="130" t="s">
        <v>18</v>
      </c>
      <c r="AV499" s="130" t="s">
        <v>18</v>
      </c>
      <c r="AW499" s="130" t="s">
        <v>18</v>
      </c>
      <c r="AX499" s="130" t="s">
        <v>18</v>
      </c>
      <c r="AY499" s="130" t="s">
        <v>18</v>
      </c>
      <c r="AZ499" s="130" t="s">
        <v>18</v>
      </c>
      <c r="BA499" s="130" t="s">
        <v>18</v>
      </c>
      <c r="BB499" s="130" t="s">
        <v>18</v>
      </c>
      <c r="BC499" s="130" t="s">
        <v>18</v>
      </c>
    </row>
    <row r="500" spans="1:55" ht="11.25" customHeight="1" x14ac:dyDescent="0.2">
      <c r="A500" s="121" t="s">
        <v>29</v>
      </c>
      <c r="B500" s="122" t="s">
        <v>4</v>
      </c>
      <c r="C500" s="124">
        <v>1622</v>
      </c>
      <c r="D500" s="171">
        <v>1626</v>
      </c>
      <c r="E500" s="172">
        <v>1626</v>
      </c>
      <c r="F500" s="124">
        <v>1637</v>
      </c>
      <c r="G500" s="172">
        <v>1637</v>
      </c>
      <c r="H500" s="124">
        <v>1637</v>
      </c>
      <c r="I500" s="124">
        <v>1637</v>
      </c>
      <c r="J500" s="124">
        <v>1637</v>
      </c>
      <c r="K500" s="172">
        <v>1637</v>
      </c>
      <c r="L500" s="124">
        <v>1637</v>
      </c>
      <c r="M500" s="124">
        <v>1647</v>
      </c>
      <c r="N500" s="172">
        <v>1647</v>
      </c>
      <c r="O500" s="124">
        <v>1647</v>
      </c>
      <c r="P500" s="124">
        <v>1647</v>
      </c>
      <c r="Q500" s="124">
        <v>1648</v>
      </c>
      <c r="R500" s="172">
        <v>1648</v>
      </c>
      <c r="S500" s="124">
        <v>1648</v>
      </c>
      <c r="T500" s="124">
        <v>1655</v>
      </c>
      <c r="U500" s="173">
        <v>1655</v>
      </c>
      <c r="V500" s="124">
        <v>1655</v>
      </c>
      <c r="W500" s="124">
        <v>1655</v>
      </c>
      <c r="X500" s="124">
        <v>1658</v>
      </c>
      <c r="Y500" s="125">
        <v>1658</v>
      </c>
      <c r="Z500" s="124">
        <v>1658</v>
      </c>
      <c r="AA500" s="124">
        <v>1660</v>
      </c>
      <c r="AB500" s="125">
        <v>1660</v>
      </c>
      <c r="AC500" s="124">
        <v>1660</v>
      </c>
      <c r="AD500" s="123">
        <v>1660</v>
      </c>
      <c r="AE500" s="124">
        <v>1660</v>
      </c>
      <c r="AF500" s="124">
        <v>1662</v>
      </c>
      <c r="AG500" s="125">
        <v>1662</v>
      </c>
      <c r="AH500" s="124">
        <v>1665</v>
      </c>
      <c r="AI500" s="125">
        <v>1665</v>
      </c>
      <c r="AJ500" s="124">
        <v>1665</v>
      </c>
      <c r="AK500" s="124">
        <v>1665</v>
      </c>
      <c r="AL500" s="124">
        <v>1665</v>
      </c>
      <c r="AM500" s="124">
        <v>1668</v>
      </c>
      <c r="AN500" s="125">
        <v>1668</v>
      </c>
      <c r="AO500" s="124">
        <v>1673</v>
      </c>
      <c r="AP500" s="125" t="s">
        <v>18</v>
      </c>
      <c r="AQ500" s="124" t="s">
        <v>18</v>
      </c>
      <c r="AR500" s="124" t="s">
        <v>18</v>
      </c>
      <c r="AS500" s="124" t="s">
        <v>18</v>
      </c>
      <c r="AT500" s="124" t="s">
        <v>18</v>
      </c>
      <c r="AU500" s="124" t="s">
        <v>18</v>
      </c>
      <c r="AV500" s="124" t="s">
        <v>18</v>
      </c>
      <c r="AW500" s="124" t="s">
        <v>18</v>
      </c>
      <c r="AX500" s="124" t="s">
        <v>18</v>
      </c>
      <c r="AY500" s="124" t="s">
        <v>18</v>
      </c>
      <c r="AZ500" s="124" t="s">
        <v>18</v>
      </c>
      <c r="BA500" s="124" t="s">
        <v>18</v>
      </c>
      <c r="BB500" s="124" t="s">
        <v>18</v>
      </c>
      <c r="BC500" s="124" t="s">
        <v>18</v>
      </c>
    </row>
    <row r="501" spans="1:55" ht="11.25" customHeight="1" x14ac:dyDescent="0.25">
      <c r="A501" s="143">
        <v>3</v>
      </c>
      <c r="B501" s="122" t="s">
        <v>5</v>
      </c>
      <c r="C501" s="124">
        <v>16</v>
      </c>
      <c r="D501" s="171">
        <v>13</v>
      </c>
      <c r="E501" s="172">
        <v>19</v>
      </c>
      <c r="F501" s="124">
        <v>17</v>
      </c>
      <c r="G501" s="172">
        <v>19</v>
      </c>
      <c r="H501" s="124">
        <v>19</v>
      </c>
      <c r="I501" s="124">
        <v>19</v>
      </c>
      <c r="J501" s="124">
        <v>19</v>
      </c>
      <c r="K501" s="172">
        <v>19</v>
      </c>
      <c r="L501" s="124">
        <v>19</v>
      </c>
      <c r="M501" s="124">
        <v>15</v>
      </c>
      <c r="N501" s="172">
        <v>15</v>
      </c>
      <c r="O501" s="124">
        <v>15</v>
      </c>
      <c r="P501" s="124">
        <v>15</v>
      </c>
      <c r="Q501" s="124">
        <v>14</v>
      </c>
      <c r="R501" s="172">
        <v>17</v>
      </c>
      <c r="S501" s="124">
        <v>17</v>
      </c>
      <c r="T501" s="124">
        <v>10</v>
      </c>
      <c r="U501" s="173">
        <v>15</v>
      </c>
      <c r="V501" s="124">
        <v>15</v>
      </c>
      <c r="W501" s="124">
        <v>15</v>
      </c>
      <c r="X501" s="124">
        <v>12</v>
      </c>
      <c r="Y501" s="125">
        <v>12</v>
      </c>
      <c r="Z501" s="124">
        <v>12</v>
      </c>
      <c r="AA501" s="124">
        <v>9</v>
      </c>
      <c r="AB501" s="125">
        <v>9</v>
      </c>
      <c r="AC501" s="124">
        <v>9</v>
      </c>
      <c r="AD501" s="123">
        <v>9</v>
      </c>
      <c r="AE501" s="124">
        <v>9</v>
      </c>
      <c r="AF501" s="124">
        <v>7</v>
      </c>
      <c r="AG501" s="125">
        <v>7</v>
      </c>
      <c r="AH501" s="124">
        <v>4</v>
      </c>
      <c r="AI501" s="125">
        <v>11</v>
      </c>
      <c r="AJ501" s="124">
        <v>11</v>
      </c>
      <c r="AK501" s="124">
        <v>11</v>
      </c>
      <c r="AL501" s="124">
        <v>11</v>
      </c>
      <c r="AM501" s="124">
        <v>7</v>
      </c>
      <c r="AN501" s="125">
        <v>7</v>
      </c>
      <c r="AO501" s="124">
        <v>2</v>
      </c>
      <c r="AP501" s="125" t="s">
        <v>18</v>
      </c>
      <c r="AQ501" s="124" t="s">
        <v>18</v>
      </c>
      <c r="AR501" s="124" t="s">
        <v>18</v>
      </c>
      <c r="AS501" s="124" t="s">
        <v>18</v>
      </c>
      <c r="AT501" s="124" t="s">
        <v>18</v>
      </c>
      <c r="AU501" s="124" t="s">
        <v>18</v>
      </c>
      <c r="AV501" s="124" t="s">
        <v>18</v>
      </c>
      <c r="AW501" s="124" t="s">
        <v>18</v>
      </c>
      <c r="AX501" s="124" t="s">
        <v>18</v>
      </c>
      <c r="AY501" s="124" t="s">
        <v>18</v>
      </c>
      <c r="AZ501" s="124" t="s">
        <v>18</v>
      </c>
      <c r="BA501" s="124" t="s">
        <v>18</v>
      </c>
      <c r="BB501" s="124" t="s">
        <v>18</v>
      </c>
      <c r="BC501" s="124" t="s">
        <v>18</v>
      </c>
    </row>
    <row r="502" spans="1:55" ht="11.25" customHeight="1" x14ac:dyDescent="0.2">
      <c r="A502" s="127"/>
      <c r="B502" s="122" t="s">
        <v>6</v>
      </c>
      <c r="C502" s="124">
        <v>1</v>
      </c>
      <c r="D502" s="171">
        <v>6</v>
      </c>
      <c r="E502" s="172"/>
      <c r="F502" s="124">
        <v>2</v>
      </c>
      <c r="G502" s="172"/>
      <c r="H502" s="124"/>
      <c r="I502" s="124"/>
      <c r="J502" s="124"/>
      <c r="K502" s="172"/>
      <c r="L502" s="124"/>
      <c r="M502" s="124"/>
      <c r="N502" s="172"/>
      <c r="O502" s="124"/>
      <c r="P502" s="124"/>
      <c r="Q502" s="124">
        <v>3</v>
      </c>
      <c r="R502" s="172"/>
      <c r="S502" s="124"/>
      <c r="T502" s="124">
        <v>5</v>
      </c>
      <c r="U502" s="173"/>
      <c r="V502" s="124"/>
      <c r="W502" s="124"/>
      <c r="X502" s="124"/>
      <c r="Y502" s="125"/>
      <c r="Z502" s="124"/>
      <c r="AA502" s="124"/>
      <c r="AB502" s="125"/>
      <c r="AC502" s="124"/>
      <c r="AD502" s="123"/>
      <c r="AE502" s="124"/>
      <c r="AF502" s="124"/>
      <c r="AG502" s="125"/>
      <c r="AH502" s="124">
        <v>7</v>
      </c>
      <c r="AI502" s="125"/>
      <c r="AJ502" s="124"/>
      <c r="AK502" s="124"/>
      <c r="AL502" s="124"/>
      <c r="AM502" s="124"/>
      <c r="AN502" s="125"/>
      <c r="AO502" s="124">
        <v>13</v>
      </c>
      <c r="AP502" s="125"/>
      <c r="AQ502" s="124"/>
      <c r="AR502" s="124"/>
      <c r="AS502" s="124"/>
      <c r="AT502" s="124"/>
      <c r="AU502" s="124"/>
      <c r="AV502" s="124"/>
      <c r="AW502" s="124"/>
      <c r="AX502" s="124"/>
      <c r="AY502" s="124"/>
      <c r="AZ502" s="124"/>
      <c r="BA502" s="124"/>
      <c r="BB502" s="124"/>
      <c r="BC502" s="124"/>
    </row>
    <row r="503" spans="1:55" ht="11.25" customHeight="1" x14ac:dyDescent="0.2">
      <c r="A503" s="128"/>
      <c r="B503" s="122" t="s">
        <v>8</v>
      </c>
      <c r="C503" s="130">
        <v>600</v>
      </c>
      <c r="D503" s="174">
        <v>600</v>
      </c>
      <c r="E503" s="175">
        <v>600</v>
      </c>
      <c r="F503" s="130">
        <v>600</v>
      </c>
      <c r="G503" s="175">
        <v>600</v>
      </c>
      <c r="H503" s="130">
        <v>600</v>
      </c>
      <c r="I503" s="130">
        <v>600</v>
      </c>
      <c r="J503" s="130">
        <v>600</v>
      </c>
      <c r="K503" s="175">
        <v>600</v>
      </c>
      <c r="L503" s="130">
        <v>600</v>
      </c>
      <c r="M503" s="130">
        <v>600</v>
      </c>
      <c r="N503" s="175">
        <v>600</v>
      </c>
      <c r="O503" s="130">
        <v>600</v>
      </c>
      <c r="P503" s="130">
        <v>600</v>
      </c>
      <c r="Q503" s="130">
        <v>600</v>
      </c>
      <c r="R503" s="175">
        <v>600</v>
      </c>
      <c r="S503" s="130">
        <v>600</v>
      </c>
      <c r="T503" s="130">
        <v>600</v>
      </c>
      <c r="U503" s="176">
        <v>600</v>
      </c>
      <c r="V503" s="130">
        <v>600</v>
      </c>
      <c r="W503" s="130">
        <v>600</v>
      </c>
      <c r="X503" s="130">
        <v>600</v>
      </c>
      <c r="Y503" s="131">
        <v>600</v>
      </c>
      <c r="Z503" s="130">
        <v>600</v>
      </c>
      <c r="AA503" s="130">
        <v>600</v>
      </c>
      <c r="AB503" s="131">
        <v>600</v>
      </c>
      <c r="AC503" s="130">
        <v>600</v>
      </c>
      <c r="AD503" s="129">
        <v>600</v>
      </c>
      <c r="AE503" s="130">
        <v>600</v>
      </c>
      <c r="AF503" s="130">
        <v>600</v>
      </c>
      <c r="AG503" s="131">
        <v>600</v>
      </c>
      <c r="AH503" s="130">
        <v>600</v>
      </c>
      <c r="AI503" s="131">
        <v>200</v>
      </c>
      <c r="AJ503" s="130">
        <v>200</v>
      </c>
      <c r="AK503" s="130">
        <v>200</v>
      </c>
      <c r="AL503" s="130">
        <v>200</v>
      </c>
      <c r="AM503" s="130">
        <v>200</v>
      </c>
      <c r="AN503" s="131">
        <v>200</v>
      </c>
      <c r="AO503" s="130">
        <v>200</v>
      </c>
      <c r="AP503" s="131">
        <v>680</v>
      </c>
      <c r="AQ503" s="130" t="s">
        <v>18</v>
      </c>
      <c r="AR503" s="130" t="s">
        <v>18</v>
      </c>
      <c r="AS503" s="130" t="s">
        <v>18</v>
      </c>
      <c r="AT503" s="130" t="s">
        <v>18</v>
      </c>
      <c r="AU503" s="130" t="s">
        <v>18</v>
      </c>
      <c r="AV503" s="130" t="s">
        <v>18</v>
      </c>
      <c r="AW503" s="130" t="s">
        <v>18</v>
      </c>
      <c r="AX503" s="130" t="s">
        <v>18</v>
      </c>
      <c r="AY503" s="130" t="s">
        <v>18</v>
      </c>
      <c r="AZ503" s="130" t="s">
        <v>18</v>
      </c>
      <c r="BA503" s="130" t="s">
        <v>18</v>
      </c>
      <c r="BB503" s="130" t="s">
        <v>18</v>
      </c>
      <c r="BC503" s="130" t="s">
        <v>18</v>
      </c>
    </row>
    <row r="504" spans="1:55" ht="11.25" customHeight="1" x14ac:dyDescent="0.2">
      <c r="A504" s="127" t="s">
        <v>9</v>
      </c>
      <c r="B504" s="132" t="s">
        <v>10</v>
      </c>
      <c r="C504" s="134" t="s">
        <v>37</v>
      </c>
      <c r="D504" s="177" t="s">
        <v>37</v>
      </c>
      <c r="E504" s="178" t="s">
        <v>37</v>
      </c>
      <c r="F504" s="134" t="s">
        <v>37</v>
      </c>
      <c r="G504" s="178" t="s">
        <v>37</v>
      </c>
      <c r="H504" s="134" t="s">
        <v>37</v>
      </c>
      <c r="I504" s="134" t="s">
        <v>37</v>
      </c>
      <c r="J504" s="134" t="s">
        <v>37</v>
      </c>
      <c r="K504" s="178" t="s">
        <v>37</v>
      </c>
      <c r="L504" s="134" t="s">
        <v>37</v>
      </c>
      <c r="M504" s="134" t="s">
        <v>37</v>
      </c>
      <c r="N504" s="178" t="s">
        <v>37</v>
      </c>
      <c r="O504" s="134" t="s">
        <v>37</v>
      </c>
      <c r="P504" s="134" t="s">
        <v>37</v>
      </c>
      <c r="Q504" s="134" t="s">
        <v>37</v>
      </c>
      <c r="R504" s="178" t="s">
        <v>37</v>
      </c>
      <c r="S504" s="134" t="s">
        <v>37</v>
      </c>
      <c r="T504" s="134" t="s">
        <v>37</v>
      </c>
      <c r="U504" s="179" t="s">
        <v>37</v>
      </c>
      <c r="V504" s="134" t="s">
        <v>37</v>
      </c>
      <c r="W504" s="134" t="s">
        <v>37</v>
      </c>
      <c r="X504" s="134" t="s">
        <v>37</v>
      </c>
      <c r="Y504" s="135" t="s">
        <v>37</v>
      </c>
      <c r="Z504" s="134" t="s">
        <v>37</v>
      </c>
      <c r="AA504" s="134" t="s">
        <v>37</v>
      </c>
      <c r="AB504" s="135" t="s">
        <v>37</v>
      </c>
      <c r="AC504" s="134" t="s">
        <v>37</v>
      </c>
      <c r="AD504" s="133" t="s">
        <v>37</v>
      </c>
      <c r="AE504" s="134" t="s">
        <v>37</v>
      </c>
      <c r="AF504" s="134" t="s">
        <v>37</v>
      </c>
      <c r="AG504" s="135" t="s">
        <v>37</v>
      </c>
      <c r="AH504" s="134" t="s">
        <v>37</v>
      </c>
      <c r="AI504" s="135" t="s">
        <v>213</v>
      </c>
      <c r="AJ504" s="134" t="s">
        <v>213</v>
      </c>
      <c r="AK504" s="134" t="s">
        <v>213</v>
      </c>
      <c r="AL504" s="134" t="s">
        <v>213</v>
      </c>
      <c r="AM504" s="134" t="s">
        <v>213</v>
      </c>
      <c r="AN504" s="135" t="s">
        <v>213</v>
      </c>
      <c r="AO504" s="134" t="s">
        <v>213</v>
      </c>
      <c r="AP504" s="135" t="s">
        <v>222</v>
      </c>
      <c r="AQ504" s="134" t="s">
        <v>18</v>
      </c>
      <c r="AR504" s="134" t="s">
        <v>18</v>
      </c>
      <c r="AS504" s="134" t="s">
        <v>18</v>
      </c>
      <c r="AT504" s="134" t="s">
        <v>18</v>
      </c>
      <c r="AU504" s="134" t="s">
        <v>18</v>
      </c>
      <c r="AV504" s="134" t="s">
        <v>18</v>
      </c>
      <c r="AW504" s="134" t="s">
        <v>18</v>
      </c>
      <c r="AX504" s="134" t="s">
        <v>18</v>
      </c>
      <c r="AY504" s="134" t="s">
        <v>18</v>
      </c>
      <c r="AZ504" s="134" t="s">
        <v>18</v>
      </c>
      <c r="BA504" s="134" t="s">
        <v>18</v>
      </c>
      <c r="BB504" s="134" t="s">
        <v>18</v>
      </c>
      <c r="BC504" s="134" t="s">
        <v>18</v>
      </c>
    </row>
    <row r="505" spans="1:55" ht="11.25" customHeight="1" x14ac:dyDescent="0.2">
      <c r="A505" s="128">
        <v>102230.76923076923</v>
      </c>
      <c r="B505" s="122" t="s">
        <v>12</v>
      </c>
      <c r="C505" s="124"/>
      <c r="D505" s="171"/>
      <c r="E505" s="172"/>
      <c r="F505" s="124"/>
      <c r="G505" s="172"/>
      <c r="H505" s="124"/>
      <c r="I505" s="124"/>
      <c r="J505" s="124"/>
      <c r="K505" s="172"/>
      <c r="L505" s="124"/>
      <c r="M505" s="124"/>
      <c r="N505" s="172" t="s">
        <v>38</v>
      </c>
      <c r="O505" s="124"/>
      <c r="P505" s="124"/>
      <c r="Q505" s="124"/>
      <c r="R505" s="172"/>
      <c r="S505" s="124"/>
      <c r="T505" s="124"/>
      <c r="U505" s="173"/>
      <c r="V505" s="124"/>
      <c r="W505" s="124"/>
      <c r="X505" s="124"/>
      <c r="Y505" s="125"/>
      <c r="Z505" s="124"/>
      <c r="AA505" s="124"/>
      <c r="AB505" s="125"/>
      <c r="AC505" s="124"/>
      <c r="AD505" s="123"/>
      <c r="AE505" s="124"/>
      <c r="AF505" s="124"/>
      <c r="AG505" s="125"/>
      <c r="AH505" s="124"/>
      <c r="AI505" s="125" t="s">
        <v>214</v>
      </c>
      <c r="AJ505" s="124"/>
      <c r="AK505" s="124"/>
      <c r="AL505" s="124"/>
      <c r="AM505" s="124"/>
      <c r="AN505" s="125"/>
      <c r="AO505" s="124"/>
      <c r="AP505" s="125" t="s">
        <v>223</v>
      </c>
      <c r="AQ505" s="124"/>
      <c r="AR505" s="124"/>
      <c r="AS505" s="124"/>
      <c r="AT505" s="124"/>
      <c r="AU505" s="124"/>
      <c r="AV505" s="124"/>
      <c r="AW505" s="124"/>
      <c r="AX505" s="124"/>
      <c r="AY505" s="124"/>
      <c r="AZ505" s="124"/>
      <c r="BA505" s="124"/>
      <c r="BB505" s="124"/>
      <c r="BC505" s="124"/>
    </row>
    <row r="506" spans="1:55" ht="11.25" customHeight="1" x14ac:dyDescent="0.2">
      <c r="A506" s="128">
        <v>1329</v>
      </c>
      <c r="B506" s="136" t="s">
        <v>13</v>
      </c>
      <c r="C506" s="137">
        <v>0</v>
      </c>
      <c r="D506" s="171">
        <v>109</v>
      </c>
      <c r="E506" s="172">
        <v>0</v>
      </c>
      <c r="F506" s="137">
        <v>90</v>
      </c>
      <c r="G506" s="172">
        <v>0</v>
      </c>
      <c r="H506" s="137">
        <v>0</v>
      </c>
      <c r="I506" s="137">
        <v>0</v>
      </c>
      <c r="J506" s="137">
        <v>44</v>
      </c>
      <c r="K506" s="172">
        <v>0</v>
      </c>
      <c r="L506" s="137">
        <v>0</v>
      </c>
      <c r="M506" s="137">
        <v>106</v>
      </c>
      <c r="N506" s="172">
        <v>0</v>
      </c>
      <c r="O506" s="137">
        <v>0</v>
      </c>
      <c r="P506" s="137">
        <v>0</v>
      </c>
      <c r="Q506" s="137">
        <v>131</v>
      </c>
      <c r="R506" s="172">
        <v>0</v>
      </c>
      <c r="S506" s="137">
        <v>0</v>
      </c>
      <c r="T506" s="137">
        <v>251</v>
      </c>
      <c r="U506" s="173">
        <v>0</v>
      </c>
      <c r="V506" s="137">
        <v>0</v>
      </c>
      <c r="W506" s="137">
        <v>0</v>
      </c>
      <c r="X506" s="137">
        <v>161</v>
      </c>
      <c r="Y506" s="125">
        <v>0</v>
      </c>
      <c r="Z506" s="137">
        <v>0</v>
      </c>
      <c r="AA506" s="137">
        <v>79</v>
      </c>
      <c r="AB506" s="125">
        <v>0</v>
      </c>
      <c r="AC506" s="137">
        <v>20</v>
      </c>
      <c r="AD506" s="123">
        <v>0</v>
      </c>
      <c r="AE506" s="137">
        <v>0</v>
      </c>
      <c r="AF506" s="137">
        <v>63</v>
      </c>
      <c r="AG506" s="125">
        <v>0</v>
      </c>
      <c r="AH506" s="137">
        <v>79</v>
      </c>
      <c r="AI506" s="125">
        <v>0</v>
      </c>
      <c r="AJ506" s="137">
        <v>0</v>
      </c>
      <c r="AK506" s="137">
        <v>0</v>
      </c>
      <c r="AL506" s="137">
        <v>0</v>
      </c>
      <c r="AM506" s="137">
        <v>130</v>
      </c>
      <c r="AN506" s="125">
        <v>0</v>
      </c>
      <c r="AO506" s="137">
        <v>66</v>
      </c>
      <c r="AP506" s="125" t="s">
        <v>18</v>
      </c>
      <c r="AQ506" s="137" t="s">
        <v>18</v>
      </c>
      <c r="AR506" s="137" t="s">
        <v>18</v>
      </c>
      <c r="AS506" s="137" t="s">
        <v>18</v>
      </c>
      <c r="AT506" s="137" t="s">
        <v>18</v>
      </c>
      <c r="AU506" s="137" t="s">
        <v>18</v>
      </c>
      <c r="AV506" s="137" t="s">
        <v>18</v>
      </c>
      <c r="AW506" s="137" t="s">
        <v>18</v>
      </c>
      <c r="AX506" s="137" t="s">
        <v>18</v>
      </c>
      <c r="AY506" s="137" t="s">
        <v>18</v>
      </c>
      <c r="AZ506" s="137" t="s">
        <v>18</v>
      </c>
      <c r="BA506" s="137" t="s">
        <v>18</v>
      </c>
      <c r="BB506" s="137" t="s">
        <v>18</v>
      </c>
      <c r="BC506" s="137" t="s">
        <v>18</v>
      </c>
    </row>
    <row r="507" spans="1:55" ht="11.25" customHeight="1" x14ac:dyDescent="0.2">
      <c r="A507" s="128">
        <v>51</v>
      </c>
      <c r="B507" s="136" t="s">
        <v>14</v>
      </c>
      <c r="C507" s="137">
        <v>0</v>
      </c>
      <c r="D507" s="171">
        <v>4</v>
      </c>
      <c r="E507" s="172">
        <v>0</v>
      </c>
      <c r="F507" s="137">
        <v>11</v>
      </c>
      <c r="G507" s="172">
        <v>0</v>
      </c>
      <c r="H507" s="137">
        <v>0</v>
      </c>
      <c r="I507" s="137">
        <v>0</v>
      </c>
      <c r="J507" s="137">
        <v>0</v>
      </c>
      <c r="K507" s="172">
        <v>0</v>
      </c>
      <c r="L507" s="137">
        <v>0</v>
      </c>
      <c r="M507" s="137">
        <v>10</v>
      </c>
      <c r="N507" s="172">
        <v>0</v>
      </c>
      <c r="O507" s="137">
        <v>0</v>
      </c>
      <c r="P507" s="137">
        <v>0</v>
      </c>
      <c r="Q507" s="137">
        <v>1</v>
      </c>
      <c r="R507" s="172">
        <v>0</v>
      </c>
      <c r="S507" s="137">
        <v>0</v>
      </c>
      <c r="T507" s="137">
        <v>7</v>
      </c>
      <c r="U507" s="173">
        <v>0</v>
      </c>
      <c r="V507" s="137">
        <v>0</v>
      </c>
      <c r="W507" s="137">
        <v>0</v>
      </c>
      <c r="X507" s="137">
        <v>3</v>
      </c>
      <c r="Y507" s="125">
        <v>0</v>
      </c>
      <c r="Z507" s="137">
        <v>0</v>
      </c>
      <c r="AA507" s="137">
        <v>2</v>
      </c>
      <c r="AB507" s="125">
        <v>0</v>
      </c>
      <c r="AC507" s="137">
        <v>0</v>
      </c>
      <c r="AD507" s="123">
        <v>0</v>
      </c>
      <c r="AE507" s="137">
        <v>0</v>
      </c>
      <c r="AF507" s="137">
        <v>2</v>
      </c>
      <c r="AG507" s="125">
        <v>0</v>
      </c>
      <c r="AH507" s="137">
        <v>3</v>
      </c>
      <c r="AI507" s="125">
        <v>0</v>
      </c>
      <c r="AJ507" s="137">
        <v>0</v>
      </c>
      <c r="AK507" s="137">
        <v>0</v>
      </c>
      <c r="AL507" s="137">
        <v>0</v>
      </c>
      <c r="AM507" s="137">
        <v>3</v>
      </c>
      <c r="AN507" s="125">
        <v>0</v>
      </c>
      <c r="AO507" s="137">
        <v>5</v>
      </c>
      <c r="AP507" s="125" t="s">
        <v>18</v>
      </c>
      <c r="AQ507" s="137" t="s">
        <v>18</v>
      </c>
      <c r="AR507" s="137" t="s">
        <v>18</v>
      </c>
      <c r="AS507" s="137" t="s">
        <v>18</v>
      </c>
      <c r="AT507" s="137" t="s">
        <v>18</v>
      </c>
      <c r="AU507" s="137" t="s">
        <v>18</v>
      </c>
      <c r="AV507" s="137" t="s">
        <v>18</v>
      </c>
      <c r="AW507" s="137" t="s">
        <v>18</v>
      </c>
      <c r="AX507" s="137" t="s">
        <v>18</v>
      </c>
      <c r="AY507" s="137" t="s">
        <v>18</v>
      </c>
      <c r="AZ507" s="137" t="s">
        <v>18</v>
      </c>
      <c r="BA507" s="137" t="s">
        <v>18</v>
      </c>
      <c r="BB507" s="137" t="s">
        <v>18</v>
      </c>
      <c r="BC507" s="137" t="s">
        <v>18</v>
      </c>
    </row>
    <row r="508" spans="1:55" ht="11.25" customHeight="1" x14ac:dyDescent="0.2">
      <c r="A508" s="128">
        <v>39</v>
      </c>
      <c r="B508" s="136" t="s">
        <v>15</v>
      </c>
      <c r="C508" s="137">
        <v>1</v>
      </c>
      <c r="D508" s="171">
        <v>4</v>
      </c>
      <c r="E508" s="172">
        <v>0</v>
      </c>
      <c r="F508" s="137">
        <v>2</v>
      </c>
      <c r="G508" s="172">
        <v>0</v>
      </c>
      <c r="H508" s="137">
        <v>0</v>
      </c>
      <c r="I508" s="137">
        <v>0</v>
      </c>
      <c r="J508" s="137">
        <v>0</v>
      </c>
      <c r="K508" s="172">
        <v>0</v>
      </c>
      <c r="L508" s="137">
        <v>0</v>
      </c>
      <c r="M508" s="137">
        <v>4</v>
      </c>
      <c r="N508" s="172">
        <v>0</v>
      </c>
      <c r="O508" s="137">
        <v>0</v>
      </c>
      <c r="P508" s="137">
        <v>0</v>
      </c>
      <c r="Q508" s="137">
        <v>1</v>
      </c>
      <c r="R508" s="172">
        <v>0</v>
      </c>
      <c r="S508" s="137">
        <v>0</v>
      </c>
      <c r="T508" s="137">
        <v>7</v>
      </c>
      <c r="U508" s="173">
        <v>0</v>
      </c>
      <c r="V508" s="137">
        <v>0</v>
      </c>
      <c r="W508" s="137">
        <v>0</v>
      </c>
      <c r="X508" s="137">
        <v>3</v>
      </c>
      <c r="Y508" s="125">
        <v>0</v>
      </c>
      <c r="Z508" s="137">
        <v>0</v>
      </c>
      <c r="AA508" s="137">
        <v>3</v>
      </c>
      <c r="AB508" s="125">
        <v>0</v>
      </c>
      <c r="AC508" s="137">
        <v>0</v>
      </c>
      <c r="AD508" s="123">
        <v>0</v>
      </c>
      <c r="AE508" s="137">
        <v>0</v>
      </c>
      <c r="AF508" s="137">
        <v>2</v>
      </c>
      <c r="AG508" s="125">
        <v>0</v>
      </c>
      <c r="AH508" s="137">
        <v>3</v>
      </c>
      <c r="AI508" s="125">
        <v>0</v>
      </c>
      <c r="AJ508" s="137">
        <v>0</v>
      </c>
      <c r="AK508" s="137">
        <v>0</v>
      </c>
      <c r="AL508" s="137">
        <v>0</v>
      </c>
      <c r="AM508" s="137">
        <v>4</v>
      </c>
      <c r="AN508" s="125">
        <v>0</v>
      </c>
      <c r="AO508" s="137">
        <v>5</v>
      </c>
      <c r="AP508" s="125" t="s">
        <v>18</v>
      </c>
      <c r="AQ508" s="137" t="s">
        <v>18</v>
      </c>
      <c r="AR508" s="137" t="s">
        <v>18</v>
      </c>
      <c r="AS508" s="137" t="s">
        <v>18</v>
      </c>
      <c r="AT508" s="137" t="s">
        <v>18</v>
      </c>
      <c r="AU508" s="137" t="s">
        <v>18</v>
      </c>
      <c r="AV508" s="137" t="s">
        <v>18</v>
      </c>
      <c r="AW508" s="137" t="s">
        <v>18</v>
      </c>
      <c r="AX508" s="137" t="s">
        <v>18</v>
      </c>
      <c r="AY508" s="137" t="s">
        <v>18</v>
      </c>
      <c r="AZ508" s="137" t="s">
        <v>18</v>
      </c>
      <c r="BA508" s="137" t="s">
        <v>18</v>
      </c>
      <c r="BB508" s="137" t="s">
        <v>18</v>
      </c>
      <c r="BC508" s="137" t="s">
        <v>18</v>
      </c>
    </row>
    <row r="509" spans="1:55" ht="11.25" customHeight="1" x14ac:dyDescent="0.2">
      <c r="A509" s="128">
        <v>19800</v>
      </c>
      <c r="B509" s="136" t="s">
        <v>16</v>
      </c>
      <c r="C509" s="137">
        <v>600</v>
      </c>
      <c r="D509" s="171">
        <v>2400</v>
      </c>
      <c r="E509" s="172">
        <v>0</v>
      </c>
      <c r="F509" s="137">
        <v>1200</v>
      </c>
      <c r="G509" s="172">
        <v>0</v>
      </c>
      <c r="H509" s="137">
        <v>0</v>
      </c>
      <c r="I509" s="137">
        <v>0</v>
      </c>
      <c r="J509" s="137">
        <v>0</v>
      </c>
      <c r="K509" s="172">
        <v>0</v>
      </c>
      <c r="L509" s="137">
        <v>0</v>
      </c>
      <c r="M509" s="137">
        <v>2400</v>
      </c>
      <c r="N509" s="172">
        <v>0</v>
      </c>
      <c r="O509" s="137">
        <v>0</v>
      </c>
      <c r="P509" s="137">
        <v>0</v>
      </c>
      <c r="Q509" s="137">
        <v>600</v>
      </c>
      <c r="R509" s="172">
        <v>0</v>
      </c>
      <c r="S509" s="137">
        <v>0</v>
      </c>
      <c r="T509" s="137">
        <v>4200</v>
      </c>
      <c r="U509" s="173">
        <v>0</v>
      </c>
      <c r="V509" s="137">
        <v>0</v>
      </c>
      <c r="W509" s="137">
        <v>0</v>
      </c>
      <c r="X509" s="137">
        <v>1800</v>
      </c>
      <c r="Y509" s="125">
        <v>0</v>
      </c>
      <c r="Z509" s="137">
        <v>0</v>
      </c>
      <c r="AA509" s="137">
        <v>1800</v>
      </c>
      <c r="AB509" s="125">
        <v>0</v>
      </c>
      <c r="AC509" s="137">
        <v>0</v>
      </c>
      <c r="AD509" s="123">
        <v>0</v>
      </c>
      <c r="AE509" s="137">
        <v>0</v>
      </c>
      <c r="AF509" s="137">
        <v>1200</v>
      </c>
      <c r="AG509" s="125">
        <v>0</v>
      </c>
      <c r="AH509" s="137">
        <v>1800</v>
      </c>
      <c r="AI509" s="125">
        <v>0</v>
      </c>
      <c r="AJ509" s="137">
        <v>0</v>
      </c>
      <c r="AK509" s="137">
        <v>0</v>
      </c>
      <c r="AL509" s="137">
        <v>0</v>
      </c>
      <c r="AM509" s="137">
        <v>800</v>
      </c>
      <c r="AN509" s="125">
        <v>0</v>
      </c>
      <c r="AO509" s="137">
        <v>1000</v>
      </c>
      <c r="AP509" s="125" t="s">
        <v>18</v>
      </c>
      <c r="AQ509" s="137" t="s">
        <v>18</v>
      </c>
      <c r="AR509" s="137" t="s">
        <v>18</v>
      </c>
      <c r="AS509" s="137" t="s">
        <v>18</v>
      </c>
      <c r="AT509" s="137" t="s">
        <v>18</v>
      </c>
      <c r="AU509" s="137" t="s">
        <v>18</v>
      </c>
      <c r="AV509" s="137" t="s">
        <v>18</v>
      </c>
      <c r="AW509" s="137" t="s">
        <v>18</v>
      </c>
      <c r="AX509" s="137" t="s">
        <v>18</v>
      </c>
      <c r="AY509" s="137" t="s">
        <v>18</v>
      </c>
      <c r="AZ509" s="137" t="s">
        <v>18</v>
      </c>
      <c r="BA509" s="137" t="s">
        <v>18</v>
      </c>
      <c r="BB509" s="137" t="s">
        <v>18</v>
      </c>
      <c r="BC509" s="137" t="s">
        <v>18</v>
      </c>
    </row>
    <row r="510" spans="1:55" ht="11.25" customHeight="1" thickBot="1" x14ac:dyDescent="0.25">
      <c r="A510" s="138">
        <v>0.1489841986455982</v>
      </c>
      <c r="B510" s="136" t="s">
        <v>17</v>
      </c>
      <c r="C510" s="147" t="e">
        <v>#DIV/0!</v>
      </c>
      <c r="D510" s="183">
        <v>0.22018348623853212</v>
      </c>
      <c r="E510" s="184" t="s">
        <v>18</v>
      </c>
      <c r="F510" s="147">
        <v>0.13333333333333333</v>
      </c>
      <c r="G510" s="184" t="s">
        <v>18</v>
      </c>
      <c r="H510" s="147" t="s">
        <v>18</v>
      </c>
      <c r="I510" s="147" t="s">
        <v>18</v>
      </c>
      <c r="J510" s="147" t="s">
        <v>18</v>
      </c>
      <c r="K510" s="184" t="s">
        <v>18</v>
      </c>
      <c r="L510" s="147" t="s">
        <v>18</v>
      </c>
      <c r="M510" s="147">
        <v>0.22641509433962265</v>
      </c>
      <c r="N510" s="184" t="s">
        <v>18</v>
      </c>
      <c r="O510" s="147" t="s">
        <v>18</v>
      </c>
      <c r="P510" s="147" t="s">
        <v>18</v>
      </c>
      <c r="Q510" s="147">
        <v>4.5801526717557252E-2</v>
      </c>
      <c r="R510" s="184" t="s">
        <v>18</v>
      </c>
      <c r="S510" s="147" t="s">
        <v>18</v>
      </c>
      <c r="T510" s="147">
        <v>0.16733067729083664</v>
      </c>
      <c r="U510" s="185" t="s">
        <v>18</v>
      </c>
      <c r="V510" s="147" t="s">
        <v>18</v>
      </c>
      <c r="W510" s="147" t="s">
        <v>18</v>
      </c>
      <c r="X510" s="147">
        <v>0.11180124223602485</v>
      </c>
      <c r="Y510" s="148" t="s">
        <v>18</v>
      </c>
      <c r="Z510" s="147" t="s">
        <v>18</v>
      </c>
      <c r="AA510" s="147">
        <v>0.22784810126582278</v>
      </c>
      <c r="AB510" s="148" t="s">
        <v>18</v>
      </c>
      <c r="AC510" s="147" t="s">
        <v>18</v>
      </c>
      <c r="AD510" s="146" t="s">
        <v>18</v>
      </c>
      <c r="AE510" s="147" t="s">
        <v>18</v>
      </c>
      <c r="AF510" s="147">
        <v>0.19047619047619047</v>
      </c>
      <c r="AG510" s="148" t="s">
        <v>18</v>
      </c>
      <c r="AH510" s="147">
        <v>0.22784810126582278</v>
      </c>
      <c r="AI510" s="148" t="s">
        <v>18</v>
      </c>
      <c r="AJ510" s="147" t="s">
        <v>18</v>
      </c>
      <c r="AK510" s="147" t="s">
        <v>18</v>
      </c>
      <c r="AL510" s="147" t="s">
        <v>18</v>
      </c>
      <c r="AM510" s="147">
        <v>6.1538461538461542E-2</v>
      </c>
      <c r="AN510" s="148" t="s">
        <v>18</v>
      </c>
      <c r="AO510" s="147">
        <v>0.15151515151515152</v>
      </c>
      <c r="AP510" s="148" t="s">
        <v>18</v>
      </c>
      <c r="AQ510" s="147" t="s">
        <v>18</v>
      </c>
      <c r="AR510" s="147" t="s">
        <v>18</v>
      </c>
      <c r="AS510" s="147" t="s">
        <v>18</v>
      </c>
      <c r="AT510" s="147" t="s">
        <v>18</v>
      </c>
      <c r="AU510" s="147" t="s">
        <v>18</v>
      </c>
      <c r="AV510" s="147" t="s">
        <v>18</v>
      </c>
      <c r="AW510" s="147" t="s">
        <v>18</v>
      </c>
      <c r="AX510" s="147" t="s">
        <v>18</v>
      </c>
      <c r="AY510" s="147" t="s">
        <v>18</v>
      </c>
      <c r="AZ510" s="147" t="s">
        <v>18</v>
      </c>
      <c r="BA510" s="147" t="s">
        <v>18</v>
      </c>
      <c r="BB510" s="147" t="s">
        <v>18</v>
      </c>
      <c r="BC510" s="147" t="s">
        <v>18</v>
      </c>
    </row>
    <row r="511" spans="1:55" ht="11.25" customHeight="1" x14ac:dyDescent="0.2">
      <c r="A511" s="149" t="s">
        <v>1</v>
      </c>
      <c r="B511" s="150" t="s">
        <v>2</v>
      </c>
      <c r="C511" s="130">
        <v>16377</v>
      </c>
      <c r="D511" s="174">
        <v>16470</v>
      </c>
      <c r="E511" s="175">
        <v>16470</v>
      </c>
      <c r="F511" s="130">
        <v>16681</v>
      </c>
      <c r="G511" s="175">
        <v>16681</v>
      </c>
      <c r="H511" s="130">
        <v>16681</v>
      </c>
      <c r="I511" s="130">
        <v>16681</v>
      </c>
      <c r="J511" s="130">
        <v>16702</v>
      </c>
      <c r="K511" s="175">
        <v>16702</v>
      </c>
      <c r="L511" s="130">
        <v>16702</v>
      </c>
      <c r="M511" s="130">
        <v>16775</v>
      </c>
      <c r="N511" s="175">
        <v>16775</v>
      </c>
      <c r="O511" s="130">
        <v>16775</v>
      </c>
      <c r="P511" s="130">
        <v>16775</v>
      </c>
      <c r="Q511" s="130">
        <v>16827</v>
      </c>
      <c r="R511" s="175">
        <v>16827</v>
      </c>
      <c r="S511" s="130">
        <v>16827</v>
      </c>
      <c r="T511" s="130">
        <v>16929</v>
      </c>
      <c r="U511" s="176">
        <v>16929</v>
      </c>
      <c r="V511" s="130">
        <v>16929</v>
      </c>
      <c r="W511" s="130">
        <v>16929</v>
      </c>
      <c r="X511" s="130">
        <v>16977</v>
      </c>
      <c r="Y511" s="131">
        <v>16977</v>
      </c>
      <c r="Z511" s="130">
        <v>16977</v>
      </c>
      <c r="AA511" s="130">
        <v>17138</v>
      </c>
      <c r="AB511" s="131">
        <v>17138</v>
      </c>
      <c r="AC511" s="130">
        <v>17169</v>
      </c>
      <c r="AD511" s="129">
        <v>17169</v>
      </c>
      <c r="AE511" s="130">
        <v>17169</v>
      </c>
      <c r="AF511" s="130">
        <v>17257</v>
      </c>
      <c r="AG511" s="131">
        <v>17257</v>
      </c>
      <c r="AH511" s="130">
        <v>17295</v>
      </c>
      <c r="AI511" s="131">
        <v>17295</v>
      </c>
      <c r="AJ511" s="130">
        <v>17295</v>
      </c>
      <c r="AK511" s="130">
        <v>17295</v>
      </c>
      <c r="AL511" s="130">
        <v>17295</v>
      </c>
      <c r="AM511" s="130">
        <v>17383</v>
      </c>
      <c r="AN511" s="131">
        <v>17383</v>
      </c>
      <c r="AO511" s="130">
        <v>17414</v>
      </c>
      <c r="AP511" s="131" t="s">
        <v>18</v>
      </c>
      <c r="AQ511" s="130" t="s">
        <v>18</v>
      </c>
      <c r="AR511" s="130" t="s">
        <v>18</v>
      </c>
      <c r="AS511" s="130" t="s">
        <v>18</v>
      </c>
      <c r="AT511" s="130" t="s">
        <v>18</v>
      </c>
      <c r="AU511" s="130" t="s">
        <v>18</v>
      </c>
      <c r="AV511" s="130" t="s">
        <v>18</v>
      </c>
      <c r="AW511" s="130" t="s">
        <v>18</v>
      </c>
      <c r="AX511" s="130" t="s">
        <v>18</v>
      </c>
      <c r="AY511" s="130" t="s">
        <v>18</v>
      </c>
      <c r="AZ511" s="130" t="s">
        <v>18</v>
      </c>
      <c r="BA511" s="130" t="s">
        <v>18</v>
      </c>
      <c r="BB511" s="130" t="s">
        <v>18</v>
      </c>
      <c r="BC511" s="130" t="s">
        <v>18</v>
      </c>
    </row>
    <row r="512" spans="1:55" ht="11.25" customHeight="1" x14ac:dyDescent="0.2">
      <c r="A512" s="121" t="s">
        <v>29</v>
      </c>
      <c r="B512" s="122" t="s">
        <v>4</v>
      </c>
      <c r="C512" s="124">
        <v>1796</v>
      </c>
      <c r="D512" s="171">
        <v>1801</v>
      </c>
      <c r="E512" s="172">
        <v>1801</v>
      </c>
      <c r="F512" s="124">
        <v>1811</v>
      </c>
      <c r="G512" s="172">
        <v>1811</v>
      </c>
      <c r="H512" s="124">
        <v>1811</v>
      </c>
      <c r="I512" s="124">
        <v>1811</v>
      </c>
      <c r="J512" s="124">
        <v>1812</v>
      </c>
      <c r="K512" s="172">
        <v>1812</v>
      </c>
      <c r="L512" s="124">
        <v>1812</v>
      </c>
      <c r="M512" s="124">
        <v>1820</v>
      </c>
      <c r="N512" s="172">
        <v>1820</v>
      </c>
      <c r="O512" s="124">
        <v>1820</v>
      </c>
      <c r="P512" s="124">
        <v>1820</v>
      </c>
      <c r="Q512" s="124">
        <v>1823</v>
      </c>
      <c r="R512" s="172">
        <v>1823</v>
      </c>
      <c r="S512" s="124">
        <v>1823</v>
      </c>
      <c r="T512" s="124">
        <v>1826</v>
      </c>
      <c r="U512" s="173">
        <v>1826</v>
      </c>
      <c r="V512" s="124">
        <v>1826</v>
      </c>
      <c r="W512" s="124">
        <v>1826</v>
      </c>
      <c r="X512" s="124">
        <v>1826</v>
      </c>
      <c r="Y512" s="125">
        <v>1826</v>
      </c>
      <c r="Z512" s="124">
        <v>1826</v>
      </c>
      <c r="AA512" s="124">
        <v>1829</v>
      </c>
      <c r="AB512" s="125">
        <v>1829</v>
      </c>
      <c r="AC512" s="124">
        <v>1830</v>
      </c>
      <c r="AD512" s="123">
        <v>1830</v>
      </c>
      <c r="AE512" s="124">
        <v>1830</v>
      </c>
      <c r="AF512" s="124">
        <v>1833</v>
      </c>
      <c r="AG512" s="125">
        <v>1833</v>
      </c>
      <c r="AH512" s="124">
        <v>1833</v>
      </c>
      <c r="AI512" s="125">
        <v>1833</v>
      </c>
      <c r="AJ512" s="124">
        <v>1833</v>
      </c>
      <c r="AK512" s="124">
        <v>1833</v>
      </c>
      <c r="AL512" s="124">
        <v>1833</v>
      </c>
      <c r="AM512" s="124">
        <v>1841</v>
      </c>
      <c r="AN512" s="125">
        <v>1841</v>
      </c>
      <c r="AO512" s="124">
        <v>1841</v>
      </c>
      <c r="AP512" s="125" t="s">
        <v>18</v>
      </c>
      <c r="AQ512" s="124" t="s">
        <v>18</v>
      </c>
      <c r="AR512" s="124" t="s">
        <v>18</v>
      </c>
      <c r="AS512" s="124" t="s">
        <v>18</v>
      </c>
      <c r="AT512" s="124" t="s">
        <v>18</v>
      </c>
      <c r="AU512" s="124" t="s">
        <v>18</v>
      </c>
      <c r="AV512" s="124" t="s">
        <v>18</v>
      </c>
      <c r="AW512" s="124" t="s">
        <v>18</v>
      </c>
      <c r="AX512" s="124" t="s">
        <v>18</v>
      </c>
      <c r="AY512" s="124" t="s">
        <v>18</v>
      </c>
      <c r="AZ512" s="124" t="s">
        <v>18</v>
      </c>
      <c r="BA512" s="124" t="s">
        <v>18</v>
      </c>
      <c r="BB512" s="124" t="s">
        <v>18</v>
      </c>
      <c r="BC512" s="124" t="s">
        <v>18</v>
      </c>
    </row>
    <row r="513" spans="1:55" ht="11.25" customHeight="1" x14ac:dyDescent="0.25">
      <c r="A513" s="143">
        <v>4</v>
      </c>
      <c r="B513" s="122" t="s">
        <v>5</v>
      </c>
      <c r="C513" s="124">
        <v>5</v>
      </c>
      <c r="D513" s="171">
        <v>5</v>
      </c>
      <c r="E513" s="172">
        <v>12</v>
      </c>
      <c r="F513" s="124">
        <v>2</v>
      </c>
      <c r="G513" s="172">
        <v>5</v>
      </c>
      <c r="H513" s="124">
        <v>5</v>
      </c>
      <c r="I513" s="124">
        <v>5</v>
      </c>
      <c r="J513" s="124">
        <v>5</v>
      </c>
      <c r="K513" s="172">
        <v>5</v>
      </c>
      <c r="L513" s="124">
        <v>5</v>
      </c>
      <c r="M513" s="124">
        <v>3</v>
      </c>
      <c r="N513" s="172">
        <v>3</v>
      </c>
      <c r="O513" s="124">
        <v>3</v>
      </c>
      <c r="P513" s="124">
        <v>3</v>
      </c>
      <c r="Q513" s="124">
        <v>0</v>
      </c>
      <c r="R513" s="172">
        <v>12</v>
      </c>
      <c r="S513" s="124">
        <v>12</v>
      </c>
      <c r="T513" s="124">
        <v>9</v>
      </c>
      <c r="U513" s="173">
        <v>9</v>
      </c>
      <c r="V513" s="124">
        <v>9</v>
      </c>
      <c r="W513" s="124">
        <v>9</v>
      </c>
      <c r="X513" s="124">
        <v>9</v>
      </c>
      <c r="Y513" s="125">
        <v>9</v>
      </c>
      <c r="Z513" s="124">
        <v>9</v>
      </c>
      <c r="AA513" s="124">
        <v>6</v>
      </c>
      <c r="AB513" s="125">
        <v>6</v>
      </c>
      <c r="AC513" s="124">
        <v>5</v>
      </c>
      <c r="AD513" s="123">
        <v>5</v>
      </c>
      <c r="AE513" s="124">
        <v>5</v>
      </c>
      <c r="AF513" s="124">
        <v>2</v>
      </c>
      <c r="AG513" s="125">
        <v>2</v>
      </c>
      <c r="AH513" s="124">
        <v>2</v>
      </c>
      <c r="AI513" s="125">
        <v>8</v>
      </c>
      <c r="AJ513" s="124">
        <v>8</v>
      </c>
      <c r="AK513" s="124">
        <v>8</v>
      </c>
      <c r="AL513" s="124">
        <v>8</v>
      </c>
      <c r="AM513" s="124">
        <v>4</v>
      </c>
      <c r="AN513" s="125">
        <v>4</v>
      </c>
      <c r="AO513" s="124">
        <v>4</v>
      </c>
      <c r="AP513" s="125" t="s">
        <v>18</v>
      </c>
      <c r="AQ513" s="124" t="s">
        <v>18</v>
      </c>
      <c r="AR513" s="124" t="s">
        <v>18</v>
      </c>
      <c r="AS513" s="124" t="s">
        <v>18</v>
      </c>
      <c r="AT513" s="124" t="s">
        <v>18</v>
      </c>
      <c r="AU513" s="124" t="s">
        <v>18</v>
      </c>
      <c r="AV513" s="124" t="s">
        <v>18</v>
      </c>
      <c r="AW513" s="124" t="s">
        <v>18</v>
      </c>
      <c r="AX513" s="124" t="s">
        <v>18</v>
      </c>
      <c r="AY513" s="124" t="s">
        <v>18</v>
      </c>
      <c r="AZ513" s="124" t="s">
        <v>18</v>
      </c>
      <c r="BA513" s="124" t="s">
        <v>18</v>
      </c>
      <c r="BB513" s="124" t="s">
        <v>18</v>
      </c>
      <c r="BC513" s="124" t="s">
        <v>18</v>
      </c>
    </row>
    <row r="514" spans="1:55" ht="11.25" customHeight="1" x14ac:dyDescent="0.2">
      <c r="A514" s="127"/>
      <c r="B514" s="122" t="s">
        <v>6</v>
      </c>
      <c r="C514" s="124">
        <v>5</v>
      </c>
      <c r="D514" s="171">
        <v>7</v>
      </c>
      <c r="E514" s="172"/>
      <c r="F514" s="124">
        <v>3</v>
      </c>
      <c r="G514" s="172"/>
      <c r="H514" s="124"/>
      <c r="I514" s="124"/>
      <c r="J514" s="124"/>
      <c r="K514" s="172"/>
      <c r="L514" s="124"/>
      <c r="M514" s="124"/>
      <c r="N514" s="172"/>
      <c r="O514" s="124"/>
      <c r="P514" s="124"/>
      <c r="Q514" s="124">
        <v>12</v>
      </c>
      <c r="R514" s="172"/>
      <c r="S514" s="124"/>
      <c r="T514" s="124"/>
      <c r="U514" s="173"/>
      <c r="V514" s="124"/>
      <c r="W514" s="124"/>
      <c r="X514" s="124"/>
      <c r="Y514" s="125"/>
      <c r="Z514" s="124"/>
      <c r="AA514" s="124"/>
      <c r="AB514" s="125"/>
      <c r="AC514" s="124"/>
      <c r="AD514" s="123"/>
      <c r="AE514" s="124"/>
      <c r="AF514" s="124"/>
      <c r="AG514" s="125"/>
      <c r="AH514" s="124">
        <v>6</v>
      </c>
      <c r="AI514" s="125"/>
      <c r="AJ514" s="124"/>
      <c r="AK514" s="124"/>
      <c r="AL514" s="124"/>
      <c r="AM514" s="124"/>
      <c r="AN514" s="125"/>
      <c r="AO514" s="124"/>
      <c r="AP514" s="125"/>
      <c r="AQ514" s="124"/>
      <c r="AR514" s="124"/>
      <c r="AS514" s="124"/>
      <c r="AT514" s="124"/>
      <c r="AU514" s="124"/>
      <c r="AV514" s="124"/>
      <c r="AW514" s="124"/>
      <c r="AX514" s="124"/>
      <c r="AY514" s="124"/>
      <c r="AZ514" s="124"/>
      <c r="BA514" s="124"/>
      <c r="BB514" s="124"/>
      <c r="BC514" s="124"/>
    </row>
    <row r="515" spans="1:55" ht="11.25" customHeight="1" x14ac:dyDescent="0.2">
      <c r="A515" s="128"/>
      <c r="B515" s="122" t="s">
        <v>8</v>
      </c>
      <c r="C515" s="130">
        <v>192</v>
      </c>
      <c r="D515" s="174">
        <v>192</v>
      </c>
      <c r="E515" s="175">
        <v>192</v>
      </c>
      <c r="F515" s="130">
        <v>192</v>
      </c>
      <c r="G515" s="175">
        <v>192</v>
      </c>
      <c r="H515" s="130">
        <v>192</v>
      </c>
      <c r="I515" s="130">
        <v>192</v>
      </c>
      <c r="J515" s="130">
        <v>192</v>
      </c>
      <c r="K515" s="175">
        <v>192</v>
      </c>
      <c r="L515" s="130">
        <v>192</v>
      </c>
      <c r="M515" s="130">
        <v>192</v>
      </c>
      <c r="N515" s="175">
        <v>192</v>
      </c>
      <c r="O515" s="130">
        <v>192</v>
      </c>
      <c r="P515" s="130">
        <v>192</v>
      </c>
      <c r="Q515" s="130">
        <v>192</v>
      </c>
      <c r="R515" s="175">
        <v>192</v>
      </c>
      <c r="S515" s="130">
        <v>192</v>
      </c>
      <c r="T515" s="130">
        <v>192</v>
      </c>
      <c r="U515" s="176">
        <v>192</v>
      </c>
      <c r="V515" s="130">
        <v>192</v>
      </c>
      <c r="W515" s="130">
        <v>192</v>
      </c>
      <c r="X515" s="130">
        <v>192</v>
      </c>
      <c r="Y515" s="131">
        <v>192</v>
      </c>
      <c r="Z515" s="130">
        <v>192</v>
      </c>
      <c r="AA515" s="130">
        <v>192</v>
      </c>
      <c r="AB515" s="131">
        <v>192</v>
      </c>
      <c r="AC515" s="130">
        <v>192</v>
      </c>
      <c r="AD515" s="129">
        <v>192</v>
      </c>
      <c r="AE515" s="130">
        <v>192</v>
      </c>
      <c r="AF515" s="130">
        <v>192</v>
      </c>
      <c r="AG515" s="131">
        <v>192</v>
      </c>
      <c r="AH515" s="130">
        <v>192</v>
      </c>
      <c r="AI515" s="131">
        <v>192</v>
      </c>
      <c r="AJ515" s="130">
        <v>192</v>
      </c>
      <c r="AK515" s="130">
        <v>192</v>
      </c>
      <c r="AL515" s="130">
        <v>192</v>
      </c>
      <c r="AM515" s="130">
        <v>192</v>
      </c>
      <c r="AN515" s="131">
        <v>192</v>
      </c>
      <c r="AO515" s="130">
        <v>192</v>
      </c>
      <c r="AP515" s="131" t="s">
        <v>18</v>
      </c>
      <c r="AQ515" s="130" t="s">
        <v>18</v>
      </c>
      <c r="AR515" s="130" t="s">
        <v>18</v>
      </c>
      <c r="AS515" s="130" t="s">
        <v>18</v>
      </c>
      <c r="AT515" s="130" t="s">
        <v>18</v>
      </c>
      <c r="AU515" s="130" t="s">
        <v>18</v>
      </c>
      <c r="AV515" s="130" t="s">
        <v>18</v>
      </c>
      <c r="AW515" s="130" t="s">
        <v>18</v>
      </c>
      <c r="AX515" s="130" t="s">
        <v>18</v>
      </c>
      <c r="AY515" s="130" t="s">
        <v>18</v>
      </c>
      <c r="AZ515" s="130" t="s">
        <v>18</v>
      </c>
      <c r="BA515" s="130" t="s">
        <v>18</v>
      </c>
      <c r="BB515" s="130" t="s">
        <v>18</v>
      </c>
      <c r="BC515" s="130" t="s">
        <v>18</v>
      </c>
    </row>
    <row r="516" spans="1:55" ht="11.25" customHeight="1" x14ac:dyDescent="0.2">
      <c r="A516" s="127" t="s">
        <v>9</v>
      </c>
      <c r="B516" s="132" t="s">
        <v>10</v>
      </c>
      <c r="C516" s="134" t="s">
        <v>39</v>
      </c>
      <c r="D516" s="177" t="s">
        <v>39</v>
      </c>
      <c r="E516" s="178" t="s">
        <v>39</v>
      </c>
      <c r="F516" s="134" t="s">
        <v>39</v>
      </c>
      <c r="G516" s="178" t="s">
        <v>39</v>
      </c>
      <c r="H516" s="134" t="s">
        <v>39</v>
      </c>
      <c r="I516" s="134" t="s">
        <v>39</v>
      </c>
      <c r="J516" s="134" t="s">
        <v>39</v>
      </c>
      <c r="K516" s="178" t="s">
        <v>39</v>
      </c>
      <c r="L516" s="134" t="s">
        <v>39</v>
      </c>
      <c r="M516" s="134" t="s">
        <v>39</v>
      </c>
      <c r="N516" s="178" t="s">
        <v>39</v>
      </c>
      <c r="O516" s="134" t="s">
        <v>39</v>
      </c>
      <c r="P516" s="134" t="s">
        <v>39</v>
      </c>
      <c r="Q516" s="134" t="s">
        <v>39</v>
      </c>
      <c r="R516" s="178" t="s">
        <v>39</v>
      </c>
      <c r="S516" s="134" t="s">
        <v>39</v>
      </c>
      <c r="T516" s="134" t="s">
        <v>39</v>
      </c>
      <c r="U516" s="179" t="s">
        <v>39</v>
      </c>
      <c r="V516" s="134" t="s">
        <v>39</v>
      </c>
      <c r="W516" s="134" t="s">
        <v>39</v>
      </c>
      <c r="X516" s="134" t="s">
        <v>39</v>
      </c>
      <c r="Y516" s="135" t="s">
        <v>39</v>
      </c>
      <c r="Z516" s="134" t="s">
        <v>39</v>
      </c>
      <c r="AA516" s="134" t="s">
        <v>39</v>
      </c>
      <c r="AB516" s="135" t="s">
        <v>39</v>
      </c>
      <c r="AC516" s="134" t="s">
        <v>39</v>
      </c>
      <c r="AD516" s="133" t="s">
        <v>39</v>
      </c>
      <c r="AE516" s="134" t="s">
        <v>39</v>
      </c>
      <c r="AF516" s="134" t="s">
        <v>39</v>
      </c>
      <c r="AG516" s="135" t="s">
        <v>39</v>
      </c>
      <c r="AH516" s="134" t="s">
        <v>39</v>
      </c>
      <c r="AI516" s="135" t="s">
        <v>211</v>
      </c>
      <c r="AJ516" s="134" t="s">
        <v>211</v>
      </c>
      <c r="AK516" s="134" t="s">
        <v>211</v>
      </c>
      <c r="AL516" s="134" t="s">
        <v>211</v>
      </c>
      <c r="AM516" s="134" t="s">
        <v>211</v>
      </c>
      <c r="AN516" s="135" t="s">
        <v>211</v>
      </c>
      <c r="AO516" s="134" t="s">
        <v>211</v>
      </c>
      <c r="AP516" s="135" t="s">
        <v>18</v>
      </c>
      <c r="AQ516" s="134" t="s">
        <v>18</v>
      </c>
      <c r="AR516" s="134" t="s">
        <v>18</v>
      </c>
      <c r="AS516" s="134" t="s">
        <v>18</v>
      </c>
      <c r="AT516" s="134" t="s">
        <v>18</v>
      </c>
      <c r="AU516" s="134" t="s">
        <v>18</v>
      </c>
      <c r="AV516" s="134" t="s">
        <v>18</v>
      </c>
      <c r="AW516" s="134" t="s">
        <v>18</v>
      </c>
      <c r="AX516" s="134" t="s">
        <v>18</v>
      </c>
      <c r="AY516" s="134" t="s">
        <v>18</v>
      </c>
      <c r="AZ516" s="134" t="s">
        <v>18</v>
      </c>
      <c r="BA516" s="134" t="s">
        <v>18</v>
      </c>
      <c r="BB516" s="134" t="s">
        <v>18</v>
      </c>
      <c r="BC516" s="134" t="s">
        <v>18</v>
      </c>
    </row>
    <row r="517" spans="1:55" ht="11.25" customHeight="1" x14ac:dyDescent="0.2">
      <c r="A517" s="128">
        <v>79769.23076923078</v>
      </c>
      <c r="B517" s="122" t="s">
        <v>12</v>
      </c>
      <c r="C517" s="124"/>
      <c r="D517" s="171"/>
      <c r="E517" s="172"/>
      <c r="F517" s="124"/>
      <c r="G517" s="172"/>
      <c r="H517" s="124"/>
      <c r="I517" s="124"/>
      <c r="J517" s="124"/>
      <c r="K517" s="172"/>
      <c r="L517" s="124"/>
      <c r="M517" s="124"/>
      <c r="N517" s="172"/>
      <c r="O517" s="124"/>
      <c r="P517" s="124"/>
      <c r="Q517" s="124"/>
      <c r="R517" s="172"/>
      <c r="S517" s="124"/>
      <c r="T517" s="124"/>
      <c r="U517" s="173"/>
      <c r="V517" s="124"/>
      <c r="W517" s="124"/>
      <c r="X517" s="124"/>
      <c r="Y517" s="125"/>
      <c r="Z517" s="124"/>
      <c r="AA517" s="124"/>
      <c r="AB517" s="125"/>
      <c r="AC517" s="124"/>
      <c r="AD517" s="123"/>
      <c r="AE517" s="124"/>
      <c r="AF517" s="124"/>
      <c r="AG517" s="125"/>
      <c r="AH517" s="124"/>
      <c r="AI517" s="125" t="s">
        <v>212</v>
      </c>
      <c r="AJ517" s="124"/>
      <c r="AK517" s="124"/>
      <c r="AL517" s="124"/>
      <c r="AM517" s="124"/>
      <c r="AN517" s="125" t="s">
        <v>218</v>
      </c>
      <c r="AO517" s="124"/>
      <c r="AP517" s="125"/>
      <c r="AQ517" s="124"/>
      <c r="AR517" s="124"/>
      <c r="AS517" s="124"/>
      <c r="AT517" s="124"/>
      <c r="AU517" s="124"/>
      <c r="AV517" s="124"/>
      <c r="AW517" s="124"/>
      <c r="AX517" s="124"/>
      <c r="AY517" s="124"/>
      <c r="AZ517" s="124"/>
      <c r="BA517" s="124"/>
      <c r="BB517" s="124"/>
      <c r="BC517" s="124"/>
    </row>
    <row r="518" spans="1:55" ht="11.25" customHeight="1" x14ac:dyDescent="0.2">
      <c r="A518" s="128">
        <v>1037</v>
      </c>
      <c r="B518" s="136" t="s">
        <v>13</v>
      </c>
      <c r="C518" s="137">
        <v>0</v>
      </c>
      <c r="D518" s="171">
        <v>93</v>
      </c>
      <c r="E518" s="172">
        <v>0</v>
      </c>
      <c r="F518" s="137">
        <v>211</v>
      </c>
      <c r="G518" s="172">
        <v>0</v>
      </c>
      <c r="H518" s="137">
        <v>0</v>
      </c>
      <c r="I518" s="137">
        <v>0</v>
      </c>
      <c r="J518" s="137">
        <v>21</v>
      </c>
      <c r="K518" s="172">
        <v>0</v>
      </c>
      <c r="L518" s="137">
        <v>0</v>
      </c>
      <c r="M518" s="137">
        <v>73</v>
      </c>
      <c r="N518" s="172">
        <v>0</v>
      </c>
      <c r="O518" s="137">
        <v>0</v>
      </c>
      <c r="P518" s="137">
        <v>0</v>
      </c>
      <c r="Q518" s="137">
        <v>52</v>
      </c>
      <c r="R518" s="172">
        <v>0</v>
      </c>
      <c r="S518" s="137">
        <v>0</v>
      </c>
      <c r="T518" s="137">
        <v>102</v>
      </c>
      <c r="U518" s="173">
        <v>0</v>
      </c>
      <c r="V518" s="137">
        <v>0</v>
      </c>
      <c r="W518" s="137">
        <v>0</v>
      </c>
      <c r="X518" s="137">
        <v>48</v>
      </c>
      <c r="Y518" s="125">
        <v>0</v>
      </c>
      <c r="Z518" s="137">
        <v>0</v>
      </c>
      <c r="AA518" s="137">
        <v>161</v>
      </c>
      <c r="AB518" s="125">
        <v>0</v>
      </c>
      <c r="AC518" s="137">
        <v>31</v>
      </c>
      <c r="AD518" s="123">
        <v>0</v>
      </c>
      <c r="AE518" s="137">
        <v>0</v>
      </c>
      <c r="AF518" s="137">
        <v>88</v>
      </c>
      <c r="AG518" s="125">
        <v>0</v>
      </c>
      <c r="AH518" s="137">
        <v>38</v>
      </c>
      <c r="AI518" s="125">
        <v>0</v>
      </c>
      <c r="AJ518" s="137">
        <v>0</v>
      </c>
      <c r="AK518" s="137">
        <v>0</v>
      </c>
      <c r="AL518" s="137">
        <v>0</v>
      </c>
      <c r="AM518" s="137">
        <v>88</v>
      </c>
      <c r="AN518" s="125">
        <v>0</v>
      </c>
      <c r="AO518" s="137">
        <v>31</v>
      </c>
      <c r="AP518" s="125" t="s">
        <v>18</v>
      </c>
      <c r="AQ518" s="137" t="s">
        <v>18</v>
      </c>
      <c r="AR518" s="137" t="s">
        <v>18</v>
      </c>
      <c r="AS518" s="137" t="s">
        <v>18</v>
      </c>
      <c r="AT518" s="137" t="s">
        <v>18</v>
      </c>
      <c r="AU518" s="137" t="s">
        <v>18</v>
      </c>
      <c r="AV518" s="137" t="s">
        <v>18</v>
      </c>
      <c r="AW518" s="137" t="s">
        <v>18</v>
      </c>
      <c r="AX518" s="137" t="s">
        <v>18</v>
      </c>
      <c r="AY518" s="137" t="s">
        <v>18</v>
      </c>
      <c r="AZ518" s="137" t="s">
        <v>18</v>
      </c>
      <c r="BA518" s="137" t="s">
        <v>18</v>
      </c>
      <c r="BB518" s="137" t="s">
        <v>18</v>
      </c>
      <c r="BC518" s="137" t="s">
        <v>18</v>
      </c>
    </row>
    <row r="519" spans="1:55" ht="11.25" customHeight="1" x14ac:dyDescent="0.2">
      <c r="A519" s="128">
        <v>45</v>
      </c>
      <c r="B519" s="136" t="s">
        <v>14</v>
      </c>
      <c r="C519" s="137">
        <v>0</v>
      </c>
      <c r="D519" s="171">
        <v>5</v>
      </c>
      <c r="E519" s="172">
        <v>0</v>
      </c>
      <c r="F519" s="137">
        <v>10</v>
      </c>
      <c r="G519" s="172">
        <v>0</v>
      </c>
      <c r="H519" s="137">
        <v>0</v>
      </c>
      <c r="I519" s="137">
        <v>0</v>
      </c>
      <c r="J519" s="137">
        <v>1</v>
      </c>
      <c r="K519" s="172">
        <v>0</v>
      </c>
      <c r="L519" s="137">
        <v>0</v>
      </c>
      <c r="M519" s="137">
        <v>8</v>
      </c>
      <c r="N519" s="172">
        <v>0</v>
      </c>
      <c r="O519" s="137">
        <v>0</v>
      </c>
      <c r="P519" s="137">
        <v>0</v>
      </c>
      <c r="Q519" s="137">
        <v>3</v>
      </c>
      <c r="R519" s="172">
        <v>0</v>
      </c>
      <c r="S519" s="137">
        <v>0</v>
      </c>
      <c r="T519" s="137">
        <v>3</v>
      </c>
      <c r="U519" s="173">
        <v>0</v>
      </c>
      <c r="V519" s="137">
        <v>0</v>
      </c>
      <c r="W519" s="137">
        <v>0</v>
      </c>
      <c r="X519" s="137">
        <v>0</v>
      </c>
      <c r="Y519" s="125">
        <v>0</v>
      </c>
      <c r="Z519" s="137">
        <v>0</v>
      </c>
      <c r="AA519" s="137">
        <v>3</v>
      </c>
      <c r="AB519" s="125">
        <v>0</v>
      </c>
      <c r="AC519" s="137">
        <v>1</v>
      </c>
      <c r="AD519" s="123">
        <v>0</v>
      </c>
      <c r="AE519" s="137">
        <v>0</v>
      </c>
      <c r="AF519" s="137">
        <v>3</v>
      </c>
      <c r="AG519" s="125">
        <v>0</v>
      </c>
      <c r="AH519" s="137">
        <v>0</v>
      </c>
      <c r="AI519" s="125">
        <v>0</v>
      </c>
      <c r="AJ519" s="137">
        <v>0</v>
      </c>
      <c r="AK519" s="137">
        <v>0</v>
      </c>
      <c r="AL519" s="137">
        <v>0</v>
      </c>
      <c r="AM519" s="137">
        <v>8</v>
      </c>
      <c r="AN519" s="125">
        <v>0</v>
      </c>
      <c r="AO519" s="137">
        <v>0</v>
      </c>
      <c r="AP519" s="125" t="s">
        <v>18</v>
      </c>
      <c r="AQ519" s="137" t="s">
        <v>18</v>
      </c>
      <c r="AR519" s="137" t="s">
        <v>18</v>
      </c>
      <c r="AS519" s="137" t="s">
        <v>18</v>
      </c>
      <c r="AT519" s="137" t="s">
        <v>18</v>
      </c>
      <c r="AU519" s="137" t="s">
        <v>18</v>
      </c>
      <c r="AV519" s="137" t="s">
        <v>18</v>
      </c>
      <c r="AW519" s="137" t="s">
        <v>18</v>
      </c>
      <c r="AX519" s="137" t="s">
        <v>18</v>
      </c>
      <c r="AY519" s="137" t="s">
        <v>18</v>
      </c>
      <c r="AZ519" s="137" t="s">
        <v>18</v>
      </c>
      <c r="BA519" s="137" t="s">
        <v>18</v>
      </c>
      <c r="BB519" s="137" t="s">
        <v>18</v>
      </c>
      <c r="BC519" s="137" t="s">
        <v>18</v>
      </c>
    </row>
    <row r="520" spans="1:55" ht="11.25" customHeight="1" x14ac:dyDescent="0.2">
      <c r="A520" s="128">
        <v>34</v>
      </c>
      <c r="B520" s="136" t="s">
        <v>15</v>
      </c>
      <c r="C520" s="137">
        <v>0</v>
      </c>
      <c r="D520" s="171">
        <v>5</v>
      </c>
      <c r="E520" s="172">
        <v>0</v>
      </c>
      <c r="F520" s="137">
        <v>10</v>
      </c>
      <c r="G520" s="172">
        <v>0</v>
      </c>
      <c r="H520" s="137">
        <v>0</v>
      </c>
      <c r="I520" s="137">
        <v>0</v>
      </c>
      <c r="J520" s="137">
        <v>0</v>
      </c>
      <c r="K520" s="172">
        <v>0</v>
      </c>
      <c r="L520" s="137">
        <v>0</v>
      </c>
      <c r="M520" s="137">
        <v>2</v>
      </c>
      <c r="N520" s="172">
        <v>0</v>
      </c>
      <c r="O520" s="137">
        <v>0</v>
      </c>
      <c r="P520" s="137">
        <v>0</v>
      </c>
      <c r="Q520" s="137">
        <v>3</v>
      </c>
      <c r="R520" s="172">
        <v>0</v>
      </c>
      <c r="S520" s="137">
        <v>0</v>
      </c>
      <c r="T520" s="137">
        <v>3</v>
      </c>
      <c r="U520" s="173">
        <v>0</v>
      </c>
      <c r="V520" s="137">
        <v>0</v>
      </c>
      <c r="W520" s="137">
        <v>0</v>
      </c>
      <c r="X520" s="137">
        <v>0</v>
      </c>
      <c r="Y520" s="125">
        <v>0</v>
      </c>
      <c r="Z520" s="137">
        <v>0</v>
      </c>
      <c r="AA520" s="137">
        <v>3</v>
      </c>
      <c r="AB520" s="125">
        <v>0</v>
      </c>
      <c r="AC520" s="137">
        <v>1</v>
      </c>
      <c r="AD520" s="123">
        <v>0</v>
      </c>
      <c r="AE520" s="137">
        <v>0</v>
      </c>
      <c r="AF520" s="137">
        <v>3</v>
      </c>
      <c r="AG520" s="125">
        <v>0</v>
      </c>
      <c r="AH520" s="137">
        <v>0</v>
      </c>
      <c r="AI520" s="125">
        <v>0</v>
      </c>
      <c r="AJ520" s="137">
        <v>0</v>
      </c>
      <c r="AK520" s="137">
        <v>0</v>
      </c>
      <c r="AL520" s="137">
        <v>0</v>
      </c>
      <c r="AM520" s="137">
        <v>4</v>
      </c>
      <c r="AN520" s="125">
        <v>0</v>
      </c>
      <c r="AO520" s="137">
        <v>0</v>
      </c>
      <c r="AP520" s="125" t="s">
        <v>18</v>
      </c>
      <c r="AQ520" s="137" t="s">
        <v>18</v>
      </c>
      <c r="AR520" s="137" t="s">
        <v>18</v>
      </c>
      <c r="AS520" s="137" t="s">
        <v>18</v>
      </c>
      <c r="AT520" s="137" t="s">
        <v>18</v>
      </c>
      <c r="AU520" s="137" t="s">
        <v>18</v>
      </c>
      <c r="AV520" s="137" t="s">
        <v>18</v>
      </c>
      <c r="AW520" s="137" t="s">
        <v>18</v>
      </c>
      <c r="AX520" s="137" t="s">
        <v>18</v>
      </c>
      <c r="AY520" s="137" t="s">
        <v>18</v>
      </c>
      <c r="AZ520" s="137" t="s">
        <v>18</v>
      </c>
      <c r="BA520" s="137" t="s">
        <v>18</v>
      </c>
      <c r="BB520" s="137" t="s">
        <v>18</v>
      </c>
      <c r="BC520" s="137" t="s">
        <v>18</v>
      </c>
    </row>
    <row r="521" spans="1:55" ht="11.25" customHeight="1" x14ac:dyDescent="0.2">
      <c r="A521" s="128">
        <v>6528</v>
      </c>
      <c r="B521" s="136" t="s">
        <v>16</v>
      </c>
      <c r="C521" s="137">
        <v>0</v>
      </c>
      <c r="D521" s="171">
        <v>960</v>
      </c>
      <c r="E521" s="172">
        <v>0</v>
      </c>
      <c r="F521" s="137">
        <v>1920</v>
      </c>
      <c r="G521" s="172">
        <v>0</v>
      </c>
      <c r="H521" s="137">
        <v>0</v>
      </c>
      <c r="I521" s="137">
        <v>0</v>
      </c>
      <c r="J521" s="137">
        <v>0</v>
      </c>
      <c r="K521" s="172">
        <v>0</v>
      </c>
      <c r="L521" s="137">
        <v>0</v>
      </c>
      <c r="M521" s="137">
        <v>384</v>
      </c>
      <c r="N521" s="172">
        <v>0</v>
      </c>
      <c r="O521" s="137">
        <v>0</v>
      </c>
      <c r="P521" s="137">
        <v>0</v>
      </c>
      <c r="Q521" s="137">
        <v>576</v>
      </c>
      <c r="R521" s="172">
        <v>0</v>
      </c>
      <c r="S521" s="137">
        <v>0</v>
      </c>
      <c r="T521" s="137">
        <v>576</v>
      </c>
      <c r="U521" s="173">
        <v>0</v>
      </c>
      <c r="V521" s="137">
        <v>0</v>
      </c>
      <c r="W521" s="137">
        <v>0</v>
      </c>
      <c r="X521" s="137">
        <v>0</v>
      </c>
      <c r="Y521" s="125">
        <v>0</v>
      </c>
      <c r="Z521" s="137">
        <v>0</v>
      </c>
      <c r="AA521" s="137">
        <v>576</v>
      </c>
      <c r="AB521" s="125">
        <v>0</v>
      </c>
      <c r="AC521" s="137">
        <v>192</v>
      </c>
      <c r="AD521" s="123">
        <v>0</v>
      </c>
      <c r="AE521" s="137">
        <v>0</v>
      </c>
      <c r="AF521" s="137">
        <v>576</v>
      </c>
      <c r="AG521" s="125">
        <v>0</v>
      </c>
      <c r="AH521" s="137">
        <v>0</v>
      </c>
      <c r="AI521" s="125">
        <v>0</v>
      </c>
      <c r="AJ521" s="137">
        <v>0</v>
      </c>
      <c r="AK521" s="137">
        <v>0</v>
      </c>
      <c r="AL521" s="137">
        <v>0</v>
      </c>
      <c r="AM521" s="137">
        <v>768</v>
      </c>
      <c r="AN521" s="125">
        <v>0</v>
      </c>
      <c r="AO521" s="137">
        <v>0</v>
      </c>
      <c r="AP521" s="125" t="s">
        <v>18</v>
      </c>
      <c r="AQ521" s="137" t="s">
        <v>18</v>
      </c>
      <c r="AR521" s="137" t="s">
        <v>18</v>
      </c>
      <c r="AS521" s="137" t="s">
        <v>18</v>
      </c>
      <c r="AT521" s="137" t="s">
        <v>18</v>
      </c>
      <c r="AU521" s="137" t="s">
        <v>18</v>
      </c>
      <c r="AV521" s="137" t="s">
        <v>18</v>
      </c>
      <c r="AW521" s="137" t="s">
        <v>18</v>
      </c>
      <c r="AX521" s="137" t="s">
        <v>18</v>
      </c>
      <c r="AY521" s="137" t="s">
        <v>18</v>
      </c>
      <c r="AZ521" s="137" t="s">
        <v>18</v>
      </c>
      <c r="BA521" s="137" t="s">
        <v>18</v>
      </c>
      <c r="BB521" s="137" t="s">
        <v>18</v>
      </c>
      <c r="BC521" s="137" t="s">
        <v>18</v>
      </c>
    </row>
    <row r="522" spans="1:55" ht="11.25" customHeight="1" thickBot="1" x14ac:dyDescent="0.25">
      <c r="A522" s="138">
        <v>6.2950819672131147E-2</v>
      </c>
      <c r="B522" s="139" t="s">
        <v>17</v>
      </c>
      <c r="C522" s="141" t="s">
        <v>18</v>
      </c>
      <c r="D522" s="180">
        <v>0.1032258064516129</v>
      </c>
      <c r="E522" s="181" t="s">
        <v>18</v>
      </c>
      <c r="F522" s="141">
        <v>9.0995260663507105E-2</v>
      </c>
      <c r="G522" s="181" t="s">
        <v>18</v>
      </c>
      <c r="H522" s="141" t="s">
        <v>18</v>
      </c>
      <c r="I522" s="141" t="s">
        <v>18</v>
      </c>
      <c r="J522" s="141" t="s">
        <v>18</v>
      </c>
      <c r="K522" s="181" t="s">
        <v>18</v>
      </c>
      <c r="L522" s="141" t="s">
        <v>18</v>
      </c>
      <c r="M522" s="141">
        <v>5.26027397260274E-2</v>
      </c>
      <c r="N522" s="181" t="s">
        <v>18</v>
      </c>
      <c r="O522" s="141" t="s">
        <v>18</v>
      </c>
      <c r="P522" s="141" t="s">
        <v>18</v>
      </c>
      <c r="Q522" s="141">
        <v>0.11076923076923077</v>
      </c>
      <c r="R522" s="181" t="s">
        <v>18</v>
      </c>
      <c r="S522" s="141" t="s">
        <v>18</v>
      </c>
      <c r="T522" s="141">
        <v>5.647058823529412E-2</v>
      </c>
      <c r="U522" s="182" t="s">
        <v>18</v>
      </c>
      <c r="V522" s="141" t="s">
        <v>18</v>
      </c>
      <c r="W522" s="141" t="s">
        <v>18</v>
      </c>
      <c r="X522" s="141" t="s">
        <v>18</v>
      </c>
      <c r="Y522" s="142" t="s">
        <v>18</v>
      </c>
      <c r="Z522" s="141" t="s">
        <v>18</v>
      </c>
      <c r="AA522" s="141">
        <v>3.5776397515527948E-2</v>
      </c>
      <c r="AB522" s="142" t="s">
        <v>18</v>
      </c>
      <c r="AC522" s="141">
        <v>6.1935483870967742E-2</v>
      </c>
      <c r="AD522" s="140" t="s">
        <v>18</v>
      </c>
      <c r="AE522" s="141" t="s">
        <v>18</v>
      </c>
      <c r="AF522" s="141">
        <v>6.545454545454546E-2</v>
      </c>
      <c r="AG522" s="142" t="s">
        <v>18</v>
      </c>
      <c r="AH522" s="141" t="s">
        <v>18</v>
      </c>
      <c r="AI522" s="142" t="s">
        <v>18</v>
      </c>
      <c r="AJ522" s="141" t="s">
        <v>18</v>
      </c>
      <c r="AK522" s="141" t="s">
        <v>18</v>
      </c>
      <c r="AL522" s="141" t="s">
        <v>18</v>
      </c>
      <c r="AM522" s="141">
        <v>8.727272727272728E-2</v>
      </c>
      <c r="AN522" s="142" t="s">
        <v>18</v>
      </c>
      <c r="AO522" s="141" t="s">
        <v>18</v>
      </c>
      <c r="AP522" s="142" t="s">
        <v>18</v>
      </c>
      <c r="AQ522" s="141" t="s">
        <v>18</v>
      </c>
      <c r="AR522" s="141" t="s">
        <v>18</v>
      </c>
      <c r="AS522" s="141" t="s">
        <v>18</v>
      </c>
      <c r="AT522" s="141" t="s">
        <v>18</v>
      </c>
      <c r="AU522" s="141" t="s">
        <v>18</v>
      </c>
      <c r="AV522" s="141" t="s">
        <v>18</v>
      </c>
      <c r="AW522" s="141" t="s">
        <v>18</v>
      </c>
      <c r="AX522" s="141" t="s">
        <v>18</v>
      </c>
      <c r="AY522" s="141" t="s">
        <v>18</v>
      </c>
      <c r="AZ522" s="141" t="s">
        <v>18</v>
      </c>
      <c r="BA522" s="141" t="s">
        <v>18</v>
      </c>
      <c r="BB522" s="141" t="s">
        <v>18</v>
      </c>
      <c r="BC522" s="141" t="s">
        <v>18</v>
      </c>
    </row>
    <row r="523" spans="1:55" ht="11.25" customHeight="1" x14ac:dyDescent="0.2">
      <c r="A523" s="116" t="s">
        <v>1</v>
      </c>
      <c r="B523" s="117" t="s">
        <v>2</v>
      </c>
      <c r="C523" s="119">
        <v>6702</v>
      </c>
      <c r="D523" s="168">
        <v>6725</v>
      </c>
      <c r="E523" s="169">
        <v>6725</v>
      </c>
      <c r="F523" s="119">
        <v>6767</v>
      </c>
      <c r="G523" s="169">
        <v>6767</v>
      </c>
      <c r="H523" s="119">
        <v>6767</v>
      </c>
      <c r="I523" s="119">
        <v>6767</v>
      </c>
      <c r="J523" s="119">
        <v>6798</v>
      </c>
      <c r="K523" s="169">
        <v>6798</v>
      </c>
      <c r="L523" s="119">
        <v>6798</v>
      </c>
      <c r="M523" s="119">
        <v>6866</v>
      </c>
      <c r="N523" s="169">
        <v>6866</v>
      </c>
      <c r="O523" s="119">
        <v>6866</v>
      </c>
      <c r="P523" s="119">
        <v>6866</v>
      </c>
      <c r="Q523" s="119">
        <v>6901</v>
      </c>
      <c r="R523" s="169">
        <v>6901</v>
      </c>
      <c r="S523" s="119">
        <v>6901</v>
      </c>
      <c r="T523" s="119">
        <v>6959</v>
      </c>
      <c r="U523" s="170">
        <v>6959</v>
      </c>
      <c r="V523" s="119">
        <v>6959</v>
      </c>
      <c r="W523" s="119">
        <v>6959</v>
      </c>
      <c r="X523" s="119">
        <v>7006</v>
      </c>
      <c r="Y523" s="120">
        <v>7006</v>
      </c>
      <c r="Z523" s="119">
        <v>7006</v>
      </c>
      <c r="AA523" s="119">
        <v>7067</v>
      </c>
      <c r="AB523" s="120">
        <v>7067</v>
      </c>
      <c r="AC523" s="119">
        <v>7086</v>
      </c>
      <c r="AD523" s="118">
        <v>7086</v>
      </c>
      <c r="AE523" s="119">
        <v>7086</v>
      </c>
      <c r="AF523" s="119">
        <v>7129</v>
      </c>
      <c r="AG523" s="120">
        <v>7129</v>
      </c>
      <c r="AH523" s="119">
        <v>7185</v>
      </c>
      <c r="AI523" s="120">
        <v>7185</v>
      </c>
      <c r="AJ523" s="119">
        <v>7185</v>
      </c>
      <c r="AK523" s="119">
        <v>7185</v>
      </c>
      <c r="AL523" s="119">
        <v>7185</v>
      </c>
      <c r="AM523" s="119">
        <v>7261</v>
      </c>
      <c r="AN523" s="120">
        <v>7261</v>
      </c>
      <c r="AO523" s="119">
        <v>7289</v>
      </c>
      <c r="AP523" s="120" t="s">
        <v>18</v>
      </c>
      <c r="AQ523" s="119" t="s">
        <v>18</v>
      </c>
      <c r="AR523" s="119" t="s">
        <v>18</v>
      </c>
      <c r="AS523" s="119" t="s">
        <v>18</v>
      </c>
      <c r="AT523" s="119" t="s">
        <v>18</v>
      </c>
      <c r="AU523" s="119" t="s">
        <v>18</v>
      </c>
      <c r="AV523" s="119" t="s">
        <v>18</v>
      </c>
      <c r="AW523" s="119" t="s">
        <v>18</v>
      </c>
      <c r="AX523" s="119" t="s">
        <v>18</v>
      </c>
      <c r="AY523" s="119" t="s">
        <v>18</v>
      </c>
      <c r="AZ523" s="119" t="s">
        <v>18</v>
      </c>
      <c r="BA523" s="119" t="s">
        <v>18</v>
      </c>
      <c r="BB523" s="119" t="s">
        <v>18</v>
      </c>
      <c r="BC523" s="119" t="s">
        <v>18</v>
      </c>
    </row>
    <row r="524" spans="1:55" ht="11.25" customHeight="1" x14ac:dyDescent="0.2">
      <c r="A524" s="121" t="s">
        <v>40</v>
      </c>
      <c r="B524" s="122" t="s">
        <v>4</v>
      </c>
      <c r="C524" s="124">
        <v>183</v>
      </c>
      <c r="D524" s="171">
        <v>183</v>
      </c>
      <c r="E524" s="172">
        <v>183</v>
      </c>
      <c r="F524" s="124">
        <v>184</v>
      </c>
      <c r="G524" s="172">
        <v>184</v>
      </c>
      <c r="H524" s="124">
        <v>184</v>
      </c>
      <c r="I524" s="124">
        <v>184</v>
      </c>
      <c r="J524" s="124">
        <v>185</v>
      </c>
      <c r="K524" s="172">
        <v>185</v>
      </c>
      <c r="L524" s="124">
        <v>185</v>
      </c>
      <c r="M524" s="124">
        <v>185</v>
      </c>
      <c r="N524" s="172">
        <v>185</v>
      </c>
      <c r="O524" s="124">
        <v>185</v>
      </c>
      <c r="P524" s="124">
        <v>185</v>
      </c>
      <c r="Q524" s="124">
        <v>188</v>
      </c>
      <c r="R524" s="172">
        <v>188</v>
      </c>
      <c r="S524" s="124">
        <v>188</v>
      </c>
      <c r="T524" s="124">
        <v>188</v>
      </c>
      <c r="U524" s="173">
        <v>188</v>
      </c>
      <c r="V524" s="124">
        <v>188</v>
      </c>
      <c r="W524" s="124">
        <v>188</v>
      </c>
      <c r="X524" s="124">
        <v>189</v>
      </c>
      <c r="Y524" s="125">
        <v>189</v>
      </c>
      <c r="Z524" s="124">
        <v>189</v>
      </c>
      <c r="AA524" s="124">
        <v>192</v>
      </c>
      <c r="AB524" s="125">
        <v>192</v>
      </c>
      <c r="AC524" s="124">
        <v>192</v>
      </c>
      <c r="AD524" s="123">
        <v>192</v>
      </c>
      <c r="AE524" s="124">
        <v>192</v>
      </c>
      <c r="AF524" s="124">
        <v>192</v>
      </c>
      <c r="AG524" s="125">
        <v>192</v>
      </c>
      <c r="AH524" s="124">
        <v>194</v>
      </c>
      <c r="AI524" s="125">
        <v>194</v>
      </c>
      <c r="AJ524" s="124">
        <v>194</v>
      </c>
      <c r="AK524" s="124">
        <v>194</v>
      </c>
      <c r="AL524" s="124">
        <v>194</v>
      </c>
      <c r="AM524" s="124">
        <v>195</v>
      </c>
      <c r="AN524" s="125">
        <v>195</v>
      </c>
      <c r="AO524" s="124">
        <v>195</v>
      </c>
      <c r="AP524" s="125" t="s">
        <v>18</v>
      </c>
      <c r="AQ524" s="124" t="s">
        <v>18</v>
      </c>
      <c r="AR524" s="124" t="s">
        <v>18</v>
      </c>
      <c r="AS524" s="124" t="s">
        <v>18</v>
      </c>
      <c r="AT524" s="124" t="s">
        <v>18</v>
      </c>
      <c r="AU524" s="124" t="s">
        <v>18</v>
      </c>
      <c r="AV524" s="124" t="s">
        <v>18</v>
      </c>
      <c r="AW524" s="124" t="s">
        <v>18</v>
      </c>
      <c r="AX524" s="124" t="s">
        <v>18</v>
      </c>
      <c r="AY524" s="124" t="s">
        <v>18</v>
      </c>
      <c r="AZ524" s="124" t="s">
        <v>18</v>
      </c>
      <c r="BA524" s="124" t="s">
        <v>18</v>
      </c>
      <c r="BB524" s="124" t="s">
        <v>18</v>
      </c>
      <c r="BC524" s="124" t="s">
        <v>18</v>
      </c>
    </row>
    <row r="525" spans="1:55" ht="11.25" customHeight="1" x14ac:dyDescent="0.25">
      <c r="A525" s="143">
        <v>1</v>
      </c>
      <c r="B525" s="122" t="s">
        <v>5</v>
      </c>
      <c r="C525" s="124">
        <v>14</v>
      </c>
      <c r="D525" s="171">
        <v>14</v>
      </c>
      <c r="E525" s="172">
        <v>14</v>
      </c>
      <c r="F525" s="124">
        <v>12</v>
      </c>
      <c r="G525" s="172">
        <v>17</v>
      </c>
      <c r="H525" s="124">
        <v>17</v>
      </c>
      <c r="I525" s="124">
        <v>17</v>
      </c>
      <c r="J525" s="124">
        <v>16</v>
      </c>
      <c r="K525" s="172">
        <v>16</v>
      </c>
      <c r="L525" s="124">
        <v>16</v>
      </c>
      <c r="M525" s="124">
        <v>16</v>
      </c>
      <c r="N525" s="172">
        <v>16</v>
      </c>
      <c r="O525" s="124">
        <v>16</v>
      </c>
      <c r="P525" s="124">
        <v>16</v>
      </c>
      <c r="Q525" s="124">
        <v>13</v>
      </c>
      <c r="R525" s="172">
        <v>22</v>
      </c>
      <c r="S525" s="124">
        <v>22</v>
      </c>
      <c r="T525" s="124">
        <v>22</v>
      </c>
      <c r="U525" s="173">
        <v>22</v>
      </c>
      <c r="V525" s="124">
        <v>22</v>
      </c>
      <c r="W525" s="124">
        <v>22</v>
      </c>
      <c r="X525" s="124">
        <v>21</v>
      </c>
      <c r="Y525" s="125">
        <v>21</v>
      </c>
      <c r="Z525" s="124">
        <v>21</v>
      </c>
      <c r="AA525" s="124">
        <v>16</v>
      </c>
      <c r="AB525" s="125">
        <v>21</v>
      </c>
      <c r="AC525" s="124">
        <v>21</v>
      </c>
      <c r="AD525" s="123">
        <v>21</v>
      </c>
      <c r="AE525" s="124">
        <v>21</v>
      </c>
      <c r="AF525" s="124">
        <v>21</v>
      </c>
      <c r="AG525" s="125">
        <v>21</v>
      </c>
      <c r="AH525" s="124">
        <v>16</v>
      </c>
      <c r="AI525" s="125">
        <v>19</v>
      </c>
      <c r="AJ525" s="124">
        <v>19</v>
      </c>
      <c r="AK525" s="124">
        <v>19</v>
      </c>
      <c r="AL525" s="124">
        <v>19</v>
      </c>
      <c r="AM525" s="124">
        <v>18</v>
      </c>
      <c r="AN525" s="125">
        <v>18</v>
      </c>
      <c r="AO525" s="124">
        <v>18</v>
      </c>
      <c r="AP525" s="125" t="s">
        <v>18</v>
      </c>
      <c r="AQ525" s="124" t="s">
        <v>18</v>
      </c>
      <c r="AR525" s="124" t="s">
        <v>18</v>
      </c>
      <c r="AS525" s="124" t="s">
        <v>18</v>
      </c>
      <c r="AT525" s="124" t="s">
        <v>18</v>
      </c>
      <c r="AU525" s="124" t="s">
        <v>18</v>
      </c>
      <c r="AV525" s="124" t="s">
        <v>18</v>
      </c>
      <c r="AW525" s="124" t="s">
        <v>18</v>
      </c>
      <c r="AX525" s="124" t="s">
        <v>18</v>
      </c>
      <c r="AY525" s="124" t="s">
        <v>18</v>
      </c>
      <c r="AZ525" s="124" t="s">
        <v>18</v>
      </c>
      <c r="BA525" s="124" t="s">
        <v>18</v>
      </c>
      <c r="BB525" s="124" t="s">
        <v>18</v>
      </c>
      <c r="BC525" s="124" t="s">
        <v>18</v>
      </c>
    </row>
    <row r="526" spans="1:55" ht="11.25" customHeight="1" x14ac:dyDescent="0.25">
      <c r="A526" s="144" t="s">
        <v>20</v>
      </c>
      <c r="B526" s="122" t="s">
        <v>6</v>
      </c>
      <c r="C526" s="124"/>
      <c r="D526" s="171"/>
      <c r="E526" s="172"/>
      <c r="F526" s="124">
        <v>5</v>
      </c>
      <c r="G526" s="172"/>
      <c r="H526" s="124"/>
      <c r="I526" s="124"/>
      <c r="J526" s="124"/>
      <c r="K526" s="172"/>
      <c r="L526" s="124"/>
      <c r="M526" s="124"/>
      <c r="N526" s="172"/>
      <c r="O526" s="124"/>
      <c r="P526" s="124"/>
      <c r="Q526" s="124">
        <v>9</v>
      </c>
      <c r="R526" s="172"/>
      <c r="S526" s="124"/>
      <c r="T526" s="124"/>
      <c r="U526" s="173"/>
      <c r="V526" s="124"/>
      <c r="W526" s="124"/>
      <c r="X526" s="124"/>
      <c r="Y526" s="125"/>
      <c r="Z526" s="124"/>
      <c r="AA526" s="124">
        <v>5</v>
      </c>
      <c r="AB526" s="125"/>
      <c r="AC526" s="124"/>
      <c r="AD526" s="123"/>
      <c r="AE526" s="124"/>
      <c r="AF526" s="124"/>
      <c r="AG526" s="125"/>
      <c r="AH526" s="124">
        <v>3</v>
      </c>
      <c r="AI526" s="125"/>
      <c r="AJ526" s="124"/>
      <c r="AK526" s="124"/>
      <c r="AL526" s="124"/>
      <c r="AM526" s="124"/>
      <c r="AN526" s="125"/>
      <c r="AO526" s="124"/>
      <c r="AP526" s="125"/>
      <c r="AQ526" s="124"/>
      <c r="AR526" s="124"/>
      <c r="AS526" s="124"/>
      <c r="AT526" s="124"/>
      <c r="AU526" s="124"/>
      <c r="AV526" s="124"/>
      <c r="AW526" s="124"/>
      <c r="AX526" s="124"/>
      <c r="AY526" s="124"/>
      <c r="AZ526" s="124"/>
      <c r="BA526" s="124"/>
      <c r="BB526" s="124"/>
      <c r="BC526" s="124"/>
    </row>
    <row r="527" spans="1:55" ht="11.25" customHeight="1" x14ac:dyDescent="0.25">
      <c r="A527" s="145">
        <v>329100</v>
      </c>
      <c r="B527" s="122" t="s">
        <v>8</v>
      </c>
      <c r="C527" s="130">
        <v>280</v>
      </c>
      <c r="D527" s="174">
        <v>280</v>
      </c>
      <c r="E527" s="175">
        <v>280</v>
      </c>
      <c r="F527" s="130">
        <v>280</v>
      </c>
      <c r="G527" s="175">
        <v>280</v>
      </c>
      <c r="H527" s="130">
        <v>280</v>
      </c>
      <c r="I527" s="130">
        <v>280</v>
      </c>
      <c r="J527" s="130">
        <v>280</v>
      </c>
      <c r="K527" s="175">
        <v>280</v>
      </c>
      <c r="L527" s="130">
        <v>280</v>
      </c>
      <c r="M527" s="130">
        <v>280</v>
      </c>
      <c r="N527" s="175">
        <v>280</v>
      </c>
      <c r="O527" s="130">
        <v>280</v>
      </c>
      <c r="P527" s="130">
        <v>280</v>
      </c>
      <c r="Q527" s="130">
        <v>280</v>
      </c>
      <c r="R527" s="175">
        <v>280</v>
      </c>
      <c r="S527" s="130">
        <v>280</v>
      </c>
      <c r="T527" s="130">
        <v>280</v>
      </c>
      <c r="U527" s="176">
        <v>280</v>
      </c>
      <c r="V527" s="130">
        <v>280</v>
      </c>
      <c r="W527" s="130">
        <v>280</v>
      </c>
      <c r="X527" s="130">
        <v>280</v>
      </c>
      <c r="Y527" s="131">
        <v>280</v>
      </c>
      <c r="Z527" s="130">
        <v>280</v>
      </c>
      <c r="AA527" s="130">
        <v>280</v>
      </c>
      <c r="AB527" s="131">
        <v>280</v>
      </c>
      <c r="AC527" s="130">
        <v>280</v>
      </c>
      <c r="AD527" s="129">
        <v>280</v>
      </c>
      <c r="AE527" s="130">
        <v>280</v>
      </c>
      <c r="AF527" s="130">
        <v>280</v>
      </c>
      <c r="AG527" s="131">
        <v>280</v>
      </c>
      <c r="AH527" s="130">
        <v>280</v>
      </c>
      <c r="AI527" s="131">
        <v>280</v>
      </c>
      <c r="AJ527" s="130">
        <v>280</v>
      </c>
      <c r="AK527" s="130">
        <v>280</v>
      </c>
      <c r="AL527" s="130">
        <v>280</v>
      </c>
      <c r="AM527" s="130">
        <v>280</v>
      </c>
      <c r="AN527" s="131">
        <v>280</v>
      </c>
      <c r="AO527" s="130">
        <v>280</v>
      </c>
      <c r="AP527" s="131" t="s">
        <v>18</v>
      </c>
      <c r="AQ527" s="130" t="s">
        <v>18</v>
      </c>
      <c r="AR527" s="130" t="s">
        <v>18</v>
      </c>
      <c r="AS527" s="130" t="s">
        <v>18</v>
      </c>
      <c r="AT527" s="130" t="s">
        <v>18</v>
      </c>
      <c r="AU527" s="130" t="s">
        <v>18</v>
      </c>
      <c r="AV527" s="130" t="s">
        <v>18</v>
      </c>
      <c r="AW527" s="130" t="s">
        <v>18</v>
      </c>
      <c r="AX527" s="130" t="s">
        <v>18</v>
      </c>
      <c r="AY527" s="130" t="s">
        <v>18</v>
      </c>
      <c r="AZ527" s="130" t="s">
        <v>18</v>
      </c>
      <c r="BA527" s="130" t="s">
        <v>18</v>
      </c>
      <c r="BB527" s="130" t="s">
        <v>18</v>
      </c>
      <c r="BC527" s="130" t="s">
        <v>18</v>
      </c>
    </row>
    <row r="528" spans="1:55" ht="11.25" customHeight="1" x14ac:dyDescent="0.2">
      <c r="A528" s="127" t="s">
        <v>9</v>
      </c>
      <c r="B528" s="132" t="s">
        <v>10</v>
      </c>
      <c r="C528" s="134" t="s">
        <v>41</v>
      </c>
      <c r="D528" s="177" t="s">
        <v>41</v>
      </c>
      <c r="E528" s="178" t="s">
        <v>41</v>
      </c>
      <c r="F528" s="134" t="s">
        <v>41</v>
      </c>
      <c r="G528" s="178" t="s">
        <v>41</v>
      </c>
      <c r="H528" s="134" t="s">
        <v>41</v>
      </c>
      <c r="I528" s="134" t="s">
        <v>41</v>
      </c>
      <c r="J528" s="134" t="s">
        <v>41</v>
      </c>
      <c r="K528" s="178" t="s">
        <v>41</v>
      </c>
      <c r="L528" s="134" t="s">
        <v>41</v>
      </c>
      <c r="M528" s="134" t="s">
        <v>41</v>
      </c>
      <c r="N528" s="178" t="s">
        <v>41</v>
      </c>
      <c r="O528" s="134" t="s">
        <v>41</v>
      </c>
      <c r="P528" s="134" t="s">
        <v>41</v>
      </c>
      <c r="Q528" s="134" t="s">
        <v>41</v>
      </c>
      <c r="R528" s="178" t="s">
        <v>41</v>
      </c>
      <c r="S528" s="134" t="s">
        <v>41</v>
      </c>
      <c r="T528" s="134" t="s">
        <v>41</v>
      </c>
      <c r="U528" s="179" t="s">
        <v>41</v>
      </c>
      <c r="V528" s="134" t="s">
        <v>41</v>
      </c>
      <c r="W528" s="134" t="s">
        <v>41</v>
      </c>
      <c r="X528" s="134" t="s">
        <v>41</v>
      </c>
      <c r="Y528" s="135" t="s">
        <v>41</v>
      </c>
      <c r="Z528" s="134" t="s">
        <v>41</v>
      </c>
      <c r="AA528" s="134" t="s">
        <v>41</v>
      </c>
      <c r="AB528" s="135" t="s">
        <v>41</v>
      </c>
      <c r="AC528" s="134" t="s">
        <v>41</v>
      </c>
      <c r="AD528" s="133" t="s">
        <v>41</v>
      </c>
      <c r="AE528" s="134" t="s">
        <v>41</v>
      </c>
      <c r="AF528" s="134" t="s">
        <v>41</v>
      </c>
      <c r="AG528" s="135" t="s">
        <v>41</v>
      </c>
      <c r="AH528" s="134" t="s">
        <v>41</v>
      </c>
      <c r="AI528" s="135" t="s">
        <v>41</v>
      </c>
      <c r="AJ528" s="134" t="s">
        <v>41</v>
      </c>
      <c r="AK528" s="134" t="s">
        <v>41</v>
      </c>
      <c r="AL528" s="134" t="s">
        <v>41</v>
      </c>
      <c r="AM528" s="134" t="s">
        <v>41</v>
      </c>
      <c r="AN528" s="135" t="s">
        <v>41</v>
      </c>
      <c r="AO528" s="134" t="s">
        <v>41</v>
      </c>
      <c r="AP528" s="135" t="s">
        <v>18</v>
      </c>
      <c r="AQ528" s="134" t="s">
        <v>18</v>
      </c>
      <c r="AR528" s="134" t="s">
        <v>18</v>
      </c>
      <c r="AS528" s="134" t="s">
        <v>18</v>
      </c>
      <c r="AT528" s="134" t="s">
        <v>18</v>
      </c>
      <c r="AU528" s="134" t="s">
        <v>18</v>
      </c>
      <c r="AV528" s="134" t="s">
        <v>18</v>
      </c>
      <c r="AW528" s="134" t="s">
        <v>18</v>
      </c>
      <c r="AX528" s="134" t="s">
        <v>18</v>
      </c>
      <c r="AY528" s="134" t="s">
        <v>18</v>
      </c>
      <c r="AZ528" s="134" t="s">
        <v>18</v>
      </c>
      <c r="BA528" s="134" t="s">
        <v>18</v>
      </c>
      <c r="BB528" s="134" t="s">
        <v>18</v>
      </c>
      <c r="BC528" s="134" t="s">
        <v>18</v>
      </c>
    </row>
    <row r="529" spans="1:55" ht="11.25" customHeight="1" x14ac:dyDescent="0.2">
      <c r="A529" s="128">
        <v>45153.846153846156</v>
      </c>
      <c r="B529" s="122" t="s">
        <v>12</v>
      </c>
      <c r="C529" s="124"/>
      <c r="D529" s="171"/>
      <c r="E529" s="172"/>
      <c r="F529" s="124"/>
      <c r="G529" s="172"/>
      <c r="H529" s="124"/>
      <c r="I529" s="124"/>
      <c r="J529" s="124"/>
      <c r="K529" s="172"/>
      <c r="L529" s="124"/>
      <c r="M529" s="124"/>
      <c r="N529" s="172"/>
      <c r="O529" s="124"/>
      <c r="P529" s="124"/>
      <c r="Q529" s="124"/>
      <c r="R529" s="172"/>
      <c r="S529" s="124"/>
      <c r="T529" s="124"/>
      <c r="U529" s="173"/>
      <c r="V529" s="124"/>
      <c r="W529" s="124"/>
      <c r="X529" s="124"/>
      <c r="Y529" s="125"/>
      <c r="Z529" s="124"/>
      <c r="AA529" s="124"/>
      <c r="AB529" s="125"/>
      <c r="AC529" s="124"/>
      <c r="AD529" s="123"/>
      <c r="AE529" s="124"/>
      <c r="AF529" s="124"/>
      <c r="AG529" s="125"/>
      <c r="AH529" s="124"/>
      <c r="AI529" s="125"/>
      <c r="AJ529" s="124"/>
      <c r="AK529" s="124"/>
      <c r="AL529" s="124"/>
      <c r="AM529" s="124"/>
      <c r="AN529" s="125"/>
      <c r="AO529" s="124"/>
      <c r="AP529" s="125"/>
      <c r="AQ529" s="124"/>
      <c r="AR529" s="124"/>
      <c r="AS529" s="124"/>
      <c r="AT529" s="124"/>
      <c r="AU529" s="124"/>
      <c r="AV529" s="124"/>
      <c r="AW529" s="124"/>
      <c r="AX529" s="124"/>
      <c r="AY529" s="124"/>
      <c r="AZ529" s="124"/>
      <c r="BA529" s="124"/>
      <c r="BB529" s="124"/>
      <c r="BC529" s="124"/>
    </row>
    <row r="530" spans="1:55" ht="11.25" customHeight="1" x14ac:dyDescent="0.2">
      <c r="A530" s="128">
        <v>587</v>
      </c>
      <c r="B530" s="136" t="s">
        <v>13</v>
      </c>
      <c r="C530" s="137">
        <v>0</v>
      </c>
      <c r="D530" s="171">
        <v>23</v>
      </c>
      <c r="E530" s="172">
        <v>0</v>
      </c>
      <c r="F530" s="137">
        <v>42</v>
      </c>
      <c r="G530" s="172">
        <v>0</v>
      </c>
      <c r="H530" s="137">
        <v>0</v>
      </c>
      <c r="I530" s="137">
        <v>0</v>
      </c>
      <c r="J530" s="137">
        <v>31</v>
      </c>
      <c r="K530" s="172">
        <v>0</v>
      </c>
      <c r="L530" s="137">
        <v>0</v>
      </c>
      <c r="M530" s="137">
        <v>68</v>
      </c>
      <c r="N530" s="172">
        <v>0</v>
      </c>
      <c r="O530" s="137">
        <v>0</v>
      </c>
      <c r="P530" s="137">
        <v>0</v>
      </c>
      <c r="Q530" s="137">
        <v>35</v>
      </c>
      <c r="R530" s="172">
        <v>0</v>
      </c>
      <c r="S530" s="137">
        <v>0</v>
      </c>
      <c r="T530" s="137">
        <v>58</v>
      </c>
      <c r="U530" s="173">
        <v>0</v>
      </c>
      <c r="V530" s="137">
        <v>0</v>
      </c>
      <c r="W530" s="137">
        <v>0</v>
      </c>
      <c r="X530" s="137">
        <v>47</v>
      </c>
      <c r="Y530" s="125">
        <v>0</v>
      </c>
      <c r="Z530" s="137">
        <v>0</v>
      </c>
      <c r="AA530" s="137">
        <v>61</v>
      </c>
      <c r="AB530" s="125">
        <v>0</v>
      </c>
      <c r="AC530" s="137">
        <v>19</v>
      </c>
      <c r="AD530" s="123">
        <v>0</v>
      </c>
      <c r="AE530" s="137">
        <v>0</v>
      </c>
      <c r="AF530" s="137">
        <v>43</v>
      </c>
      <c r="AG530" s="125">
        <v>0</v>
      </c>
      <c r="AH530" s="137">
        <v>56</v>
      </c>
      <c r="AI530" s="125">
        <v>0</v>
      </c>
      <c r="AJ530" s="137">
        <v>0</v>
      </c>
      <c r="AK530" s="137">
        <v>0</v>
      </c>
      <c r="AL530" s="137">
        <v>0</v>
      </c>
      <c r="AM530" s="137">
        <v>76</v>
      </c>
      <c r="AN530" s="125">
        <v>0</v>
      </c>
      <c r="AO530" s="137">
        <v>28</v>
      </c>
      <c r="AP530" s="125" t="s">
        <v>18</v>
      </c>
      <c r="AQ530" s="137" t="s">
        <v>18</v>
      </c>
      <c r="AR530" s="137" t="s">
        <v>18</v>
      </c>
      <c r="AS530" s="137" t="s">
        <v>18</v>
      </c>
      <c r="AT530" s="137" t="s">
        <v>18</v>
      </c>
      <c r="AU530" s="137" t="s">
        <v>18</v>
      </c>
      <c r="AV530" s="137" t="s">
        <v>18</v>
      </c>
      <c r="AW530" s="137" t="s">
        <v>18</v>
      </c>
      <c r="AX530" s="137" t="s">
        <v>18</v>
      </c>
      <c r="AY530" s="137" t="s">
        <v>18</v>
      </c>
      <c r="AZ530" s="137" t="s">
        <v>18</v>
      </c>
      <c r="BA530" s="137" t="s">
        <v>18</v>
      </c>
      <c r="BB530" s="137" t="s">
        <v>18</v>
      </c>
      <c r="BC530" s="137" t="s">
        <v>18</v>
      </c>
    </row>
    <row r="531" spans="1:55" ht="11.25" customHeight="1" x14ac:dyDescent="0.2">
      <c r="A531" s="128">
        <v>12</v>
      </c>
      <c r="B531" s="136" t="s">
        <v>14</v>
      </c>
      <c r="C531" s="137">
        <v>0</v>
      </c>
      <c r="D531" s="171">
        <v>0</v>
      </c>
      <c r="E531" s="172">
        <v>0</v>
      </c>
      <c r="F531" s="137">
        <v>1</v>
      </c>
      <c r="G531" s="172">
        <v>0</v>
      </c>
      <c r="H531" s="137">
        <v>0</v>
      </c>
      <c r="I531" s="137">
        <v>0</v>
      </c>
      <c r="J531" s="137">
        <v>1</v>
      </c>
      <c r="K531" s="172">
        <v>0</v>
      </c>
      <c r="L531" s="137">
        <v>0</v>
      </c>
      <c r="M531" s="137">
        <v>0</v>
      </c>
      <c r="N531" s="172">
        <v>0</v>
      </c>
      <c r="O531" s="137">
        <v>0</v>
      </c>
      <c r="P531" s="137">
        <v>0</v>
      </c>
      <c r="Q531" s="137">
        <v>3</v>
      </c>
      <c r="R531" s="172">
        <v>0</v>
      </c>
      <c r="S531" s="137">
        <v>0</v>
      </c>
      <c r="T531" s="137">
        <v>0</v>
      </c>
      <c r="U531" s="173">
        <v>0</v>
      </c>
      <c r="V531" s="137">
        <v>0</v>
      </c>
      <c r="W531" s="137">
        <v>0</v>
      </c>
      <c r="X531" s="137">
        <v>1</v>
      </c>
      <c r="Y531" s="125">
        <v>0</v>
      </c>
      <c r="Z531" s="137">
        <v>0</v>
      </c>
      <c r="AA531" s="137">
        <v>3</v>
      </c>
      <c r="AB531" s="125">
        <v>0</v>
      </c>
      <c r="AC531" s="137">
        <v>0</v>
      </c>
      <c r="AD531" s="123">
        <v>0</v>
      </c>
      <c r="AE531" s="137">
        <v>0</v>
      </c>
      <c r="AF531" s="137">
        <v>0</v>
      </c>
      <c r="AG531" s="125">
        <v>0</v>
      </c>
      <c r="AH531" s="137">
        <v>2</v>
      </c>
      <c r="AI531" s="125">
        <v>0</v>
      </c>
      <c r="AJ531" s="137">
        <v>0</v>
      </c>
      <c r="AK531" s="137">
        <v>0</v>
      </c>
      <c r="AL531" s="137">
        <v>0</v>
      </c>
      <c r="AM531" s="137">
        <v>1</v>
      </c>
      <c r="AN531" s="125">
        <v>0</v>
      </c>
      <c r="AO531" s="137">
        <v>0</v>
      </c>
      <c r="AP531" s="125" t="s">
        <v>18</v>
      </c>
      <c r="AQ531" s="137" t="s">
        <v>18</v>
      </c>
      <c r="AR531" s="137" t="s">
        <v>18</v>
      </c>
      <c r="AS531" s="137" t="s">
        <v>18</v>
      </c>
      <c r="AT531" s="137" t="s">
        <v>18</v>
      </c>
      <c r="AU531" s="137" t="s">
        <v>18</v>
      </c>
      <c r="AV531" s="137" t="s">
        <v>18</v>
      </c>
      <c r="AW531" s="137" t="s">
        <v>18</v>
      </c>
      <c r="AX531" s="137" t="s">
        <v>18</v>
      </c>
      <c r="AY531" s="137" t="s">
        <v>18</v>
      </c>
      <c r="AZ531" s="137" t="s">
        <v>18</v>
      </c>
      <c r="BA531" s="137" t="s">
        <v>18</v>
      </c>
      <c r="BB531" s="137" t="s">
        <v>18</v>
      </c>
      <c r="BC531" s="137" t="s">
        <v>18</v>
      </c>
    </row>
    <row r="532" spans="1:55" ht="11.25" customHeight="1" x14ac:dyDescent="0.2">
      <c r="A532" s="128">
        <v>18</v>
      </c>
      <c r="B532" s="136" t="s">
        <v>15</v>
      </c>
      <c r="C532" s="137">
        <v>0</v>
      </c>
      <c r="D532" s="171">
        <v>0</v>
      </c>
      <c r="E532" s="172">
        <v>0</v>
      </c>
      <c r="F532" s="137">
        <v>2</v>
      </c>
      <c r="G532" s="172">
        <v>0</v>
      </c>
      <c r="H532" s="137">
        <v>0</v>
      </c>
      <c r="I532" s="137">
        <v>0</v>
      </c>
      <c r="J532" s="137">
        <v>1</v>
      </c>
      <c r="K532" s="172">
        <v>0</v>
      </c>
      <c r="L532" s="137">
        <v>0</v>
      </c>
      <c r="M532" s="137">
        <v>0</v>
      </c>
      <c r="N532" s="172">
        <v>0</v>
      </c>
      <c r="O532" s="137">
        <v>0</v>
      </c>
      <c r="P532" s="137">
        <v>0</v>
      </c>
      <c r="Q532" s="137">
        <v>3</v>
      </c>
      <c r="R532" s="172">
        <v>0</v>
      </c>
      <c r="S532" s="137">
        <v>0</v>
      </c>
      <c r="T532" s="137">
        <v>0</v>
      </c>
      <c r="U532" s="173">
        <v>0</v>
      </c>
      <c r="V532" s="137">
        <v>0</v>
      </c>
      <c r="W532" s="137">
        <v>0</v>
      </c>
      <c r="X532" s="137">
        <v>1</v>
      </c>
      <c r="Y532" s="125">
        <v>0</v>
      </c>
      <c r="Z532" s="137">
        <v>0</v>
      </c>
      <c r="AA532" s="137">
        <v>5</v>
      </c>
      <c r="AB532" s="125">
        <v>0</v>
      </c>
      <c r="AC532" s="137">
        <v>0</v>
      </c>
      <c r="AD532" s="123">
        <v>0</v>
      </c>
      <c r="AE532" s="137">
        <v>0</v>
      </c>
      <c r="AF532" s="137">
        <v>0</v>
      </c>
      <c r="AG532" s="125">
        <v>0</v>
      </c>
      <c r="AH532" s="137">
        <v>5</v>
      </c>
      <c r="AI532" s="125">
        <v>0</v>
      </c>
      <c r="AJ532" s="137">
        <v>0</v>
      </c>
      <c r="AK532" s="137">
        <v>0</v>
      </c>
      <c r="AL532" s="137">
        <v>0</v>
      </c>
      <c r="AM532" s="137">
        <v>1</v>
      </c>
      <c r="AN532" s="125">
        <v>0</v>
      </c>
      <c r="AO532" s="137">
        <v>0</v>
      </c>
      <c r="AP532" s="125" t="s">
        <v>18</v>
      </c>
      <c r="AQ532" s="137" t="s">
        <v>18</v>
      </c>
      <c r="AR532" s="137" t="s">
        <v>18</v>
      </c>
      <c r="AS532" s="137" t="s">
        <v>18</v>
      </c>
      <c r="AT532" s="137" t="s">
        <v>18</v>
      </c>
      <c r="AU532" s="137" t="s">
        <v>18</v>
      </c>
      <c r="AV532" s="137" t="s">
        <v>18</v>
      </c>
      <c r="AW532" s="137" t="s">
        <v>18</v>
      </c>
      <c r="AX532" s="137" t="s">
        <v>18</v>
      </c>
      <c r="AY532" s="137" t="s">
        <v>18</v>
      </c>
      <c r="AZ532" s="137" t="s">
        <v>18</v>
      </c>
      <c r="BA532" s="137" t="s">
        <v>18</v>
      </c>
      <c r="BB532" s="137" t="s">
        <v>18</v>
      </c>
      <c r="BC532" s="137" t="s">
        <v>18</v>
      </c>
    </row>
    <row r="533" spans="1:55" ht="11.25" customHeight="1" x14ac:dyDescent="0.2">
      <c r="A533" s="128">
        <v>5040</v>
      </c>
      <c r="B533" s="136" t="s">
        <v>16</v>
      </c>
      <c r="C533" s="137">
        <v>0</v>
      </c>
      <c r="D533" s="171">
        <v>0</v>
      </c>
      <c r="E533" s="172">
        <v>0</v>
      </c>
      <c r="F533" s="137">
        <v>560</v>
      </c>
      <c r="G533" s="172">
        <v>0</v>
      </c>
      <c r="H533" s="137">
        <v>0</v>
      </c>
      <c r="I533" s="137">
        <v>0</v>
      </c>
      <c r="J533" s="137">
        <v>280</v>
      </c>
      <c r="K533" s="172">
        <v>0</v>
      </c>
      <c r="L533" s="137">
        <v>0</v>
      </c>
      <c r="M533" s="137">
        <v>0</v>
      </c>
      <c r="N533" s="172">
        <v>0</v>
      </c>
      <c r="O533" s="137">
        <v>0</v>
      </c>
      <c r="P533" s="137">
        <v>0</v>
      </c>
      <c r="Q533" s="137">
        <v>840</v>
      </c>
      <c r="R533" s="172">
        <v>0</v>
      </c>
      <c r="S533" s="137">
        <v>0</v>
      </c>
      <c r="T533" s="137">
        <v>0</v>
      </c>
      <c r="U533" s="173">
        <v>0</v>
      </c>
      <c r="V533" s="137">
        <v>0</v>
      </c>
      <c r="W533" s="137">
        <v>0</v>
      </c>
      <c r="X533" s="137">
        <v>280</v>
      </c>
      <c r="Y533" s="125">
        <v>0</v>
      </c>
      <c r="Z533" s="137">
        <v>0</v>
      </c>
      <c r="AA533" s="137">
        <v>1400</v>
      </c>
      <c r="AB533" s="125">
        <v>0</v>
      </c>
      <c r="AC533" s="137">
        <v>0</v>
      </c>
      <c r="AD533" s="123">
        <v>0</v>
      </c>
      <c r="AE533" s="137">
        <v>0</v>
      </c>
      <c r="AF533" s="137">
        <v>0</v>
      </c>
      <c r="AG533" s="125">
        <v>0</v>
      </c>
      <c r="AH533" s="137">
        <v>1400</v>
      </c>
      <c r="AI533" s="125">
        <v>0</v>
      </c>
      <c r="AJ533" s="137">
        <v>0</v>
      </c>
      <c r="AK533" s="137">
        <v>0</v>
      </c>
      <c r="AL533" s="137">
        <v>0</v>
      </c>
      <c r="AM533" s="137">
        <v>280</v>
      </c>
      <c r="AN533" s="125">
        <v>0</v>
      </c>
      <c r="AO533" s="137">
        <v>0</v>
      </c>
      <c r="AP533" s="125" t="s">
        <v>18</v>
      </c>
      <c r="AQ533" s="137" t="s">
        <v>18</v>
      </c>
      <c r="AR533" s="137" t="s">
        <v>18</v>
      </c>
      <c r="AS533" s="137" t="s">
        <v>18</v>
      </c>
      <c r="AT533" s="137" t="s">
        <v>18</v>
      </c>
      <c r="AU533" s="137" t="s">
        <v>18</v>
      </c>
      <c r="AV533" s="137" t="s">
        <v>18</v>
      </c>
      <c r="AW533" s="137" t="s">
        <v>18</v>
      </c>
      <c r="AX533" s="137" t="s">
        <v>18</v>
      </c>
      <c r="AY533" s="137" t="s">
        <v>18</v>
      </c>
      <c r="AZ533" s="137" t="s">
        <v>18</v>
      </c>
      <c r="BA533" s="137" t="s">
        <v>18</v>
      </c>
      <c r="BB533" s="137" t="s">
        <v>18</v>
      </c>
      <c r="BC533" s="137" t="s">
        <v>18</v>
      </c>
    </row>
    <row r="534" spans="1:55" ht="11.25" customHeight="1" thickBot="1" x14ac:dyDescent="0.25">
      <c r="A534" s="138">
        <v>8.5860306643952305E-2</v>
      </c>
      <c r="B534" s="136" t="s">
        <v>17</v>
      </c>
      <c r="C534" s="147" t="s">
        <v>18</v>
      </c>
      <c r="D534" s="183" t="s">
        <v>18</v>
      </c>
      <c r="E534" s="184" t="s">
        <v>18</v>
      </c>
      <c r="F534" s="147">
        <v>0.13333333333333333</v>
      </c>
      <c r="G534" s="184" t="s">
        <v>18</v>
      </c>
      <c r="H534" s="147" t="s">
        <v>18</v>
      </c>
      <c r="I534" s="147" t="s">
        <v>18</v>
      </c>
      <c r="J534" s="147">
        <v>9.0322580645161285E-2</v>
      </c>
      <c r="K534" s="184" t="s">
        <v>18</v>
      </c>
      <c r="L534" s="147" t="s">
        <v>18</v>
      </c>
      <c r="M534" s="147" t="s">
        <v>18</v>
      </c>
      <c r="N534" s="184" t="s">
        <v>18</v>
      </c>
      <c r="O534" s="147" t="s">
        <v>18</v>
      </c>
      <c r="P534" s="147" t="s">
        <v>18</v>
      </c>
      <c r="Q534" s="147">
        <v>0.24</v>
      </c>
      <c r="R534" s="184" t="s">
        <v>18</v>
      </c>
      <c r="S534" s="147" t="s">
        <v>18</v>
      </c>
      <c r="T534" s="147" t="s">
        <v>18</v>
      </c>
      <c r="U534" s="185" t="s">
        <v>18</v>
      </c>
      <c r="V534" s="147" t="s">
        <v>18</v>
      </c>
      <c r="W534" s="147" t="s">
        <v>18</v>
      </c>
      <c r="X534" s="147">
        <v>5.9574468085106386E-2</v>
      </c>
      <c r="Y534" s="148" t="s">
        <v>18</v>
      </c>
      <c r="Z534" s="147" t="s">
        <v>18</v>
      </c>
      <c r="AA534" s="147">
        <v>0.22950819672131148</v>
      </c>
      <c r="AB534" s="148" t="s">
        <v>18</v>
      </c>
      <c r="AC534" s="147" t="s">
        <v>18</v>
      </c>
      <c r="AD534" s="146" t="s">
        <v>18</v>
      </c>
      <c r="AE534" s="147" t="s">
        <v>18</v>
      </c>
      <c r="AF534" s="147" t="s">
        <v>18</v>
      </c>
      <c r="AG534" s="148" t="s">
        <v>18</v>
      </c>
      <c r="AH534" s="147">
        <v>0.25</v>
      </c>
      <c r="AI534" s="148" t="s">
        <v>18</v>
      </c>
      <c r="AJ534" s="147" t="s">
        <v>18</v>
      </c>
      <c r="AK534" s="147" t="s">
        <v>18</v>
      </c>
      <c r="AL534" s="147" t="s">
        <v>18</v>
      </c>
      <c r="AM534" s="147">
        <v>3.6842105263157891E-2</v>
      </c>
      <c r="AN534" s="148" t="s">
        <v>18</v>
      </c>
      <c r="AO534" s="147" t="s">
        <v>18</v>
      </c>
      <c r="AP534" s="148" t="s">
        <v>18</v>
      </c>
      <c r="AQ534" s="147" t="s">
        <v>18</v>
      </c>
      <c r="AR534" s="147" t="s">
        <v>18</v>
      </c>
      <c r="AS534" s="147" t="s">
        <v>18</v>
      </c>
      <c r="AT534" s="147" t="s">
        <v>18</v>
      </c>
      <c r="AU534" s="147" t="s">
        <v>18</v>
      </c>
      <c r="AV534" s="147" t="s">
        <v>18</v>
      </c>
      <c r="AW534" s="147" t="s">
        <v>18</v>
      </c>
      <c r="AX534" s="147" t="s">
        <v>18</v>
      </c>
      <c r="AY534" s="147" t="s">
        <v>18</v>
      </c>
      <c r="AZ534" s="147" t="s">
        <v>18</v>
      </c>
      <c r="BA534" s="147" t="s">
        <v>18</v>
      </c>
      <c r="BB534" s="147" t="s">
        <v>18</v>
      </c>
      <c r="BC534" s="147" t="s">
        <v>18</v>
      </c>
    </row>
    <row r="535" spans="1:55" ht="11.25" customHeight="1" x14ac:dyDescent="0.2">
      <c r="A535" s="149" t="s">
        <v>1</v>
      </c>
      <c r="B535" s="150" t="s">
        <v>2</v>
      </c>
      <c r="C535" s="130">
        <v>10044</v>
      </c>
      <c r="D535" s="174">
        <v>10097</v>
      </c>
      <c r="E535" s="175">
        <v>10097</v>
      </c>
      <c r="F535" s="130">
        <v>10139</v>
      </c>
      <c r="G535" s="175">
        <v>10139</v>
      </c>
      <c r="H535" s="130">
        <v>10139</v>
      </c>
      <c r="I535" s="130">
        <v>10139</v>
      </c>
      <c r="J535" s="130">
        <v>10150</v>
      </c>
      <c r="K535" s="175">
        <v>10150</v>
      </c>
      <c r="L535" s="130">
        <v>10150</v>
      </c>
      <c r="M535" s="130">
        <v>10206</v>
      </c>
      <c r="N535" s="175">
        <v>10206</v>
      </c>
      <c r="O535" s="130">
        <v>10206</v>
      </c>
      <c r="P535" s="130">
        <v>10206</v>
      </c>
      <c r="Q535" s="130">
        <v>10257</v>
      </c>
      <c r="R535" s="175">
        <v>10257</v>
      </c>
      <c r="S535" s="130">
        <v>10257</v>
      </c>
      <c r="T535" s="130">
        <v>10315</v>
      </c>
      <c r="U535" s="176">
        <v>10315</v>
      </c>
      <c r="V535" s="130">
        <v>10315</v>
      </c>
      <c r="W535" s="130">
        <v>10315</v>
      </c>
      <c r="X535" s="130">
        <v>10341</v>
      </c>
      <c r="Y535" s="131">
        <v>10341</v>
      </c>
      <c r="Z535" s="130">
        <v>10341</v>
      </c>
      <c r="AA535" s="130">
        <v>10409</v>
      </c>
      <c r="AB535" s="131">
        <v>10409</v>
      </c>
      <c r="AC535" s="130">
        <v>10412</v>
      </c>
      <c r="AD535" s="129">
        <v>10412</v>
      </c>
      <c r="AE535" s="130">
        <v>10412</v>
      </c>
      <c r="AF535" s="130">
        <v>10477</v>
      </c>
      <c r="AG535" s="131">
        <v>10477</v>
      </c>
      <c r="AH535" s="130">
        <v>10523</v>
      </c>
      <c r="AI535" s="131">
        <v>10523</v>
      </c>
      <c r="AJ535" s="130">
        <v>10523</v>
      </c>
      <c r="AK535" s="130">
        <v>10523</v>
      </c>
      <c r="AL535" s="130">
        <v>10523</v>
      </c>
      <c r="AM535" s="130">
        <v>10783</v>
      </c>
      <c r="AN535" s="131">
        <v>10783</v>
      </c>
      <c r="AO535" s="130">
        <v>10936</v>
      </c>
      <c r="AP535" s="131" t="s">
        <v>18</v>
      </c>
      <c r="AQ535" s="130" t="s">
        <v>18</v>
      </c>
      <c r="AR535" s="130" t="s">
        <v>18</v>
      </c>
      <c r="AS535" s="130" t="s">
        <v>18</v>
      </c>
      <c r="AT535" s="130" t="s">
        <v>18</v>
      </c>
      <c r="AU535" s="130" t="s">
        <v>18</v>
      </c>
      <c r="AV535" s="130" t="s">
        <v>18</v>
      </c>
      <c r="AW535" s="130" t="s">
        <v>18</v>
      </c>
      <c r="AX535" s="130" t="s">
        <v>18</v>
      </c>
      <c r="AY535" s="130" t="s">
        <v>18</v>
      </c>
      <c r="AZ535" s="130" t="s">
        <v>18</v>
      </c>
      <c r="BA535" s="130" t="s">
        <v>18</v>
      </c>
      <c r="BB535" s="130" t="s">
        <v>18</v>
      </c>
      <c r="BC535" s="130" t="s">
        <v>18</v>
      </c>
    </row>
    <row r="536" spans="1:55" ht="11.25" customHeight="1" x14ac:dyDescent="0.2">
      <c r="A536" s="121" t="s">
        <v>40</v>
      </c>
      <c r="B536" s="122" t="s">
        <v>4</v>
      </c>
      <c r="C536" s="124">
        <v>127</v>
      </c>
      <c r="D536" s="171">
        <v>128</v>
      </c>
      <c r="E536" s="172">
        <v>128</v>
      </c>
      <c r="F536" s="124">
        <v>128</v>
      </c>
      <c r="G536" s="172">
        <v>128</v>
      </c>
      <c r="H536" s="124">
        <v>128</v>
      </c>
      <c r="I536" s="124">
        <v>128</v>
      </c>
      <c r="J536" s="124">
        <v>128</v>
      </c>
      <c r="K536" s="172">
        <v>128</v>
      </c>
      <c r="L536" s="124">
        <v>128</v>
      </c>
      <c r="M536" s="124">
        <v>130</v>
      </c>
      <c r="N536" s="172">
        <v>130</v>
      </c>
      <c r="O536" s="124">
        <v>130</v>
      </c>
      <c r="P536" s="124">
        <v>130</v>
      </c>
      <c r="Q536" s="124">
        <v>131</v>
      </c>
      <c r="R536" s="172">
        <v>131</v>
      </c>
      <c r="S536" s="124">
        <v>131</v>
      </c>
      <c r="T536" s="124">
        <v>132</v>
      </c>
      <c r="U536" s="173">
        <v>132</v>
      </c>
      <c r="V536" s="124">
        <v>132</v>
      </c>
      <c r="W536" s="124">
        <v>132</v>
      </c>
      <c r="X536" s="124">
        <v>132</v>
      </c>
      <c r="Y536" s="125">
        <v>132</v>
      </c>
      <c r="Z536" s="124">
        <v>132</v>
      </c>
      <c r="AA536" s="124">
        <v>133</v>
      </c>
      <c r="AB536" s="125">
        <v>133</v>
      </c>
      <c r="AC536" s="124">
        <v>134</v>
      </c>
      <c r="AD536" s="123">
        <v>134</v>
      </c>
      <c r="AE536" s="124">
        <v>134</v>
      </c>
      <c r="AF536" s="124">
        <v>136</v>
      </c>
      <c r="AG536" s="125">
        <v>136</v>
      </c>
      <c r="AH536" s="124">
        <v>136</v>
      </c>
      <c r="AI536" s="125">
        <v>136</v>
      </c>
      <c r="AJ536" s="124">
        <v>136</v>
      </c>
      <c r="AK536" s="124">
        <v>136</v>
      </c>
      <c r="AL536" s="124">
        <v>136</v>
      </c>
      <c r="AM536" s="124">
        <v>140</v>
      </c>
      <c r="AN536" s="125">
        <v>140</v>
      </c>
      <c r="AO536" s="124">
        <v>145</v>
      </c>
      <c r="AP536" s="125" t="s">
        <v>18</v>
      </c>
      <c r="AQ536" s="124" t="s">
        <v>18</v>
      </c>
      <c r="AR536" s="124" t="s">
        <v>18</v>
      </c>
      <c r="AS536" s="124" t="s">
        <v>18</v>
      </c>
      <c r="AT536" s="124" t="s">
        <v>18</v>
      </c>
      <c r="AU536" s="124" t="s">
        <v>18</v>
      </c>
      <c r="AV536" s="124" t="s">
        <v>18</v>
      </c>
      <c r="AW536" s="124" t="s">
        <v>18</v>
      </c>
      <c r="AX536" s="124" t="s">
        <v>18</v>
      </c>
      <c r="AY536" s="124" t="s">
        <v>18</v>
      </c>
      <c r="AZ536" s="124" t="s">
        <v>18</v>
      </c>
      <c r="BA536" s="124" t="s">
        <v>18</v>
      </c>
      <c r="BB536" s="124" t="s">
        <v>18</v>
      </c>
      <c r="BC536" s="124" t="s">
        <v>18</v>
      </c>
    </row>
    <row r="537" spans="1:55" ht="11.25" customHeight="1" x14ac:dyDescent="0.25">
      <c r="A537" s="143">
        <v>2</v>
      </c>
      <c r="B537" s="122" t="s">
        <v>5</v>
      </c>
      <c r="C537" s="124">
        <v>16</v>
      </c>
      <c r="D537" s="171">
        <v>15</v>
      </c>
      <c r="E537" s="172">
        <v>15</v>
      </c>
      <c r="F537" s="124">
        <v>15</v>
      </c>
      <c r="G537" s="172">
        <v>16</v>
      </c>
      <c r="H537" s="124">
        <v>16</v>
      </c>
      <c r="I537" s="124">
        <v>16</v>
      </c>
      <c r="J537" s="124">
        <v>16</v>
      </c>
      <c r="K537" s="172">
        <v>16</v>
      </c>
      <c r="L537" s="124">
        <v>16</v>
      </c>
      <c r="M537" s="124">
        <v>15</v>
      </c>
      <c r="N537" s="172">
        <v>16</v>
      </c>
      <c r="O537" s="124">
        <v>16</v>
      </c>
      <c r="P537" s="124">
        <v>16</v>
      </c>
      <c r="Q537" s="124">
        <v>15</v>
      </c>
      <c r="R537" s="172">
        <v>16</v>
      </c>
      <c r="S537" s="124">
        <v>16</v>
      </c>
      <c r="T537" s="124">
        <v>15</v>
      </c>
      <c r="U537" s="173">
        <v>15</v>
      </c>
      <c r="V537" s="124">
        <v>15</v>
      </c>
      <c r="W537" s="124">
        <v>15</v>
      </c>
      <c r="X537" s="124">
        <v>15</v>
      </c>
      <c r="Y537" s="125">
        <v>15</v>
      </c>
      <c r="Z537" s="124">
        <v>15</v>
      </c>
      <c r="AA537" s="124">
        <v>14</v>
      </c>
      <c r="AB537" s="125">
        <v>14</v>
      </c>
      <c r="AC537" s="124">
        <v>14</v>
      </c>
      <c r="AD537" s="123">
        <v>14</v>
      </c>
      <c r="AE537" s="124">
        <v>14</v>
      </c>
      <c r="AF537" s="124">
        <v>12</v>
      </c>
      <c r="AG537" s="125">
        <v>12</v>
      </c>
      <c r="AH537" s="124">
        <v>12</v>
      </c>
      <c r="AI537" s="125">
        <v>17</v>
      </c>
      <c r="AJ537" s="124">
        <v>17</v>
      </c>
      <c r="AK537" s="124">
        <v>17</v>
      </c>
      <c r="AL537" s="124">
        <v>17</v>
      </c>
      <c r="AM537" s="124">
        <v>15</v>
      </c>
      <c r="AN537" s="125">
        <v>15</v>
      </c>
      <c r="AO537" s="124">
        <v>14</v>
      </c>
      <c r="AP537" s="125" t="s">
        <v>18</v>
      </c>
      <c r="AQ537" s="124" t="s">
        <v>18</v>
      </c>
      <c r="AR537" s="124" t="s">
        <v>18</v>
      </c>
      <c r="AS537" s="124" t="s">
        <v>18</v>
      </c>
      <c r="AT537" s="124" t="s">
        <v>18</v>
      </c>
      <c r="AU537" s="124" t="s">
        <v>18</v>
      </c>
      <c r="AV537" s="124" t="s">
        <v>18</v>
      </c>
      <c r="AW537" s="124" t="s">
        <v>18</v>
      </c>
      <c r="AX537" s="124" t="s">
        <v>18</v>
      </c>
      <c r="AY537" s="124" t="s">
        <v>18</v>
      </c>
      <c r="AZ537" s="124" t="s">
        <v>18</v>
      </c>
      <c r="BA537" s="124" t="s">
        <v>18</v>
      </c>
      <c r="BB537" s="124" t="s">
        <v>18</v>
      </c>
      <c r="BC537" s="124" t="s">
        <v>18</v>
      </c>
    </row>
    <row r="538" spans="1:55" ht="11.25" customHeight="1" x14ac:dyDescent="0.2">
      <c r="A538" s="127"/>
      <c r="B538" s="122" t="s">
        <v>6</v>
      </c>
      <c r="C538" s="124"/>
      <c r="D538" s="171"/>
      <c r="E538" s="172"/>
      <c r="F538" s="124">
        <v>1</v>
      </c>
      <c r="G538" s="172"/>
      <c r="H538" s="124"/>
      <c r="I538" s="124"/>
      <c r="J538" s="124"/>
      <c r="K538" s="172"/>
      <c r="L538" s="124"/>
      <c r="M538" s="124">
        <v>1</v>
      </c>
      <c r="N538" s="172"/>
      <c r="O538" s="124"/>
      <c r="P538" s="124"/>
      <c r="Q538" s="124">
        <v>1</v>
      </c>
      <c r="R538" s="172"/>
      <c r="S538" s="124"/>
      <c r="T538" s="124"/>
      <c r="U538" s="173"/>
      <c r="V538" s="124"/>
      <c r="W538" s="124"/>
      <c r="X538" s="124"/>
      <c r="Y538" s="125"/>
      <c r="Z538" s="124"/>
      <c r="AA538" s="124"/>
      <c r="AB538" s="125"/>
      <c r="AC538" s="124"/>
      <c r="AD538" s="123"/>
      <c r="AE538" s="124"/>
      <c r="AF538" s="124"/>
      <c r="AG538" s="125"/>
      <c r="AH538" s="124">
        <v>5</v>
      </c>
      <c r="AI538" s="125"/>
      <c r="AJ538" s="124"/>
      <c r="AK538" s="124"/>
      <c r="AL538" s="124"/>
      <c r="AM538" s="124"/>
      <c r="AN538" s="125"/>
      <c r="AO538" s="124"/>
      <c r="AP538" s="125"/>
      <c r="AQ538" s="124"/>
      <c r="AR538" s="124"/>
      <c r="AS538" s="124"/>
      <c r="AT538" s="124"/>
      <c r="AU538" s="124"/>
      <c r="AV538" s="124"/>
      <c r="AW538" s="124"/>
      <c r="AX538" s="124"/>
      <c r="AY538" s="124"/>
      <c r="AZ538" s="124"/>
      <c r="BA538" s="124"/>
      <c r="BB538" s="124"/>
      <c r="BC538" s="124"/>
    </row>
    <row r="539" spans="1:55" ht="11.25" customHeight="1" x14ac:dyDescent="0.2">
      <c r="A539" s="128"/>
      <c r="B539" s="122" t="s">
        <v>8</v>
      </c>
      <c r="C539" s="130">
        <v>800</v>
      </c>
      <c r="D539" s="174">
        <v>800</v>
      </c>
      <c r="E539" s="175">
        <v>800</v>
      </c>
      <c r="F539" s="130">
        <v>800</v>
      </c>
      <c r="G539" s="175">
        <v>800</v>
      </c>
      <c r="H539" s="130">
        <v>800</v>
      </c>
      <c r="I539" s="130">
        <v>800</v>
      </c>
      <c r="J539" s="130">
        <v>800</v>
      </c>
      <c r="K539" s="175">
        <v>800</v>
      </c>
      <c r="L539" s="130">
        <v>800</v>
      </c>
      <c r="M539" s="130">
        <v>800</v>
      </c>
      <c r="N539" s="175">
        <v>800</v>
      </c>
      <c r="O539" s="130">
        <v>800</v>
      </c>
      <c r="P539" s="130">
        <v>800</v>
      </c>
      <c r="Q539" s="130">
        <v>800</v>
      </c>
      <c r="R539" s="175">
        <v>800</v>
      </c>
      <c r="S539" s="130">
        <v>800</v>
      </c>
      <c r="T539" s="130">
        <v>800</v>
      </c>
      <c r="U539" s="176">
        <v>800</v>
      </c>
      <c r="V539" s="130">
        <v>800</v>
      </c>
      <c r="W539" s="130">
        <v>800</v>
      </c>
      <c r="X539" s="130">
        <v>800</v>
      </c>
      <c r="Y539" s="131">
        <v>800</v>
      </c>
      <c r="Z539" s="130">
        <v>800</v>
      </c>
      <c r="AA539" s="130">
        <v>800</v>
      </c>
      <c r="AB539" s="131">
        <v>800</v>
      </c>
      <c r="AC539" s="130">
        <v>800</v>
      </c>
      <c r="AD539" s="129">
        <v>800</v>
      </c>
      <c r="AE539" s="130">
        <v>800</v>
      </c>
      <c r="AF539" s="130">
        <v>800</v>
      </c>
      <c r="AG539" s="131">
        <v>800</v>
      </c>
      <c r="AH539" s="130">
        <v>800</v>
      </c>
      <c r="AI539" s="131">
        <v>800</v>
      </c>
      <c r="AJ539" s="130">
        <v>800</v>
      </c>
      <c r="AK539" s="130">
        <v>800</v>
      </c>
      <c r="AL539" s="130">
        <v>800</v>
      </c>
      <c r="AM539" s="130">
        <v>800</v>
      </c>
      <c r="AN539" s="131">
        <v>800</v>
      </c>
      <c r="AO539" s="130">
        <v>800</v>
      </c>
      <c r="AP539" s="131" t="s">
        <v>18</v>
      </c>
      <c r="AQ539" s="130" t="s">
        <v>18</v>
      </c>
      <c r="AR539" s="130" t="s">
        <v>18</v>
      </c>
      <c r="AS539" s="130" t="s">
        <v>18</v>
      </c>
      <c r="AT539" s="130" t="s">
        <v>18</v>
      </c>
      <c r="AU539" s="130" t="s">
        <v>18</v>
      </c>
      <c r="AV539" s="130" t="s">
        <v>18</v>
      </c>
      <c r="AW539" s="130" t="s">
        <v>18</v>
      </c>
      <c r="AX539" s="130" t="s">
        <v>18</v>
      </c>
      <c r="AY539" s="130" t="s">
        <v>18</v>
      </c>
      <c r="AZ539" s="130" t="s">
        <v>18</v>
      </c>
      <c r="BA539" s="130" t="s">
        <v>18</v>
      </c>
      <c r="BB539" s="130" t="s">
        <v>18</v>
      </c>
      <c r="BC539" s="130" t="s">
        <v>18</v>
      </c>
    </row>
    <row r="540" spans="1:55" ht="11.25" customHeight="1" x14ac:dyDescent="0.2">
      <c r="A540" s="127" t="s">
        <v>9</v>
      </c>
      <c r="B540" s="132" t="s">
        <v>10</v>
      </c>
      <c r="C540" s="134" t="s">
        <v>42</v>
      </c>
      <c r="D540" s="177" t="s">
        <v>42</v>
      </c>
      <c r="E540" s="178" t="s">
        <v>42</v>
      </c>
      <c r="F540" s="134" t="s">
        <v>42</v>
      </c>
      <c r="G540" s="178" t="s">
        <v>42</v>
      </c>
      <c r="H540" s="134" t="s">
        <v>42</v>
      </c>
      <c r="I540" s="134" t="s">
        <v>42</v>
      </c>
      <c r="J540" s="134" t="s">
        <v>42</v>
      </c>
      <c r="K540" s="178" t="s">
        <v>42</v>
      </c>
      <c r="L540" s="134" t="s">
        <v>42</v>
      </c>
      <c r="M540" s="134" t="s">
        <v>42</v>
      </c>
      <c r="N540" s="178" t="s">
        <v>42</v>
      </c>
      <c r="O540" s="134" t="s">
        <v>42</v>
      </c>
      <c r="P540" s="134" t="s">
        <v>42</v>
      </c>
      <c r="Q540" s="134" t="s">
        <v>42</v>
      </c>
      <c r="R540" s="178" t="s">
        <v>42</v>
      </c>
      <c r="S540" s="134" t="s">
        <v>42</v>
      </c>
      <c r="T540" s="134" t="s">
        <v>42</v>
      </c>
      <c r="U540" s="179" t="s">
        <v>42</v>
      </c>
      <c r="V540" s="134" t="s">
        <v>42</v>
      </c>
      <c r="W540" s="134" t="s">
        <v>42</v>
      </c>
      <c r="X540" s="134" t="s">
        <v>42</v>
      </c>
      <c r="Y540" s="135" t="s">
        <v>42</v>
      </c>
      <c r="Z540" s="134" t="s">
        <v>42</v>
      </c>
      <c r="AA540" s="134" t="s">
        <v>42</v>
      </c>
      <c r="AB540" s="135" t="s">
        <v>42</v>
      </c>
      <c r="AC540" s="134" t="s">
        <v>42</v>
      </c>
      <c r="AD540" s="133" t="s">
        <v>42</v>
      </c>
      <c r="AE540" s="134" t="s">
        <v>42</v>
      </c>
      <c r="AF540" s="134" t="s">
        <v>42</v>
      </c>
      <c r="AG540" s="135" t="s">
        <v>42</v>
      </c>
      <c r="AH540" s="134" t="s">
        <v>42</v>
      </c>
      <c r="AI540" s="135" t="s">
        <v>42</v>
      </c>
      <c r="AJ540" s="134" t="s">
        <v>42</v>
      </c>
      <c r="AK540" s="134" t="s">
        <v>42</v>
      </c>
      <c r="AL540" s="134" t="s">
        <v>42</v>
      </c>
      <c r="AM540" s="134" t="s">
        <v>42</v>
      </c>
      <c r="AN540" s="135" t="s">
        <v>42</v>
      </c>
      <c r="AO540" s="134" t="s">
        <v>42</v>
      </c>
      <c r="AP540" s="135" t="s">
        <v>18</v>
      </c>
      <c r="AQ540" s="134" t="s">
        <v>18</v>
      </c>
      <c r="AR540" s="134" t="s">
        <v>18</v>
      </c>
      <c r="AS540" s="134" t="s">
        <v>18</v>
      </c>
      <c r="AT540" s="134" t="s">
        <v>18</v>
      </c>
      <c r="AU540" s="134" t="s">
        <v>18</v>
      </c>
      <c r="AV540" s="134" t="s">
        <v>18</v>
      </c>
      <c r="AW540" s="134" t="s">
        <v>18</v>
      </c>
      <c r="AX540" s="134" t="s">
        <v>18</v>
      </c>
      <c r="AY540" s="134" t="s">
        <v>18</v>
      </c>
      <c r="AZ540" s="134" t="s">
        <v>18</v>
      </c>
      <c r="BA540" s="134" t="s">
        <v>18</v>
      </c>
      <c r="BB540" s="134" t="s">
        <v>18</v>
      </c>
      <c r="BC540" s="134" t="s">
        <v>18</v>
      </c>
    </row>
    <row r="541" spans="1:55" ht="11.25" customHeight="1" x14ac:dyDescent="0.2">
      <c r="A541" s="128">
        <v>68615.384615384624</v>
      </c>
      <c r="B541" s="122" t="s">
        <v>12</v>
      </c>
      <c r="C541" s="124"/>
      <c r="D541" s="171"/>
      <c r="E541" s="172"/>
      <c r="F541" s="124"/>
      <c r="G541" s="172"/>
      <c r="H541" s="124"/>
      <c r="I541" s="124"/>
      <c r="J541" s="124"/>
      <c r="K541" s="172"/>
      <c r="L541" s="124"/>
      <c r="M541" s="124"/>
      <c r="N541" s="172"/>
      <c r="O541" s="124"/>
      <c r="P541" s="124"/>
      <c r="Q541" s="124"/>
      <c r="R541" s="172"/>
      <c r="S541" s="124"/>
      <c r="T541" s="124"/>
      <c r="U541" s="173"/>
      <c r="V541" s="124"/>
      <c r="W541" s="124"/>
      <c r="X541" s="124"/>
      <c r="Y541" s="125"/>
      <c r="Z541" s="124"/>
      <c r="AA541" s="124"/>
      <c r="AB541" s="125"/>
      <c r="AC541" s="124"/>
      <c r="AD541" s="123"/>
      <c r="AE541" s="124"/>
      <c r="AF541" s="124"/>
      <c r="AG541" s="125"/>
      <c r="AH541" s="124"/>
      <c r="AI541" s="125"/>
      <c r="AJ541" s="124"/>
      <c r="AK541" s="124"/>
      <c r="AL541" s="124"/>
      <c r="AM541" s="124"/>
      <c r="AN541" s="125"/>
      <c r="AO541" s="124"/>
      <c r="AP541" s="125"/>
      <c r="AQ541" s="124"/>
      <c r="AR541" s="124"/>
      <c r="AS541" s="124"/>
      <c r="AT541" s="124"/>
      <c r="AU541" s="124"/>
      <c r="AV541" s="124"/>
      <c r="AW541" s="124"/>
      <c r="AX541" s="124"/>
      <c r="AY541" s="124"/>
      <c r="AZ541" s="124"/>
      <c r="BA541" s="124"/>
      <c r="BB541" s="124"/>
      <c r="BC541" s="124"/>
    </row>
    <row r="542" spans="1:55" ht="11.25" customHeight="1" x14ac:dyDescent="0.2">
      <c r="A542" s="128">
        <v>892</v>
      </c>
      <c r="B542" s="136" t="s">
        <v>13</v>
      </c>
      <c r="C542" s="137">
        <v>0</v>
      </c>
      <c r="D542" s="171">
        <v>53</v>
      </c>
      <c r="E542" s="172">
        <v>0</v>
      </c>
      <c r="F542" s="137">
        <v>42</v>
      </c>
      <c r="G542" s="172">
        <v>0</v>
      </c>
      <c r="H542" s="137">
        <v>0</v>
      </c>
      <c r="I542" s="137">
        <v>0</v>
      </c>
      <c r="J542" s="137">
        <v>11</v>
      </c>
      <c r="K542" s="172">
        <v>0</v>
      </c>
      <c r="L542" s="137">
        <v>0</v>
      </c>
      <c r="M542" s="137">
        <v>56</v>
      </c>
      <c r="N542" s="172">
        <v>0</v>
      </c>
      <c r="O542" s="137">
        <v>0</v>
      </c>
      <c r="P542" s="137">
        <v>0</v>
      </c>
      <c r="Q542" s="137">
        <v>51</v>
      </c>
      <c r="R542" s="172">
        <v>0</v>
      </c>
      <c r="S542" s="137">
        <v>0</v>
      </c>
      <c r="T542" s="137">
        <v>58</v>
      </c>
      <c r="U542" s="173">
        <v>0</v>
      </c>
      <c r="V542" s="137">
        <v>0</v>
      </c>
      <c r="W542" s="137">
        <v>0</v>
      </c>
      <c r="X542" s="137">
        <v>26</v>
      </c>
      <c r="Y542" s="125">
        <v>0</v>
      </c>
      <c r="Z542" s="137">
        <v>0</v>
      </c>
      <c r="AA542" s="137">
        <v>68</v>
      </c>
      <c r="AB542" s="125">
        <v>0</v>
      </c>
      <c r="AC542" s="137">
        <v>3</v>
      </c>
      <c r="AD542" s="123">
        <v>0</v>
      </c>
      <c r="AE542" s="137">
        <v>0</v>
      </c>
      <c r="AF542" s="137">
        <v>65</v>
      </c>
      <c r="AG542" s="125">
        <v>0</v>
      </c>
      <c r="AH542" s="137">
        <v>46</v>
      </c>
      <c r="AI542" s="125">
        <v>0</v>
      </c>
      <c r="AJ542" s="137">
        <v>0</v>
      </c>
      <c r="AK542" s="137">
        <v>0</v>
      </c>
      <c r="AL542" s="137">
        <v>0</v>
      </c>
      <c r="AM542" s="137">
        <v>260</v>
      </c>
      <c r="AN542" s="125">
        <v>0</v>
      </c>
      <c r="AO542" s="137">
        <v>153</v>
      </c>
      <c r="AP542" s="125" t="s">
        <v>18</v>
      </c>
      <c r="AQ542" s="137" t="s">
        <v>18</v>
      </c>
      <c r="AR542" s="137" t="s">
        <v>18</v>
      </c>
      <c r="AS542" s="137" t="s">
        <v>18</v>
      </c>
      <c r="AT542" s="137" t="s">
        <v>18</v>
      </c>
      <c r="AU542" s="137" t="s">
        <v>18</v>
      </c>
      <c r="AV542" s="137" t="s">
        <v>18</v>
      </c>
      <c r="AW542" s="137" t="s">
        <v>18</v>
      </c>
      <c r="AX542" s="137" t="s">
        <v>18</v>
      </c>
      <c r="AY542" s="137" t="s">
        <v>18</v>
      </c>
      <c r="AZ542" s="137" t="s">
        <v>18</v>
      </c>
      <c r="BA542" s="137" t="s">
        <v>18</v>
      </c>
      <c r="BB542" s="137" t="s">
        <v>18</v>
      </c>
      <c r="BC542" s="137" t="s">
        <v>18</v>
      </c>
    </row>
    <row r="543" spans="1:55" ht="11.25" customHeight="1" x14ac:dyDescent="0.2">
      <c r="A543" s="128">
        <v>18</v>
      </c>
      <c r="B543" s="136" t="s">
        <v>14</v>
      </c>
      <c r="C543" s="137">
        <v>0</v>
      </c>
      <c r="D543" s="171">
        <v>1</v>
      </c>
      <c r="E543" s="172">
        <v>0</v>
      </c>
      <c r="F543" s="137">
        <v>0</v>
      </c>
      <c r="G543" s="172">
        <v>0</v>
      </c>
      <c r="H543" s="137">
        <v>0</v>
      </c>
      <c r="I543" s="137">
        <v>0</v>
      </c>
      <c r="J543" s="137">
        <v>0</v>
      </c>
      <c r="K543" s="172">
        <v>0</v>
      </c>
      <c r="L543" s="137">
        <v>0</v>
      </c>
      <c r="M543" s="137">
        <v>2</v>
      </c>
      <c r="N543" s="172">
        <v>0</v>
      </c>
      <c r="O543" s="137">
        <v>0</v>
      </c>
      <c r="P543" s="137">
        <v>0</v>
      </c>
      <c r="Q543" s="137">
        <v>1</v>
      </c>
      <c r="R543" s="172">
        <v>0</v>
      </c>
      <c r="S543" s="137">
        <v>0</v>
      </c>
      <c r="T543" s="137">
        <v>1</v>
      </c>
      <c r="U543" s="173">
        <v>0</v>
      </c>
      <c r="V543" s="137">
        <v>0</v>
      </c>
      <c r="W543" s="137">
        <v>0</v>
      </c>
      <c r="X543" s="137">
        <v>0</v>
      </c>
      <c r="Y543" s="125">
        <v>0</v>
      </c>
      <c r="Z543" s="137">
        <v>0</v>
      </c>
      <c r="AA543" s="137">
        <v>1</v>
      </c>
      <c r="AB543" s="125">
        <v>0</v>
      </c>
      <c r="AC543" s="137">
        <v>1</v>
      </c>
      <c r="AD543" s="123">
        <v>0</v>
      </c>
      <c r="AE543" s="137">
        <v>0</v>
      </c>
      <c r="AF543" s="137">
        <v>2</v>
      </c>
      <c r="AG543" s="125">
        <v>0</v>
      </c>
      <c r="AH543" s="137">
        <v>0</v>
      </c>
      <c r="AI543" s="125">
        <v>0</v>
      </c>
      <c r="AJ543" s="137">
        <v>0</v>
      </c>
      <c r="AK543" s="137">
        <v>0</v>
      </c>
      <c r="AL543" s="137">
        <v>0</v>
      </c>
      <c r="AM543" s="137">
        <v>4</v>
      </c>
      <c r="AN543" s="125">
        <v>0</v>
      </c>
      <c r="AO543" s="137">
        <v>5</v>
      </c>
      <c r="AP543" s="125" t="s">
        <v>18</v>
      </c>
      <c r="AQ543" s="137" t="s">
        <v>18</v>
      </c>
      <c r="AR543" s="137" t="s">
        <v>18</v>
      </c>
      <c r="AS543" s="137" t="s">
        <v>18</v>
      </c>
      <c r="AT543" s="137" t="s">
        <v>18</v>
      </c>
      <c r="AU543" s="137" t="s">
        <v>18</v>
      </c>
      <c r="AV543" s="137" t="s">
        <v>18</v>
      </c>
      <c r="AW543" s="137" t="s">
        <v>18</v>
      </c>
      <c r="AX543" s="137" t="s">
        <v>18</v>
      </c>
      <c r="AY543" s="137" t="s">
        <v>18</v>
      </c>
      <c r="AZ543" s="137" t="s">
        <v>18</v>
      </c>
      <c r="BA543" s="137" t="s">
        <v>18</v>
      </c>
      <c r="BB543" s="137" t="s">
        <v>18</v>
      </c>
      <c r="BC543" s="137" t="s">
        <v>18</v>
      </c>
    </row>
    <row r="544" spans="1:55" ht="11.25" customHeight="1" x14ac:dyDescent="0.2">
      <c r="A544" s="128">
        <v>10</v>
      </c>
      <c r="B544" s="136" t="s">
        <v>15</v>
      </c>
      <c r="C544" s="137">
        <v>0</v>
      </c>
      <c r="D544" s="171">
        <v>1</v>
      </c>
      <c r="E544" s="172">
        <v>0</v>
      </c>
      <c r="F544" s="137">
        <v>0</v>
      </c>
      <c r="G544" s="172">
        <v>0</v>
      </c>
      <c r="H544" s="137">
        <v>0</v>
      </c>
      <c r="I544" s="137">
        <v>0</v>
      </c>
      <c r="J544" s="137">
        <v>0</v>
      </c>
      <c r="K544" s="172">
        <v>0</v>
      </c>
      <c r="L544" s="137">
        <v>0</v>
      </c>
      <c r="M544" s="137">
        <v>1</v>
      </c>
      <c r="N544" s="172">
        <v>0</v>
      </c>
      <c r="O544" s="137">
        <v>0</v>
      </c>
      <c r="P544" s="137">
        <v>0</v>
      </c>
      <c r="Q544" s="137">
        <v>1</v>
      </c>
      <c r="R544" s="172">
        <v>0</v>
      </c>
      <c r="S544" s="137">
        <v>0</v>
      </c>
      <c r="T544" s="137">
        <v>1</v>
      </c>
      <c r="U544" s="173">
        <v>0</v>
      </c>
      <c r="V544" s="137">
        <v>0</v>
      </c>
      <c r="W544" s="137">
        <v>0</v>
      </c>
      <c r="X544" s="137">
        <v>0</v>
      </c>
      <c r="Y544" s="125">
        <v>0</v>
      </c>
      <c r="Z544" s="137">
        <v>0</v>
      </c>
      <c r="AA544" s="137">
        <v>1</v>
      </c>
      <c r="AB544" s="125">
        <v>0</v>
      </c>
      <c r="AC544" s="137">
        <v>0</v>
      </c>
      <c r="AD544" s="123">
        <v>0</v>
      </c>
      <c r="AE544" s="137">
        <v>0</v>
      </c>
      <c r="AF544" s="137">
        <v>2</v>
      </c>
      <c r="AG544" s="125">
        <v>0</v>
      </c>
      <c r="AH544" s="137">
        <v>0</v>
      </c>
      <c r="AI544" s="125">
        <v>0</v>
      </c>
      <c r="AJ544" s="137">
        <v>0</v>
      </c>
      <c r="AK544" s="137">
        <v>0</v>
      </c>
      <c r="AL544" s="137">
        <v>0</v>
      </c>
      <c r="AM544" s="137">
        <v>2</v>
      </c>
      <c r="AN544" s="125">
        <v>0</v>
      </c>
      <c r="AO544" s="137">
        <v>1</v>
      </c>
      <c r="AP544" s="125" t="s">
        <v>18</v>
      </c>
      <c r="AQ544" s="137" t="s">
        <v>18</v>
      </c>
      <c r="AR544" s="137" t="s">
        <v>18</v>
      </c>
      <c r="AS544" s="137" t="s">
        <v>18</v>
      </c>
      <c r="AT544" s="137" t="s">
        <v>18</v>
      </c>
      <c r="AU544" s="137" t="s">
        <v>18</v>
      </c>
      <c r="AV544" s="137" t="s">
        <v>18</v>
      </c>
      <c r="AW544" s="137" t="s">
        <v>18</v>
      </c>
      <c r="AX544" s="137" t="s">
        <v>18</v>
      </c>
      <c r="AY544" s="137" t="s">
        <v>18</v>
      </c>
      <c r="AZ544" s="137" t="s">
        <v>18</v>
      </c>
      <c r="BA544" s="137" t="s">
        <v>18</v>
      </c>
      <c r="BB544" s="137" t="s">
        <v>18</v>
      </c>
      <c r="BC544" s="137" t="s">
        <v>18</v>
      </c>
    </row>
    <row r="545" spans="1:55" ht="11.25" customHeight="1" x14ac:dyDescent="0.2">
      <c r="A545" s="128">
        <v>8000</v>
      </c>
      <c r="B545" s="136" t="s">
        <v>16</v>
      </c>
      <c r="C545" s="137">
        <v>0</v>
      </c>
      <c r="D545" s="171">
        <v>800</v>
      </c>
      <c r="E545" s="172">
        <v>0</v>
      </c>
      <c r="F545" s="137">
        <v>0</v>
      </c>
      <c r="G545" s="172">
        <v>0</v>
      </c>
      <c r="H545" s="137">
        <v>0</v>
      </c>
      <c r="I545" s="137">
        <v>0</v>
      </c>
      <c r="J545" s="137">
        <v>0</v>
      </c>
      <c r="K545" s="172">
        <v>0</v>
      </c>
      <c r="L545" s="137">
        <v>0</v>
      </c>
      <c r="M545" s="137">
        <v>800</v>
      </c>
      <c r="N545" s="172">
        <v>0</v>
      </c>
      <c r="O545" s="137">
        <v>0</v>
      </c>
      <c r="P545" s="137">
        <v>0</v>
      </c>
      <c r="Q545" s="137">
        <v>800</v>
      </c>
      <c r="R545" s="172">
        <v>0</v>
      </c>
      <c r="S545" s="137">
        <v>0</v>
      </c>
      <c r="T545" s="137">
        <v>800</v>
      </c>
      <c r="U545" s="173">
        <v>0</v>
      </c>
      <c r="V545" s="137">
        <v>0</v>
      </c>
      <c r="W545" s="137">
        <v>0</v>
      </c>
      <c r="X545" s="137">
        <v>0</v>
      </c>
      <c r="Y545" s="125">
        <v>0</v>
      </c>
      <c r="Z545" s="137">
        <v>0</v>
      </c>
      <c r="AA545" s="137">
        <v>800</v>
      </c>
      <c r="AB545" s="125">
        <v>0</v>
      </c>
      <c r="AC545" s="137">
        <v>0</v>
      </c>
      <c r="AD545" s="123">
        <v>0</v>
      </c>
      <c r="AE545" s="137">
        <v>0</v>
      </c>
      <c r="AF545" s="137">
        <v>1600</v>
      </c>
      <c r="AG545" s="125">
        <v>0</v>
      </c>
      <c r="AH545" s="137">
        <v>0</v>
      </c>
      <c r="AI545" s="125">
        <v>0</v>
      </c>
      <c r="AJ545" s="137">
        <v>0</v>
      </c>
      <c r="AK545" s="137">
        <v>0</v>
      </c>
      <c r="AL545" s="137">
        <v>0</v>
      </c>
      <c r="AM545" s="137">
        <v>1600</v>
      </c>
      <c r="AN545" s="125">
        <v>0</v>
      </c>
      <c r="AO545" s="137">
        <v>800</v>
      </c>
      <c r="AP545" s="125" t="s">
        <v>18</v>
      </c>
      <c r="AQ545" s="137" t="s">
        <v>18</v>
      </c>
      <c r="AR545" s="137" t="s">
        <v>18</v>
      </c>
      <c r="AS545" s="137" t="s">
        <v>18</v>
      </c>
      <c r="AT545" s="137" t="s">
        <v>18</v>
      </c>
      <c r="AU545" s="137" t="s">
        <v>18</v>
      </c>
      <c r="AV545" s="137" t="s">
        <v>18</v>
      </c>
      <c r="AW545" s="137" t="s">
        <v>18</v>
      </c>
      <c r="AX545" s="137" t="s">
        <v>18</v>
      </c>
      <c r="AY545" s="137" t="s">
        <v>18</v>
      </c>
      <c r="AZ545" s="137" t="s">
        <v>18</v>
      </c>
      <c r="BA545" s="137" t="s">
        <v>18</v>
      </c>
      <c r="BB545" s="137" t="s">
        <v>18</v>
      </c>
      <c r="BC545" s="137" t="s">
        <v>18</v>
      </c>
    </row>
    <row r="546" spans="1:55" ht="11.25" customHeight="1" thickBot="1" x14ac:dyDescent="0.25">
      <c r="A546" s="138">
        <v>8.9686098654708515E-2</v>
      </c>
      <c r="B546" s="136" t="s">
        <v>17</v>
      </c>
      <c r="C546" s="147" t="s">
        <v>18</v>
      </c>
      <c r="D546" s="183">
        <v>0.15094339622641509</v>
      </c>
      <c r="E546" s="184" t="s">
        <v>18</v>
      </c>
      <c r="F546" s="147" t="s">
        <v>18</v>
      </c>
      <c r="G546" s="184" t="s">
        <v>18</v>
      </c>
      <c r="H546" s="147" t="s">
        <v>18</v>
      </c>
      <c r="I546" s="147" t="s">
        <v>18</v>
      </c>
      <c r="J546" s="147" t="s">
        <v>18</v>
      </c>
      <c r="K546" s="184" t="s">
        <v>18</v>
      </c>
      <c r="L546" s="147" t="s">
        <v>18</v>
      </c>
      <c r="M546" s="147">
        <v>0.14285714285714285</v>
      </c>
      <c r="N546" s="184" t="s">
        <v>18</v>
      </c>
      <c r="O546" s="147" t="s">
        <v>18</v>
      </c>
      <c r="P546" s="147" t="s">
        <v>18</v>
      </c>
      <c r="Q546" s="147">
        <v>0.15686274509803921</v>
      </c>
      <c r="R546" s="184" t="s">
        <v>18</v>
      </c>
      <c r="S546" s="147" t="s">
        <v>18</v>
      </c>
      <c r="T546" s="147">
        <v>0.13793103448275862</v>
      </c>
      <c r="U546" s="185" t="s">
        <v>18</v>
      </c>
      <c r="V546" s="147" t="s">
        <v>18</v>
      </c>
      <c r="W546" s="147" t="s">
        <v>18</v>
      </c>
      <c r="X546" s="147" t="s">
        <v>18</v>
      </c>
      <c r="Y546" s="148" t="s">
        <v>18</v>
      </c>
      <c r="Z546" s="147" t="s">
        <v>18</v>
      </c>
      <c r="AA546" s="147">
        <v>0.11764705882352941</v>
      </c>
      <c r="AB546" s="148" t="s">
        <v>18</v>
      </c>
      <c r="AC546" s="147" t="s">
        <v>18</v>
      </c>
      <c r="AD546" s="146" t="s">
        <v>18</v>
      </c>
      <c r="AE546" s="147" t="s">
        <v>18</v>
      </c>
      <c r="AF546" s="147">
        <v>0.24615384615384617</v>
      </c>
      <c r="AG546" s="148" t="s">
        <v>18</v>
      </c>
      <c r="AH546" s="147" t="s">
        <v>18</v>
      </c>
      <c r="AI546" s="148" t="s">
        <v>18</v>
      </c>
      <c r="AJ546" s="147" t="s">
        <v>18</v>
      </c>
      <c r="AK546" s="147" t="s">
        <v>18</v>
      </c>
      <c r="AL546" s="147" t="s">
        <v>18</v>
      </c>
      <c r="AM546" s="147">
        <v>6.1538461538461542E-2</v>
      </c>
      <c r="AN546" s="148" t="s">
        <v>18</v>
      </c>
      <c r="AO546" s="147">
        <v>5.2287581699346407E-2</v>
      </c>
      <c r="AP546" s="148" t="s">
        <v>18</v>
      </c>
      <c r="AQ546" s="147" t="s">
        <v>18</v>
      </c>
      <c r="AR546" s="147" t="s">
        <v>18</v>
      </c>
      <c r="AS546" s="147" t="s">
        <v>18</v>
      </c>
      <c r="AT546" s="147" t="s">
        <v>18</v>
      </c>
      <c r="AU546" s="147" t="s">
        <v>18</v>
      </c>
      <c r="AV546" s="147" t="s">
        <v>18</v>
      </c>
      <c r="AW546" s="147" t="s">
        <v>18</v>
      </c>
      <c r="AX546" s="147" t="s">
        <v>18</v>
      </c>
      <c r="AY546" s="147" t="s">
        <v>18</v>
      </c>
      <c r="AZ546" s="147" t="s">
        <v>18</v>
      </c>
      <c r="BA546" s="147" t="s">
        <v>18</v>
      </c>
      <c r="BB546" s="147" t="s">
        <v>18</v>
      </c>
      <c r="BC546" s="147" t="s">
        <v>18</v>
      </c>
    </row>
    <row r="547" spans="1:55" ht="11.25" customHeight="1" x14ac:dyDescent="0.2">
      <c r="A547" s="149" t="s">
        <v>1</v>
      </c>
      <c r="B547" s="150" t="s">
        <v>2</v>
      </c>
      <c r="C547" s="130">
        <v>6586</v>
      </c>
      <c r="D547" s="174">
        <v>6637</v>
      </c>
      <c r="E547" s="175">
        <v>6637</v>
      </c>
      <c r="F547" s="130">
        <v>6694</v>
      </c>
      <c r="G547" s="175">
        <v>6694</v>
      </c>
      <c r="H547" s="130">
        <v>6694</v>
      </c>
      <c r="I547" s="130">
        <v>6694</v>
      </c>
      <c r="J547" s="130">
        <v>6716</v>
      </c>
      <c r="K547" s="175">
        <v>6716</v>
      </c>
      <c r="L547" s="130">
        <v>6716</v>
      </c>
      <c r="M547" s="130">
        <v>6823</v>
      </c>
      <c r="N547" s="175">
        <v>6823</v>
      </c>
      <c r="O547" s="130">
        <v>6823</v>
      </c>
      <c r="P547" s="130">
        <v>6823</v>
      </c>
      <c r="Q547" s="130">
        <v>6856</v>
      </c>
      <c r="R547" s="175">
        <v>6856</v>
      </c>
      <c r="S547" s="130">
        <v>6856</v>
      </c>
      <c r="T547" s="130">
        <v>6922</v>
      </c>
      <c r="U547" s="176">
        <v>6922</v>
      </c>
      <c r="V547" s="130">
        <v>6922</v>
      </c>
      <c r="W547" s="130">
        <v>6922</v>
      </c>
      <c r="X547" s="130">
        <v>6961</v>
      </c>
      <c r="Y547" s="131">
        <v>6961</v>
      </c>
      <c r="Z547" s="130">
        <v>6961</v>
      </c>
      <c r="AA547" s="130">
        <v>7012</v>
      </c>
      <c r="AB547" s="131">
        <v>7012</v>
      </c>
      <c r="AC547" s="130">
        <v>7025</v>
      </c>
      <c r="AD547" s="129">
        <v>7025</v>
      </c>
      <c r="AE547" s="130">
        <v>7025</v>
      </c>
      <c r="AF547" s="130">
        <v>7066</v>
      </c>
      <c r="AG547" s="131">
        <v>7066</v>
      </c>
      <c r="AH547" s="130">
        <v>7117</v>
      </c>
      <c r="AI547" s="131">
        <v>7117</v>
      </c>
      <c r="AJ547" s="130">
        <v>7117</v>
      </c>
      <c r="AK547" s="130">
        <v>7117</v>
      </c>
      <c r="AL547" s="130">
        <v>7117</v>
      </c>
      <c r="AM547" s="130">
        <v>7132</v>
      </c>
      <c r="AN547" s="131">
        <v>7132</v>
      </c>
      <c r="AO547" s="130">
        <v>7188</v>
      </c>
      <c r="AP547" s="131" t="s">
        <v>18</v>
      </c>
      <c r="AQ547" s="130" t="s">
        <v>18</v>
      </c>
      <c r="AR547" s="130" t="s">
        <v>18</v>
      </c>
      <c r="AS547" s="130" t="s">
        <v>18</v>
      </c>
      <c r="AT547" s="130" t="s">
        <v>18</v>
      </c>
      <c r="AU547" s="130" t="s">
        <v>18</v>
      </c>
      <c r="AV547" s="130" t="s">
        <v>18</v>
      </c>
      <c r="AW547" s="130" t="s">
        <v>18</v>
      </c>
      <c r="AX547" s="130" t="s">
        <v>18</v>
      </c>
      <c r="AY547" s="130" t="s">
        <v>18</v>
      </c>
      <c r="AZ547" s="130" t="s">
        <v>18</v>
      </c>
      <c r="BA547" s="130" t="s">
        <v>18</v>
      </c>
      <c r="BB547" s="130" t="s">
        <v>18</v>
      </c>
      <c r="BC547" s="130" t="s">
        <v>18</v>
      </c>
    </row>
    <row r="548" spans="1:55" ht="11.25" customHeight="1" x14ac:dyDescent="0.2">
      <c r="A548" s="121" t="s">
        <v>40</v>
      </c>
      <c r="B548" s="122" t="s">
        <v>4</v>
      </c>
      <c r="C548" s="124">
        <v>353</v>
      </c>
      <c r="D548" s="171">
        <v>356</v>
      </c>
      <c r="E548" s="172">
        <v>356</v>
      </c>
      <c r="F548" s="124">
        <v>356</v>
      </c>
      <c r="G548" s="172">
        <v>356</v>
      </c>
      <c r="H548" s="124">
        <v>356</v>
      </c>
      <c r="I548" s="124">
        <v>356</v>
      </c>
      <c r="J548" s="124">
        <v>359</v>
      </c>
      <c r="K548" s="172">
        <v>359</v>
      </c>
      <c r="L548" s="124">
        <v>359</v>
      </c>
      <c r="M548" s="124">
        <v>361</v>
      </c>
      <c r="N548" s="172">
        <v>361</v>
      </c>
      <c r="O548" s="124">
        <v>361</v>
      </c>
      <c r="P548" s="124">
        <v>361</v>
      </c>
      <c r="Q548" s="124">
        <v>362</v>
      </c>
      <c r="R548" s="172">
        <v>362</v>
      </c>
      <c r="S548" s="124">
        <v>362</v>
      </c>
      <c r="T548" s="124">
        <v>363</v>
      </c>
      <c r="U548" s="173">
        <v>363</v>
      </c>
      <c r="V548" s="124">
        <v>363</v>
      </c>
      <c r="W548" s="124">
        <v>363</v>
      </c>
      <c r="X548" s="124">
        <v>363</v>
      </c>
      <c r="Y548" s="125">
        <v>363</v>
      </c>
      <c r="Z548" s="124">
        <v>363</v>
      </c>
      <c r="AA548" s="124">
        <v>367</v>
      </c>
      <c r="AB548" s="125">
        <v>367</v>
      </c>
      <c r="AC548" s="124">
        <v>368</v>
      </c>
      <c r="AD548" s="123">
        <v>368</v>
      </c>
      <c r="AE548" s="124">
        <v>368</v>
      </c>
      <c r="AF548" s="124">
        <v>371</v>
      </c>
      <c r="AG548" s="125">
        <v>371</v>
      </c>
      <c r="AH548" s="124">
        <v>374</v>
      </c>
      <c r="AI548" s="125">
        <v>374</v>
      </c>
      <c r="AJ548" s="124">
        <v>374</v>
      </c>
      <c r="AK548" s="124">
        <v>374</v>
      </c>
      <c r="AL548" s="124">
        <v>374</v>
      </c>
      <c r="AM548" s="124">
        <v>374</v>
      </c>
      <c r="AN548" s="125">
        <v>374</v>
      </c>
      <c r="AO548" s="124">
        <v>381</v>
      </c>
      <c r="AP548" s="125" t="s">
        <v>18</v>
      </c>
      <c r="AQ548" s="124" t="s">
        <v>18</v>
      </c>
      <c r="AR548" s="124" t="s">
        <v>18</v>
      </c>
      <c r="AS548" s="124" t="s">
        <v>18</v>
      </c>
      <c r="AT548" s="124" t="s">
        <v>18</v>
      </c>
      <c r="AU548" s="124" t="s">
        <v>18</v>
      </c>
      <c r="AV548" s="124" t="s">
        <v>18</v>
      </c>
      <c r="AW548" s="124" t="s">
        <v>18</v>
      </c>
      <c r="AX548" s="124" t="s">
        <v>18</v>
      </c>
      <c r="AY548" s="124" t="s">
        <v>18</v>
      </c>
      <c r="AZ548" s="124" t="s">
        <v>18</v>
      </c>
      <c r="BA548" s="124" t="s">
        <v>18</v>
      </c>
      <c r="BB548" s="124" t="s">
        <v>18</v>
      </c>
      <c r="BC548" s="124" t="s">
        <v>18</v>
      </c>
    </row>
    <row r="549" spans="1:55" ht="11.25" customHeight="1" x14ac:dyDescent="0.25">
      <c r="A549" s="143">
        <v>3</v>
      </c>
      <c r="B549" s="122" t="s">
        <v>5</v>
      </c>
      <c r="C549" s="124">
        <v>31</v>
      </c>
      <c r="D549" s="171">
        <v>37</v>
      </c>
      <c r="E549" s="172">
        <v>37</v>
      </c>
      <c r="F549" s="124">
        <v>34</v>
      </c>
      <c r="G549" s="172">
        <v>34</v>
      </c>
      <c r="H549" s="124">
        <v>34</v>
      </c>
      <c r="I549" s="124">
        <v>34</v>
      </c>
      <c r="J549" s="124">
        <v>34</v>
      </c>
      <c r="K549" s="172">
        <v>34</v>
      </c>
      <c r="L549" s="124">
        <v>34</v>
      </c>
      <c r="M549" s="124">
        <v>32</v>
      </c>
      <c r="N549" s="172">
        <v>36</v>
      </c>
      <c r="O549" s="124">
        <v>36</v>
      </c>
      <c r="P549" s="124">
        <v>36</v>
      </c>
      <c r="Q549" s="124">
        <v>35</v>
      </c>
      <c r="R549" s="172">
        <v>35</v>
      </c>
      <c r="S549" s="124">
        <v>35</v>
      </c>
      <c r="T549" s="124">
        <v>35</v>
      </c>
      <c r="U549" s="173">
        <v>35</v>
      </c>
      <c r="V549" s="124">
        <v>35</v>
      </c>
      <c r="W549" s="124">
        <v>35</v>
      </c>
      <c r="X549" s="124">
        <v>35</v>
      </c>
      <c r="Y549" s="125">
        <v>35</v>
      </c>
      <c r="Z549" s="124">
        <v>35</v>
      </c>
      <c r="AA549" s="124">
        <v>35</v>
      </c>
      <c r="AB549" s="125">
        <v>35</v>
      </c>
      <c r="AC549" s="124">
        <v>34</v>
      </c>
      <c r="AD549" s="123">
        <v>34</v>
      </c>
      <c r="AE549" s="124">
        <v>34</v>
      </c>
      <c r="AF549" s="124">
        <v>34</v>
      </c>
      <c r="AG549" s="125">
        <v>34</v>
      </c>
      <c r="AH549" s="124">
        <v>31</v>
      </c>
      <c r="AI549" s="125">
        <v>31</v>
      </c>
      <c r="AJ549" s="124">
        <v>31</v>
      </c>
      <c r="AK549" s="124">
        <v>31</v>
      </c>
      <c r="AL549" s="124">
        <v>31</v>
      </c>
      <c r="AM549" s="124">
        <v>31</v>
      </c>
      <c r="AN549" s="125">
        <v>31</v>
      </c>
      <c r="AO549" s="124">
        <v>31</v>
      </c>
      <c r="AP549" s="125" t="s">
        <v>18</v>
      </c>
      <c r="AQ549" s="124" t="s">
        <v>18</v>
      </c>
      <c r="AR549" s="124" t="s">
        <v>18</v>
      </c>
      <c r="AS549" s="124" t="s">
        <v>18</v>
      </c>
      <c r="AT549" s="124" t="s">
        <v>18</v>
      </c>
      <c r="AU549" s="124" t="s">
        <v>18</v>
      </c>
      <c r="AV549" s="124" t="s">
        <v>18</v>
      </c>
      <c r="AW549" s="124" t="s">
        <v>18</v>
      </c>
      <c r="AX549" s="124" t="s">
        <v>18</v>
      </c>
      <c r="AY549" s="124" t="s">
        <v>18</v>
      </c>
      <c r="AZ549" s="124" t="s">
        <v>18</v>
      </c>
      <c r="BA549" s="124" t="s">
        <v>18</v>
      </c>
      <c r="BB549" s="124" t="s">
        <v>18</v>
      </c>
      <c r="BC549" s="124" t="s">
        <v>18</v>
      </c>
    </row>
    <row r="550" spans="1:55" ht="11.25" customHeight="1" x14ac:dyDescent="0.2">
      <c r="A550" s="127"/>
      <c r="B550" s="122" t="s">
        <v>6</v>
      </c>
      <c r="C550" s="124">
        <v>9</v>
      </c>
      <c r="D550" s="171"/>
      <c r="E550" s="172"/>
      <c r="F550" s="124"/>
      <c r="G550" s="172"/>
      <c r="H550" s="124"/>
      <c r="I550" s="124"/>
      <c r="J550" s="124"/>
      <c r="K550" s="172"/>
      <c r="L550" s="124"/>
      <c r="M550" s="124">
        <v>4</v>
      </c>
      <c r="N550" s="172"/>
      <c r="O550" s="124"/>
      <c r="P550" s="124"/>
      <c r="Q550" s="124"/>
      <c r="R550" s="172"/>
      <c r="S550" s="124"/>
      <c r="T550" s="124"/>
      <c r="U550" s="173"/>
      <c r="V550" s="124"/>
      <c r="W550" s="124"/>
      <c r="X550" s="124"/>
      <c r="Y550" s="125"/>
      <c r="Z550" s="124"/>
      <c r="AA550" s="124"/>
      <c r="AB550" s="125"/>
      <c r="AC550" s="124"/>
      <c r="AD550" s="123"/>
      <c r="AE550" s="124"/>
      <c r="AF550" s="124"/>
      <c r="AG550" s="125"/>
      <c r="AH550" s="124"/>
      <c r="AI550" s="125"/>
      <c r="AJ550" s="124"/>
      <c r="AK550" s="124"/>
      <c r="AL550" s="124"/>
      <c r="AM550" s="124"/>
      <c r="AN550" s="125"/>
      <c r="AO550" s="124"/>
      <c r="AP550" s="125"/>
      <c r="AQ550" s="124"/>
      <c r="AR550" s="124"/>
      <c r="AS550" s="124"/>
      <c r="AT550" s="124"/>
      <c r="AU550" s="124"/>
      <c r="AV550" s="124"/>
      <c r="AW550" s="124"/>
      <c r="AX550" s="124"/>
      <c r="AY550" s="124"/>
      <c r="AZ550" s="124"/>
      <c r="BA550" s="124"/>
      <c r="BB550" s="124"/>
      <c r="BC550" s="124"/>
    </row>
    <row r="551" spans="1:55" ht="11.25" customHeight="1" x14ac:dyDescent="0.2">
      <c r="A551" s="128"/>
      <c r="B551" s="122" t="s">
        <v>8</v>
      </c>
      <c r="C551" s="130">
        <v>400</v>
      </c>
      <c r="D551" s="174">
        <v>400</v>
      </c>
      <c r="E551" s="175">
        <v>400</v>
      </c>
      <c r="F551" s="130">
        <v>400</v>
      </c>
      <c r="G551" s="175">
        <v>400</v>
      </c>
      <c r="H551" s="130">
        <v>400</v>
      </c>
      <c r="I551" s="130">
        <v>400</v>
      </c>
      <c r="J551" s="130">
        <v>400</v>
      </c>
      <c r="K551" s="175">
        <v>400</v>
      </c>
      <c r="L551" s="130">
        <v>400</v>
      </c>
      <c r="M551" s="130">
        <v>400</v>
      </c>
      <c r="N551" s="175">
        <v>400</v>
      </c>
      <c r="O551" s="130">
        <v>400</v>
      </c>
      <c r="P551" s="130">
        <v>400</v>
      </c>
      <c r="Q551" s="130">
        <v>400</v>
      </c>
      <c r="R551" s="175">
        <v>400</v>
      </c>
      <c r="S551" s="130">
        <v>400</v>
      </c>
      <c r="T551" s="130">
        <v>400</v>
      </c>
      <c r="U551" s="176">
        <v>400</v>
      </c>
      <c r="V551" s="130">
        <v>400</v>
      </c>
      <c r="W551" s="130">
        <v>400</v>
      </c>
      <c r="X551" s="130">
        <v>400</v>
      </c>
      <c r="Y551" s="131">
        <v>400</v>
      </c>
      <c r="Z551" s="130">
        <v>400</v>
      </c>
      <c r="AA551" s="130">
        <v>400</v>
      </c>
      <c r="AB551" s="131">
        <v>400</v>
      </c>
      <c r="AC551" s="130">
        <v>400</v>
      </c>
      <c r="AD551" s="129">
        <v>400</v>
      </c>
      <c r="AE551" s="130">
        <v>400</v>
      </c>
      <c r="AF551" s="130">
        <v>400</v>
      </c>
      <c r="AG551" s="131">
        <v>400</v>
      </c>
      <c r="AH551" s="130">
        <v>400</v>
      </c>
      <c r="AI551" s="131">
        <v>400</v>
      </c>
      <c r="AJ551" s="130">
        <v>400</v>
      </c>
      <c r="AK551" s="130">
        <v>400</v>
      </c>
      <c r="AL551" s="130">
        <v>400</v>
      </c>
      <c r="AM551" s="130">
        <v>400</v>
      </c>
      <c r="AN551" s="131">
        <v>400</v>
      </c>
      <c r="AO551" s="130">
        <v>400</v>
      </c>
      <c r="AP551" s="131" t="s">
        <v>18</v>
      </c>
      <c r="AQ551" s="130" t="s">
        <v>18</v>
      </c>
      <c r="AR551" s="130" t="s">
        <v>18</v>
      </c>
      <c r="AS551" s="130" t="s">
        <v>18</v>
      </c>
      <c r="AT551" s="130" t="s">
        <v>18</v>
      </c>
      <c r="AU551" s="130" t="s">
        <v>18</v>
      </c>
      <c r="AV551" s="130" t="s">
        <v>18</v>
      </c>
      <c r="AW551" s="130" t="s">
        <v>18</v>
      </c>
      <c r="AX551" s="130" t="s">
        <v>18</v>
      </c>
      <c r="AY551" s="130" t="s">
        <v>18</v>
      </c>
      <c r="AZ551" s="130" t="s">
        <v>18</v>
      </c>
      <c r="BA551" s="130" t="s">
        <v>18</v>
      </c>
      <c r="BB551" s="130" t="s">
        <v>18</v>
      </c>
      <c r="BC551" s="130" t="s">
        <v>18</v>
      </c>
    </row>
    <row r="552" spans="1:55" ht="11.25" customHeight="1" x14ac:dyDescent="0.2">
      <c r="A552" s="127" t="s">
        <v>9</v>
      </c>
      <c r="B552" s="132" t="s">
        <v>10</v>
      </c>
      <c r="C552" s="134" t="s">
        <v>43</v>
      </c>
      <c r="D552" s="177" t="s">
        <v>43</v>
      </c>
      <c r="E552" s="178" t="s">
        <v>43</v>
      </c>
      <c r="F552" s="134" t="s">
        <v>43</v>
      </c>
      <c r="G552" s="178" t="s">
        <v>43</v>
      </c>
      <c r="H552" s="134" t="s">
        <v>43</v>
      </c>
      <c r="I552" s="134" t="s">
        <v>43</v>
      </c>
      <c r="J552" s="134" t="s">
        <v>43</v>
      </c>
      <c r="K552" s="178" t="s">
        <v>43</v>
      </c>
      <c r="L552" s="134" t="s">
        <v>43</v>
      </c>
      <c r="M552" s="134" t="s">
        <v>43</v>
      </c>
      <c r="N552" s="178" t="s">
        <v>43</v>
      </c>
      <c r="O552" s="134" t="s">
        <v>43</v>
      </c>
      <c r="P552" s="134" t="s">
        <v>43</v>
      </c>
      <c r="Q552" s="134" t="s">
        <v>43</v>
      </c>
      <c r="R552" s="178" t="s">
        <v>43</v>
      </c>
      <c r="S552" s="134" t="s">
        <v>43</v>
      </c>
      <c r="T552" s="134" t="s">
        <v>43</v>
      </c>
      <c r="U552" s="179" t="s">
        <v>43</v>
      </c>
      <c r="V552" s="134" t="s">
        <v>43</v>
      </c>
      <c r="W552" s="134" t="s">
        <v>43</v>
      </c>
      <c r="X552" s="134" t="s">
        <v>43</v>
      </c>
      <c r="Y552" s="135" t="s">
        <v>43</v>
      </c>
      <c r="Z552" s="134" t="s">
        <v>43</v>
      </c>
      <c r="AA552" s="134" t="s">
        <v>43</v>
      </c>
      <c r="AB552" s="135" t="s">
        <v>43</v>
      </c>
      <c r="AC552" s="134" t="s">
        <v>43</v>
      </c>
      <c r="AD552" s="133" t="s">
        <v>43</v>
      </c>
      <c r="AE552" s="134" t="s">
        <v>43</v>
      </c>
      <c r="AF552" s="134" t="s">
        <v>43</v>
      </c>
      <c r="AG552" s="135" t="s">
        <v>43</v>
      </c>
      <c r="AH552" s="134" t="s">
        <v>43</v>
      </c>
      <c r="AI552" s="135" t="s">
        <v>219</v>
      </c>
      <c r="AJ552" s="134" t="s">
        <v>219</v>
      </c>
      <c r="AK552" s="134" t="s">
        <v>219</v>
      </c>
      <c r="AL552" s="134" t="s">
        <v>219</v>
      </c>
      <c r="AM552" s="134" t="s">
        <v>219</v>
      </c>
      <c r="AN552" s="135" t="s">
        <v>219</v>
      </c>
      <c r="AO552" s="134" t="s">
        <v>219</v>
      </c>
      <c r="AP552" s="135" t="s">
        <v>18</v>
      </c>
      <c r="AQ552" s="134" t="s">
        <v>18</v>
      </c>
      <c r="AR552" s="134" t="s">
        <v>18</v>
      </c>
      <c r="AS552" s="134" t="s">
        <v>18</v>
      </c>
      <c r="AT552" s="134" t="s">
        <v>18</v>
      </c>
      <c r="AU552" s="134" t="s">
        <v>18</v>
      </c>
      <c r="AV552" s="134" t="s">
        <v>18</v>
      </c>
      <c r="AW552" s="134" t="s">
        <v>18</v>
      </c>
      <c r="AX552" s="134" t="s">
        <v>18</v>
      </c>
      <c r="AY552" s="134" t="s">
        <v>18</v>
      </c>
      <c r="AZ552" s="134" t="s">
        <v>18</v>
      </c>
      <c r="BA552" s="134" t="s">
        <v>18</v>
      </c>
      <c r="BB552" s="134" t="s">
        <v>18</v>
      </c>
      <c r="BC552" s="134" t="s">
        <v>18</v>
      </c>
    </row>
    <row r="553" spans="1:55" ht="11.25" customHeight="1" x14ac:dyDescent="0.2">
      <c r="A553" s="128">
        <v>46307.692307692312</v>
      </c>
      <c r="B553" s="122" t="s">
        <v>12</v>
      </c>
      <c r="C553" s="124"/>
      <c r="D553" s="171"/>
      <c r="E553" s="172"/>
      <c r="F553" s="124"/>
      <c r="G553" s="172"/>
      <c r="H553" s="124"/>
      <c r="I553" s="124"/>
      <c r="J553" s="124"/>
      <c r="K553" s="172"/>
      <c r="L553" s="124"/>
      <c r="M553" s="124"/>
      <c r="N553" s="172"/>
      <c r="O553" s="124"/>
      <c r="P553" s="124"/>
      <c r="Q553" s="124"/>
      <c r="R553" s="172"/>
      <c r="S553" s="124"/>
      <c r="T553" s="124"/>
      <c r="U553" s="173"/>
      <c r="V553" s="124"/>
      <c r="W553" s="124"/>
      <c r="X553" s="124"/>
      <c r="Y553" s="125"/>
      <c r="Z553" s="124"/>
      <c r="AA553" s="124"/>
      <c r="AB553" s="125"/>
      <c r="AC553" s="124"/>
      <c r="AD553" s="123"/>
      <c r="AE553" s="124"/>
      <c r="AF553" s="124"/>
      <c r="AG553" s="125"/>
      <c r="AH553" s="124"/>
      <c r="AI553" s="125"/>
      <c r="AJ553" s="124"/>
      <c r="AK553" s="124"/>
      <c r="AL553" s="124"/>
      <c r="AM553" s="124"/>
      <c r="AN553" s="125"/>
      <c r="AO553" s="124"/>
      <c r="AP553" s="125"/>
      <c r="AQ553" s="124"/>
      <c r="AR553" s="124"/>
      <c r="AS553" s="124"/>
      <c r="AT553" s="124"/>
      <c r="AU553" s="124"/>
      <c r="AV553" s="124"/>
      <c r="AW553" s="124"/>
      <c r="AX553" s="124"/>
      <c r="AY553" s="124"/>
      <c r="AZ553" s="124"/>
      <c r="BA553" s="124"/>
      <c r="BB553" s="124"/>
      <c r="BC553" s="124"/>
    </row>
    <row r="554" spans="1:55" ht="11.25" customHeight="1" x14ac:dyDescent="0.2">
      <c r="A554" s="128">
        <v>602</v>
      </c>
      <c r="B554" s="136" t="s">
        <v>13</v>
      </c>
      <c r="C554" s="137">
        <v>0</v>
      </c>
      <c r="D554" s="171">
        <v>51</v>
      </c>
      <c r="E554" s="172">
        <v>0</v>
      </c>
      <c r="F554" s="137">
        <v>57</v>
      </c>
      <c r="G554" s="172">
        <v>0</v>
      </c>
      <c r="H554" s="137">
        <v>0</v>
      </c>
      <c r="I554" s="137">
        <v>0</v>
      </c>
      <c r="J554" s="137">
        <v>22</v>
      </c>
      <c r="K554" s="172">
        <v>0</v>
      </c>
      <c r="L554" s="137">
        <v>0</v>
      </c>
      <c r="M554" s="137">
        <v>107</v>
      </c>
      <c r="N554" s="172">
        <v>0</v>
      </c>
      <c r="O554" s="137">
        <v>0</v>
      </c>
      <c r="P554" s="137">
        <v>0</v>
      </c>
      <c r="Q554" s="137">
        <v>33</v>
      </c>
      <c r="R554" s="172">
        <v>0</v>
      </c>
      <c r="S554" s="137">
        <v>0</v>
      </c>
      <c r="T554" s="137">
        <v>66</v>
      </c>
      <c r="U554" s="173">
        <v>0</v>
      </c>
      <c r="V554" s="137">
        <v>0</v>
      </c>
      <c r="W554" s="137">
        <v>0</v>
      </c>
      <c r="X554" s="137">
        <v>39</v>
      </c>
      <c r="Y554" s="125">
        <v>0</v>
      </c>
      <c r="Z554" s="137">
        <v>0</v>
      </c>
      <c r="AA554" s="137">
        <v>51</v>
      </c>
      <c r="AB554" s="125">
        <v>0</v>
      </c>
      <c r="AC554" s="137">
        <v>13</v>
      </c>
      <c r="AD554" s="123">
        <v>0</v>
      </c>
      <c r="AE554" s="137">
        <v>0</v>
      </c>
      <c r="AF554" s="137">
        <v>41</v>
      </c>
      <c r="AG554" s="125">
        <v>0</v>
      </c>
      <c r="AH554" s="137">
        <v>51</v>
      </c>
      <c r="AI554" s="125">
        <v>0</v>
      </c>
      <c r="AJ554" s="137">
        <v>0</v>
      </c>
      <c r="AK554" s="137">
        <v>0</v>
      </c>
      <c r="AL554" s="137">
        <v>0</v>
      </c>
      <c r="AM554" s="137">
        <v>15</v>
      </c>
      <c r="AN554" s="125">
        <v>0</v>
      </c>
      <c r="AO554" s="137">
        <v>56</v>
      </c>
      <c r="AP554" s="125" t="s">
        <v>18</v>
      </c>
      <c r="AQ554" s="137" t="s">
        <v>18</v>
      </c>
      <c r="AR554" s="137" t="s">
        <v>18</v>
      </c>
      <c r="AS554" s="137" t="s">
        <v>18</v>
      </c>
      <c r="AT554" s="137" t="s">
        <v>18</v>
      </c>
      <c r="AU554" s="137" t="s">
        <v>18</v>
      </c>
      <c r="AV554" s="137" t="s">
        <v>18</v>
      </c>
      <c r="AW554" s="137" t="s">
        <v>18</v>
      </c>
      <c r="AX554" s="137" t="s">
        <v>18</v>
      </c>
      <c r="AY554" s="137" t="s">
        <v>18</v>
      </c>
      <c r="AZ554" s="137" t="s">
        <v>18</v>
      </c>
      <c r="BA554" s="137" t="s">
        <v>18</v>
      </c>
      <c r="BB554" s="137" t="s">
        <v>18</v>
      </c>
      <c r="BC554" s="137" t="s">
        <v>18</v>
      </c>
    </row>
    <row r="555" spans="1:55" ht="11.25" customHeight="1" x14ac:dyDescent="0.2">
      <c r="A555" s="128">
        <v>28</v>
      </c>
      <c r="B555" s="136" t="s">
        <v>14</v>
      </c>
      <c r="C555" s="137">
        <v>0</v>
      </c>
      <c r="D555" s="171">
        <v>3</v>
      </c>
      <c r="E555" s="172">
        <v>0</v>
      </c>
      <c r="F555" s="137">
        <v>0</v>
      </c>
      <c r="G555" s="172">
        <v>0</v>
      </c>
      <c r="H555" s="137">
        <v>0</v>
      </c>
      <c r="I555" s="137">
        <v>0</v>
      </c>
      <c r="J555" s="137">
        <v>3</v>
      </c>
      <c r="K555" s="172">
        <v>0</v>
      </c>
      <c r="L555" s="137">
        <v>0</v>
      </c>
      <c r="M555" s="137">
        <v>2</v>
      </c>
      <c r="N555" s="172">
        <v>0</v>
      </c>
      <c r="O555" s="137">
        <v>0</v>
      </c>
      <c r="P555" s="137">
        <v>0</v>
      </c>
      <c r="Q555" s="137">
        <v>1</v>
      </c>
      <c r="R555" s="172">
        <v>0</v>
      </c>
      <c r="S555" s="137">
        <v>0</v>
      </c>
      <c r="T555" s="137">
        <v>1</v>
      </c>
      <c r="U555" s="173">
        <v>0</v>
      </c>
      <c r="V555" s="137">
        <v>0</v>
      </c>
      <c r="W555" s="137">
        <v>0</v>
      </c>
      <c r="X555" s="137">
        <v>0</v>
      </c>
      <c r="Y555" s="125">
        <v>0</v>
      </c>
      <c r="Z555" s="137">
        <v>0</v>
      </c>
      <c r="AA555" s="137">
        <v>4</v>
      </c>
      <c r="AB555" s="125">
        <v>0</v>
      </c>
      <c r="AC555" s="137">
        <v>1</v>
      </c>
      <c r="AD555" s="123">
        <v>0</v>
      </c>
      <c r="AE555" s="137">
        <v>0</v>
      </c>
      <c r="AF555" s="137">
        <v>3</v>
      </c>
      <c r="AG555" s="125">
        <v>0</v>
      </c>
      <c r="AH555" s="137">
        <v>3</v>
      </c>
      <c r="AI555" s="125">
        <v>0</v>
      </c>
      <c r="AJ555" s="137">
        <v>0</v>
      </c>
      <c r="AK555" s="137">
        <v>0</v>
      </c>
      <c r="AL555" s="137">
        <v>0</v>
      </c>
      <c r="AM555" s="137">
        <v>0</v>
      </c>
      <c r="AN555" s="125">
        <v>0</v>
      </c>
      <c r="AO555" s="137">
        <v>7</v>
      </c>
      <c r="AP555" s="125" t="s">
        <v>18</v>
      </c>
      <c r="AQ555" s="137" t="s">
        <v>18</v>
      </c>
      <c r="AR555" s="137" t="s">
        <v>18</v>
      </c>
      <c r="AS555" s="137" t="s">
        <v>18</v>
      </c>
      <c r="AT555" s="137" t="s">
        <v>18</v>
      </c>
      <c r="AU555" s="137" t="s">
        <v>18</v>
      </c>
      <c r="AV555" s="137" t="s">
        <v>18</v>
      </c>
      <c r="AW555" s="137" t="s">
        <v>18</v>
      </c>
      <c r="AX555" s="137" t="s">
        <v>18</v>
      </c>
      <c r="AY555" s="137" t="s">
        <v>18</v>
      </c>
      <c r="AZ555" s="137" t="s">
        <v>18</v>
      </c>
      <c r="BA555" s="137" t="s">
        <v>18</v>
      </c>
      <c r="BB555" s="137" t="s">
        <v>18</v>
      </c>
      <c r="BC555" s="137" t="s">
        <v>18</v>
      </c>
    </row>
    <row r="556" spans="1:55" ht="11.25" customHeight="1" x14ac:dyDescent="0.2">
      <c r="A556" s="128">
        <v>22</v>
      </c>
      <c r="B556" s="136" t="s">
        <v>15</v>
      </c>
      <c r="C556" s="137">
        <v>9</v>
      </c>
      <c r="D556" s="171">
        <v>3</v>
      </c>
      <c r="E556" s="172">
        <v>0</v>
      </c>
      <c r="F556" s="137">
        <v>3</v>
      </c>
      <c r="G556" s="172">
        <v>0</v>
      </c>
      <c r="H556" s="137">
        <v>0</v>
      </c>
      <c r="I556" s="137">
        <v>0</v>
      </c>
      <c r="J556" s="137">
        <v>0</v>
      </c>
      <c r="K556" s="172">
        <v>0</v>
      </c>
      <c r="L556" s="137">
        <v>0</v>
      </c>
      <c r="M556" s="137">
        <v>2</v>
      </c>
      <c r="N556" s="172">
        <v>0</v>
      </c>
      <c r="O556" s="137">
        <v>0</v>
      </c>
      <c r="P556" s="137">
        <v>0</v>
      </c>
      <c r="Q556" s="137">
        <v>1</v>
      </c>
      <c r="R556" s="172">
        <v>0</v>
      </c>
      <c r="S556" s="137">
        <v>0</v>
      </c>
      <c r="T556" s="137">
        <v>0</v>
      </c>
      <c r="U556" s="173">
        <v>0</v>
      </c>
      <c r="V556" s="137">
        <v>0</v>
      </c>
      <c r="W556" s="137">
        <v>0</v>
      </c>
      <c r="X556" s="137">
        <v>0</v>
      </c>
      <c r="Y556" s="125">
        <v>0</v>
      </c>
      <c r="Z556" s="137">
        <v>0</v>
      </c>
      <c r="AA556" s="137">
        <v>0</v>
      </c>
      <c r="AB556" s="125">
        <v>0</v>
      </c>
      <c r="AC556" s="137">
        <v>1</v>
      </c>
      <c r="AD556" s="123">
        <v>0</v>
      </c>
      <c r="AE556" s="137">
        <v>0</v>
      </c>
      <c r="AF556" s="137">
        <v>0</v>
      </c>
      <c r="AG556" s="125">
        <v>0</v>
      </c>
      <c r="AH556" s="137">
        <v>3</v>
      </c>
      <c r="AI556" s="125">
        <v>0</v>
      </c>
      <c r="AJ556" s="137">
        <v>0</v>
      </c>
      <c r="AK556" s="137">
        <v>0</v>
      </c>
      <c r="AL556" s="137">
        <v>0</v>
      </c>
      <c r="AM556" s="137">
        <v>0</v>
      </c>
      <c r="AN556" s="125">
        <v>0</v>
      </c>
      <c r="AO556" s="137">
        <v>0</v>
      </c>
      <c r="AP556" s="125" t="s">
        <v>18</v>
      </c>
      <c r="AQ556" s="137" t="s">
        <v>18</v>
      </c>
      <c r="AR556" s="137" t="s">
        <v>18</v>
      </c>
      <c r="AS556" s="137" t="s">
        <v>18</v>
      </c>
      <c r="AT556" s="137" t="s">
        <v>18</v>
      </c>
      <c r="AU556" s="137" t="s">
        <v>18</v>
      </c>
      <c r="AV556" s="137" t="s">
        <v>18</v>
      </c>
      <c r="AW556" s="137" t="s">
        <v>18</v>
      </c>
      <c r="AX556" s="137" t="s">
        <v>18</v>
      </c>
      <c r="AY556" s="137" t="s">
        <v>18</v>
      </c>
      <c r="AZ556" s="137" t="s">
        <v>18</v>
      </c>
      <c r="BA556" s="137" t="s">
        <v>18</v>
      </c>
      <c r="BB556" s="137" t="s">
        <v>18</v>
      </c>
      <c r="BC556" s="137" t="s">
        <v>18</v>
      </c>
    </row>
    <row r="557" spans="1:55" ht="11.25" customHeight="1" x14ac:dyDescent="0.2">
      <c r="A557" s="128">
        <v>8800</v>
      </c>
      <c r="B557" s="136" t="s">
        <v>16</v>
      </c>
      <c r="C557" s="137">
        <v>3600</v>
      </c>
      <c r="D557" s="171">
        <v>1200</v>
      </c>
      <c r="E557" s="172">
        <v>0</v>
      </c>
      <c r="F557" s="137">
        <v>1200</v>
      </c>
      <c r="G557" s="172">
        <v>0</v>
      </c>
      <c r="H557" s="137">
        <v>0</v>
      </c>
      <c r="I557" s="137">
        <v>0</v>
      </c>
      <c r="J557" s="137">
        <v>0</v>
      </c>
      <c r="K557" s="172">
        <v>0</v>
      </c>
      <c r="L557" s="137">
        <v>0</v>
      </c>
      <c r="M557" s="137">
        <v>800</v>
      </c>
      <c r="N557" s="172">
        <v>0</v>
      </c>
      <c r="O557" s="137">
        <v>0</v>
      </c>
      <c r="P557" s="137">
        <v>0</v>
      </c>
      <c r="Q557" s="137">
        <v>400</v>
      </c>
      <c r="R557" s="172">
        <v>0</v>
      </c>
      <c r="S557" s="137">
        <v>0</v>
      </c>
      <c r="T557" s="137">
        <v>0</v>
      </c>
      <c r="U557" s="173">
        <v>0</v>
      </c>
      <c r="V557" s="137">
        <v>0</v>
      </c>
      <c r="W557" s="137">
        <v>0</v>
      </c>
      <c r="X557" s="137">
        <v>0</v>
      </c>
      <c r="Y557" s="125">
        <v>0</v>
      </c>
      <c r="Z557" s="137">
        <v>0</v>
      </c>
      <c r="AA557" s="137">
        <v>0</v>
      </c>
      <c r="AB557" s="125">
        <v>0</v>
      </c>
      <c r="AC557" s="137">
        <v>400</v>
      </c>
      <c r="AD557" s="123">
        <v>0</v>
      </c>
      <c r="AE557" s="137">
        <v>0</v>
      </c>
      <c r="AF557" s="137">
        <v>0</v>
      </c>
      <c r="AG557" s="125">
        <v>0</v>
      </c>
      <c r="AH557" s="137">
        <v>1200</v>
      </c>
      <c r="AI557" s="125">
        <v>0</v>
      </c>
      <c r="AJ557" s="137">
        <v>0</v>
      </c>
      <c r="AK557" s="137">
        <v>0</v>
      </c>
      <c r="AL557" s="137">
        <v>0</v>
      </c>
      <c r="AM557" s="137">
        <v>0</v>
      </c>
      <c r="AN557" s="125">
        <v>0</v>
      </c>
      <c r="AO557" s="137">
        <v>0</v>
      </c>
      <c r="AP557" s="125" t="s">
        <v>18</v>
      </c>
      <c r="AQ557" s="137" t="s">
        <v>18</v>
      </c>
      <c r="AR557" s="137" t="s">
        <v>18</v>
      </c>
      <c r="AS557" s="137" t="s">
        <v>18</v>
      </c>
      <c r="AT557" s="137" t="s">
        <v>18</v>
      </c>
      <c r="AU557" s="137" t="s">
        <v>18</v>
      </c>
      <c r="AV557" s="137" t="s">
        <v>18</v>
      </c>
      <c r="AW557" s="137" t="s">
        <v>18</v>
      </c>
      <c r="AX557" s="137" t="s">
        <v>18</v>
      </c>
      <c r="AY557" s="137" t="s">
        <v>18</v>
      </c>
      <c r="AZ557" s="137" t="s">
        <v>18</v>
      </c>
      <c r="BA557" s="137" t="s">
        <v>18</v>
      </c>
      <c r="BB557" s="137" t="s">
        <v>18</v>
      </c>
      <c r="BC557" s="137" t="s">
        <v>18</v>
      </c>
    </row>
    <row r="558" spans="1:55" ht="11.25" customHeight="1" thickBot="1" x14ac:dyDescent="0.25">
      <c r="A558" s="138">
        <v>0.1461794019933555</v>
      </c>
      <c r="B558" s="136" t="s">
        <v>17</v>
      </c>
      <c r="C558" s="147" t="e">
        <v>#DIV/0!</v>
      </c>
      <c r="D558" s="183">
        <v>0.23529411764705882</v>
      </c>
      <c r="E558" s="184" t="s">
        <v>18</v>
      </c>
      <c r="F558" s="147">
        <v>0.21052631578947367</v>
      </c>
      <c r="G558" s="184" t="s">
        <v>18</v>
      </c>
      <c r="H558" s="147" t="s">
        <v>18</v>
      </c>
      <c r="I558" s="147" t="s">
        <v>18</v>
      </c>
      <c r="J558" s="147" t="s">
        <v>18</v>
      </c>
      <c r="K558" s="184" t="s">
        <v>18</v>
      </c>
      <c r="L558" s="147" t="s">
        <v>18</v>
      </c>
      <c r="M558" s="147">
        <v>7.476635514018691E-2</v>
      </c>
      <c r="N558" s="184" t="s">
        <v>18</v>
      </c>
      <c r="O558" s="147" t="s">
        <v>18</v>
      </c>
      <c r="P558" s="147" t="s">
        <v>18</v>
      </c>
      <c r="Q558" s="147">
        <v>0.12121212121212122</v>
      </c>
      <c r="R558" s="184" t="s">
        <v>18</v>
      </c>
      <c r="S558" s="147" t="s">
        <v>18</v>
      </c>
      <c r="T558" s="147" t="s">
        <v>18</v>
      </c>
      <c r="U558" s="185" t="s">
        <v>18</v>
      </c>
      <c r="V558" s="147" t="s">
        <v>18</v>
      </c>
      <c r="W558" s="147" t="s">
        <v>18</v>
      </c>
      <c r="X558" s="147" t="s">
        <v>18</v>
      </c>
      <c r="Y558" s="148" t="s">
        <v>18</v>
      </c>
      <c r="Z558" s="147" t="s">
        <v>18</v>
      </c>
      <c r="AA558" s="147" t="s">
        <v>18</v>
      </c>
      <c r="AB558" s="148" t="s">
        <v>18</v>
      </c>
      <c r="AC558" s="147">
        <v>0.30769230769230771</v>
      </c>
      <c r="AD558" s="146" t="s">
        <v>18</v>
      </c>
      <c r="AE558" s="147" t="s">
        <v>18</v>
      </c>
      <c r="AF558" s="147" t="s">
        <v>18</v>
      </c>
      <c r="AG558" s="148" t="s">
        <v>18</v>
      </c>
      <c r="AH558" s="147">
        <v>0.23529411764705882</v>
      </c>
      <c r="AI558" s="148" t="s">
        <v>18</v>
      </c>
      <c r="AJ558" s="147" t="s">
        <v>18</v>
      </c>
      <c r="AK558" s="147" t="s">
        <v>18</v>
      </c>
      <c r="AL558" s="147" t="s">
        <v>18</v>
      </c>
      <c r="AM558" s="147" t="s">
        <v>18</v>
      </c>
      <c r="AN558" s="148" t="s">
        <v>18</v>
      </c>
      <c r="AO558" s="147" t="s">
        <v>18</v>
      </c>
      <c r="AP558" s="148" t="s">
        <v>18</v>
      </c>
      <c r="AQ558" s="147" t="s">
        <v>18</v>
      </c>
      <c r="AR558" s="147" t="s">
        <v>18</v>
      </c>
      <c r="AS558" s="147" t="s">
        <v>18</v>
      </c>
      <c r="AT558" s="147" t="s">
        <v>18</v>
      </c>
      <c r="AU558" s="147" t="s">
        <v>18</v>
      </c>
      <c r="AV558" s="147" t="s">
        <v>18</v>
      </c>
      <c r="AW558" s="147" t="s">
        <v>18</v>
      </c>
      <c r="AX558" s="147" t="s">
        <v>18</v>
      </c>
      <c r="AY558" s="147" t="s">
        <v>18</v>
      </c>
      <c r="AZ558" s="147" t="s">
        <v>18</v>
      </c>
      <c r="BA558" s="147" t="s">
        <v>18</v>
      </c>
      <c r="BB558" s="147" t="s">
        <v>18</v>
      </c>
      <c r="BC558" s="147" t="s">
        <v>18</v>
      </c>
    </row>
    <row r="559" spans="1:55" ht="11.25" customHeight="1" x14ac:dyDescent="0.2">
      <c r="A559" s="149" t="s">
        <v>1</v>
      </c>
      <c r="B559" s="150" t="s">
        <v>2</v>
      </c>
      <c r="C559" s="130">
        <v>6877</v>
      </c>
      <c r="D559" s="174">
        <v>6900</v>
      </c>
      <c r="E559" s="175">
        <v>6900</v>
      </c>
      <c r="F559" s="130">
        <v>6937</v>
      </c>
      <c r="G559" s="175">
        <v>6937</v>
      </c>
      <c r="H559" s="130">
        <v>6937</v>
      </c>
      <c r="I559" s="130">
        <v>6937</v>
      </c>
      <c r="J559" s="130">
        <v>7046</v>
      </c>
      <c r="K559" s="175">
        <v>7046</v>
      </c>
      <c r="L559" s="130">
        <v>7046</v>
      </c>
      <c r="M559" s="130">
        <v>7283</v>
      </c>
      <c r="N559" s="175">
        <v>7283</v>
      </c>
      <c r="O559" s="130">
        <v>7283</v>
      </c>
      <c r="P559" s="130">
        <v>7283</v>
      </c>
      <c r="Q559" s="130">
        <v>7425</v>
      </c>
      <c r="R559" s="175">
        <v>7425</v>
      </c>
      <c r="S559" s="130">
        <v>7425</v>
      </c>
      <c r="T559" s="130">
        <v>7526</v>
      </c>
      <c r="U559" s="176">
        <v>7526</v>
      </c>
      <c r="V559" s="130">
        <v>7526</v>
      </c>
      <c r="W559" s="130">
        <v>7526</v>
      </c>
      <c r="X559" s="130">
        <v>7562</v>
      </c>
      <c r="Y559" s="131">
        <v>7562</v>
      </c>
      <c r="Z559" s="130">
        <v>7562</v>
      </c>
      <c r="AA559" s="130">
        <v>7695</v>
      </c>
      <c r="AB559" s="131">
        <v>7695</v>
      </c>
      <c r="AC559" s="130">
        <v>7729</v>
      </c>
      <c r="AD559" s="129">
        <v>7729</v>
      </c>
      <c r="AE559" s="130">
        <v>7729</v>
      </c>
      <c r="AF559" s="130">
        <v>7816</v>
      </c>
      <c r="AG559" s="131">
        <v>7816</v>
      </c>
      <c r="AH559" s="130">
        <v>7892</v>
      </c>
      <c r="AI559" s="131">
        <v>7892</v>
      </c>
      <c r="AJ559" s="130">
        <v>7892</v>
      </c>
      <c r="AK559" s="130">
        <v>7892</v>
      </c>
      <c r="AL559" s="130">
        <v>7892</v>
      </c>
      <c r="AM559" s="130">
        <v>8011</v>
      </c>
      <c r="AN559" s="131">
        <v>8011</v>
      </c>
      <c r="AO559" s="130">
        <v>8087</v>
      </c>
      <c r="AP559" s="131" t="s">
        <v>18</v>
      </c>
      <c r="AQ559" s="130" t="s">
        <v>18</v>
      </c>
      <c r="AR559" s="130" t="s">
        <v>18</v>
      </c>
      <c r="AS559" s="130" t="s">
        <v>18</v>
      </c>
      <c r="AT559" s="130" t="s">
        <v>18</v>
      </c>
      <c r="AU559" s="130" t="s">
        <v>18</v>
      </c>
      <c r="AV559" s="130" t="s">
        <v>18</v>
      </c>
      <c r="AW559" s="130" t="s">
        <v>18</v>
      </c>
      <c r="AX559" s="130" t="s">
        <v>18</v>
      </c>
      <c r="AY559" s="130" t="s">
        <v>18</v>
      </c>
      <c r="AZ559" s="130" t="s">
        <v>18</v>
      </c>
      <c r="BA559" s="130" t="s">
        <v>18</v>
      </c>
      <c r="BB559" s="130" t="s">
        <v>18</v>
      </c>
      <c r="BC559" s="130" t="s">
        <v>18</v>
      </c>
    </row>
    <row r="560" spans="1:55" ht="11.25" customHeight="1" x14ac:dyDescent="0.2">
      <c r="A560" s="121" t="s">
        <v>40</v>
      </c>
      <c r="B560" s="122" t="s">
        <v>4</v>
      </c>
      <c r="C560" s="124">
        <v>604</v>
      </c>
      <c r="D560" s="171">
        <v>608</v>
      </c>
      <c r="E560" s="172">
        <v>608</v>
      </c>
      <c r="F560" s="124">
        <v>608</v>
      </c>
      <c r="G560" s="172">
        <v>608</v>
      </c>
      <c r="H560" s="124">
        <v>608</v>
      </c>
      <c r="I560" s="124">
        <v>608</v>
      </c>
      <c r="J560" s="124">
        <v>615</v>
      </c>
      <c r="K560" s="172">
        <v>615</v>
      </c>
      <c r="L560" s="124">
        <v>615</v>
      </c>
      <c r="M560" s="124">
        <v>620</v>
      </c>
      <c r="N560" s="172">
        <v>620</v>
      </c>
      <c r="O560" s="124">
        <v>620</v>
      </c>
      <c r="P560" s="124">
        <v>620</v>
      </c>
      <c r="Q560" s="124">
        <v>621</v>
      </c>
      <c r="R560" s="172">
        <v>621</v>
      </c>
      <c r="S560" s="124">
        <v>621</v>
      </c>
      <c r="T560" s="124">
        <v>623</v>
      </c>
      <c r="U560" s="173">
        <v>623</v>
      </c>
      <c r="V560" s="124">
        <v>623</v>
      </c>
      <c r="W560" s="124">
        <v>623</v>
      </c>
      <c r="X560" s="124">
        <v>624</v>
      </c>
      <c r="Y560" s="125">
        <v>624</v>
      </c>
      <c r="Z560" s="124">
        <v>624</v>
      </c>
      <c r="AA560" s="124">
        <v>626</v>
      </c>
      <c r="AB560" s="125">
        <v>626</v>
      </c>
      <c r="AC560" s="124">
        <v>627</v>
      </c>
      <c r="AD560" s="123">
        <v>627</v>
      </c>
      <c r="AE560" s="124">
        <v>627</v>
      </c>
      <c r="AF560" s="124">
        <v>630</v>
      </c>
      <c r="AG560" s="125">
        <v>630</v>
      </c>
      <c r="AH560" s="124">
        <v>634</v>
      </c>
      <c r="AI560" s="125">
        <v>634</v>
      </c>
      <c r="AJ560" s="124">
        <v>634</v>
      </c>
      <c r="AK560" s="124">
        <v>634</v>
      </c>
      <c r="AL560" s="124">
        <v>634</v>
      </c>
      <c r="AM560" s="124">
        <v>636</v>
      </c>
      <c r="AN560" s="125">
        <v>636</v>
      </c>
      <c r="AO560" s="124">
        <v>638</v>
      </c>
      <c r="AP560" s="125" t="s">
        <v>18</v>
      </c>
      <c r="AQ560" s="124" t="s">
        <v>18</v>
      </c>
      <c r="AR560" s="124" t="s">
        <v>18</v>
      </c>
      <c r="AS560" s="124" t="s">
        <v>18</v>
      </c>
      <c r="AT560" s="124" t="s">
        <v>18</v>
      </c>
      <c r="AU560" s="124" t="s">
        <v>18</v>
      </c>
      <c r="AV560" s="124" t="s">
        <v>18</v>
      </c>
      <c r="AW560" s="124" t="s">
        <v>18</v>
      </c>
      <c r="AX560" s="124" t="s">
        <v>18</v>
      </c>
      <c r="AY560" s="124" t="s">
        <v>18</v>
      </c>
      <c r="AZ560" s="124" t="s">
        <v>18</v>
      </c>
      <c r="BA560" s="124" t="s">
        <v>18</v>
      </c>
      <c r="BB560" s="124" t="s">
        <v>18</v>
      </c>
      <c r="BC560" s="124" t="s">
        <v>18</v>
      </c>
    </row>
    <row r="561" spans="1:55" ht="11.25" customHeight="1" x14ac:dyDescent="0.25">
      <c r="A561" s="143">
        <v>4</v>
      </c>
      <c r="B561" s="122" t="s">
        <v>5</v>
      </c>
      <c r="C561" s="124">
        <v>18</v>
      </c>
      <c r="D561" s="171">
        <v>18</v>
      </c>
      <c r="E561" s="172">
        <v>18</v>
      </c>
      <c r="F561" s="124">
        <v>18</v>
      </c>
      <c r="G561" s="172">
        <v>30</v>
      </c>
      <c r="H561" s="124">
        <v>30</v>
      </c>
      <c r="I561" s="124">
        <v>30</v>
      </c>
      <c r="J561" s="124">
        <v>25</v>
      </c>
      <c r="K561" s="172">
        <v>28</v>
      </c>
      <c r="L561" s="124">
        <v>28</v>
      </c>
      <c r="M561" s="124">
        <v>23</v>
      </c>
      <c r="N561" s="172">
        <v>23</v>
      </c>
      <c r="O561" s="124">
        <v>23</v>
      </c>
      <c r="P561" s="124">
        <v>23</v>
      </c>
      <c r="Q561" s="124">
        <v>22</v>
      </c>
      <c r="R561" s="172">
        <v>22</v>
      </c>
      <c r="S561" s="124">
        <v>22</v>
      </c>
      <c r="T561" s="124">
        <v>20</v>
      </c>
      <c r="U561" s="173">
        <v>20</v>
      </c>
      <c r="V561" s="124">
        <v>20</v>
      </c>
      <c r="W561" s="124">
        <v>20</v>
      </c>
      <c r="X561" s="124">
        <v>18</v>
      </c>
      <c r="Y561" s="125">
        <v>18</v>
      </c>
      <c r="Z561" s="124">
        <v>18</v>
      </c>
      <c r="AA561" s="124">
        <v>18</v>
      </c>
      <c r="AB561" s="125">
        <v>18</v>
      </c>
      <c r="AC561" s="124">
        <v>17</v>
      </c>
      <c r="AD561" s="123">
        <v>17</v>
      </c>
      <c r="AE561" s="124">
        <v>17</v>
      </c>
      <c r="AF561" s="124">
        <v>15</v>
      </c>
      <c r="AG561" s="125">
        <v>16</v>
      </c>
      <c r="AH561" s="124">
        <v>12</v>
      </c>
      <c r="AI561" s="125">
        <v>17</v>
      </c>
      <c r="AJ561" s="124">
        <v>17</v>
      </c>
      <c r="AK561" s="124">
        <v>17</v>
      </c>
      <c r="AL561" s="124">
        <v>17</v>
      </c>
      <c r="AM561" s="124">
        <v>15</v>
      </c>
      <c r="AN561" s="125">
        <v>15</v>
      </c>
      <c r="AO561" s="124">
        <v>12</v>
      </c>
      <c r="AP561" s="125" t="s">
        <v>18</v>
      </c>
      <c r="AQ561" s="124" t="s">
        <v>18</v>
      </c>
      <c r="AR561" s="124" t="s">
        <v>18</v>
      </c>
      <c r="AS561" s="124" t="s">
        <v>18</v>
      </c>
      <c r="AT561" s="124" t="s">
        <v>18</v>
      </c>
      <c r="AU561" s="124" t="s">
        <v>18</v>
      </c>
      <c r="AV561" s="124" t="s">
        <v>18</v>
      </c>
      <c r="AW561" s="124" t="s">
        <v>18</v>
      </c>
      <c r="AX561" s="124" t="s">
        <v>18</v>
      </c>
      <c r="AY561" s="124" t="s">
        <v>18</v>
      </c>
      <c r="AZ561" s="124" t="s">
        <v>18</v>
      </c>
      <c r="BA561" s="124" t="s">
        <v>18</v>
      </c>
      <c r="BB561" s="124" t="s">
        <v>18</v>
      </c>
      <c r="BC561" s="124" t="s">
        <v>18</v>
      </c>
    </row>
    <row r="562" spans="1:55" ht="11.25" customHeight="1" x14ac:dyDescent="0.2">
      <c r="A562" s="127"/>
      <c r="B562" s="122" t="s">
        <v>6</v>
      </c>
      <c r="C562" s="124">
        <v>4</v>
      </c>
      <c r="D562" s="171"/>
      <c r="E562" s="172"/>
      <c r="F562" s="124">
        <v>12</v>
      </c>
      <c r="G562" s="172"/>
      <c r="H562" s="124"/>
      <c r="I562" s="124"/>
      <c r="J562" s="124">
        <v>3</v>
      </c>
      <c r="K562" s="172"/>
      <c r="L562" s="124"/>
      <c r="M562" s="124"/>
      <c r="N562" s="172"/>
      <c r="O562" s="124"/>
      <c r="P562" s="124"/>
      <c r="Q562" s="124"/>
      <c r="R562" s="172"/>
      <c r="S562" s="124"/>
      <c r="T562" s="124"/>
      <c r="U562" s="173"/>
      <c r="V562" s="124"/>
      <c r="W562" s="124"/>
      <c r="X562" s="124"/>
      <c r="Y562" s="125"/>
      <c r="Z562" s="124"/>
      <c r="AA562" s="124"/>
      <c r="AB562" s="125"/>
      <c r="AC562" s="124"/>
      <c r="AD562" s="123"/>
      <c r="AE562" s="124"/>
      <c r="AF562" s="124">
        <v>1</v>
      </c>
      <c r="AG562" s="125"/>
      <c r="AH562" s="124">
        <v>5</v>
      </c>
      <c r="AI562" s="125"/>
      <c r="AJ562" s="124"/>
      <c r="AK562" s="124"/>
      <c r="AL562" s="124"/>
      <c r="AM562" s="124"/>
      <c r="AN562" s="125"/>
      <c r="AO562" s="124"/>
      <c r="AP562" s="125"/>
      <c r="AQ562" s="124"/>
      <c r="AR562" s="124"/>
      <c r="AS562" s="124"/>
      <c r="AT562" s="124"/>
      <c r="AU562" s="124"/>
      <c r="AV562" s="124"/>
      <c r="AW562" s="124"/>
      <c r="AX562" s="124"/>
      <c r="AY562" s="124"/>
      <c r="AZ562" s="124"/>
      <c r="BA562" s="124"/>
      <c r="BB562" s="124"/>
      <c r="BC562" s="124"/>
    </row>
    <row r="563" spans="1:55" ht="11.25" customHeight="1" x14ac:dyDescent="0.2">
      <c r="A563" s="128"/>
      <c r="B563" s="122" t="s">
        <v>8</v>
      </c>
      <c r="C563" s="130">
        <v>350</v>
      </c>
      <c r="D563" s="174">
        <v>350</v>
      </c>
      <c r="E563" s="175">
        <v>350</v>
      </c>
      <c r="F563" s="130">
        <v>350</v>
      </c>
      <c r="G563" s="175">
        <v>240</v>
      </c>
      <c r="H563" s="130">
        <v>240</v>
      </c>
      <c r="I563" s="130">
        <v>240</v>
      </c>
      <c r="J563" s="130">
        <v>240</v>
      </c>
      <c r="K563" s="175">
        <v>240</v>
      </c>
      <c r="L563" s="130">
        <v>240</v>
      </c>
      <c r="M563" s="130">
        <v>240</v>
      </c>
      <c r="N563" s="175">
        <v>240</v>
      </c>
      <c r="O563" s="130">
        <v>240</v>
      </c>
      <c r="P563" s="130">
        <v>240</v>
      </c>
      <c r="Q563" s="130">
        <v>240</v>
      </c>
      <c r="R563" s="175">
        <v>240</v>
      </c>
      <c r="S563" s="130">
        <v>240</v>
      </c>
      <c r="T563" s="130">
        <v>240</v>
      </c>
      <c r="U563" s="176">
        <v>240</v>
      </c>
      <c r="V563" s="130">
        <v>240</v>
      </c>
      <c r="W563" s="130">
        <v>240</v>
      </c>
      <c r="X563" s="130">
        <v>240</v>
      </c>
      <c r="Y563" s="131">
        <v>240</v>
      </c>
      <c r="Z563" s="130">
        <v>240</v>
      </c>
      <c r="AA563" s="130">
        <v>240</v>
      </c>
      <c r="AB563" s="131">
        <v>240</v>
      </c>
      <c r="AC563" s="130">
        <v>240</v>
      </c>
      <c r="AD563" s="129">
        <v>240</v>
      </c>
      <c r="AE563" s="130">
        <v>240</v>
      </c>
      <c r="AF563" s="130">
        <v>240</v>
      </c>
      <c r="AG563" s="131">
        <v>240</v>
      </c>
      <c r="AH563" s="130">
        <v>240</v>
      </c>
      <c r="AI563" s="131">
        <v>240</v>
      </c>
      <c r="AJ563" s="130">
        <v>240</v>
      </c>
      <c r="AK563" s="130">
        <v>240</v>
      </c>
      <c r="AL563" s="130">
        <v>240</v>
      </c>
      <c r="AM563" s="130">
        <v>240</v>
      </c>
      <c r="AN563" s="131">
        <v>240</v>
      </c>
      <c r="AO563" s="130">
        <v>240</v>
      </c>
      <c r="AP563" s="131" t="s">
        <v>18</v>
      </c>
      <c r="AQ563" s="130" t="s">
        <v>18</v>
      </c>
      <c r="AR563" s="130" t="s">
        <v>18</v>
      </c>
      <c r="AS563" s="130" t="s">
        <v>18</v>
      </c>
      <c r="AT563" s="130" t="s">
        <v>18</v>
      </c>
      <c r="AU563" s="130" t="s">
        <v>18</v>
      </c>
      <c r="AV563" s="130" t="s">
        <v>18</v>
      </c>
      <c r="AW563" s="130" t="s">
        <v>18</v>
      </c>
      <c r="AX563" s="130" t="s">
        <v>18</v>
      </c>
      <c r="AY563" s="130" t="s">
        <v>18</v>
      </c>
      <c r="AZ563" s="130" t="s">
        <v>18</v>
      </c>
      <c r="BA563" s="130" t="s">
        <v>18</v>
      </c>
      <c r="BB563" s="130" t="s">
        <v>18</v>
      </c>
      <c r="BC563" s="130" t="s">
        <v>18</v>
      </c>
    </row>
    <row r="564" spans="1:55" ht="11.25" customHeight="1" x14ac:dyDescent="0.2">
      <c r="A564" s="127" t="s">
        <v>9</v>
      </c>
      <c r="B564" s="132" t="s">
        <v>10</v>
      </c>
      <c r="C564" s="134" t="s">
        <v>44</v>
      </c>
      <c r="D564" s="177" t="s">
        <v>44</v>
      </c>
      <c r="E564" s="178" t="s">
        <v>44</v>
      </c>
      <c r="F564" s="134" t="s">
        <v>44</v>
      </c>
      <c r="G564" s="178" t="s">
        <v>35</v>
      </c>
      <c r="H564" s="134" t="s">
        <v>35</v>
      </c>
      <c r="I564" s="134" t="s">
        <v>35</v>
      </c>
      <c r="J564" s="134" t="s">
        <v>35</v>
      </c>
      <c r="K564" s="178" t="s">
        <v>35</v>
      </c>
      <c r="L564" s="134" t="s">
        <v>35</v>
      </c>
      <c r="M564" s="134" t="s">
        <v>35</v>
      </c>
      <c r="N564" s="178" t="s">
        <v>35</v>
      </c>
      <c r="O564" s="134" t="s">
        <v>35</v>
      </c>
      <c r="P564" s="134" t="s">
        <v>35</v>
      </c>
      <c r="Q564" s="134" t="s">
        <v>35</v>
      </c>
      <c r="R564" s="178" t="s">
        <v>35</v>
      </c>
      <c r="S564" s="134" t="s">
        <v>35</v>
      </c>
      <c r="T564" s="134" t="s">
        <v>35</v>
      </c>
      <c r="U564" s="179" t="s">
        <v>35</v>
      </c>
      <c r="V564" s="134" t="s">
        <v>35</v>
      </c>
      <c r="W564" s="134" t="s">
        <v>35</v>
      </c>
      <c r="X564" s="134" t="s">
        <v>35</v>
      </c>
      <c r="Y564" s="135" t="s">
        <v>35</v>
      </c>
      <c r="Z564" s="134" t="s">
        <v>35</v>
      </c>
      <c r="AA564" s="134" t="s">
        <v>35</v>
      </c>
      <c r="AB564" s="135" t="s">
        <v>35</v>
      </c>
      <c r="AC564" s="134" t="s">
        <v>35</v>
      </c>
      <c r="AD564" s="133" t="s">
        <v>35</v>
      </c>
      <c r="AE564" s="134" t="s">
        <v>35</v>
      </c>
      <c r="AF564" s="134" t="s">
        <v>35</v>
      </c>
      <c r="AG564" s="135" t="s">
        <v>35</v>
      </c>
      <c r="AH564" s="134" t="s">
        <v>35</v>
      </c>
      <c r="AI564" s="135" t="s">
        <v>35</v>
      </c>
      <c r="AJ564" s="134" t="s">
        <v>35</v>
      </c>
      <c r="AK564" s="134" t="s">
        <v>35</v>
      </c>
      <c r="AL564" s="134" t="s">
        <v>35</v>
      </c>
      <c r="AM564" s="134" t="s">
        <v>35</v>
      </c>
      <c r="AN564" s="135" t="s">
        <v>35</v>
      </c>
      <c r="AO564" s="134" t="s">
        <v>35</v>
      </c>
      <c r="AP564" s="135" t="s">
        <v>18</v>
      </c>
      <c r="AQ564" s="134" t="s">
        <v>18</v>
      </c>
      <c r="AR564" s="134" t="s">
        <v>18</v>
      </c>
      <c r="AS564" s="134" t="s">
        <v>18</v>
      </c>
      <c r="AT564" s="134" t="s">
        <v>18</v>
      </c>
      <c r="AU564" s="134" t="s">
        <v>18</v>
      </c>
      <c r="AV564" s="134" t="s">
        <v>18</v>
      </c>
      <c r="AW564" s="134" t="s">
        <v>18</v>
      </c>
      <c r="AX564" s="134" t="s">
        <v>18</v>
      </c>
      <c r="AY564" s="134" t="s">
        <v>18</v>
      </c>
      <c r="AZ564" s="134" t="s">
        <v>18</v>
      </c>
      <c r="BA564" s="134" t="s">
        <v>18</v>
      </c>
      <c r="BB564" s="134" t="s">
        <v>18</v>
      </c>
      <c r="BC564" s="134" t="s">
        <v>18</v>
      </c>
    </row>
    <row r="565" spans="1:55" ht="11.25" customHeight="1" x14ac:dyDescent="0.2">
      <c r="A565" s="128">
        <v>93076.923076923078</v>
      </c>
      <c r="B565" s="122" t="s">
        <v>12</v>
      </c>
      <c r="C565" s="124"/>
      <c r="D565" s="171"/>
      <c r="E565" s="172"/>
      <c r="F565" s="124"/>
      <c r="G565" s="172" t="s">
        <v>45</v>
      </c>
      <c r="H565" s="124"/>
      <c r="I565" s="124"/>
      <c r="J565" s="124"/>
      <c r="K565" s="172"/>
      <c r="L565" s="124"/>
      <c r="M565" s="124"/>
      <c r="N565" s="172"/>
      <c r="O565" s="124"/>
      <c r="P565" s="124"/>
      <c r="Q565" s="124"/>
      <c r="R565" s="172"/>
      <c r="S565" s="124"/>
      <c r="T565" s="124"/>
      <c r="U565" s="173"/>
      <c r="V565" s="124"/>
      <c r="W565" s="124"/>
      <c r="X565" s="124"/>
      <c r="Y565" s="125"/>
      <c r="Z565" s="124"/>
      <c r="AA565" s="124"/>
      <c r="AB565" s="125"/>
      <c r="AC565" s="124"/>
      <c r="AD565" s="123"/>
      <c r="AE565" s="124"/>
      <c r="AF565" s="124"/>
      <c r="AG565" s="125"/>
      <c r="AH565" s="124"/>
      <c r="AI565" s="125"/>
      <c r="AJ565" s="124"/>
      <c r="AK565" s="124"/>
      <c r="AL565" s="124"/>
      <c r="AM565" s="124"/>
      <c r="AN565" s="125"/>
      <c r="AO565" s="124"/>
      <c r="AP565" s="125"/>
      <c r="AQ565" s="124"/>
      <c r="AR565" s="124"/>
      <c r="AS565" s="124"/>
      <c r="AT565" s="124"/>
      <c r="AU565" s="124"/>
      <c r="AV565" s="124"/>
      <c r="AW565" s="124"/>
      <c r="AX565" s="124"/>
      <c r="AY565" s="124"/>
      <c r="AZ565" s="124"/>
      <c r="BA565" s="124"/>
      <c r="BB565" s="124"/>
      <c r="BC565" s="124"/>
    </row>
    <row r="566" spans="1:55" ht="11.25" customHeight="1" x14ac:dyDescent="0.2">
      <c r="A566" s="128">
        <v>1210</v>
      </c>
      <c r="B566" s="136" t="s">
        <v>13</v>
      </c>
      <c r="C566" s="137">
        <v>0</v>
      </c>
      <c r="D566" s="171">
        <v>23</v>
      </c>
      <c r="E566" s="172">
        <v>0</v>
      </c>
      <c r="F566" s="137">
        <v>37</v>
      </c>
      <c r="G566" s="172">
        <v>0</v>
      </c>
      <c r="H566" s="137">
        <v>0</v>
      </c>
      <c r="I566" s="137">
        <v>0</v>
      </c>
      <c r="J566" s="137">
        <v>109</v>
      </c>
      <c r="K566" s="172">
        <v>0</v>
      </c>
      <c r="L566" s="137">
        <v>0</v>
      </c>
      <c r="M566" s="137">
        <v>237</v>
      </c>
      <c r="N566" s="172">
        <v>0</v>
      </c>
      <c r="O566" s="137">
        <v>0</v>
      </c>
      <c r="P566" s="137">
        <v>0</v>
      </c>
      <c r="Q566" s="137">
        <v>142</v>
      </c>
      <c r="R566" s="172">
        <v>0</v>
      </c>
      <c r="S566" s="137">
        <v>0</v>
      </c>
      <c r="T566" s="137">
        <v>101</v>
      </c>
      <c r="U566" s="173">
        <v>0</v>
      </c>
      <c r="V566" s="137">
        <v>0</v>
      </c>
      <c r="W566" s="137">
        <v>0</v>
      </c>
      <c r="X566" s="137">
        <v>36</v>
      </c>
      <c r="Y566" s="125">
        <v>0</v>
      </c>
      <c r="Z566" s="137">
        <v>0</v>
      </c>
      <c r="AA566" s="137">
        <v>133</v>
      </c>
      <c r="AB566" s="125">
        <v>0</v>
      </c>
      <c r="AC566" s="137">
        <v>34</v>
      </c>
      <c r="AD566" s="123">
        <v>0</v>
      </c>
      <c r="AE566" s="137">
        <v>0</v>
      </c>
      <c r="AF566" s="137">
        <v>87</v>
      </c>
      <c r="AG566" s="125">
        <v>0</v>
      </c>
      <c r="AH566" s="137">
        <v>76</v>
      </c>
      <c r="AI566" s="125">
        <v>0</v>
      </c>
      <c r="AJ566" s="137">
        <v>0</v>
      </c>
      <c r="AK566" s="137">
        <v>0</v>
      </c>
      <c r="AL566" s="137">
        <v>0</v>
      </c>
      <c r="AM566" s="137">
        <v>119</v>
      </c>
      <c r="AN566" s="125">
        <v>0</v>
      </c>
      <c r="AO566" s="137">
        <v>76</v>
      </c>
      <c r="AP566" s="125" t="s">
        <v>18</v>
      </c>
      <c r="AQ566" s="137" t="s">
        <v>18</v>
      </c>
      <c r="AR566" s="137" t="s">
        <v>18</v>
      </c>
      <c r="AS566" s="137" t="s">
        <v>18</v>
      </c>
      <c r="AT566" s="137" t="s">
        <v>18</v>
      </c>
      <c r="AU566" s="137" t="s">
        <v>18</v>
      </c>
      <c r="AV566" s="137" t="s">
        <v>18</v>
      </c>
      <c r="AW566" s="137" t="s">
        <v>18</v>
      </c>
      <c r="AX566" s="137" t="s">
        <v>18</v>
      </c>
      <c r="AY566" s="137" t="s">
        <v>18</v>
      </c>
      <c r="AZ566" s="137" t="s">
        <v>18</v>
      </c>
      <c r="BA566" s="137" t="s">
        <v>18</v>
      </c>
      <c r="BB566" s="137" t="s">
        <v>18</v>
      </c>
      <c r="BC566" s="137" t="s">
        <v>18</v>
      </c>
    </row>
    <row r="567" spans="1:55" ht="11.25" customHeight="1" x14ac:dyDescent="0.2">
      <c r="A567" s="128">
        <v>34</v>
      </c>
      <c r="B567" s="136" t="s">
        <v>14</v>
      </c>
      <c r="C567" s="137">
        <v>0</v>
      </c>
      <c r="D567" s="171">
        <v>4</v>
      </c>
      <c r="E567" s="172">
        <v>0</v>
      </c>
      <c r="F567" s="137">
        <v>0</v>
      </c>
      <c r="G567" s="172">
        <v>0</v>
      </c>
      <c r="H567" s="137">
        <v>0</v>
      </c>
      <c r="I567" s="137">
        <v>0</v>
      </c>
      <c r="J567" s="137">
        <v>7</v>
      </c>
      <c r="K567" s="172">
        <v>0</v>
      </c>
      <c r="L567" s="137">
        <v>0</v>
      </c>
      <c r="M567" s="137">
        <v>5</v>
      </c>
      <c r="N567" s="172">
        <v>0</v>
      </c>
      <c r="O567" s="137">
        <v>0</v>
      </c>
      <c r="P567" s="137">
        <v>0</v>
      </c>
      <c r="Q567" s="137">
        <v>1</v>
      </c>
      <c r="R567" s="172">
        <v>0</v>
      </c>
      <c r="S567" s="137">
        <v>0</v>
      </c>
      <c r="T567" s="137">
        <v>2</v>
      </c>
      <c r="U567" s="173">
        <v>0</v>
      </c>
      <c r="V567" s="137">
        <v>0</v>
      </c>
      <c r="W567" s="137">
        <v>0</v>
      </c>
      <c r="X567" s="137">
        <v>1</v>
      </c>
      <c r="Y567" s="125">
        <v>0</v>
      </c>
      <c r="Z567" s="137">
        <v>0</v>
      </c>
      <c r="AA567" s="137">
        <v>2</v>
      </c>
      <c r="AB567" s="125">
        <v>0</v>
      </c>
      <c r="AC567" s="137">
        <v>1</v>
      </c>
      <c r="AD567" s="123">
        <v>0</v>
      </c>
      <c r="AE567" s="137">
        <v>0</v>
      </c>
      <c r="AF567" s="137">
        <v>3</v>
      </c>
      <c r="AG567" s="125">
        <v>0</v>
      </c>
      <c r="AH567" s="137">
        <v>4</v>
      </c>
      <c r="AI567" s="125">
        <v>0</v>
      </c>
      <c r="AJ567" s="137">
        <v>0</v>
      </c>
      <c r="AK567" s="137">
        <v>0</v>
      </c>
      <c r="AL567" s="137">
        <v>0</v>
      </c>
      <c r="AM567" s="137">
        <v>2</v>
      </c>
      <c r="AN567" s="125">
        <v>0</v>
      </c>
      <c r="AO567" s="137">
        <v>2</v>
      </c>
      <c r="AP567" s="125" t="s">
        <v>18</v>
      </c>
      <c r="AQ567" s="137" t="s">
        <v>18</v>
      </c>
      <c r="AR567" s="137" t="s">
        <v>18</v>
      </c>
      <c r="AS567" s="137" t="s">
        <v>18</v>
      </c>
      <c r="AT567" s="137" t="s">
        <v>18</v>
      </c>
      <c r="AU567" s="137" t="s">
        <v>18</v>
      </c>
      <c r="AV567" s="137" t="s">
        <v>18</v>
      </c>
      <c r="AW567" s="137" t="s">
        <v>18</v>
      </c>
      <c r="AX567" s="137" t="s">
        <v>18</v>
      </c>
      <c r="AY567" s="137" t="s">
        <v>18</v>
      </c>
      <c r="AZ567" s="137" t="s">
        <v>18</v>
      </c>
      <c r="BA567" s="137" t="s">
        <v>18</v>
      </c>
      <c r="BB567" s="137" t="s">
        <v>18</v>
      </c>
      <c r="BC567" s="137" t="s">
        <v>18</v>
      </c>
    </row>
    <row r="568" spans="1:55" ht="11.25" customHeight="1" x14ac:dyDescent="0.2">
      <c r="A568" s="128">
        <v>35</v>
      </c>
      <c r="B568" s="136" t="s">
        <v>15</v>
      </c>
      <c r="C568" s="137">
        <v>4</v>
      </c>
      <c r="D568" s="171">
        <v>4</v>
      </c>
      <c r="E568" s="172">
        <v>0</v>
      </c>
      <c r="F568" s="137">
        <v>0</v>
      </c>
      <c r="G568" s="172">
        <v>0</v>
      </c>
      <c r="H568" s="137">
        <v>0</v>
      </c>
      <c r="I568" s="137">
        <v>0</v>
      </c>
      <c r="J568" s="137">
        <v>5</v>
      </c>
      <c r="K568" s="172">
        <v>0</v>
      </c>
      <c r="L568" s="137">
        <v>0</v>
      </c>
      <c r="M568" s="137">
        <v>5</v>
      </c>
      <c r="N568" s="172">
        <v>0</v>
      </c>
      <c r="O568" s="137">
        <v>0</v>
      </c>
      <c r="P568" s="137">
        <v>0</v>
      </c>
      <c r="Q568" s="137">
        <v>1</v>
      </c>
      <c r="R568" s="172">
        <v>0</v>
      </c>
      <c r="S568" s="137">
        <v>0</v>
      </c>
      <c r="T568" s="137">
        <v>2</v>
      </c>
      <c r="U568" s="173">
        <v>0</v>
      </c>
      <c r="V568" s="137">
        <v>0</v>
      </c>
      <c r="W568" s="137">
        <v>0</v>
      </c>
      <c r="X568" s="137">
        <v>2</v>
      </c>
      <c r="Y568" s="125">
        <v>0</v>
      </c>
      <c r="Z568" s="137">
        <v>0</v>
      </c>
      <c r="AA568" s="137">
        <v>0</v>
      </c>
      <c r="AB568" s="125">
        <v>0</v>
      </c>
      <c r="AC568" s="137">
        <v>1</v>
      </c>
      <c r="AD568" s="123">
        <v>0</v>
      </c>
      <c r="AE568" s="137">
        <v>0</v>
      </c>
      <c r="AF568" s="137">
        <v>2</v>
      </c>
      <c r="AG568" s="125">
        <v>0</v>
      </c>
      <c r="AH568" s="137">
        <v>4</v>
      </c>
      <c r="AI568" s="125">
        <v>0</v>
      </c>
      <c r="AJ568" s="137">
        <v>0</v>
      </c>
      <c r="AK568" s="137">
        <v>0</v>
      </c>
      <c r="AL568" s="137">
        <v>0</v>
      </c>
      <c r="AM568" s="137">
        <v>2</v>
      </c>
      <c r="AN568" s="125">
        <v>0</v>
      </c>
      <c r="AO568" s="137">
        <v>3</v>
      </c>
      <c r="AP568" s="125" t="s">
        <v>18</v>
      </c>
      <c r="AQ568" s="137" t="s">
        <v>18</v>
      </c>
      <c r="AR568" s="137" t="s">
        <v>18</v>
      </c>
      <c r="AS568" s="137" t="s">
        <v>18</v>
      </c>
      <c r="AT568" s="137" t="s">
        <v>18</v>
      </c>
      <c r="AU568" s="137" t="s">
        <v>18</v>
      </c>
      <c r="AV568" s="137" t="s">
        <v>18</v>
      </c>
      <c r="AW568" s="137" t="s">
        <v>18</v>
      </c>
      <c r="AX568" s="137" t="s">
        <v>18</v>
      </c>
      <c r="AY568" s="137" t="s">
        <v>18</v>
      </c>
      <c r="AZ568" s="137" t="s">
        <v>18</v>
      </c>
      <c r="BA568" s="137" t="s">
        <v>18</v>
      </c>
      <c r="BB568" s="137" t="s">
        <v>18</v>
      </c>
      <c r="BC568" s="137" t="s">
        <v>18</v>
      </c>
    </row>
    <row r="569" spans="1:55" ht="11.25" customHeight="1" x14ac:dyDescent="0.2">
      <c r="A569" s="128">
        <v>9280</v>
      </c>
      <c r="B569" s="136" t="s">
        <v>16</v>
      </c>
      <c r="C569" s="137">
        <v>1400</v>
      </c>
      <c r="D569" s="171">
        <v>1400</v>
      </c>
      <c r="E569" s="172">
        <v>0</v>
      </c>
      <c r="F569" s="137">
        <v>0</v>
      </c>
      <c r="G569" s="172">
        <v>0</v>
      </c>
      <c r="H569" s="137">
        <v>0</v>
      </c>
      <c r="I569" s="137">
        <v>0</v>
      </c>
      <c r="J569" s="137">
        <v>1200</v>
      </c>
      <c r="K569" s="172">
        <v>0</v>
      </c>
      <c r="L569" s="137">
        <v>0</v>
      </c>
      <c r="M569" s="137">
        <v>1200</v>
      </c>
      <c r="N569" s="172">
        <v>0</v>
      </c>
      <c r="O569" s="137">
        <v>0</v>
      </c>
      <c r="P569" s="137">
        <v>0</v>
      </c>
      <c r="Q569" s="137">
        <v>240</v>
      </c>
      <c r="R569" s="172">
        <v>0</v>
      </c>
      <c r="S569" s="137">
        <v>0</v>
      </c>
      <c r="T569" s="137">
        <v>480</v>
      </c>
      <c r="U569" s="173">
        <v>0</v>
      </c>
      <c r="V569" s="137">
        <v>0</v>
      </c>
      <c r="W569" s="137">
        <v>0</v>
      </c>
      <c r="X569" s="137">
        <v>480</v>
      </c>
      <c r="Y569" s="125">
        <v>0</v>
      </c>
      <c r="Z569" s="137">
        <v>0</v>
      </c>
      <c r="AA569" s="137">
        <v>0</v>
      </c>
      <c r="AB569" s="125">
        <v>0</v>
      </c>
      <c r="AC569" s="137">
        <v>240</v>
      </c>
      <c r="AD569" s="123">
        <v>0</v>
      </c>
      <c r="AE569" s="137">
        <v>0</v>
      </c>
      <c r="AF569" s="137">
        <v>480</v>
      </c>
      <c r="AG569" s="125">
        <v>0</v>
      </c>
      <c r="AH569" s="137">
        <v>960</v>
      </c>
      <c r="AI569" s="125">
        <v>0</v>
      </c>
      <c r="AJ569" s="137">
        <v>0</v>
      </c>
      <c r="AK569" s="137">
        <v>0</v>
      </c>
      <c r="AL569" s="137">
        <v>0</v>
      </c>
      <c r="AM569" s="137">
        <v>480</v>
      </c>
      <c r="AN569" s="125">
        <v>0</v>
      </c>
      <c r="AO569" s="137">
        <v>720</v>
      </c>
      <c r="AP569" s="125" t="s">
        <v>18</v>
      </c>
      <c r="AQ569" s="137" t="s">
        <v>18</v>
      </c>
      <c r="AR569" s="137" t="s">
        <v>18</v>
      </c>
      <c r="AS569" s="137" t="s">
        <v>18</v>
      </c>
      <c r="AT569" s="137" t="s">
        <v>18</v>
      </c>
      <c r="AU569" s="137" t="s">
        <v>18</v>
      </c>
      <c r="AV569" s="137" t="s">
        <v>18</v>
      </c>
      <c r="AW569" s="137" t="s">
        <v>18</v>
      </c>
      <c r="AX569" s="137" t="s">
        <v>18</v>
      </c>
      <c r="AY569" s="137" t="s">
        <v>18</v>
      </c>
      <c r="AZ569" s="137" t="s">
        <v>18</v>
      </c>
      <c r="BA569" s="137" t="s">
        <v>18</v>
      </c>
      <c r="BB569" s="137" t="s">
        <v>18</v>
      </c>
      <c r="BC569" s="137" t="s">
        <v>18</v>
      </c>
    </row>
    <row r="570" spans="1:55" ht="11.25" customHeight="1" thickBot="1" x14ac:dyDescent="0.25">
      <c r="A570" s="138">
        <v>7.6694214876033062E-2</v>
      </c>
      <c r="B570" s="139" t="s">
        <v>17</v>
      </c>
      <c r="C570" s="141" t="e">
        <v>#DIV/0!</v>
      </c>
      <c r="D570" s="180">
        <v>0.60869565217391308</v>
      </c>
      <c r="E570" s="181" t="s">
        <v>18</v>
      </c>
      <c r="F570" s="141" t="s">
        <v>18</v>
      </c>
      <c r="G570" s="181" t="s">
        <v>18</v>
      </c>
      <c r="H570" s="141" t="s">
        <v>18</v>
      </c>
      <c r="I570" s="141" t="s">
        <v>18</v>
      </c>
      <c r="J570" s="141">
        <v>0.11009174311926606</v>
      </c>
      <c r="K570" s="181" t="s">
        <v>18</v>
      </c>
      <c r="L570" s="141" t="s">
        <v>18</v>
      </c>
      <c r="M570" s="141">
        <v>5.0632911392405063E-2</v>
      </c>
      <c r="N570" s="181" t="s">
        <v>18</v>
      </c>
      <c r="O570" s="141" t="s">
        <v>18</v>
      </c>
      <c r="P570" s="141" t="s">
        <v>18</v>
      </c>
      <c r="Q570" s="141">
        <v>1.6901408450704224E-2</v>
      </c>
      <c r="R570" s="181" t="s">
        <v>18</v>
      </c>
      <c r="S570" s="141" t="s">
        <v>18</v>
      </c>
      <c r="T570" s="141">
        <v>4.7524752475247525E-2</v>
      </c>
      <c r="U570" s="182" t="s">
        <v>18</v>
      </c>
      <c r="V570" s="141" t="s">
        <v>18</v>
      </c>
      <c r="W570" s="141" t="s">
        <v>18</v>
      </c>
      <c r="X570" s="141">
        <v>0.13333333333333333</v>
      </c>
      <c r="Y570" s="142" t="s">
        <v>18</v>
      </c>
      <c r="Z570" s="141" t="s">
        <v>18</v>
      </c>
      <c r="AA570" s="141" t="s">
        <v>18</v>
      </c>
      <c r="AB570" s="142" t="s">
        <v>18</v>
      </c>
      <c r="AC570" s="141">
        <v>7.0588235294117646E-2</v>
      </c>
      <c r="AD570" s="140" t="s">
        <v>18</v>
      </c>
      <c r="AE570" s="141" t="s">
        <v>18</v>
      </c>
      <c r="AF570" s="141">
        <v>5.5172413793103448E-2</v>
      </c>
      <c r="AG570" s="142" t="s">
        <v>18</v>
      </c>
      <c r="AH570" s="141">
        <v>0.12631578947368421</v>
      </c>
      <c r="AI570" s="142" t="s">
        <v>18</v>
      </c>
      <c r="AJ570" s="141" t="s">
        <v>18</v>
      </c>
      <c r="AK570" s="141" t="s">
        <v>18</v>
      </c>
      <c r="AL570" s="141" t="s">
        <v>18</v>
      </c>
      <c r="AM570" s="141">
        <v>4.0336134453781515E-2</v>
      </c>
      <c r="AN570" s="142" t="s">
        <v>18</v>
      </c>
      <c r="AO570" s="141">
        <v>9.4736842105263161E-2</v>
      </c>
      <c r="AP570" s="142" t="s">
        <v>18</v>
      </c>
      <c r="AQ570" s="141" t="s">
        <v>18</v>
      </c>
      <c r="AR570" s="141" t="s">
        <v>18</v>
      </c>
      <c r="AS570" s="141" t="s">
        <v>18</v>
      </c>
      <c r="AT570" s="141" t="s">
        <v>18</v>
      </c>
      <c r="AU570" s="141" t="s">
        <v>18</v>
      </c>
      <c r="AV570" s="141" t="s">
        <v>18</v>
      </c>
      <c r="AW570" s="141" t="s">
        <v>18</v>
      </c>
      <c r="AX570" s="141" t="s">
        <v>18</v>
      </c>
      <c r="AY570" s="141" t="s">
        <v>18</v>
      </c>
      <c r="AZ570" s="141" t="s">
        <v>18</v>
      </c>
      <c r="BA570" s="141" t="s">
        <v>18</v>
      </c>
      <c r="BB570" s="141" t="s">
        <v>18</v>
      </c>
      <c r="BC570" s="141" t="s">
        <v>18</v>
      </c>
    </row>
    <row r="571" spans="1:55" ht="11.25" customHeight="1" x14ac:dyDescent="0.2">
      <c r="A571" s="116" t="s">
        <v>1</v>
      </c>
      <c r="B571" s="117" t="s">
        <v>2</v>
      </c>
      <c r="C571" s="119">
        <v>18875</v>
      </c>
      <c r="D571" s="168">
        <v>18945</v>
      </c>
      <c r="E571" s="169">
        <v>18945</v>
      </c>
      <c r="F571" s="119">
        <v>19074</v>
      </c>
      <c r="G571" s="169">
        <v>19074</v>
      </c>
      <c r="H571" s="119">
        <v>19074</v>
      </c>
      <c r="I571" s="119">
        <v>19074</v>
      </c>
      <c r="J571" s="119">
        <v>19108</v>
      </c>
      <c r="K571" s="169">
        <v>19108</v>
      </c>
      <c r="L571" s="119">
        <v>19108</v>
      </c>
      <c r="M571" s="119">
        <v>19225</v>
      </c>
      <c r="N571" s="169">
        <v>19225</v>
      </c>
      <c r="O571" s="119">
        <v>19225</v>
      </c>
      <c r="P571" s="119">
        <v>19225</v>
      </c>
      <c r="Q571" s="119">
        <v>19453</v>
      </c>
      <c r="R571" s="169">
        <v>19453</v>
      </c>
      <c r="S571" s="119">
        <v>19453</v>
      </c>
      <c r="T571" s="119">
        <v>19567</v>
      </c>
      <c r="U571" s="170">
        <v>19567</v>
      </c>
      <c r="V571" s="119">
        <v>19567</v>
      </c>
      <c r="W571" s="119">
        <v>19567</v>
      </c>
      <c r="X571" s="119">
        <v>19704</v>
      </c>
      <c r="Y571" s="120">
        <v>19704</v>
      </c>
      <c r="Z571" s="119">
        <v>19704</v>
      </c>
      <c r="AA571" s="119">
        <v>19780</v>
      </c>
      <c r="AB571" s="120">
        <v>19780</v>
      </c>
      <c r="AC571" s="119">
        <v>19826</v>
      </c>
      <c r="AD571" s="118">
        <v>19826</v>
      </c>
      <c r="AE571" s="119">
        <v>19826</v>
      </c>
      <c r="AF571" s="119">
        <v>19899</v>
      </c>
      <c r="AG571" s="120">
        <v>19899</v>
      </c>
      <c r="AH571" s="119">
        <v>19948</v>
      </c>
      <c r="AI571" s="120">
        <v>19948</v>
      </c>
      <c r="AJ571" s="119">
        <v>19948</v>
      </c>
      <c r="AK571" s="119">
        <v>19948</v>
      </c>
      <c r="AL571" s="119">
        <v>19948</v>
      </c>
      <c r="AM571" s="119">
        <v>20041</v>
      </c>
      <c r="AN571" s="120">
        <v>20041</v>
      </c>
      <c r="AO571" s="119">
        <v>20473</v>
      </c>
      <c r="AP571" s="120" t="s">
        <v>18</v>
      </c>
      <c r="AQ571" s="119" t="s">
        <v>18</v>
      </c>
      <c r="AR571" s="119" t="s">
        <v>18</v>
      </c>
      <c r="AS571" s="119" t="s">
        <v>18</v>
      </c>
      <c r="AT571" s="119" t="s">
        <v>18</v>
      </c>
      <c r="AU571" s="119" t="s">
        <v>18</v>
      </c>
      <c r="AV571" s="119" t="s">
        <v>18</v>
      </c>
      <c r="AW571" s="119" t="s">
        <v>18</v>
      </c>
      <c r="AX571" s="119" t="s">
        <v>18</v>
      </c>
      <c r="AY571" s="119" t="s">
        <v>18</v>
      </c>
      <c r="AZ571" s="119" t="s">
        <v>18</v>
      </c>
      <c r="BA571" s="119" t="s">
        <v>18</v>
      </c>
      <c r="BB571" s="119" t="s">
        <v>18</v>
      </c>
      <c r="BC571" s="119" t="s">
        <v>18</v>
      </c>
    </row>
    <row r="572" spans="1:55" ht="11.25" customHeight="1" x14ac:dyDescent="0.2">
      <c r="A572" s="121" t="s">
        <v>46</v>
      </c>
      <c r="B572" s="122" t="s">
        <v>4</v>
      </c>
      <c r="C572" s="124">
        <v>341</v>
      </c>
      <c r="D572" s="171">
        <v>344</v>
      </c>
      <c r="E572" s="172">
        <v>344</v>
      </c>
      <c r="F572" s="124">
        <v>349</v>
      </c>
      <c r="G572" s="172">
        <v>349</v>
      </c>
      <c r="H572" s="124">
        <v>349</v>
      </c>
      <c r="I572" s="124">
        <v>349</v>
      </c>
      <c r="J572" s="124">
        <v>350</v>
      </c>
      <c r="K572" s="172">
        <v>350</v>
      </c>
      <c r="L572" s="124">
        <v>350</v>
      </c>
      <c r="M572" s="124">
        <v>356</v>
      </c>
      <c r="N572" s="172">
        <v>356</v>
      </c>
      <c r="O572" s="124">
        <v>356</v>
      </c>
      <c r="P572" s="124">
        <v>356</v>
      </c>
      <c r="Q572" s="124">
        <v>359</v>
      </c>
      <c r="R572" s="172">
        <v>359</v>
      </c>
      <c r="S572" s="124">
        <v>359</v>
      </c>
      <c r="T572" s="124">
        <v>362</v>
      </c>
      <c r="U572" s="173">
        <v>362</v>
      </c>
      <c r="V572" s="124">
        <v>362</v>
      </c>
      <c r="W572" s="124">
        <v>362</v>
      </c>
      <c r="X572" s="124">
        <v>365</v>
      </c>
      <c r="Y572" s="125">
        <v>365</v>
      </c>
      <c r="Z572" s="124">
        <v>365</v>
      </c>
      <c r="AA572" s="124">
        <v>370</v>
      </c>
      <c r="AB572" s="125">
        <v>370</v>
      </c>
      <c r="AC572" s="124">
        <v>374</v>
      </c>
      <c r="AD572" s="123">
        <v>374</v>
      </c>
      <c r="AE572" s="124">
        <v>374</v>
      </c>
      <c r="AF572" s="124">
        <v>378</v>
      </c>
      <c r="AG572" s="125">
        <v>378</v>
      </c>
      <c r="AH572" s="124">
        <v>382</v>
      </c>
      <c r="AI572" s="125">
        <v>382</v>
      </c>
      <c r="AJ572" s="124">
        <v>382</v>
      </c>
      <c r="AK572" s="124">
        <v>382</v>
      </c>
      <c r="AL572" s="124">
        <v>382</v>
      </c>
      <c r="AM572" s="124">
        <v>388</v>
      </c>
      <c r="AN572" s="125">
        <v>388</v>
      </c>
      <c r="AO572" s="124">
        <v>393</v>
      </c>
      <c r="AP572" s="125" t="s">
        <v>18</v>
      </c>
      <c r="AQ572" s="124" t="s">
        <v>18</v>
      </c>
      <c r="AR572" s="124" t="s">
        <v>18</v>
      </c>
      <c r="AS572" s="124" t="s">
        <v>18</v>
      </c>
      <c r="AT572" s="124" t="s">
        <v>18</v>
      </c>
      <c r="AU572" s="124" t="s">
        <v>18</v>
      </c>
      <c r="AV572" s="124" t="s">
        <v>18</v>
      </c>
      <c r="AW572" s="124" t="s">
        <v>18</v>
      </c>
      <c r="AX572" s="124" t="s">
        <v>18</v>
      </c>
      <c r="AY572" s="124" t="s">
        <v>18</v>
      </c>
      <c r="AZ572" s="124" t="s">
        <v>18</v>
      </c>
      <c r="BA572" s="124" t="s">
        <v>18</v>
      </c>
      <c r="BB572" s="124" t="s">
        <v>18</v>
      </c>
      <c r="BC572" s="124" t="s">
        <v>18</v>
      </c>
    </row>
    <row r="573" spans="1:55" ht="11.25" customHeight="1" x14ac:dyDescent="0.25">
      <c r="A573" s="126"/>
      <c r="B573" s="122" t="s">
        <v>5</v>
      </c>
      <c r="C573" s="124">
        <v>21</v>
      </c>
      <c r="D573" s="171">
        <v>18</v>
      </c>
      <c r="E573" s="172">
        <v>21</v>
      </c>
      <c r="F573" s="124">
        <v>20</v>
      </c>
      <c r="G573" s="172">
        <v>23</v>
      </c>
      <c r="H573" s="124">
        <v>23</v>
      </c>
      <c r="I573" s="124">
        <v>23</v>
      </c>
      <c r="J573" s="124">
        <v>22</v>
      </c>
      <c r="K573" s="172">
        <v>30</v>
      </c>
      <c r="L573" s="124">
        <v>30</v>
      </c>
      <c r="M573" s="124">
        <v>24</v>
      </c>
      <c r="N573" s="172">
        <v>24</v>
      </c>
      <c r="O573" s="124">
        <v>24</v>
      </c>
      <c r="P573" s="124">
        <v>24</v>
      </c>
      <c r="Q573" s="124">
        <v>21</v>
      </c>
      <c r="R573" s="172">
        <v>21</v>
      </c>
      <c r="S573" s="124">
        <v>21</v>
      </c>
      <c r="T573" s="124">
        <v>21</v>
      </c>
      <c r="U573" s="173">
        <v>21</v>
      </c>
      <c r="V573" s="124">
        <v>21</v>
      </c>
      <c r="W573" s="124">
        <v>21</v>
      </c>
      <c r="X573" s="124">
        <v>18</v>
      </c>
      <c r="Y573" s="125">
        <v>23</v>
      </c>
      <c r="Z573" s="124">
        <v>23</v>
      </c>
      <c r="AA573" s="124">
        <v>18</v>
      </c>
      <c r="AB573" s="125">
        <v>33</v>
      </c>
      <c r="AC573" s="124">
        <v>29</v>
      </c>
      <c r="AD573" s="123">
        <v>29</v>
      </c>
      <c r="AE573" s="124">
        <v>29</v>
      </c>
      <c r="AF573" s="124">
        <v>29</v>
      </c>
      <c r="AG573" s="125">
        <v>29</v>
      </c>
      <c r="AH573" s="124">
        <v>29</v>
      </c>
      <c r="AI573" s="125">
        <v>29</v>
      </c>
      <c r="AJ573" s="124">
        <v>29</v>
      </c>
      <c r="AK573" s="124">
        <v>29</v>
      </c>
      <c r="AL573" s="124">
        <v>29</v>
      </c>
      <c r="AM573" s="124">
        <v>29</v>
      </c>
      <c r="AN573" s="125">
        <v>20</v>
      </c>
      <c r="AO573" s="124">
        <v>15</v>
      </c>
      <c r="AP573" s="125" t="s">
        <v>18</v>
      </c>
      <c r="AQ573" s="124" t="s">
        <v>18</v>
      </c>
      <c r="AR573" s="124" t="s">
        <v>18</v>
      </c>
      <c r="AS573" s="124" t="s">
        <v>18</v>
      </c>
      <c r="AT573" s="124" t="s">
        <v>18</v>
      </c>
      <c r="AU573" s="124" t="s">
        <v>18</v>
      </c>
      <c r="AV573" s="124" t="s">
        <v>18</v>
      </c>
      <c r="AW573" s="124" t="s">
        <v>18</v>
      </c>
      <c r="AX573" s="124" t="s">
        <v>18</v>
      </c>
      <c r="AY573" s="124" t="s">
        <v>18</v>
      </c>
      <c r="AZ573" s="124" t="s">
        <v>18</v>
      </c>
      <c r="BA573" s="124" t="s">
        <v>18</v>
      </c>
      <c r="BB573" s="124" t="s">
        <v>18</v>
      </c>
      <c r="BC573" s="124" t="s">
        <v>18</v>
      </c>
    </row>
    <row r="574" spans="1:55" ht="11.25" customHeight="1" x14ac:dyDescent="0.2">
      <c r="A574" s="127"/>
      <c r="B574" s="122" t="s">
        <v>6</v>
      </c>
      <c r="C574" s="124"/>
      <c r="D574" s="171">
        <v>3</v>
      </c>
      <c r="E574" s="172"/>
      <c r="F574" s="124">
        <v>3</v>
      </c>
      <c r="G574" s="172"/>
      <c r="H574" s="124"/>
      <c r="I574" s="124"/>
      <c r="J574" s="124">
        <v>8</v>
      </c>
      <c r="K574" s="172"/>
      <c r="L574" s="124"/>
      <c r="M574" s="124"/>
      <c r="N574" s="172"/>
      <c r="O574" s="124"/>
      <c r="P574" s="124"/>
      <c r="Q574" s="124"/>
      <c r="R574" s="172"/>
      <c r="S574" s="124"/>
      <c r="T574" s="124"/>
      <c r="U574" s="173"/>
      <c r="V574" s="124"/>
      <c r="W574" s="124"/>
      <c r="X574" s="124">
        <v>5</v>
      </c>
      <c r="Y574" s="125"/>
      <c r="Z574" s="124"/>
      <c r="AA574" s="124">
        <v>15</v>
      </c>
      <c r="AB574" s="125"/>
      <c r="AC574" s="124"/>
      <c r="AD574" s="123"/>
      <c r="AE574" s="124"/>
      <c r="AF574" s="124"/>
      <c r="AG574" s="125"/>
      <c r="AH574" s="124"/>
      <c r="AI574" s="125"/>
      <c r="AJ574" s="124"/>
      <c r="AK574" s="124"/>
      <c r="AL574" s="124"/>
      <c r="AM574" s="124">
        <v>-9</v>
      </c>
      <c r="AN574" s="125"/>
      <c r="AO574" s="124"/>
      <c r="AP574" s="125"/>
      <c r="AQ574" s="124"/>
      <c r="AR574" s="124"/>
      <c r="AS574" s="124"/>
      <c r="AT574" s="124"/>
      <c r="AU574" s="124"/>
      <c r="AV574" s="124"/>
      <c r="AW574" s="124"/>
      <c r="AX574" s="124"/>
      <c r="AY574" s="124"/>
      <c r="AZ574" s="124"/>
      <c r="BA574" s="124"/>
      <c r="BB574" s="124"/>
      <c r="BC574" s="124"/>
    </row>
    <row r="575" spans="1:55" ht="11.25" customHeight="1" x14ac:dyDescent="0.2">
      <c r="A575" s="128"/>
      <c r="B575" s="122" t="s">
        <v>8</v>
      </c>
      <c r="C575" s="130">
        <v>750</v>
      </c>
      <c r="D575" s="174">
        <v>750</v>
      </c>
      <c r="E575" s="175">
        <v>750</v>
      </c>
      <c r="F575" s="130">
        <v>750</v>
      </c>
      <c r="G575" s="175">
        <v>750</v>
      </c>
      <c r="H575" s="130">
        <v>750</v>
      </c>
      <c r="I575" s="130">
        <v>750</v>
      </c>
      <c r="J575" s="130">
        <v>750</v>
      </c>
      <c r="K575" s="175">
        <v>750</v>
      </c>
      <c r="L575" s="130">
        <v>750</v>
      </c>
      <c r="M575" s="130">
        <v>750</v>
      </c>
      <c r="N575" s="175">
        <v>750</v>
      </c>
      <c r="O575" s="130">
        <v>750</v>
      </c>
      <c r="P575" s="130">
        <v>750</v>
      </c>
      <c r="Q575" s="130">
        <v>750</v>
      </c>
      <c r="R575" s="175">
        <v>750</v>
      </c>
      <c r="S575" s="130">
        <v>750</v>
      </c>
      <c r="T575" s="130">
        <v>750</v>
      </c>
      <c r="U575" s="176">
        <v>750</v>
      </c>
      <c r="V575" s="130">
        <v>750</v>
      </c>
      <c r="W575" s="130">
        <v>750</v>
      </c>
      <c r="X575" s="130">
        <v>750</v>
      </c>
      <c r="Y575" s="131">
        <v>750</v>
      </c>
      <c r="Z575" s="130">
        <v>750</v>
      </c>
      <c r="AA575" s="130">
        <v>750</v>
      </c>
      <c r="AB575" s="131">
        <v>750</v>
      </c>
      <c r="AC575" s="130">
        <v>750</v>
      </c>
      <c r="AD575" s="129">
        <v>750</v>
      </c>
      <c r="AE575" s="130">
        <v>750</v>
      </c>
      <c r="AF575" s="130">
        <v>750</v>
      </c>
      <c r="AG575" s="131">
        <v>750</v>
      </c>
      <c r="AH575" s="130">
        <v>750</v>
      </c>
      <c r="AI575" s="131">
        <v>750</v>
      </c>
      <c r="AJ575" s="130">
        <v>750</v>
      </c>
      <c r="AK575" s="130">
        <v>750</v>
      </c>
      <c r="AL575" s="130">
        <v>750</v>
      </c>
      <c r="AM575" s="130">
        <v>750</v>
      </c>
      <c r="AN575" s="131">
        <v>1500</v>
      </c>
      <c r="AO575" s="130">
        <v>1500</v>
      </c>
      <c r="AP575" s="131" t="s">
        <v>18</v>
      </c>
      <c r="AQ575" s="130" t="s">
        <v>18</v>
      </c>
      <c r="AR575" s="130" t="s">
        <v>18</v>
      </c>
      <c r="AS575" s="130" t="s">
        <v>18</v>
      </c>
      <c r="AT575" s="130" t="s">
        <v>18</v>
      </c>
      <c r="AU575" s="130" t="s">
        <v>18</v>
      </c>
      <c r="AV575" s="130" t="s">
        <v>18</v>
      </c>
      <c r="AW575" s="130" t="s">
        <v>18</v>
      </c>
      <c r="AX575" s="130" t="s">
        <v>18</v>
      </c>
      <c r="AY575" s="130" t="s">
        <v>18</v>
      </c>
      <c r="AZ575" s="130" t="s">
        <v>18</v>
      </c>
      <c r="BA575" s="130" t="s">
        <v>18</v>
      </c>
      <c r="BB575" s="130" t="s">
        <v>18</v>
      </c>
      <c r="BC575" s="130" t="s">
        <v>18</v>
      </c>
    </row>
    <row r="576" spans="1:55" ht="11.25" customHeight="1" x14ac:dyDescent="0.2">
      <c r="A576" s="127" t="s">
        <v>9</v>
      </c>
      <c r="B576" s="132" t="s">
        <v>10</v>
      </c>
      <c r="C576" s="134" t="s">
        <v>25</v>
      </c>
      <c r="D576" s="177" t="s">
        <v>25</v>
      </c>
      <c r="E576" s="178" t="s">
        <v>25</v>
      </c>
      <c r="F576" s="134" t="s">
        <v>25</v>
      </c>
      <c r="G576" s="178" t="s">
        <v>25</v>
      </c>
      <c r="H576" s="134" t="s">
        <v>25</v>
      </c>
      <c r="I576" s="134" t="s">
        <v>25</v>
      </c>
      <c r="J576" s="134" t="s">
        <v>25</v>
      </c>
      <c r="K576" s="178" t="s">
        <v>25</v>
      </c>
      <c r="L576" s="134" t="s">
        <v>25</v>
      </c>
      <c r="M576" s="134" t="s">
        <v>25</v>
      </c>
      <c r="N576" s="178" t="s">
        <v>25</v>
      </c>
      <c r="O576" s="134" t="s">
        <v>25</v>
      </c>
      <c r="P576" s="134" t="s">
        <v>25</v>
      </c>
      <c r="Q576" s="134" t="s">
        <v>25</v>
      </c>
      <c r="R576" s="178" t="s">
        <v>25</v>
      </c>
      <c r="S576" s="134" t="s">
        <v>25</v>
      </c>
      <c r="T576" s="134" t="s">
        <v>25</v>
      </c>
      <c r="U576" s="179" t="s">
        <v>25</v>
      </c>
      <c r="V576" s="134" t="s">
        <v>25</v>
      </c>
      <c r="W576" s="134" t="s">
        <v>25</v>
      </c>
      <c r="X576" s="134" t="s">
        <v>25</v>
      </c>
      <c r="Y576" s="135" t="s">
        <v>25</v>
      </c>
      <c r="Z576" s="134" t="s">
        <v>25</v>
      </c>
      <c r="AA576" s="134" t="s">
        <v>25</v>
      </c>
      <c r="AB576" s="135" t="s">
        <v>25</v>
      </c>
      <c r="AC576" s="134" t="s">
        <v>25</v>
      </c>
      <c r="AD576" s="133" t="s">
        <v>25</v>
      </c>
      <c r="AE576" s="134" t="s">
        <v>25</v>
      </c>
      <c r="AF576" s="134" t="s">
        <v>25</v>
      </c>
      <c r="AG576" s="135" t="s">
        <v>25</v>
      </c>
      <c r="AH576" s="134" t="s">
        <v>25</v>
      </c>
      <c r="AI576" s="135" t="s">
        <v>25</v>
      </c>
      <c r="AJ576" s="134" t="s">
        <v>25</v>
      </c>
      <c r="AK576" s="134" t="s">
        <v>25</v>
      </c>
      <c r="AL576" s="134" t="s">
        <v>25</v>
      </c>
      <c r="AM576" s="134" t="s">
        <v>25</v>
      </c>
      <c r="AN576" s="135" t="s">
        <v>215</v>
      </c>
      <c r="AO576" s="134" t="s">
        <v>215</v>
      </c>
      <c r="AP576" s="135" t="s">
        <v>18</v>
      </c>
      <c r="AQ576" s="134" t="s">
        <v>18</v>
      </c>
      <c r="AR576" s="134" t="s">
        <v>18</v>
      </c>
      <c r="AS576" s="134" t="s">
        <v>18</v>
      </c>
      <c r="AT576" s="134" t="s">
        <v>18</v>
      </c>
      <c r="AU576" s="134" t="s">
        <v>18</v>
      </c>
      <c r="AV576" s="134" t="s">
        <v>18</v>
      </c>
      <c r="AW576" s="134" t="s">
        <v>18</v>
      </c>
      <c r="AX576" s="134" t="s">
        <v>18</v>
      </c>
      <c r="AY576" s="134" t="s">
        <v>18</v>
      </c>
      <c r="AZ576" s="134" t="s">
        <v>18</v>
      </c>
      <c r="BA576" s="134" t="s">
        <v>18</v>
      </c>
      <c r="BB576" s="134" t="s">
        <v>18</v>
      </c>
      <c r="BC576" s="134" t="s">
        <v>18</v>
      </c>
    </row>
    <row r="577" spans="1:55" ht="11.25" customHeight="1" x14ac:dyDescent="0.2">
      <c r="A577" s="128">
        <v>122923.07692307691</v>
      </c>
      <c r="B577" s="122" t="s">
        <v>12</v>
      </c>
      <c r="C577" s="124"/>
      <c r="D577" s="171"/>
      <c r="E577" s="172"/>
      <c r="F577" s="124"/>
      <c r="G577" s="172"/>
      <c r="H577" s="124"/>
      <c r="I577" s="124"/>
      <c r="J577" s="124"/>
      <c r="K577" s="172"/>
      <c r="L577" s="124"/>
      <c r="M577" s="124"/>
      <c r="N577" s="172"/>
      <c r="O577" s="124"/>
      <c r="P577" s="124"/>
      <c r="Q577" s="124"/>
      <c r="R577" s="172"/>
      <c r="S577" s="124"/>
      <c r="T577" s="124"/>
      <c r="U577" s="173"/>
      <c r="V577" s="124"/>
      <c r="W577" s="124"/>
      <c r="X577" s="124"/>
      <c r="Y577" s="125"/>
      <c r="Z577" s="124"/>
      <c r="AA577" s="124"/>
      <c r="AB577" s="125"/>
      <c r="AC577" s="124"/>
      <c r="AD577" s="123"/>
      <c r="AE577" s="124"/>
      <c r="AF577" s="124"/>
      <c r="AG577" s="125"/>
      <c r="AH577" s="124"/>
      <c r="AI577" s="125"/>
      <c r="AJ577" s="124"/>
      <c r="AK577" s="124"/>
      <c r="AL577" s="124"/>
      <c r="AM577" s="124"/>
      <c r="AN577" s="125" t="s">
        <v>216</v>
      </c>
      <c r="AO577" s="124"/>
      <c r="AP577" s="125"/>
      <c r="AQ577" s="124"/>
      <c r="AR577" s="124"/>
      <c r="AS577" s="124"/>
      <c r="AT577" s="124"/>
      <c r="AU577" s="124"/>
      <c r="AV577" s="124"/>
      <c r="AW577" s="124"/>
      <c r="AX577" s="124"/>
      <c r="AY577" s="124"/>
      <c r="AZ577" s="124"/>
      <c r="BA577" s="124"/>
      <c r="BB577" s="124"/>
      <c r="BC577" s="124"/>
    </row>
    <row r="578" spans="1:55" ht="11.25" customHeight="1" x14ac:dyDescent="0.2">
      <c r="A578" s="128">
        <v>1598</v>
      </c>
      <c r="B578" s="136" t="s">
        <v>13</v>
      </c>
      <c r="C578" s="137">
        <v>0</v>
      </c>
      <c r="D578" s="171">
        <v>70</v>
      </c>
      <c r="E578" s="172">
        <v>0</v>
      </c>
      <c r="F578" s="137">
        <v>129</v>
      </c>
      <c r="G578" s="172">
        <v>0</v>
      </c>
      <c r="H578" s="137">
        <v>0</v>
      </c>
      <c r="I578" s="137">
        <v>0</v>
      </c>
      <c r="J578" s="137">
        <v>34</v>
      </c>
      <c r="K578" s="172">
        <v>0</v>
      </c>
      <c r="L578" s="137">
        <v>0</v>
      </c>
      <c r="M578" s="137">
        <v>117</v>
      </c>
      <c r="N578" s="172">
        <v>0</v>
      </c>
      <c r="O578" s="137">
        <v>0</v>
      </c>
      <c r="P578" s="137">
        <v>0</v>
      </c>
      <c r="Q578" s="137">
        <v>228</v>
      </c>
      <c r="R578" s="172">
        <v>0</v>
      </c>
      <c r="S578" s="137">
        <v>0</v>
      </c>
      <c r="T578" s="137">
        <v>114</v>
      </c>
      <c r="U578" s="173">
        <v>0</v>
      </c>
      <c r="V578" s="137">
        <v>0</v>
      </c>
      <c r="W578" s="137">
        <v>0</v>
      </c>
      <c r="X578" s="137">
        <v>137</v>
      </c>
      <c r="Y578" s="125">
        <v>0</v>
      </c>
      <c r="Z578" s="137">
        <v>0</v>
      </c>
      <c r="AA578" s="137">
        <v>76</v>
      </c>
      <c r="AB578" s="125">
        <v>0</v>
      </c>
      <c r="AC578" s="137">
        <v>46</v>
      </c>
      <c r="AD578" s="123">
        <v>0</v>
      </c>
      <c r="AE578" s="137">
        <v>0</v>
      </c>
      <c r="AF578" s="137">
        <v>73</v>
      </c>
      <c r="AG578" s="125">
        <v>0</v>
      </c>
      <c r="AH578" s="137">
        <v>49</v>
      </c>
      <c r="AI578" s="125">
        <v>0</v>
      </c>
      <c r="AJ578" s="137">
        <v>0</v>
      </c>
      <c r="AK578" s="137">
        <v>0</v>
      </c>
      <c r="AL578" s="137">
        <v>0</v>
      </c>
      <c r="AM578" s="137">
        <v>93</v>
      </c>
      <c r="AN578" s="125">
        <v>0</v>
      </c>
      <c r="AO578" s="137">
        <v>432</v>
      </c>
      <c r="AP578" s="125" t="s">
        <v>18</v>
      </c>
      <c r="AQ578" s="137" t="s">
        <v>18</v>
      </c>
      <c r="AR578" s="137" t="s">
        <v>18</v>
      </c>
      <c r="AS578" s="137" t="s">
        <v>18</v>
      </c>
      <c r="AT578" s="137" t="s">
        <v>18</v>
      </c>
      <c r="AU578" s="137" t="s">
        <v>18</v>
      </c>
      <c r="AV578" s="137" t="s">
        <v>18</v>
      </c>
      <c r="AW578" s="137" t="s">
        <v>18</v>
      </c>
      <c r="AX578" s="137" t="s">
        <v>18</v>
      </c>
      <c r="AY578" s="137" t="s">
        <v>18</v>
      </c>
      <c r="AZ578" s="137" t="s">
        <v>18</v>
      </c>
      <c r="BA578" s="137" t="s">
        <v>18</v>
      </c>
      <c r="BB578" s="137" t="s">
        <v>18</v>
      </c>
      <c r="BC578" s="137" t="s">
        <v>18</v>
      </c>
    </row>
    <row r="579" spans="1:55" ht="11.25" customHeight="1" x14ac:dyDescent="0.2">
      <c r="A579" s="128">
        <v>52</v>
      </c>
      <c r="B579" s="136" t="s">
        <v>14</v>
      </c>
      <c r="C579" s="137">
        <v>0</v>
      </c>
      <c r="D579" s="171">
        <v>3</v>
      </c>
      <c r="E579" s="172">
        <v>0</v>
      </c>
      <c r="F579" s="137">
        <v>5</v>
      </c>
      <c r="G579" s="172">
        <v>0</v>
      </c>
      <c r="H579" s="137">
        <v>0</v>
      </c>
      <c r="I579" s="137">
        <v>0</v>
      </c>
      <c r="J579" s="137">
        <v>1</v>
      </c>
      <c r="K579" s="172">
        <v>0</v>
      </c>
      <c r="L579" s="137">
        <v>0</v>
      </c>
      <c r="M579" s="137">
        <v>6</v>
      </c>
      <c r="N579" s="172">
        <v>0</v>
      </c>
      <c r="O579" s="137">
        <v>0</v>
      </c>
      <c r="P579" s="137">
        <v>0</v>
      </c>
      <c r="Q579" s="137">
        <v>3</v>
      </c>
      <c r="R579" s="172">
        <v>0</v>
      </c>
      <c r="S579" s="137">
        <v>0</v>
      </c>
      <c r="T579" s="137">
        <v>3</v>
      </c>
      <c r="U579" s="173">
        <v>0</v>
      </c>
      <c r="V579" s="137">
        <v>0</v>
      </c>
      <c r="W579" s="137">
        <v>0</v>
      </c>
      <c r="X579" s="137">
        <v>3</v>
      </c>
      <c r="Y579" s="125">
        <v>0</v>
      </c>
      <c r="Z579" s="137">
        <v>0</v>
      </c>
      <c r="AA579" s="137">
        <v>5</v>
      </c>
      <c r="AB579" s="125">
        <v>0</v>
      </c>
      <c r="AC579" s="137">
        <v>4</v>
      </c>
      <c r="AD579" s="123">
        <v>0</v>
      </c>
      <c r="AE579" s="137">
        <v>0</v>
      </c>
      <c r="AF579" s="137">
        <v>4</v>
      </c>
      <c r="AG579" s="125">
        <v>0</v>
      </c>
      <c r="AH579" s="137">
        <v>4</v>
      </c>
      <c r="AI579" s="125">
        <v>0</v>
      </c>
      <c r="AJ579" s="137">
        <v>0</v>
      </c>
      <c r="AK579" s="137">
        <v>0</v>
      </c>
      <c r="AL579" s="137">
        <v>0</v>
      </c>
      <c r="AM579" s="137">
        <v>6</v>
      </c>
      <c r="AN579" s="125">
        <v>0</v>
      </c>
      <c r="AO579" s="137">
        <v>5</v>
      </c>
      <c r="AP579" s="125" t="s">
        <v>18</v>
      </c>
      <c r="AQ579" s="137" t="s">
        <v>18</v>
      </c>
      <c r="AR579" s="137" t="s">
        <v>18</v>
      </c>
      <c r="AS579" s="137" t="s">
        <v>18</v>
      </c>
      <c r="AT579" s="137" t="s">
        <v>18</v>
      </c>
      <c r="AU579" s="137" t="s">
        <v>18</v>
      </c>
      <c r="AV579" s="137" t="s">
        <v>18</v>
      </c>
      <c r="AW579" s="137" t="s">
        <v>18</v>
      </c>
      <c r="AX579" s="137" t="s">
        <v>18</v>
      </c>
      <c r="AY579" s="137" t="s">
        <v>18</v>
      </c>
      <c r="AZ579" s="137" t="s">
        <v>18</v>
      </c>
      <c r="BA579" s="137" t="s">
        <v>18</v>
      </c>
      <c r="BB579" s="137" t="s">
        <v>18</v>
      </c>
      <c r="BC579" s="137" t="s">
        <v>18</v>
      </c>
    </row>
    <row r="580" spans="1:55" ht="11.25" customHeight="1" x14ac:dyDescent="0.2">
      <c r="A580" s="128">
        <v>31</v>
      </c>
      <c r="B580" s="136" t="s">
        <v>15</v>
      </c>
      <c r="C580" s="137">
        <v>0</v>
      </c>
      <c r="D580" s="171">
        <v>3</v>
      </c>
      <c r="E580" s="172">
        <v>0</v>
      </c>
      <c r="F580" s="137">
        <v>1</v>
      </c>
      <c r="G580" s="172">
        <v>0</v>
      </c>
      <c r="H580" s="137">
        <v>0</v>
      </c>
      <c r="I580" s="137">
        <v>0</v>
      </c>
      <c r="J580" s="137">
        <v>1</v>
      </c>
      <c r="K580" s="172">
        <v>0</v>
      </c>
      <c r="L580" s="137">
        <v>0</v>
      </c>
      <c r="M580" s="137">
        <v>6</v>
      </c>
      <c r="N580" s="172">
        <v>0</v>
      </c>
      <c r="O580" s="137">
        <v>0</v>
      </c>
      <c r="P580" s="137">
        <v>0</v>
      </c>
      <c r="Q580" s="137">
        <v>3</v>
      </c>
      <c r="R580" s="172">
        <v>0</v>
      </c>
      <c r="S580" s="137">
        <v>0</v>
      </c>
      <c r="T580" s="137">
        <v>0</v>
      </c>
      <c r="U580" s="173">
        <v>0</v>
      </c>
      <c r="V580" s="137">
        <v>0</v>
      </c>
      <c r="W580" s="137">
        <v>0</v>
      </c>
      <c r="X580" s="137">
        <v>3</v>
      </c>
      <c r="Y580" s="125">
        <v>0</v>
      </c>
      <c r="Z580" s="137">
        <v>0</v>
      </c>
      <c r="AA580" s="137">
        <v>5</v>
      </c>
      <c r="AB580" s="125">
        <v>0</v>
      </c>
      <c r="AC580" s="137">
        <v>4</v>
      </c>
      <c r="AD580" s="123">
        <v>0</v>
      </c>
      <c r="AE580" s="137">
        <v>0</v>
      </c>
      <c r="AF580" s="137">
        <v>0</v>
      </c>
      <c r="AG580" s="125">
        <v>0</v>
      </c>
      <c r="AH580" s="137">
        <v>0</v>
      </c>
      <c r="AI580" s="125">
        <v>0</v>
      </c>
      <c r="AJ580" s="137">
        <v>0</v>
      </c>
      <c r="AK580" s="137">
        <v>0</v>
      </c>
      <c r="AL580" s="137">
        <v>0</v>
      </c>
      <c r="AM580" s="137">
        <v>0</v>
      </c>
      <c r="AN580" s="125">
        <v>0</v>
      </c>
      <c r="AO580" s="137">
        <v>5</v>
      </c>
      <c r="AP580" s="125" t="s">
        <v>18</v>
      </c>
      <c r="AQ580" s="137" t="s">
        <v>18</v>
      </c>
      <c r="AR580" s="137" t="s">
        <v>18</v>
      </c>
      <c r="AS580" s="137" t="s">
        <v>18</v>
      </c>
      <c r="AT580" s="137" t="s">
        <v>18</v>
      </c>
      <c r="AU580" s="137" t="s">
        <v>18</v>
      </c>
      <c r="AV580" s="137" t="s">
        <v>18</v>
      </c>
      <c r="AW580" s="137" t="s">
        <v>18</v>
      </c>
      <c r="AX580" s="137" t="s">
        <v>18</v>
      </c>
      <c r="AY580" s="137" t="s">
        <v>18</v>
      </c>
      <c r="AZ580" s="137" t="s">
        <v>18</v>
      </c>
      <c r="BA580" s="137" t="s">
        <v>18</v>
      </c>
      <c r="BB580" s="137" t="s">
        <v>18</v>
      </c>
      <c r="BC580" s="137" t="s">
        <v>18</v>
      </c>
    </row>
    <row r="581" spans="1:55" ht="11.25" customHeight="1" x14ac:dyDescent="0.2">
      <c r="A581" s="128">
        <v>27000</v>
      </c>
      <c r="B581" s="136" t="s">
        <v>16</v>
      </c>
      <c r="C581" s="137">
        <v>0</v>
      </c>
      <c r="D581" s="171">
        <v>2250</v>
      </c>
      <c r="E581" s="172">
        <v>0</v>
      </c>
      <c r="F581" s="137">
        <v>750</v>
      </c>
      <c r="G581" s="172">
        <v>0</v>
      </c>
      <c r="H581" s="137">
        <v>0</v>
      </c>
      <c r="I581" s="137">
        <v>0</v>
      </c>
      <c r="J581" s="137">
        <v>750</v>
      </c>
      <c r="K581" s="172">
        <v>0</v>
      </c>
      <c r="L581" s="137">
        <v>0</v>
      </c>
      <c r="M581" s="137">
        <v>4500</v>
      </c>
      <c r="N581" s="172">
        <v>0</v>
      </c>
      <c r="O581" s="137">
        <v>0</v>
      </c>
      <c r="P581" s="137">
        <v>0</v>
      </c>
      <c r="Q581" s="137">
        <v>2250</v>
      </c>
      <c r="R581" s="172">
        <v>0</v>
      </c>
      <c r="S581" s="137">
        <v>0</v>
      </c>
      <c r="T581" s="137">
        <v>0</v>
      </c>
      <c r="U581" s="173">
        <v>0</v>
      </c>
      <c r="V581" s="137">
        <v>0</v>
      </c>
      <c r="W581" s="137">
        <v>0</v>
      </c>
      <c r="X581" s="137">
        <v>2250</v>
      </c>
      <c r="Y581" s="125">
        <v>0</v>
      </c>
      <c r="Z581" s="137">
        <v>0</v>
      </c>
      <c r="AA581" s="137">
        <v>3750</v>
      </c>
      <c r="AB581" s="125">
        <v>0</v>
      </c>
      <c r="AC581" s="137">
        <v>3000</v>
      </c>
      <c r="AD581" s="123">
        <v>0</v>
      </c>
      <c r="AE581" s="137">
        <v>0</v>
      </c>
      <c r="AF581" s="137">
        <v>0</v>
      </c>
      <c r="AG581" s="125">
        <v>0</v>
      </c>
      <c r="AH581" s="137">
        <v>0</v>
      </c>
      <c r="AI581" s="125">
        <v>0</v>
      </c>
      <c r="AJ581" s="137">
        <v>0</v>
      </c>
      <c r="AK581" s="137">
        <v>0</v>
      </c>
      <c r="AL581" s="137">
        <v>0</v>
      </c>
      <c r="AM581" s="137">
        <v>0</v>
      </c>
      <c r="AN581" s="125">
        <v>0</v>
      </c>
      <c r="AO581" s="137">
        <v>7500</v>
      </c>
      <c r="AP581" s="125" t="s">
        <v>18</v>
      </c>
      <c r="AQ581" s="137" t="s">
        <v>18</v>
      </c>
      <c r="AR581" s="137" t="s">
        <v>18</v>
      </c>
      <c r="AS581" s="137" t="s">
        <v>18</v>
      </c>
      <c r="AT581" s="137" t="s">
        <v>18</v>
      </c>
      <c r="AU581" s="137" t="s">
        <v>18</v>
      </c>
      <c r="AV581" s="137" t="s">
        <v>18</v>
      </c>
      <c r="AW581" s="137" t="s">
        <v>18</v>
      </c>
      <c r="AX581" s="137" t="s">
        <v>18</v>
      </c>
      <c r="AY581" s="137" t="s">
        <v>18</v>
      </c>
      <c r="AZ581" s="137" t="s">
        <v>18</v>
      </c>
      <c r="BA581" s="137" t="s">
        <v>18</v>
      </c>
      <c r="BB581" s="137" t="s">
        <v>18</v>
      </c>
      <c r="BC581" s="137" t="s">
        <v>18</v>
      </c>
    </row>
    <row r="582" spans="1:55" ht="11.25" customHeight="1" thickBot="1" x14ac:dyDescent="0.25">
      <c r="A582" s="138">
        <v>0.16896120150187735</v>
      </c>
      <c r="B582" s="139" t="s">
        <v>17</v>
      </c>
      <c r="C582" s="141" t="s">
        <v>18</v>
      </c>
      <c r="D582" s="180">
        <v>0.32142857142857145</v>
      </c>
      <c r="E582" s="181" t="s">
        <v>18</v>
      </c>
      <c r="F582" s="141">
        <v>5.8139534883720929E-2</v>
      </c>
      <c r="G582" s="181" t="s">
        <v>18</v>
      </c>
      <c r="H582" s="141" t="s">
        <v>18</v>
      </c>
      <c r="I582" s="141" t="s">
        <v>18</v>
      </c>
      <c r="J582" s="141">
        <v>0.22058823529411764</v>
      </c>
      <c r="K582" s="181" t="s">
        <v>18</v>
      </c>
      <c r="L582" s="141" t="s">
        <v>18</v>
      </c>
      <c r="M582" s="141">
        <v>0.38461538461538464</v>
      </c>
      <c r="N582" s="181" t="s">
        <v>18</v>
      </c>
      <c r="O582" s="141" t="s">
        <v>18</v>
      </c>
      <c r="P582" s="141" t="s">
        <v>18</v>
      </c>
      <c r="Q582" s="141">
        <v>9.8684210526315791E-2</v>
      </c>
      <c r="R582" s="181" t="s">
        <v>18</v>
      </c>
      <c r="S582" s="141" t="s">
        <v>18</v>
      </c>
      <c r="T582" s="141" t="s">
        <v>18</v>
      </c>
      <c r="U582" s="182" t="s">
        <v>18</v>
      </c>
      <c r="V582" s="141" t="s">
        <v>18</v>
      </c>
      <c r="W582" s="141" t="s">
        <v>18</v>
      </c>
      <c r="X582" s="141">
        <v>0.16423357664233576</v>
      </c>
      <c r="Y582" s="142" t="s">
        <v>18</v>
      </c>
      <c r="Z582" s="141" t="s">
        <v>18</v>
      </c>
      <c r="AA582" s="141">
        <v>0.49342105263157893</v>
      </c>
      <c r="AB582" s="142" t="s">
        <v>18</v>
      </c>
      <c r="AC582" s="141">
        <v>0.65217391304347827</v>
      </c>
      <c r="AD582" s="140" t="s">
        <v>18</v>
      </c>
      <c r="AE582" s="141" t="s">
        <v>18</v>
      </c>
      <c r="AF582" s="141" t="s">
        <v>18</v>
      </c>
      <c r="AG582" s="142" t="s">
        <v>18</v>
      </c>
      <c r="AH582" s="141" t="s">
        <v>18</v>
      </c>
      <c r="AI582" s="142" t="s">
        <v>18</v>
      </c>
      <c r="AJ582" s="141" t="s">
        <v>18</v>
      </c>
      <c r="AK582" s="141" t="s">
        <v>18</v>
      </c>
      <c r="AL582" s="141" t="s">
        <v>18</v>
      </c>
      <c r="AM582" s="141" t="s">
        <v>18</v>
      </c>
      <c r="AN582" s="142" t="s">
        <v>18</v>
      </c>
      <c r="AO582" s="141">
        <v>0.1736111111111111</v>
      </c>
      <c r="AP582" s="142" t="s">
        <v>18</v>
      </c>
      <c r="AQ582" s="141" t="s">
        <v>18</v>
      </c>
      <c r="AR582" s="141" t="s">
        <v>18</v>
      </c>
      <c r="AS582" s="141" t="s">
        <v>18</v>
      </c>
      <c r="AT582" s="141" t="s">
        <v>18</v>
      </c>
      <c r="AU582" s="141" t="s">
        <v>18</v>
      </c>
      <c r="AV582" s="141" t="s">
        <v>18</v>
      </c>
      <c r="AW582" s="141" t="s">
        <v>18</v>
      </c>
      <c r="AX582" s="141" t="s">
        <v>18</v>
      </c>
      <c r="AY582" s="141" t="s">
        <v>18</v>
      </c>
      <c r="AZ582" s="141" t="s">
        <v>18</v>
      </c>
      <c r="BA582" s="141" t="s">
        <v>18</v>
      </c>
      <c r="BB582" s="141" t="s">
        <v>18</v>
      </c>
      <c r="BC582" s="141" t="s">
        <v>18</v>
      </c>
    </row>
    <row r="583" spans="1:55" ht="11.25" customHeight="1" x14ac:dyDescent="0.2">
      <c r="A583" s="116" t="s">
        <v>1</v>
      </c>
      <c r="B583" s="117" t="s">
        <v>2</v>
      </c>
      <c r="C583" s="119">
        <v>12956</v>
      </c>
      <c r="D583" s="168">
        <v>13026</v>
      </c>
      <c r="E583" s="169">
        <v>13026</v>
      </c>
      <c r="F583" s="119">
        <v>13122</v>
      </c>
      <c r="G583" s="169">
        <v>13122</v>
      </c>
      <c r="H583" s="119">
        <v>13122</v>
      </c>
      <c r="I583" s="119">
        <v>13122</v>
      </c>
      <c r="J583" s="119">
        <v>13153</v>
      </c>
      <c r="K583" s="169">
        <v>13153</v>
      </c>
      <c r="L583" s="119">
        <v>13153</v>
      </c>
      <c r="M583" s="119">
        <v>13265</v>
      </c>
      <c r="N583" s="169">
        <v>13265</v>
      </c>
      <c r="O583" s="119">
        <v>13265</v>
      </c>
      <c r="P583" s="119">
        <v>13265</v>
      </c>
      <c r="Q583" s="119">
        <v>13308</v>
      </c>
      <c r="R583" s="169">
        <v>13308</v>
      </c>
      <c r="S583" s="119">
        <v>13308</v>
      </c>
      <c r="T583" s="119">
        <v>13372</v>
      </c>
      <c r="U583" s="170">
        <v>13372</v>
      </c>
      <c r="V583" s="119">
        <v>13372</v>
      </c>
      <c r="W583" s="119">
        <v>13372</v>
      </c>
      <c r="X583" s="119">
        <v>13411</v>
      </c>
      <c r="Y583" s="120">
        <v>13411</v>
      </c>
      <c r="Z583" s="119">
        <v>13411</v>
      </c>
      <c r="AA583" s="119">
        <v>13490</v>
      </c>
      <c r="AB583" s="120">
        <v>13490</v>
      </c>
      <c r="AC583" s="119">
        <v>13507</v>
      </c>
      <c r="AD583" s="118">
        <v>13507</v>
      </c>
      <c r="AE583" s="119">
        <v>13507</v>
      </c>
      <c r="AF583" s="119">
        <v>13572</v>
      </c>
      <c r="AG583" s="120">
        <v>13572</v>
      </c>
      <c r="AH583" s="119">
        <v>13632</v>
      </c>
      <c r="AI583" s="120">
        <v>13632</v>
      </c>
      <c r="AJ583" s="119">
        <v>13632</v>
      </c>
      <c r="AK583" s="119">
        <v>13632</v>
      </c>
      <c r="AL583" s="119">
        <v>13632</v>
      </c>
      <c r="AM583" s="119">
        <v>13672</v>
      </c>
      <c r="AN583" s="120">
        <v>13672</v>
      </c>
      <c r="AO583" s="119">
        <v>13705</v>
      </c>
      <c r="AP583" s="120" t="s">
        <v>18</v>
      </c>
      <c r="AQ583" s="119" t="s">
        <v>18</v>
      </c>
      <c r="AR583" s="119" t="s">
        <v>18</v>
      </c>
      <c r="AS583" s="119" t="s">
        <v>18</v>
      </c>
      <c r="AT583" s="119" t="s">
        <v>18</v>
      </c>
      <c r="AU583" s="119" t="s">
        <v>18</v>
      </c>
      <c r="AV583" s="119" t="s">
        <v>18</v>
      </c>
      <c r="AW583" s="119" t="s">
        <v>18</v>
      </c>
      <c r="AX583" s="119" t="s">
        <v>18</v>
      </c>
      <c r="AY583" s="119" t="s">
        <v>18</v>
      </c>
      <c r="AZ583" s="119" t="s">
        <v>18</v>
      </c>
      <c r="BA583" s="119" t="s">
        <v>18</v>
      </c>
      <c r="BB583" s="119" t="s">
        <v>18</v>
      </c>
      <c r="BC583" s="119" t="s">
        <v>18</v>
      </c>
    </row>
    <row r="584" spans="1:55" ht="11.25" customHeight="1" x14ac:dyDescent="0.2">
      <c r="A584" s="121" t="s">
        <v>47</v>
      </c>
      <c r="B584" s="122" t="s">
        <v>4</v>
      </c>
      <c r="C584" s="124">
        <v>415</v>
      </c>
      <c r="D584" s="171">
        <v>418</v>
      </c>
      <c r="E584" s="172">
        <v>418</v>
      </c>
      <c r="F584" s="124">
        <v>431</v>
      </c>
      <c r="G584" s="172">
        <v>431</v>
      </c>
      <c r="H584" s="124">
        <v>431</v>
      </c>
      <c r="I584" s="124">
        <v>431</v>
      </c>
      <c r="J584" s="124">
        <v>432</v>
      </c>
      <c r="K584" s="172">
        <v>432</v>
      </c>
      <c r="L584" s="124">
        <v>432</v>
      </c>
      <c r="M584" s="124">
        <v>454</v>
      </c>
      <c r="N584" s="172">
        <v>454</v>
      </c>
      <c r="O584" s="124">
        <v>454</v>
      </c>
      <c r="P584" s="124">
        <v>454</v>
      </c>
      <c r="Q584" s="124">
        <v>456</v>
      </c>
      <c r="R584" s="172">
        <v>456</v>
      </c>
      <c r="S584" s="124">
        <v>456</v>
      </c>
      <c r="T584" s="124">
        <v>462</v>
      </c>
      <c r="U584" s="173">
        <v>462</v>
      </c>
      <c r="V584" s="124">
        <v>462</v>
      </c>
      <c r="W584" s="124">
        <v>462</v>
      </c>
      <c r="X584" s="124">
        <v>466</v>
      </c>
      <c r="Y584" s="125">
        <v>466</v>
      </c>
      <c r="Z584" s="124">
        <v>466</v>
      </c>
      <c r="AA584" s="124">
        <v>472</v>
      </c>
      <c r="AB584" s="125">
        <v>472</v>
      </c>
      <c r="AC584" s="124">
        <v>473</v>
      </c>
      <c r="AD584" s="123">
        <v>473</v>
      </c>
      <c r="AE584" s="124">
        <v>473</v>
      </c>
      <c r="AF584" s="124">
        <v>480</v>
      </c>
      <c r="AG584" s="125">
        <v>480</v>
      </c>
      <c r="AH584" s="124">
        <v>481</v>
      </c>
      <c r="AI584" s="125">
        <v>481</v>
      </c>
      <c r="AJ584" s="124">
        <v>481</v>
      </c>
      <c r="AK584" s="124">
        <v>481</v>
      </c>
      <c r="AL584" s="124">
        <v>481</v>
      </c>
      <c r="AM584" s="124">
        <v>485</v>
      </c>
      <c r="AN584" s="125">
        <v>485</v>
      </c>
      <c r="AO584" s="124">
        <v>489</v>
      </c>
      <c r="AP584" s="125" t="s">
        <v>18</v>
      </c>
      <c r="AQ584" s="124" t="s">
        <v>18</v>
      </c>
      <c r="AR584" s="124" t="s">
        <v>18</v>
      </c>
      <c r="AS584" s="124" t="s">
        <v>18</v>
      </c>
      <c r="AT584" s="124" t="s">
        <v>18</v>
      </c>
      <c r="AU584" s="124" t="s">
        <v>18</v>
      </c>
      <c r="AV584" s="124" t="s">
        <v>18</v>
      </c>
      <c r="AW584" s="124" t="s">
        <v>18</v>
      </c>
      <c r="AX584" s="124" t="s">
        <v>18</v>
      </c>
      <c r="AY584" s="124" t="s">
        <v>18</v>
      </c>
      <c r="AZ584" s="124" t="s">
        <v>18</v>
      </c>
      <c r="BA584" s="124" t="s">
        <v>18</v>
      </c>
      <c r="BB584" s="124" t="s">
        <v>18</v>
      </c>
      <c r="BC584" s="124" t="s">
        <v>18</v>
      </c>
    </row>
    <row r="585" spans="1:55" ht="11.25" customHeight="1" x14ac:dyDescent="0.25">
      <c r="A585" s="126"/>
      <c r="B585" s="122" t="s">
        <v>5</v>
      </c>
      <c r="C585" s="124">
        <v>39</v>
      </c>
      <c r="D585" s="171">
        <v>43</v>
      </c>
      <c r="E585" s="172">
        <v>50</v>
      </c>
      <c r="F585" s="124">
        <v>37</v>
      </c>
      <c r="G585" s="172">
        <v>44</v>
      </c>
      <c r="H585" s="124">
        <v>44</v>
      </c>
      <c r="I585" s="124">
        <v>44</v>
      </c>
      <c r="J585" s="124">
        <v>43</v>
      </c>
      <c r="K585" s="172">
        <v>43</v>
      </c>
      <c r="L585" s="124">
        <v>43</v>
      </c>
      <c r="M585" s="124">
        <v>38</v>
      </c>
      <c r="N585" s="172">
        <v>38</v>
      </c>
      <c r="O585" s="124">
        <v>38</v>
      </c>
      <c r="P585" s="124">
        <v>38</v>
      </c>
      <c r="Q585" s="124">
        <v>26</v>
      </c>
      <c r="R585" s="172">
        <v>26</v>
      </c>
      <c r="S585" s="124">
        <v>26</v>
      </c>
      <c r="T585" s="124">
        <v>26</v>
      </c>
      <c r="U585" s="173">
        <v>26</v>
      </c>
      <c r="V585" s="124">
        <v>26</v>
      </c>
      <c r="W585" s="124">
        <v>26</v>
      </c>
      <c r="X585" s="124">
        <v>22</v>
      </c>
      <c r="Y585" s="125">
        <v>22</v>
      </c>
      <c r="Z585" s="124">
        <v>22</v>
      </c>
      <c r="AA585" s="124">
        <v>22</v>
      </c>
      <c r="AB585" s="125">
        <v>22</v>
      </c>
      <c r="AC585" s="124">
        <v>22</v>
      </c>
      <c r="AD585" s="123">
        <v>22</v>
      </c>
      <c r="AE585" s="124">
        <v>22</v>
      </c>
      <c r="AF585" s="124">
        <v>22</v>
      </c>
      <c r="AG585" s="125">
        <v>40</v>
      </c>
      <c r="AH585" s="124">
        <v>39</v>
      </c>
      <c r="AI585" s="125">
        <v>39</v>
      </c>
      <c r="AJ585" s="124">
        <v>39</v>
      </c>
      <c r="AK585" s="124">
        <v>39</v>
      </c>
      <c r="AL585" s="124">
        <v>39</v>
      </c>
      <c r="AM585" s="124">
        <v>39</v>
      </c>
      <c r="AN585" s="125">
        <v>39</v>
      </c>
      <c r="AO585" s="124">
        <v>35</v>
      </c>
      <c r="AP585" s="125" t="s">
        <v>18</v>
      </c>
      <c r="AQ585" s="124" t="s">
        <v>18</v>
      </c>
      <c r="AR585" s="124" t="s">
        <v>18</v>
      </c>
      <c r="AS585" s="124" t="s">
        <v>18</v>
      </c>
      <c r="AT585" s="124" t="s">
        <v>18</v>
      </c>
      <c r="AU585" s="124" t="s">
        <v>18</v>
      </c>
      <c r="AV585" s="124" t="s">
        <v>18</v>
      </c>
      <c r="AW585" s="124" t="s">
        <v>18</v>
      </c>
      <c r="AX585" s="124" t="s">
        <v>18</v>
      </c>
      <c r="AY585" s="124" t="s">
        <v>18</v>
      </c>
      <c r="AZ585" s="124" t="s">
        <v>18</v>
      </c>
      <c r="BA585" s="124" t="s">
        <v>18</v>
      </c>
      <c r="BB585" s="124" t="s">
        <v>18</v>
      </c>
      <c r="BC585" s="124" t="s">
        <v>18</v>
      </c>
    </row>
    <row r="586" spans="1:55" ht="11.25" customHeight="1" x14ac:dyDescent="0.2">
      <c r="A586" s="127"/>
      <c r="B586" s="122" t="s">
        <v>6</v>
      </c>
      <c r="C586" s="124">
        <v>7</v>
      </c>
      <c r="D586" s="171">
        <v>7</v>
      </c>
      <c r="E586" s="172"/>
      <c r="F586" s="124">
        <v>7</v>
      </c>
      <c r="G586" s="172"/>
      <c r="H586" s="124"/>
      <c r="I586" s="124"/>
      <c r="J586" s="124"/>
      <c r="K586" s="172"/>
      <c r="L586" s="124"/>
      <c r="M586" s="124"/>
      <c r="N586" s="172"/>
      <c r="O586" s="124"/>
      <c r="P586" s="124"/>
      <c r="Q586" s="124"/>
      <c r="R586" s="172"/>
      <c r="S586" s="124"/>
      <c r="T586" s="124"/>
      <c r="U586" s="173"/>
      <c r="V586" s="124"/>
      <c r="W586" s="124"/>
      <c r="X586" s="124"/>
      <c r="Y586" s="125"/>
      <c r="Z586" s="124"/>
      <c r="AA586" s="124"/>
      <c r="AB586" s="125"/>
      <c r="AC586" s="124"/>
      <c r="AD586" s="123"/>
      <c r="AE586" s="124"/>
      <c r="AF586" s="124">
        <v>18</v>
      </c>
      <c r="AG586" s="125"/>
      <c r="AH586" s="124"/>
      <c r="AI586" s="125"/>
      <c r="AJ586" s="124"/>
      <c r="AK586" s="124"/>
      <c r="AL586" s="124"/>
      <c r="AM586" s="124"/>
      <c r="AN586" s="125"/>
      <c r="AO586" s="124"/>
      <c r="AP586" s="125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</row>
    <row r="587" spans="1:55" ht="11.25" customHeight="1" x14ac:dyDescent="0.2">
      <c r="A587" s="128"/>
      <c r="B587" s="122" t="s">
        <v>8</v>
      </c>
      <c r="C587" s="130">
        <v>700</v>
      </c>
      <c r="D587" s="174">
        <v>700</v>
      </c>
      <c r="E587" s="175">
        <v>700</v>
      </c>
      <c r="F587" s="130">
        <v>700</v>
      </c>
      <c r="G587" s="175">
        <v>700</v>
      </c>
      <c r="H587" s="130">
        <v>700</v>
      </c>
      <c r="I587" s="130">
        <v>700</v>
      </c>
      <c r="J587" s="130">
        <v>700</v>
      </c>
      <c r="K587" s="175">
        <v>700</v>
      </c>
      <c r="L587" s="130">
        <v>700</v>
      </c>
      <c r="M587" s="130">
        <v>700</v>
      </c>
      <c r="N587" s="175">
        <v>700</v>
      </c>
      <c r="O587" s="130">
        <v>700</v>
      </c>
      <c r="P587" s="130">
        <v>700</v>
      </c>
      <c r="Q587" s="130">
        <v>700</v>
      </c>
      <c r="R587" s="175">
        <v>700</v>
      </c>
      <c r="S587" s="130">
        <v>700</v>
      </c>
      <c r="T587" s="130">
        <v>700</v>
      </c>
      <c r="U587" s="176">
        <v>700</v>
      </c>
      <c r="V587" s="130">
        <v>700</v>
      </c>
      <c r="W587" s="130">
        <v>700</v>
      </c>
      <c r="X587" s="130">
        <v>700</v>
      </c>
      <c r="Y587" s="131">
        <v>700</v>
      </c>
      <c r="Z587" s="130">
        <v>700</v>
      </c>
      <c r="AA587" s="130">
        <v>700</v>
      </c>
      <c r="AB587" s="131">
        <v>700</v>
      </c>
      <c r="AC587" s="130">
        <v>700</v>
      </c>
      <c r="AD587" s="129">
        <v>500</v>
      </c>
      <c r="AE587" s="130">
        <v>500</v>
      </c>
      <c r="AF587" s="130">
        <v>500</v>
      </c>
      <c r="AG587" s="131">
        <v>500</v>
      </c>
      <c r="AH587" s="130">
        <v>500</v>
      </c>
      <c r="AI587" s="131">
        <v>500</v>
      </c>
      <c r="AJ587" s="130">
        <v>500</v>
      </c>
      <c r="AK587" s="130">
        <v>500</v>
      </c>
      <c r="AL587" s="130">
        <v>500</v>
      </c>
      <c r="AM587" s="130">
        <v>500</v>
      </c>
      <c r="AN587" s="131">
        <v>500</v>
      </c>
      <c r="AO587" s="130">
        <v>500</v>
      </c>
      <c r="AP587" s="131" t="s">
        <v>18</v>
      </c>
      <c r="AQ587" s="130" t="s">
        <v>18</v>
      </c>
      <c r="AR587" s="130" t="s">
        <v>18</v>
      </c>
      <c r="AS587" s="130" t="s">
        <v>18</v>
      </c>
      <c r="AT587" s="130" t="s">
        <v>18</v>
      </c>
      <c r="AU587" s="130" t="s">
        <v>18</v>
      </c>
      <c r="AV587" s="130" t="s">
        <v>18</v>
      </c>
      <c r="AW587" s="130" t="s">
        <v>18</v>
      </c>
      <c r="AX587" s="130" t="s">
        <v>18</v>
      </c>
      <c r="AY587" s="130" t="s">
        <v>18</v>
      </c>
      <c r="AZ587" s="130" t="s">
        <v>18</v>
      </c>
      <c r="BA587" s="130" t="s">
        <v>18</v>
      </c>
      <c r="BB587" s="130" t="s">
        <v>18</v>
      </c>
      <c r="BC587" s="130" t="s">
        <v>18</v>
      </c>
    </row>
    <row r="588" spans="1:55" ht="11.25" customHeight="1" x14ac:dyDescent="0.2">
      <c r="A588" s="127" t="s">
        <v>9</v>
      </c>
      <c r="B588" s="132" t="s">
        <v>10</v>
      </c>
      <c r="C588" s="134" t="s">
        <v>48</v>
      </c>
      <c r="D588" s="177" t="s">
        <v>48</v>
      </c>
      <c r="E588" s="178" t="s">
        <v>48</v>
      </c>
      <c r="F588" s="134" t="s">
        <v>48</v>
      </c>
      <c r="G588" s="178" t="s">
        <v>48</v>
      </c>
      <c r="H588" s="134" t="s">
        <v>48</v>
      </c>
      <c r="I588" s="134" t="s">
        <v>48</v>
      </c>
      <c r="J588" s="134" t="s">
        <v>48</v>
      </c>
      <c r="K588" s="178" t="s">
        <v>48</v>
      </c>
      <c r="L588" s="134" t="s">
        <v>48</v>
      </c>
      <c r="M588" s="134" t="s">
        <v>48</v>
      </c>
      <c r="N588" s="178" t="s">
        <v>48</v>
      </c>
      <c r="O588" s="134" t="s">
        <v>48</v>
      </c>
      <c r="P588" s="134" t="s">
        <v>48</v>
      </c>
      <c r="Q588" s="134" t="s">
        <v>48</v>
      </c>
      <c r="R588" s="178" t="s">
        <v>48</v>
      </c>
      <c r="S588" s="134" t="s">
        <v>48</v>
      </c>
      <c r="T588" s="134" t="s">
        <v>48</v>
      </c>
      <c r="U588" s="179" t="s">
        <v>48</v>
      </c>
      <c r="V588" s="134" t="s">
        <v>48</v>
      </c>
      <c r="W588" s="134" t="s">
        <v>48</v>
      </c>
      <c r="X588" s="134" t="s">
        <v>48</v>
      </c>
      <c r="Y588" s="135" t="s">
        <v>48</v>
      </c>
      <c r="Z588" s="134" t="s">
        <v>48</v>
      </c>
      <c r="AA588" s="134" t="s">
        <v>48</v>
      </c>
      <c r="AB588" s="135" t="s">
        <v>48</v>
      </c>
      <c r="AC588" s="134" t="s">
        <v>48</v>
      </c>
      <c r="AD588" s="133" t="s">
        <v>48</v>
      </c>
      <c r="AE588" s="134" t="s">
        <v>48</v>
      </c>
      <c r="AF588" s="134" t="s">
        <v>48</v>
      </c>
      <c r="AG588" s="135" t="s">
        <v>48</v>
      </c>
      <c r="AH588" s="134" t="s">
        <v>48</v>
      </c>
      <c r="AI588" s="135" t="s">
        <v>48</v>
      </c>
      <c r="AJ588" s="134" t="s">
        <v>48</v>
      </c>
      <c r="AK588" s="134" t="s">
        <v>48</v>
      </c>
      <c r="AL588" s="134" t="s">
        <v>48</v>
      </c>
      <c r="AM588" s="134" t="s">
        <v>48</v>
      </c>
      <c r="AN588" s="135" t="s">
        <v>48</v>
      </c>
      <c r="AO588" s="134" t="s">
        <v>48</v>
      </c>
      <c r="AP588" s="135" t="s">
        <v>18</v>
      </c>
      <c r="AQ588" s="134" t="s">
        <v>18</v>
      </c>
      <c r="AR588" s="134" t="s">
        <v>18</v>
      </c>
      <c r="AS588" s="134" t="s">
        <v>18</v>
      </c>
      <c r="AT588" s="134" t="s">
        <v>18</v>
      </c>
      <c r="AU588" s="134" t="s">
        <v>18</v>
      </c>
      <c r="AV588" s="134" t="s">
        <v>18</v>
      </c>
      <c r="AW588" s="134" t="s">
        <v>18</v>
      </c>
      <c r="AX588" s="134" t="s">
        <v>18</v>
      </c>
      <c r="AY588" s="134" t="s">
        <v>18</v>
      </c>
      <c r="AZ588" s="134" t="s">
        <v>18</v>
      </c>
      <c r="BA588" s="134" t="s">
        <v>18</v>
      </c>
      <c r="BB588" s="134" t="s">
        <v>18</v>
      </c>
      <c r="BC588" s="134" t="s">
        <v>18</v>
      </c>
    </row>
    <row r="589" spans="1:55" ht="11.25" customHeight="1" x14ac:dyDescent="0.2">
      <c r="A589" s="128">
        <v>57615.384615384617</v>
      </c>
      <c r="B589" s="122" t="s">
        <v>12</v>
      </c>
      <c r="C589" s="124"/>
      <c r="D589" s="171"/>
      <c r="E589" s="172"/>
      <c r="F589" s="124"/>
      <c r="G589" s="172"/>
      <c r="H589" s="124"/>
      <c r="I589" s="124"/>
      <c r="J589" s="124"/>
      <c r="K589" s="172"/>
      <c r="L589" s="124"/>
      <c r="M589" s="124"/>
      <c r="N589" s="172"/>
      <c r="O589" s="124"/>
      <c r="P589" s="124"/>
      <c r="Q589" s="124"/>
      <c r="R589" s="172"/>
      <c r="S589" s="124"/>
      <c r="T589" s="124"/>
      <c r="U589" s="173"/>
      <c r="V589" s="124"/>
      <c r="W589" s="124"/>
      <c r="X589" s="124"/>
      <c r="Y589" s="125"/>
      <c r="Z589" s="124"/>
      <c r="AA589" s="124"/>
      <c r="AB589" s="125"/>
      <c r="AC589" s="124"/>
      <c r="AD589" s="123"/>
      <c r="AE589" s="124"/>
      <c r="AF589" s="124"/>
      <c r="AG589" s="125"/>
      <c r="AH589" s="124"/>
      <c r="AI589" s="125"/>
      <c r="AJ589" s="124"/>
      <c r="AK589" s="124"/>
      <c r="AL589" s="124"/>
      <c r="AM589" s="124"/>
      <c r="AN589" s="125"/>
      <c r="AO589" s="124"/>
      <c r="AP589" s="125"/>
      <c r="AQ589" s="124"/>
      <c r="AR589" s="124"/>
      <c r="AS589" s="124"/>
      <c r="AT589" s="124"/>
      <c r="AU589" s="124"/>
      <c r="AV589" s="124"/>
      <c r="AW589" s="124"/>
      <c r="AX589" s="124"/>
      <c r="AY589" s="124"/>
      <c r="AZ589" s="124"/>
      <c r="BA589" s="124"/>
      <c r="BB589" s="124"/>
      <c r="BC589" s="124"/>
    </row>
    <row r="590" spans="1:55" ht="11.25" customHeight="1" x14ac:dyDescent="0.2">
      <c r="A590" s="128">
        <v>749</v>
      </c>
      <c r="B590" s="136" t="s">
        <v>13</v>
      </c>
      <c r="C590" s="137">
        <v>0</v>
      </c>
      <c r="D590" s="171">
        <v>70</v>
      </c>
      <c r="E590" s="172">
        <v>0</v>
      </c>
      <c r="F590" s="137">
        <v>96</v>
      </c>
      <c r="G590" s="172">
        <v>0</v>
      </c>
      <c r="H590" s="137">
        <v>0</v>
      </c>
      <c r="I590" s="137">
        <v>0</v>
      </c>
      <c r="J590" s="137">
        <v>31</v>
      </c>
      <c r="K590" s="172">
        <v>0</v>
      </c>
      <c r="L590" s="137">
        <v>0</v>
      </c>
      <c r="M590" s="137">
        <v>112</v>
      </c>
      <c r="N590" s="172">
        <v>0</v>
      </c>
      <c r="O590" s="137">
        <v>0</v>
      </c>
      <c r="P590" s="137">
        <v>0</v>
      </c>
      <c r="Q590" s="137">
        <v>43</v>
      </c>
      <c r="R590" s="172">
        <v>0</v>
      </c>
      <c r="S590" s="137">
        <v>0</v>
      </c>
      <c r="T590" s="137">
        <v>64</v>
      </c>
      <c r="U590" s="173">
        <v>0</v>
      </c>
      <c r="V590" s="137">
        <v>0</v>
      </c>
      <c r="W590" s="137">
        <v>0</v>
      </c>
      <c r="X590" s="137">
        <v>39</v>
      </c>
      <c r="Y590" s="125">
        <v>0</v>
      </c>
      <c r="Z590" s="137">
        <v>0</v>
      </c>
      <c r="AA590" s="137">
        <v>79</v>
      </c>
      <c r="AB590" s="125">
        <v>0</v>
      </c>
      <c r="AC590" s="137">
        <v>17</v>
      </c>
      <c r="AD590" s="123">
        <v>0</v>
      </c>
      <c r="AE590" s="137">
        <v>0</v>
      </c>
      <c r="AF590" s="137">
        <v>65</v>
      </c>
      <c r="AG590" s="125">
        <v>0</v>
      </c>
      <c r="AH590" s="137">
        <v>60</v>
      </c>
      <c r="AI590" s="125">
        <v>0</v>
      </c>
      <c r="AJ590" s="137">
        <v>0</v>
      </c>
      <c r="AK590" s="137">
        <v>0</v>
      </c>
      <c r="AL590" s="137">
        <v>0</v>
      </c>
      <c r="AM590" s="137">
        <v>40</v>
      </c>
      <c r="AN590" s="125">
        <v>0</v>
      </c>
      <c r="AO590" s="137">
        <v>33</v>
      </c>
      <c r="AP590" s="125" t="s">
        <v>18</v>
      </c>
      <c r="AQ590" s="137" t="s">
        <v>18</v>
      </c>
      <c r="AR590" s="137" t="s">
        <v>18</v>
      </c>
      <c r="AS590" s="137" t="s">
        <v>18</v>
      </c>
      <c r="AT590" s="137" t="s">
        <v>18</v>
      </c>
      <c r="AU590" s="137" t="s">
        <v>18</v>
      </c>
      <c r="AV590" s="137" t="s">
        <v>18</v>
      </c>
      <c r="AW590" s="137" t="s">
        <v>18</v>
      </c>
      <c r="AX590" s="137" t="s">
        <v>18</v>
      </c>
      <c r="AY590" s="137" t="s">
        <v>18</v>
      </c>
      <c r="AZ590" s="137" t="s">
        <v>18</v>
      </c>
      <c r="BA590" s="137" t="s">
        <v>18</v>
      </c>
      <c r="BB590" s="137" t="s">
        <v>18</v>
      </c>
      <c r="BC590" s="137" t="s">
        <v>18</v>
      </c>
    </row>
    <row r="591" spans="1:55" ht="11.25" customHeight="1" x14ac:dyDescent="0.2">
      <c r="A591" s="128">
        <v>74</v>
      </c>
      <c r="B591" s="136" t="s">
        <v>14</v>
      </c>
      <c r="C591" s="137">
        <v>0</v>
      </c>
      <c r="D591" s="171">
        <v>3</v>
      </c>
      <c r="E591" s="172">
        <v>0</v>
      </c>
      <c r="F591" s="137">
        <v>13</v>
      </c>
      <c r="G591" s="172">
        <v>0</v>
      </c>
      <c r="H591" s="137">
        <v>0</v>
      </c>
      <c r="I591" s="137">
        <v>0</v>
      </c>
      <c r="J591" s="137">
        <v>1</v>
      </c>
      <c r="K591" s="172">
        <v>0</v>
      </c>
      <c r="L591" s="137">
        <v>0</v>
      </c>
      <c r="M591" s="137">
        <v>22</v>
      </c>
      <c r="N591" s="172">
        <v>0</v>
      </c>
      <c r="O591" s="137">
        <v>0</v>
      </c>
      <c r="P591" s="137">
        <v>0</v>
      </c>
      <c r="Q591" s="137">
        <v>2</v>
      </c>
      <c r="R591" s="172">
        <v>0</v>
      </c>
      <c r="S591" s="137">
        <v>0</v>
      </c>
      <c r="T591" s="137">
        <v>6</v>
      </c>
      <c r="U591" s="173">
        <v>0</v>
      </c>
      <c r="V591" s="137">
        <v>0</v>
      </c>
      <c r="W591" s="137">
        <v>0</v>
      </c>
      <c r="X591" s="137">
        <v>4</v>
      </c>
      <c r="Y591" s="125">
        <v>0</v>
      </c>
      <c r="Z591" s="137">
        <v>0</v>
      </c>
      <c r="AA591" s="137">
        <v>6</v>
      </c>
      <c r="AB591" s="125">
        <v>0</v>
      </c>
      <c r="AC591" s="137">
        <v>1</v>
      </c>
      <c r="AD591" s="123">
        <v>0</v>
      </c>
      <c r="AE591" s="137">
        <v>0</v>
      </c>
      <c r="AF591" s="137">
        <v>7</v>
      </c>
      <c r="AG591" s="125">
        <v>0</v>
      </c>
      <c r="AH591" s="137">
        <v>1</v>
      </c>
      <c r="AI591" s="125">
        <v>0</v>
      </c>
      <c r="AJ591" s="137">
        <v>0</v>
      </c>
      <c r="AK591" s="137">
        <v>0</v>
      </c>
      <c r="AL591" s="137">
        <v>0</v>
      </c>
      <c r="AM591" s="137">
        <v>4</v>
      </c>
      <c r="AN591" s="125">
        <v>0</v>
      </c>
      <c r="AO591" s="137">
        <v>4</v>
      </c>
      <c r="AP591" s="125" t="s">
        <v>18</v>
      </c>
      <c r="AQ591" s="137" t="s">
        <v>18</v>
      </c>
      <c r="AR591" s="137" t="s">
        <v>18</v>
      </c>
      <c r="AS591" s="137" t="s">
        <v>18</v>
      </c>
      <c r="AT591" s="137" t="s">
        <v>18</v>
      </c>
      <c r="AU591" s="137" t="s">
        <v>18</v>
      </c>
      <c r="AV591" s="137" t="s">
        <v>18</v>
      </c>
      <c r="AW591" s="137" t="s">
        <v>18</v>
      </c>
      <c r="AX591" s="137" t="s">
        <v>18</v>
      </c>
      <c r="AY591" s="137" t="s">
        <v>18</v>
      </c>
      <c r="AZ591" s="137" t="s">
        <v>18</v>
      </c>
      <c r="BA591" s="137" t="s">
        <v>18</v>
      </c>
      <c r="BB591" s="137" t="s">
        <v>18</v>
      </c>
      <c r="BC591" s="137" t="s">
        <v>18</v>
      </c>
    </row>
    <row r="592" spans="1:55" ht="11.25" customHeight="1" x14ac:dyDescent="0.2">
      <c r="A592" s="128">
        <v>50</v>
      </c>
      <c r="B592" s="136" t="s">
        <v>15</v>
      </c>
      <c r="C592" s="137">
        <v>7</v>
      </c>
      <c r="D592" s="171">
        <v>3</v>
      </c>
      <c r="E592" s="172">
        <v>0</v>
      </c>
      <c r="F592" s="137">
        <v>13</v>
      </c>
      <c r="G592" s="172">
        <v>0</v>
      </c>
      <c r="H592" s="137">
        <v>0</v>
      </c>
      <c r="I592" s="137">
        <v>0</v>
      </c>
      <c r="J592" s="137">
        <v>1</v>
      </c>
      <c r="K592" s="172">
        <v>0</v>
      </c>
      <c r="L592" s="137">
        <v>0</v>
      </c>
      <c r="M592" s="137">
        <v>5</v>
      </c>
      <c r="N592" s="172">
        <v>0</v>
      </c>
      <c r="O592" s="137">
        <v>0</v>
      </c>
      <c r="P592" s="137">
        <v>0</v>
      </c>
      <c r="Q592" s="137">
        <v>12</v>
      </c>
      <c r="R592" s="172">
        <v>0</v>
      </c>
      <c r="S592" s="137">
        <v>0</v>
      </c>
      <c r="T592" s="137">
        <v>0</v>
      </c>
      <c r="U592" s="173">
        <v>0</v>
      </c>
      <c r="V592" s="137">
        <v>0</v>
      </c>
      <c r="W592" s="137">
        <v>0</v>
      </c>
      <c r="X592" s="137">
        <v>4</v>
      </c>
      <c r="Y592" s="125">
        <v>0</v>
      </c>
      <c r="Z592" s="137">
        <v>0</v>
      </c>
      <c r="AA592" s="137">
        <v>0</v>
      </c>
      <c r="AB592" s="125">
        <v>0</v>
      </c>
      <c r="AC592" s="137">
        <v>0</v>
      </c>
      <c r="AD592" s="123">
        <v>0</v>
      </c>
      <c r="AE592" s="137">
        <v>0</v>
      </c>
      <c r="AF592" s="137">
        <v>0</v>
      </c>
      <c r="AG592" s="125">
        <v>0</v>
      </c>
      <c r="AH592" s="137">
        <v>1</v>
      </c>
      <c r="AI592" s="125">
        <v>0</v>
      </c>
      <c r="AJ592" s="137">
        <v>0</v>
      </c>
      <c r="AK592" s="137">
        <v>0</v>
      </c>
      <c r="AL592" s="137">
        <v>0</v>
      </c>
      <c r="AM592" s="137">
        <v>0</v>
      </c>
      <c r="AN592" s="125">
        <v>0</v>
      </c>
      <c r="AO592" s="137">
        <v>4</v>
      </c>
      <c r="AP592" s="125" t="s">
        <v>18</v>
      </c>
      <c r="AQ592" s="137" t="s">
        <v>18</v>
      </c>
      <c r="AR592" s="137" t="s">
        <v>18</v>
      </c>
      <c r="AS592" s="137" t="s">
        <v>18</v>
      </c>
      <c r="AT592" s="137" t="s">
        <v>18</v>
      </c>
      <c r="AU592" s="137" t="s">
        <v>18</v>
      </c>
      <c r="AV592" s="137" t="s">
        <v>18</v>
      </c>
      <c r="AW592" s="137" t="s">
        <v>18</v>
      </c>
      <c r="AX592" s="137" t="s">
        <v>18</v>
      </c>
      <c r="AY592" s="137" t="s">
        <v>18</v>
      </c>
      <c r="AZ592" s="137" t="s">
        <v>18</v>
      </c>
      <c r="BA592" s="137" t="s">
        <v>18</v>
      </c>
      <c r="BB592" s="137" t="s">
        <v>18</v>
      </c>
      <c r="BC592" s="137" t="s">
        <v>18</v>
      </c>
    </row>
    <row r="593" spans="1:55" ht="11.25" customHeight="1" x14ac:dyDescent="0.2">
      <c r="A593" s="128">
        <v>34000</v>
      </c>
      <c r="B593" s="136" t="s">
        <v>16</v>
      </c>
      <c r="C593" s="137">
        <v>4900</v>
      </c>
      <c r="D593" s="171">
        <v>2100</v>
      </c>
      <c r="E593" s="172">
        <v>0</v>
      </c>
      <c r="F593" s="137">
        <v>9100</v>
      </c>
      <c r="G593" s="172">
        <v>0</v>
      </c>
      <c r="H593" s="137">
        <v>0</v>
      </c>
      <c r="I593" s="137">
        <v>0</v>
      </c>
      <c r="J593" s="137">
        <v>700</v>
      </c>
      <c r="K593" s="172">
        <v>0</v>
      </c>
      <c r="L593" s="137">
        <v>0</v>
      </c>
      <c r="M593" s="137">
        <v>3500</v>
      </c>
      <c r="N593" s="172">
        <v>0</v>
      </c>
      <c r="O593" s="137">
        <v>0</v>
      </c>
      <c r="P593" s="137">
        <v>0</v>
      </c>
      <c r="Q593" s="137">
        <v>8400</v>
      </c>
      <c r="R593" s="172">
        <v>0</v>
      </c>
      <c r="S593" s="137">
        <v>0</v>
      </c>
      <c r="T593" s="137">
        <v>0</v>
      </c>
      <c r="U593" s="173">
        <v>0</v>
      </c>
      <c r="V593" s="137">
        <v>0</v>
      </c>
      <c r="W593" s="137">
        <v>0</v>
      </c>
      <c r="X593" s="137">
        <v>2800</v>
      </c>
      <c r="Y593" s="125">
        <v>0</v>
      </c>
      <c r="Z593" s="137">
        <v>0</v>
      </c>
      <c r="AA593" s="137">
        <v>0</v>
      </c>
      <c r="AB593" s="125">
        <v>0</v>
      </c>
      <c r="AC593" s="137">
        <v>0</v>
      </c>
      <c r="AD593" s="123">
        <v>0</v>
      </c>
      <c r="AE593" s="137">
        <v>0</v>
      </c>
      <c r="AF593" s="137">
        <v>0</v>
      </c>
      <c r="AG593" s="125">
        <v>0</v>
      </c>
      <c r="AH593" s="137">
        <v>500</v>
      </c>
      <c r="AI593" s="125">
        <v>0</v>
      </c>
      <c r="AJ593" s="137">
        <v>0</v>
      </c>
      <c r="AK593" s="137">
        <v>0</v>
      </c>
      <c r="AL593" s="137">
        <v>0</v>
      </c>
      <c r="AM593" s="137">
        <v>0</v>
      </c>
      <c r="AN593" s="125">
        <v>0</v>
      </c>
      <c r="AO593" s="137">
        <v>2000</v>
      </c>
      <c r="AP593" s="125" t="s">
        <v>18</v>
      </c>
      <c r="AQ593" s="137" t="s">
        <v>18</v>
      </c>
      <c r="AR593" s="137" t="s">
        <v>18</v>
      </c>
      <c r="AS593" s="137" t="s">
        <v>18</v>
      </c>
      <c r="AT593" s="137" t="s">
        <v>18</v>
      </c>
      <c r="AU593" s="137" t="s">
        <v>18</v>
      </c>
      <c r="AV593" s="137" t="s">
        <v>18</v>
      </c>
      <c r="AW593" s="137" t="s">
        <v>18</v>
      </c>
      <c r="AX593" s="137" t="s">
        <v>18</v>
      </c>
      <c r="AY593" s="137" t="s">
        <v>18</v>
      </c>
      <c r="AZ593" s="137" t="s">
        <v>18</v>
      </c>
      <c r="BA593" s="137" t="s">
        <v>18</v>
      </c>
      <c r="BB593" s="137" t="s">
        <v>18</v>
      </c>
      <c r="BC593" s="137" t="s">
        <v>18</v>
      </c>
    </row>
    <row r="594" spans="1:55" ht="11.25" customHeight="1" thickBot="1" x14ac:dyDescent="0.25">
      <c r="A594" s="138">
        <v>0.45393858477970628</v>
      </c>
      <c r="B594" s="139" t="s">
        <v>17</v>
      </c>
      <c r="C594" s="141" t="e">
        <v>#DIV/0!</v>
      </c>
      <c r="D594" s="180">
        <v>0.3</v>
      </c>
      <c r="E594" s="181" t="s">
        <v>18</v>
      </c>
      <c r="F594" s="141">
        <v>0.94791666666666663</v>
      </c>
      <c r="G594" s="181" t="s">
        <v>18</v>
      </c>
      <c r="H594" s="141" t="s">
        <v>18</v>
      </c>
      <c r="I594" s="141" t="s">
        <v>18</v>
      </c>
      <c r="J594" s="141">
        <v>0.22580645161290322</v>
      </c>
      <c r="K594" s="181" t="s">
        <v>18</v>
      </c>
      <c r="L594" s="141" t="s">
        <v>18</v>
      </c>
      <c r="M594" s="141">
        <v>0.3125</v>
      </c>
      <c r="N594" s="181" t="s">
        <v>18</v>
      </c>
      <c r="O594" s="141" t="s">
        <v>18</v>
      </c>
      <c r="P594" s="141" t="s">
        <v>18</v>
      </c>
      <c r="Q594" s="141">
        <v>1.9534883720930232</v>
      </c>
      <c r="R594" s="181" t="s">
        <v>18</v>
      </c>
      <c r="S594" s="141" t="s">
        <v>18</v>
      </c>
      <c r="T594" s="141" t="s">
        <v>18</v>
      </c>
      <c r="U594" s="182" t="s">
        <v>18</v>
      </c>
      <c r="V594" s="141" t="s">
        <v>18</v>
      </c>
      <c r="W594" s="141" t="s">
        <v>18</v>
      </c>
      <c r="X594" s="141">
        <v>0.71794871794871795</v>
      </c>
      <c r="Y594" s="142" t="s">
        <v>18</v>
      </c>
      <c r="Z594" s="141" t="s">
        <v>18</v>
      </c>
      <c r="AA594" s="141" t="s">
        <v>18</v>
      </c>
      <c r="AB594" s="142" t="s">
        <v>18</v>
      </c>
      <c r="AC594" s="141" t="s">
        <v>18</v>
      </c>
      <c r="AD594" s="140" t="s">
        <v>18</v>
      </c>
      <c r="AE594" s="141" t="s">
        <v>18</v>
      </c>
      <c r="AF594" s="141" t="s">
        <v>18</v>
      </c>
      <c r="AG594" s="142" t="s">
        <v>18</v>
      </c>
      <c r="AH594" s="141">
        <v>8.3333333333333329E-2</v>
      </c>
      <c r="AI594" s="142" t="s">
        <v>18</v>
      </c>
      <c r="AJ594" s="141" t="s">
        <v>18</v>
      </c>
      <c r="AK594" s="141" t="s">
        <v>18</v>
      </c>
      <c r="AL594" s="141" t="s">
        <v>18</v>
      </c>
      <c r="AM594" s="141" t="s">
        <v>18</v>
      </c>
      <c r="AN594" s="142" t="s">
        <v>18</v>
      </c>
      <c r="AO594" s="141">
        <v>0.60606060606060608</v>
      </c>
      <c r="AP594" s="142" t="s">
        <v>18</v>
      </c>
      <c r="AQ594" s="141" t="s">
        <v>18</v>
      </c>
      <c r="AR594" s="141" t="s">
        <v>18</v>
      </c>
      <c r="AS594" s="141" t="s">
        <v>18</v>
      </c>
      <c r="AT594" s="141" t="s">
        <v>18</v>
      </c>
      <c r="AU594" s="141" t="s">
        <v>18</v>
      </c>
      <c r="AV594" s="141" t="s">
        <v>18</v>
      </c>
      <c r="AW594" s="141" t="s">
        <v>18</v>
      </c>
      <c r="AX594" s="141" t="s">
        <v>18</v>
      </c>
      <c r="AY594" s="141" t="s">
        <v>18</v>
      </c>
      <c r="AZ594" s="141" t="s">
        <v>18</v>
      </c>
      <c r="BA594" s="141" t="s">
        <v>18</v>
      </c>
      <c r="BB594" s="141" t="s">
        <v>18</v>
      </c>
      <c r="BC594" s="141" t="s">
        <v>18</v>
      </c>
    </row>
    <row r="595" spans="1:55" ht="11.25" customHeight="1" x14ac:dyDescent="0.2">
      <c r="A595" s="116" t="s">
        <v>1</v>
      </c>
      <c r="B595" s="117" t="s">
        <v>2</v>
      </c>
      <c r="C595" s="119">
        <v>2978</v>
      </c>
      <c r="D595" s="168">
        <v>3299</v>
      </c>
      <c r="E595" s="169">
        <v>3299</v>
      </c>
      <c r="F595" s="119">
        <v>3410</v>
      </c>
      <c r="G595" s="169">
        <v>3410</v>
      </c>
      <c r="H595" s="119">
        <v>3410</v>
      </c>
      <c r="I595" s="119">
        <v>3410</v>
      </c>
      <c r="J595" s="119">
        <v>3458</v>
      </c>
      <c r="K595" s="169">
        <v>3458</v>
      </c>
      <c r="L595" s="119">
        <v>3458</v>
      </c>
      <c r="M595" s="119">
        <v>3657</v>
      </c>
      <c r="N595" s="169">
        <v>3657</v>
      </c>
      <c r="O595" s="119">
        <v>3657</v>
      </c>
      <c r="P595" s="119">
        <v>3657</v>
      </c>
      <c r="Q595" s="119">
        <v>3750</v>
      </c>
      <c r="R595" s="169">
        <v>3750</v>
      </c>
      <c r="S595" s="119">
        <v>3750</v>
      </c>
      <c r="T595" s="119">
        <v>3895</v>
      </c>
      <c r="U595" s="170">
        <v>3895</v>
      </c>
      <c r="V595" s="119">
        <v>3895</v>
      </c>
      <c r="W595" s="119">
        <v>3895</v>
      </c>
      <c r="X595" s="119">
        <v>3989</v>
      </c>
      <c r="Y595" s="120">
        <v>3989</v>
      </c>
      <c r="Z595" s="119">
        <v>3989</v>
      </c>
      <c r="AA595" s="119">
        <v>4090</v>
      </c>
      <c r="AB595" s="120">
        <v>4090</v>
      </c>
      <c r="AC595" s="119">
        <v>4135</v>
      </c>
      <c r="AD595" s="118">
        <v>4135</v>
      </c>
      <c r="AE595" s="119">
        <v>4135</v>
      </c>
      <c r="AF595" s="119">
        <v>4246</v>
      </c>
      <c r="AG595" s="120">
        <v>4246</v>
      </c>
      <c r="AH595" s="119">
        <v>4337</v>
      </c>
      <c r="AI595" s="120">
        <v>4337</v>
      </c>
      <c r="AJ595" s="119">
        <v>4337</v>
      </c>
      <c r="AK595" s="119">
        <v>4337</v>
      </c>
      <c r="AL595" s="119">
        <v>4337</v>
      </c>
      <c r="AM595" s="119">
        <v>50564</v>
      </c>
      <c r="AN595" s="120">
        <v>50564</v>
      </c>
      <c r="AO595" s="119">
        <v>4517</v>
      </c>
      <c r="AP595" s="120" t="s">
        <v>18</v>
      </c>
      <c r="AQ595" s="119" t="s">
        <v>18</v>
      </c>
      <c r="AR595" s="119" t="s">
        <v>18</v>
      </c>
      <c r="AS595" s="119" t="s">
        <v>18</v>
      </c>
      <c r="AT595" s="119" t="s">
        <v>18</v>
      </c>
      <c r="AU595" s="119" t="s">
        <v>18</v>
      </c>
      <c r="AV595" s="119" t="s">
        <v>18</v>
      </c>
      <c r="AW595" s="119" t="s">
        <v>18</v>
      </c>
      <c r="AX595" s="119" t="s">
        <v>18</v>
      </c>
      <c r="AY595" s="119" t="s">
        <v>18</v>
      </c>
      <c r="AZ595" s="119" t="s">
        <v>18</v>
      </c>
      <c r="BA595" s="119" t="s">
        <v>18</v>
      </c>
      <c r="BB595" s="119" t="s">
        <v>18</v>
      </c>
      <c r="BC595" s="119" t="s">
        <v>18</v>
      </c>
    </row>
    <row r="596" spans="1:55" ht="11.25" customHeight="1" x14ac:dyDescent="0.2">
      <c r="A596" s="121" t="s">
        <v>49</v>
      </c>
      <c r="B596" s="122" t="s">
        <v>4</v>
      </c>
      <c r="C596" s="124">
        <v>318</v>
      </c>
      <c r="D596" s="171">
        <v>325</v>
      </c>
      <c r="E596" s="172">
        <v>325</v>
      </c>
      <c r="F596" s="124">
        <v>326</v>
      </c>
      <c r="G596" s="172">
        <v>326</v>
      </c>
      <c r="H596" s="124">
        <v>326</v>
      </c>
      <c r="I596" s="124">
        <v>326</v>
      </c>
      <c r="J596" s="124">
        <v>328</v>
      </c>
      <c r="K596" s="172">
        <v>328</v>
      </c>
      <c r="L596" s="124">
        <v>328</v>
      </c>
      <c r="M596" s="124">
        <v>337</v>
      </c>
      <c r="N596" s="172">
        <v>337</v>
      </c>
      <c r="O596" s="124">
        <v>337</v>
      </c>
      <c r="P596" s="124">
        <v>337</v>
      </c>
      <c r="Q596" s="124">
        <v>339</v>
      </c>
      <c r="R596" s="172">
        <v>339</v>
      </c>
      <c r="S596" s="124">
        <v>339</v>
      </c>
      <c r="T596" s="124">
        <v>350</v>
      </c>
      <c r="U596" s="173">
        <v>350</v>
      </c>
      <c r="V596" s="124">
        <v>350</v>
      </c>
      <c r="W596" s="124">
        <v>350</v>
      </c>
      <c r="X596" s="124">
        <v>357</v>
      </c>
      <c r="Y596" s="125">
        <v>357</v>
      </c>
      <c r="Z596" s="124">
        <v>357</v>
      </c>
      <c r="AA596" s="124">
        <v>368</v>
      </c>
      <c r="AB596" s="125">
        <v>368</v>
      </c>
      <c r="AC596" s="124">
        <v>372</v>
      </c>
      <c r="AD596" s="123">
        <v>372</v>
      </c>
      <c r="AE596" s="124">
        <v>372</v>
      </c>
      <c r="AF596" s="124">
        <v>384</v>
      </c>
      <c r="AG596" s="125">
        <v>384</v>
      </c>
      <c r="AH596" s="124">
        <v>396</v>
      </c>
      <c r="AI596" s="125">
        <v>396</v>
      </c>
      <c r="AJ596" s="124">
        <v>396</v>
      </c>
      <c r="AK596" s="124">
        <v>396</v>
      </c>
      <c r="AL596" s="124">
        <v>396</v>
      </c>
      <c r="AM596" s="124">
        <v>413</v>
      </c>
      <c r="AN596" s="125">
        <v>413</v>
      </c>
      <c r="AO596" s="124">
        <v>418</v>
      </c>
      <c r="AP596" s="125" t="s">
        <v>18</v>
      </c>
      <c r="AQ596" s="124" t="s">
        <v>18</v>
      </c>
      <c r="AR596" s="124" t="s">
        <v>18</v>
      </c>
      <c r="AS596" s="124" t="s">
        <v>18</v>
      </c>
      <c r="AT596" s="124" t="s">
        <v>18</v>
      </c>
      <c r="AU596" s="124" t="s">
        <v>18</v>
      </c>
      <c r="AV596" s="124" t="s">
        <v>18</v>
      </c>
      <c r="AW596" s="124" t="s">
        <v>18</v>
      </c>
      <c r="AX596" s="124" t="s">
        <v>18</v>
      </c>
      <c r="AY596" s="124" t="s">
        <v>18</v>
      </c>
      <c r="AZ596" s="124" t="s">
        <v>18</v>
      </c>
      <c r="BA596" s="124" t="s">
        <v>18</v>
      </c>
      <c r="BB596" s="124" t="s">
        <v>18</v>
      </c>
      <c r="BC596" s="124" t="s">
        <v>18</v>
      </c>
    </row>
    <row r="597" spans="1:55" ht="11.25" customHeight="1" x14ac:dyDescent="0.25">
      <c r="A597" s="126"/>
      <c r="B597" s="122" t="s">
        <v>5</v>
      </c>
      <c r="C597" s="124">
        <v>30</v>
      </c>
      <c r="D597" s="171">
        <v>43</v>
      </c>
      <c r="E597" s="172">
        <v>43</v>
      </c>
      <c r="F597" s="124">
        <v>42</v>
      </c>
      <c r="G597" s="172">
        <v>42</v>
      </c>
      <c r="H597" s="124">
        <v>42</v>
      </c>
      <c r="I597" s="124">
        <v>42</v>
      </c>
      <c r="J597" s="124">
        <v>40</v>
      </c>
      <c r="K597" s="172">
        <v>40</v>
      </c>
      <c r="L597" s="124">
        <v>40</v>
      </c>
      <c r="M597" s="124">
        <v>31</v>
      </c>
      <c r="N597" s="172">
        <v>41</v>
      </c>
      <c r="O597" s="124">
        <v>41</v>
      </c>
      <c r="P597" s="124">
        <v>41</v>
      </c>
      <c r="Q597" s="124">
        <v>41</v>
      </c>
      <c r="R597" s="172">
        <v>41</v>
      </c>
      <c r="S597" s="124">
        <v>41</v>
      </c>
      <c r="T597" s="124">
        <v>30</v>
      </c>
      <c r="U597" s="173">
        <v>41</v>
      </c>
      <c r="V597" s="124">
        <v>41</v>
      </c>
      <c r="W597" s="124">
        <v>41</v>
      </c>
      <c r="X597" s="124">
        <v>34</v>
      </c>
      <c r="Y597" s="125">
        <v>38</v>
      </c>
      <c r="Z597" s="124">
        <v>38</v>
      </c>
      <c r="AA597" s="124">
        <v>27</v>
      </c>
      <c r="AB597" s="125">
        <v>27</v>
      </c>
      <c r="AC597" s="124">
        <v>27</v>
      </c>
      <c r="AD597" s="123">
        <v>27</v>
      </c>
      <c r="AE597" s="124">
        <v>27</v>
      </c>
      <c r="AF597" s="124">
        <v>15</v>
      </c>
      <c r="AG597" s="125">
        <v>15</v>
      </c>
      <c r="AH597" s="124">
        <v>15</v>
      </c>
      <c r="AI597" s="125">
        <v>45</v>
      </c>
      <c r="AJ597" s="124">
        <v>45</v>
      </c>
      <c r="AK597" s="124">
        <v>45</v>
      </c>
      <c r="AL597" s="124">
        <v>45</v>
      </c>
      <c r="AM597" s="124">
        <v>29</v>
      </c>
      <c r="AN597" s="125">
        <v>29</v>
      </c>
      <c r="AO597" s="124">
        <v>24</v>
      </c>
      <c r="AP597" s="125" t="s">
        <v>18</v>
      </c>
      <c r="AQ597" s="124" t="s">
        <v>18</v>
      </c>
      <c r="AR597" s="124" t="s">
        <v>18</v>
      </c>
      <c r="AS597" s="124" t="s">
        <v>18</v>
      </c>
      <c r="AT597" s="124" t="s">
        <v>18</v>
      </c>
      <c r="AU597" s="124" t="s">
        <v>18</v>
      </c>
      <c r="AV597" s="124" t="s">
        <v>18</v>
      </c>
      <c r="AW597" s="124" t="s">
        <v>18</v>
      </c>
      <c r="AX597" s="124" t="s">
        <v>18</v>
      </c>
      <c r="AY597" s="124" t="s">
        <v>18</v>
      </c>
      <c r="AZ597" s="124" t="s">
        <v>18</v>
      </c>
      <c r="BA597" s="124" t="s">
        <v>18</v>
      </c>
      <c r="BB597" s="124" t="s">
        <v>18</v>
      </c>
      <c r="BC597" s="124" t="s">
        <v>18</v>
      </c>
    </row>
    <row r="598" spans="1:55" ht="11.25" customHeight="1" x14ac:dyDescent="0.2">
      <c r="A598" s="127"/>
      <c r="B598" s="122" t="s">
        <v>6</v>
      </c>
      <c r="C598" s="124">
        <v>20</v>
      </c>
      <c r="D598" s="171"/>
      <c r="E598" s="172"/>
      <c r="F598" s="124"/>
      <c r="G598" s="172"/>
      <c r="H598" s="124"/>
      <c r="I598" s="124"/>
      <c r="J598" s="124"/>
      <c r="K598" s="172"/>
      <c r="L598" s="124"/>
      <c r="M598" s="124">
        <v>10</v>
      </c>
      <c r="N598" s="172"/>
      <c r="O598" s="124"/>
      <c r="P598" s="124"/>
      <c r="Q598" s="124"/>
      <c r="R598" s="172"/>
      <c r="S598" s="124"/>
      <c r="T598" s="124">
        <v>11</v>
      </c>
      <c r="U598" s="173"/>
      <c r="V598" s="124"/>
      <c r="W598" s="124"/>
      <c r="X598" s="124">
        <v>4</v>
      </c>
      <c r="Y598" s="125"/>
      <c r="Z598" s="124"/>
      <c r="AA598" s="124"/>
      <c r="AB598" s="125"/>
      <c r="AC598" s="124"/>
      <c r="AD598" s="123"/>
      <c r="AE598" s="124"/>
      <c r="AF598" s="124"/>
      <c r="AG598" s="125"/>
      <c r="AH598" s="124">
        <v>30</v>
      </c>
      <c r="AI598" s="125"/>
      <c r="AJ598" s="124"/>
      <c r="AK598" s="124"/>
      <c r="AL598" s="124"/>
      <c r="AM598" s="124"/>
      <c r="AN598" s="125"/>
      <c r="AO598" s="124"/>
      <c r="AP598" s="125"/>
      <c r="AQ598" s="124"/>
      <c r="AR598" s="124"/>
      <c r="AS598" s="124"/>
      <c r="AT598" s="124"/>
      <c r="AU598" s="124"/>
      <c r="AV598" s="124"/>
      <c r="AW598" s="124"/>
      <c r="AX598" s="124"/>
      <c r="AY598" s="124"/>
      <c r="AZ598" s="124"/>
      <c r="BA598" s="124"/>
      <c r="BB598" s="124"/>
      <c r="BC598" s="124"/>
    </row>
    <row r="599" spans="1:55" ht="11.25" customHeight="1" x14ac:dyDescent="0.2">
      <c r="A599" s="128"/>
      <c r="B599" s="122" t="s">
        <v>8</v>
      </c>
      <c r="C599" s="130">
        <v>780</v>
      </c>
      <c r="D599" s="174">
        <v>190</v>
      </c>
      <c r="E599" s="175">
        <v>190</v>
      </c>
      <c r="F599" s="130">
        <v>190</v>
      </c>
      <c r="G599" s="175">
        <v>190</v>
      </c>
      <c r="H599" s="130">
        <v>190</v>
      </c>
      <c r="I599" s="130">
        <v>190</v>
      </c>
      <c r="J599" s="130">
        <v>190</v>
      </c>
      <c r="K599" s="175">
        <v>190</v>
      </c>
      <c r="L599" s="130">
        <v>190</v>
      </c>
      <c r="M599" s="130">
        <v>190</v>
      </c>
      <c r="N599" s="175">
        <v>190</v>
      </c>
      <c r="O599" s="130">
        <v>190</v>
      </c>
      <c r="P599" s="130">
        <v>190</v>
      </c>
      <c r="Q599" s="130">
        <v>190</v>
      </c>
      <c r="R599" s="175">
        <v>190</v>
      </c>
      <c r="S599" s="130">
        <v>190</v>
      </c>
      <c r="T599" s="130">
        <v>190</v>
      </c>
      <c r="U599" s="176">
        <v>190</v>
      </c>
      <c r="V599" s="130">
        <v>190</v>
      </c>
      <c r="W599" s="130">
        <v>190</v>
      </c>
      <c r="X599" s="130">
        <v>190</v>
      </c>
      <c r="Y599" s="131">
        <v>190</v>
      </c>
      <c r="Z599" s="130">
        <v>190</v>
      </c>
      <c r="AA599" s="130">
        <v>190</v>
      </c>
      <c r="AB599" s="131">
        <v>190</v>
      </c>
      <c r="AC599" s="130">
        <v>190</v>
      </c>
      <c r="AD599" s="129">
        <v>190</v>
      </c>
      <c r="AE599" s="130">
        <v>190</v>
      </c>
      <c r="AF599" s="130">
        <v>190</v>
      </c>
      <c r="AG599" s="131">
        <v>190</v>
      </c>
      <c r="AH599" s="130">
        <v>190</v>
      </c>
      <c r="AI599" s="131">
        <v>190</v>
      </c>
      <c r="AJ599" s="130">
        <v>190</v>
      </c>
      <c r="AK599" s="130">
        <v>190</v>
      </c>
      <c r="AL599" s="130">
        <v>190</v>
      </c>
      <c r="AM599" s="130">
        <v>190</v>
      </c>
      <c r="AN599" s="131">
        <v>190</v>
      </c>
      <c r="AO599" s="130">
        <v>190</v>
      </c>
      <c r="AP599" s="131" t="s">
        <v>18</v>
      </c>
      <c r="AQ599" s="130" t="s">
        <v>18</v>
      </c>
      <c r="AR599" s="130" t="s">
        <v>18</v>
      </c>
      <c r="AS599" s="130" t="s">
        <v>18</v>
      </c>
      <c r="AT599" s="130" t="s">
        <v>18</v>
      </c>
      <c r="AU599" s="130" t="s">
        <v>18</v>
      </c>
      <c r="AV599" s="130" t="s">
        <v>18</v>
      </c>
      <c r="AW599" s="130" t="s">
        <v>18</v>
      </c>
      <c r="AX599" s="130" t="s">
        <v>18</v>
      </c>
      <c r="AY599" s="130" t="s">
        <v>18</v>
      </c>
      <c r="AZ599" s="130" t="s">
        <v>18</v>
      </c>
      <c r="BA599" s="130" t="s">
        <v>18</v>
      </c>
      <c r="BB599" s="130" t="s">
        <v>18</v>
      </c>
      <c r="BC599" s="130" t="s">
        <v>18</v>
      </c>
    </row>
    <row r="600" spans="1:55" ht="11.25" customHeight="1" x14ac:dyDescent="0.2">
      <c r="A600" s="127" t="s">
        <v>9</v>
      </c>
      <c r="B600" s="132" t="s">
        <v>10</v>
      </c>
      <c r="C600" s="134" t="s">
        <v>50</v>
      </c>
      <c r="D600" s="177" t="s">
        <v>27</v>
      </c>
      <c r="E600" s="178" t="s">
        <v>27</v>
      </c>
      <c r="F600" s="134" t="s">
        <v>27</v>
      </c>
      <c r="G600" s="178" t="s">
        <v>27</v>
      </c>
      <c r="H600" s="134" t="s">
        <v>27</v>
      </c>
      <c r="I600" s="134" t="s">
        <v>27</v>
      </c>
      <c r="J600" s="134" t="s">
        <v>27</v>
      </c>
      <c r="K600" s="178" t="s">
        <v>27</v>
      </c>
      <c r="L600" s="134" t="s">
        <v>27</v>
      </c>
      <c r="M600" s="134" t="s">
        <v>27</v>
      </c>
      <c r="N600" s="178" t="s">
        <v>27</v>
      </c>
      <c r="O600" s="134" t="s">
        <v>27</v>
      </c>
      <c r="P600" s="134" t="s">
        <v>27</v>
      </c>
      <c r="Q600" s="134" t="s">
        <v>27</v>
      </c>
      <c r="R600" s="178" t="s">
        <v>27</v>
      </c>
      <c r="S600" s="134" t="s">
        <v>27</v>
      </c>
      <c r="T600" s="134" t="s">
        <v>27</v>
      </c>
      <c r="U600" s="179" t="s">
        <v>27</v>
      </c>
      <c r="V600" s="134" t="s">
        <v>27</v>
      </c>
      <c r="W600" s="134" t="s">
        <v>27</v>
      </c>
      <c r="X600" s="134" t="s">
        <v>27</v>
      </c>
      <c r="Y600" s="135" t="s">
        <v>27</v>
      </c>
      <c r="Z600" s="134" t="s">
        <v>27</v>
      </c>
      <c r="AA600" s="134" t="s">
        <v>27</v>
      </c>
      <c r="AB600" s="135" t="s">
        <v>27</v>
      </c>
      <c r="AC600" s="134" t="s">
        <v>27</v>
      </c>
      <c r="AD600" s="133" t="s">
        <v>27</v>
      </c>
      <c r="AE600" s="134" t="s">
        <v>27</v>
      </c>
      <c r="AF600" s="134" t="s">
        <v>27</v>
      </c>
      <c r="AG600" s="135" t="s">
        <v>27</v>
      </c>
      <c r="AH600" s="134" t="s">
        <v>27</v>
      </c>
      <c r="AI600" s="135" t="s">
        <v>27</v>
      </c>
      <c r="AJ600" s="134" t="s">
        <v>27</v>
      </c>
      <c r="AK600" s="134" t="s">
        <v>27</v>
      </c>
      <c r="AL600" s="134" t="s">
        <v>27</v>
      </c>
      <c r="AM600" s="134" t="s">
        <v>27</v>
      </c>
      <c r="AN600" s="135" t="s">
        <v>27</v>
      </c>
      <c r="AO600" s="134" t="s">
        <v>27</v>
      </c>
      <c r="AP600" s="135" t="s">
        <v>18</v>
      </c>
      <c r="AQ600" s="134" t="s">
        <v>18</v>
      </c>
      <c r="AR600" s="134" t="s">
        <v>18</v>
      </c>
      <c r="AS600" s="134" t="s">
        <v>18</v>
      </c>
      <c r="AT600" s="134" t="s">
        <v>18</v>
      </c>
      <c r="AU600" s="134" t="s">
        <v>18</v>
      </c>
      <c r="AV600" s="134" t="s">
        <v>18</v>
      </c>
      <c r="AW600" s="134" t="s">
        <v>18</v>
      </c>
      <c r="AX600" s="134" t="s">
        <v>18</v>
      </c>
      <c r="AY600" s="134" t="s">
        <v>18</v>
      </c>
      <c r="AZ600" s="134" t="s">
        <v>18</v>
      </c>
      <c r="BA600" s="134" t="s">
        <v>18</v>
      </c>
      <c r="BB600" s="134" t="s">
        <v>18</v>
      </c>
      <c r="BC600" s="134" t="s">
        <v>18</v>
      </c>
    </row>
    <row r="601" spans="1:55" ht="11.25" customHeight="1" x14ac:dyDescent="0.2">
      <c r="A601" s="128">
        <v>118384.61538461538</v>
      </c>
      <c r="B601" s="122" t="s">
        <v>12</v>
      </c>
      <c r="C601" s="124"/>
      <c r="D601" s="171" t="s">
        <v>51</v>
      </c>
      <c r="E601" s="172"/>
      <c r="F601" s="124"/>
      <c r="G601" s="172" t="s">
        <v>52</v>
      </c>
      <c r="H601" s="124"/>
      <c r="I601" s="124"/>
      <c r="J601" s="124"/>
      <c r="K601" s="172"/>
      <c r="L601" s="124"/>
      <c r="M601" s="124"/>
      <c r="N601" s="172"/>
      <c r="O601" s="124"/>
      <c r="P601" s="124"/>
      <c r="Q601" s="124"/>
      <c r="R601" s="172"/>
      <c r="S601" s="124"/>
      <c r="T601" s="124"/>
      <c r="U601" s="173"/>
      <c r="V601" s="124"/>
      <c r="W601" s="124"/>
      <c r="X601" s="124"/>
      <c r="Y601" s="125"/>
      <c r="Z601" s="124"/>
      <c r="AA601" s="124"/>
      <c r="AB601" s="125"/>
      <c r="AC601" s="124"/>
      <c r="AD601" s="123"/>
      <c r="AE601" s="124"/>
      <c r="AF601" s="124"/>
      <c r="AG601" s="125"/>
      <c r="AH601" s="124"/>
      <c r="AI601" s="125"/>
      <c r="AJ601" s="124"/>
      <c r="AK601" s="124"/>
      <c r="AL601" s="124"/>
      <c r="AM601" s="124"/>
      <c r="AN601" s="125"/>
      <c r="AO601" s="124"/>
      <c r="AP601" s="125"/>
      <c r="AQ601" s="124"/>
      <c r="AR601" s="124"/>
      <c r="AS601" s="124"/>
      <c r="AT601" s="124"/>
      <c r="AU601" s="124"/>
      <c r="AV601" s="124"/>
      <c r="AW601" s="124"/>
      <c r="AX601" s="124"/>
      <c r="AY601" s="124"/>
      <c r="AZ601" s="124"/>
      <c r="BA601" s="124"/>
      <c r="BB601" s="124"/>
      <c r="BC601" s="124"/>
    </row>
    <row r="602" spans="1:55" ht="11.25" customHeight="1" x14ac:dyDescent="0.2">
      <c r="A602" s="128">
        <v>1539</v>
      </c>
      <c r="B602" s="136" t="s">
        <v>13</v>
      </c>
      <c r="C602" s="137">
        <v>0</v>
      </c>
      <c r="D602" s="171">
        <v>321</v>
      </c>
      <c r="E602" s="172">
        <v>0</v>
      </c>
      <c r="F602" s="137">
        <v>111</v>
      </c>
      <c r="G602" s="172">
        <v>0</v>
      </c>
      <c r="H602" s="137">
        <v>0</v>
      </c>
      <c r="I602" s="137">
        <v>0</v>
      </c>
      <c r="J602" s="137">
        <v>48</v>
      </c>
      <c r="K602" s="172">
        <v>0</v>
      </c>
      <c r="L602" s="137">
        <v>0</v>
      </c>
      <c r="M602" s="137">
        <v>199</v>
      </c>
      <c r="N602" s="172">
        <v>0</v>
      </c>
      <c r="O602" s="137">
        <v>0</v>
      </c>
      <c r="P602" s="137">
        <v>0</v>
      </c>
      <c r="Q602" s="137">
        <v>93</v>
      </c>
      <c r="R602" s="172">
        <v>0</v>
      </c>
      <c r="S602" s="137">
        <v>0</v>
      </c>
      <c r="T602" s="137">
        <v>145</v>
      </c>
      <c r="U602" s="173">
        <v>0</v>
      </c>
      <c r="V602" s="137">
        <v>0</v>
      </c>
      <c r="W602" s="137">
        <v>0</v>
      </c>
      <c r="X602" s="137">
        <v>94</v>
      </c>
      <c r="Y602" s="125">
        <v>0</v>
      </c>
      <c r="Z602" s="137">
        <v>0</v>
      </c>
      <c r="AA602" s="137">
        <v>101</v>
      </c>
      <c r="AB602" s="125">
        <v>0</v>
      </c>
      <c r="AC602" s="137">
        <v>45</v>
      </c>
      <c r="AD602" s="123">
        <v>0</v>
      </c>
      <c r="AE602" s="137">
        <v>0</v>
      </c>
      <c r="AF602" s="137">
        <v>111</v>
      </c>
      <c r="AG602" s="125">
        <v>0</v>
      </c>
      <c r="AH602" s="137">
        <v>91</v>
      </c>
      <c r="AI602" s="125">
        <v>0</v>
      </c>
      <c r="AJ602" s="137">
        <v>0</v>
      </c>
      <c r="AK602" s="137">
        <v>0</v>
      </c>
      <c r="AL602" s="137">
        <v>0</v>
      </c>
      <c r="AM602" s="137">
        <v>46227</v>
      </c>
      <c r="AN602" s="125">
        <v>0</v>
      </c>
      <c r="AO602" s="137">
        <v>-46047</v>
      </c>
      <c r="AP602" s="125" t="s">
        <v>18</v>
      </c>
      <c r="AQ602" s="137" t="s">
        <v>18</v>
      </c>
      <c r="AR602" s="137" t="s">
        <v>18</v>
      </c>
      <c r="AS602" s="137" t="s">
        <v>18</v>
      </c>
      <c r="AT602" s="137" t="s">
        <v>18</v>
      </c>
      <c r="AU602" s="137" t="s">
        <v>18</v>
      </c>
      <c r="AV602" s="137" t="s">
        <v>18</v>
      </c>
      <c r="AW602" s="137" t="s">
        <v>18</v>
      </c>
      <c r="AX602" s="137" t="s">
        <v>18</v>
      </c>
      <c r="AY602" s="137" t="s">
        <v>18</v>
      </c>
      <c r="AZ602" s="137" t="s">
        <v>18</v>
      </c>
      <c r="BA602" s="137" t="s">
        <v>18</v>
      </c>
      <c r="BB602" s="137" t="s">
        <v>18</v>
      </c>
      <c r="BC602" s="137" t="s">
        <v>18</v>
      </c>
    </row>
    <row r="603" spans="1:55" ht="11.25" customHeight="1" x14ac:dyDescent="0.2">
      <c r="A603" s="128">
        <v>100</v>
      </c>
      <c r="B603" s="136" t="s">
        <v>14</v>
      </c>
      <c r="C603" s="137">
        <v>0</v>
      </c>
      <c r="D603" s="171">
        <v>7</v>
      </c>
      <c r="E603" s="172">
        <v>0</v>
      </c>
      <c r="F603" s="137">
        <v>1</v>
      </c>
      <c r="G603" s="172">
        <v>0</v>
      </c>
      <c r="H603" s="137">
        <v>0</v>
      </c>
      <c r="I603" s="137">
        <v>0</v>
      </c>
      <c r="J603" s="137">
        <v>2</v>
      </c>
      <c r="K603" s="172">
        <v>0</v>
      </c>
      <c r="L603" s="137">
        <v>0</v>
      </c>
      <c r="M603" s="137">
        <v>9</v>
      </c>
      <c r="N603" s="172">
        <v>0</v>
      </c>
      <c r="O603" s="137">
        <v>0</v>
      </c>
      <c r="P603" s="137">
        <v>0</v>
      </c>
      <c r="Q603" s="137">
        <v>2</v>
      </c>
      <c r="R603" s="172">
        <v>0</v>
      </c>
      <c r="S603" s="137">
        <v>0</v>
      </c>
      <c r="T603" s="137">
        <v>11</v>
      </c>
      <c r="U603" s="173">
        <v>0</v>
      </c>
      <c r="V603" s="137">
        <v>0</v>
      </c>
      <c r="W603" s="137">
        <v>0</v>
      </c>
      <c r="X603" s="137">
        <v>7</v>
      </c>
      <c r="Y603" s="125">
        <v>0</v>
      </c>
      <c r="Z603" s="137">
        <v>0</v>
      </c>
      <c r="AA603" s="137">
        <v>11</v>
      </c>
      <c r="AB603" s="125">
        <v>0</v>
      </c>
      <c r="AC603" s="137">
        <v>4</v>
      </c>
      <c r="AD603" s="123">
        <v>0</v>
      </c>
      <c r="AE603" s="137">
        <v>0</v>
      </c>
      <c r="AF603" s="137">
        <v>12</v>
      </c>
      <c r="AG603" s="125">
        <v>0</v>
      </c>
      <c r="AH603" s="137">
        <v>12</v>
      </c>
      <c r="AI603" s="125">
        <v>0</v>
      </c>
      <c r="AJ603" s="137">
        <v>0</v>
      </c>
      <c r="AK603" s="137">
        <v>0</v>
      </c>
      <c r="AL603" s="137">
        <v>0</v>
      </c>
      <c r="AM603" s="137">
        <v>17</v>
      </c>
      <c r="AN603" s="125">
        <v>0</v>
      </c>
      <c r="AO603" s="137">
        <v>5</v>
      </c>
      <c r="AP603" s="125" t="s">
        <v>18</v>
      </c>
      <c r="AQ603" s="137" t="s">
        <v>18</v>
      </c>
      <c r="AR603" s="137" t="s">
        <v>18</v>
      </c>
      <c r="AS603" s="137" t="s">
        <v>18</v>
      </c>
      <c r="AT603" s="137" t="s">
        <v>18</v>
      </c>
      <c r="AU603" s="137" t="s">
        <v>18</v>
      </c>
      <c r="AV603" s="137" t="s">
        <v>18</v>
      </c>
      <c r="AW603" s="137" t="s">
        <v>18</v>
      </c>
      <c r="AX603" s="137" t="s">
        <v>18</v>
      </c>
      <c r="AY603" s="137" t="s">
        <v>18</v>
      </c>
      <c r="AZ603" s="137" t="s">
        <v>18</v>
      </c>
      <c r="BA603" s="137" t="s">
        <v>18</v>
      </c>
      <c r="BB603" s="137" t="s">
        <v>18</v>
      </c>
      <c r="BC603" s="137" t="s">
        <v>18</v>
      </c>
    </row>
    <row r="604" spans="1:55" ht="11.25" customHeight="1" x14ac:dyDescent="0.2">
      <c r="A604" s="128">
        <v>101</v>
      </c>
      <c r="B604" s="136" t="s">
        <v>15</v>
      </c>
      <c r="C604" s="137">
        <v>20</v>
      </c>
      <c r="D604" s="171">
        <v>7</v>
      </c>
      <c r="E604" s="172">
        <v>0</v>
      </c>
      <c r="F604" s="137">
        <v>1</v>
      </c>
      <c r="G604" s="172">
        <v>0</v>
      </c>
      <c r="H604" s="137">
        <v>0</v>
      </c>
      <c r="I604" s="137">
        <v>0</v>
      </c>
      <c r="J604" s="137">
        <v>2</v>
      </c>
      <c r="K604" s="172">
        <v>0</v>
      </c>
      <c r="L604" s="137">
        <v>0</v>
      </c>
      <c r="M604" s="137">
        <v>9</v>
      </c>
      <c r="N604" s="172">
        <v>0</v>
      </c>
      <c r="O604" s="137">
        <v>0</v>
      </c>
      <c r="P604" s="137">
        <v>0</v>
      </c>
      <c r="Q604" s="137">
        <v>0</v>
      </c>
      <c r="R604" s="172">
        <v>0</v>
      </c>
      <c r="S604" s="137">
        <v>0</v>
      </c>
      <c r="T604" s="137">
        <v>11</v>
      </c>
      <c r="U604" s="173">
        <v>0</v>
      </c>
      <c r="V604" s="137">
        <v>0</v>
      </c>
      <c r="W604" s="137">
        <v>0</v>
      </c>
      <c r="X604" s="137">
        <v>7</v>
      </c>
      <c r="Y604" s="125">
        <v>0</v>
      </c>
      <c r="Z604" s="137">
        <v>0</v>
      </c>
      <c r="AA604" s="137">
        <v>11</v>
      </c>
      <c r="AB604" s="125">
        <v>0</v>
      </c>
      <c r="AC604" s="137">
        <v>0</v>
      </c>
      <c r="AD604" s="123">
        <v>0</v>
      </c>
      <c r="AE604" s="137">
        <v>0</v>
      </c>
      <c r="AF604" s="137">
        <v>12</v>
      </c>
      <c r="AG604" s="125">
        <v>0</v>
      </c>
      <c r="AH604" s="137">
        <v>0</v>
      </c>
      <c r="AI604" s="125">
        <v>0</v>
      </c>
      <c r="AJ604" s="137">
        <v>0</v>
      </c>
      <c r="AK604" s="137">
        <v>0</v>
      </c>
      <c r="AL604" s="137">
        <v>0</v>
      </c>
      <c r="AM604" s="137">
        <v>16</v>
      </c>
      <c r="AN604" s="125">
        <v>0</v>
      </c>
      <c r="AO604" s="137">
        <v>5</v>
      </c>
      <c r="AP604" s="125" t="s">
        <v>18</v>
      </c>
      <c r="AQ604" s="137" t="s">
        <v>18</v>
      </c>
      <c r="AR604" s="137" t="s">
        <v>18</v>
      </c>
      <c r="AS604" s="137" t="s">
        <v>18</v>
      </c>
      <c r="AT604" s="137" t="s">
        <v>18</v>
      </c>
      <c r="AU604" s="137" t="s">
        <v>18</v>
      </c>
      <c r="AV604" s="137" t="s">
        <v>18</v>
      </c>
      <c r="AW604" s="137" t="s">
        <v>18</v>
      </c>
      <c r="AX604" s="137" t="s">
        <v>18</v>
      </c>
      <c r="AY604" s="137" t="s">
        <v>18</v>
      </c>
      <c r="AZ604" s="137" t="s">
        <v>18</v>
      </c>
      <c r="BA604" s="137" t="s">
        <v>18</v>
      </c>
      <c r="BB604" s="137" t="s">
        <v>18</v>
      </c>
      <c r="BC604" s="137" t="s">
        <v>18</v>
      </c>
    </row>
    <row r="605" spans="1:55" ht="11.25" customHeight="1" x14ac:dyDescent="0.2">
      <c r="A605" s="128">
        <v>30990</v>
      </c>
      <c r="B605" s="136" t="s">
        <v>16</v>
      </c>
      <c r="C605" s="137">
        <v>15600</v>
      </c>
      <c r="D605" s="171">
        <v>1330</v>
      </c>
      <c r="E605" s="172">
        <v>0</v>
      </c>
      <c r="F605" s="137">
        <v>190</v>
      </c>
      <c r="G605" s="172">
        <v>0</v>
      </c>
      <c r="H605" s="137">
        <v>0</v>
      </c>
      <c r="I605" s="137">
        <v>0</v>
      </c>
      <c r="J605" s="137">
        <v>380</v>
      </c>
      <c r="K605" s="172">
        <v>0</v>
      </c>
      <c r="L605" s="137">
        <v>0</v>
      </c>
      <c r="M605" s="137">
        <v>1710</v>
      </c>
      <c r="N605" s="172">
        <v>0</v>
      </c>
      <c r="O605" s="137">
        <v>0</v>
      </c>
      <c r="P605" s="137">
        <v>0</v>
      </c>
      <c r="Q605" s="137">
        <v>0</v>
      </c>
      <c r="R605" s="172">
        <v>0</v>
      </c>
      <c r="S605" s="137">
        <v>0</v>
      </c>
      <c r="T605" s="137">
        <v>2090</v>
      </c>
      <c r="U605" s="173">
        <v>0</v>
      </c>
      <c r="V605" s="137">
        <v>0</v>
      </c>
      <c r="W605" s="137">
        <v>0</v>
      </c>
      <c r="X605" s="137">
        <v>1330</v>
      </c>
      <c r="Y605" s="125">
        <v>0</v>
      </c>
      <c r="Z605" s="137">
        <v>0</v>
      </c>
      <c r="AA605" s="137">
        <v>2090</v>
      </c>
      <c r="AB605" s="125">
        <v>0</v>
      </c>
      <c r="AC605" s="137">
        <v>0</v>
      </c>
      <c r="AD605" s="123">
        <v>0</v>
      </c>
      <c r="AE605" s="137">
        <v>0</v>
      </c>
      <c r="AF605" s="137">
        <v>2280</v>
      </c>
      <c r="AG605" s="125">
        <v>0</v>
      </c>
      <c r="AH605" s="137">
        <v>0</v>
      </c>
      <c r="AI605" s="125">
        <v>0</v>
      </c>
      <c r="AJ605" s="137">
        <v>0</v>
      </c>
      <c r="AK605" s="137">
        <v>0</v>
      </c>
      <c r="AL605" s="137">
        <v>0</v>
      </c>
      <c r="AM605" s="137">
        <v>3040</v>
      </c>
      <c r="AN605" s="125">
        <v>0</v>
      </c>
      <c r="AO605" s="137">
        <v>950</v>
      </c>
      <c r="AP605" s="125" t="s">
        <v>18</v>
      </c>
      <c r="AQ605" s="137" t="s">
        <v>18</v>
      </c>
      <c r="AR605" s="137" t="s">
        <v>18</v>
      </c>
      <c r="AS605" s="137" t="s">
        <v>18</v>
      </c>
      <c r="AT605" s="137" t="s">
        <v>18</v>
      </c>
      <c r="AU605" s="137" t="s">
        <v>18</v>
      </c>
      <c r="AV605" s="137" t="s">
        <v>18</v>
      </c>
      <c r="AW605" s="137" t="s">
        <v>18</v>
      </c>
      <c r="AX605" s="137" t="s">
        <v>18</v>
      </c>
      <c r="AY605" s="137" t="s">
        <v>18</v>
      </c>
      <c r="AZ605" s="137" t="s">
        <v>18</v>
      </c>
      <c r="BA605" s="137" t="s">
        <v>18</v>
      </c>
      <c r="BB605" s="137" t="s">
        <v>18</v>
      </c>
      <c r="BC605" s="137" t="s">
        <v>18</v>
      </c>
    </row>
    <row r="606" spans="1:55" ht="11.25" customHeight="1" thickBot="1" x14ac:dyDescent="0.25">
      <c r="A606" s="138">
        <v>0.201364522417154</v>
      </c>
      <c r="B606" s="139" t="s">
        <v>17</v>
      </c>
      <c r="C606" s="141" t="e">
        <v>#DIV/0!</v>
      </c>
      <c r="D606" s="180">
        <v>4.1433021806853584E-2</v>
      </c>
      <c r="E606" s="181" t="s">
        <v>18</v>
      </c>
      <c r="F606" s="141">
        <v>1.7117117117117116E-2</v>
      </c>
      <c r="G606" s="181" t="s">
        <v>18</v>
      </c>
      <c r="H606" s="141" t="s">
        <v>18</v>
      </c>
      <c r="I606" s="141" t="s">
        <v>18</v>
      </c>
      <c r="J606" s="141">
        <v>7.9166666666666663E-2</v>
      </c>
      <c r="K606" s="181" t="s">
        <v>18</v>
      </c>
      <c r="L606" s="141" t="s">
        <v>18</v>
      </c>
      <c r="M606" s="141">
        <v>8.5929648241206025E-2</v>
      </c>
      <c r="N606" s="181" t="s">
        <v>18</v>
      </c>
      <c r="O606" s="141" t="s">
        <v>18</v>
      </c>
      <c r="P606" s="141" t="s">
        <v>18</v>
      </c>
      <c r="Q606" s="141" t="s">
        <v>18</v>
      </c>
      <c r="R606" s="181" t="s">
        <v>18</v>
      </c>
      <c r="S606" s="141" t="s">
        <v>18</v>
      </c>
      <c r="T606" s="141">
        <v>0.14413793103448275</v>
      </c>
      <c r="U606" s="182" t="s">
        <v>18</v>
      </c>
      <c r="V606" s="141" t="s">
        <v>18</v>
      </c>
      <c r="W606" s="141" t="s">
        <v>18</v>
      </c>
      <c r="X606" s="141">
        <v>0.14148936170212767</v>
      </c>
      <c r="Y606" s="142" t="s">
        <v>18</v>
      </c>
      <c r="Z606" s="141" t="s">
        <v>18</v>
      </c>
      <c r="AA606" s="141">
        <v>0.20693069306930692</v>
      </c>
      <c r="AB606" s="142" t="s">
        <v>18</v>
      </c>
      <c r="AC606" s="141" t="s">
        <v>18</v>
      </c>
      <c r="AD606" s="140" t="s">
        <v>18</v>
      </c>
      <c r="AE606" s="141" t="s">
        <v>18</v>
      </c>
      <c r="AF606" s="141">
        <v>0.20540540540540542</v>
      </c>
      <c r="AG606" s="142" t="s">
        <v>18</v>
      </c>
      <c r="AH606" s="141" t="s">
        <v>18</v>
      </c>
      <c r="AI606" s="141" t="s">
        <v>18</v>
      </c>
      <c r="AJ606" s="141" t="s">
        <v>18</v>
      </c>
      <c r="AK606" s="141" t="s">
        <v>18</v>
      </c>
      <c r="AL606" s="141" t="s">
        <v>18</v>
      </c>
      <c r="AM606" s="141">
        <v>6.5762433210028769E-4</v>
      </c>
      <c r="AN606" s="142" t="s">
        <v>18</v>
      </c>
      <c r="AO606" s="141">
        <v>-2.0631094316676438E-4</v>
      </c>
      <c r="AP606" s="142" t="s">
        <v>18</v>
      </c>
      <c r="AQ606" s="141" t="s">
        <v>18</v>
      </c>
      <c r="AR606" s="141" t="s">
        <v>18</v>
      </c>
      <c r="AS606" s="141" t="s">
        <v>18</v>
      </c>
      <c r="AT606" s="141" t="s">
        <v>18</v>
      </c>
      <c r="AU606" s="141" t="s">
        <v>18</v>
      </c>
      <c r="AV606" s="141" t="s">
        <v>18</v>
      </c>
      <c r="AW606" s="141" t="s">
        <v>18</v>
      </c>
      <c r="AX606" s="141" t="s">
        <v>18</v>
      </c>
      <c r="AY606" s="141" t="s">
        <v>18</v>
      </c>
      <c r="AZ606" s="141" t="s">
        <v>18</v>
      </c>
      <c r="BA606" s="141" t="s">
        <v>18</v>
      </c>
      <c r="BB606" s="141" t="s">
        <v>18</v>
      </c>
      <c r="BC606" s="141" t="s">
        <v>18</v>
      </c>
    </row>
    <row r="607" spans="1:55" ht="12" customHeight="1" thickBot="1" x14ac:dyDescent="0.25">
      <c r="A607" s="151"/>
      <c r="B607" s="152" t="s">
        <v>0</v>
      </c>
      <c r="C607" s="153">
        <v>46071</v>
      </c>
      <c r="D607" s="187">
        <v>46072</v>
      </c>
      <c r="E607" s="153">
        <v>46073</v>
      </c>
      <c r="F607" s="153">
        <v>46074</v>
      </c>
      <c r="G607" s="153">
        <v>46075</v>
      </c>
      <c r="H607" s="153">
        <v>46076</v>
      </c>
      <c r="I607" s="153">
        <v>46077</v>
      </c>
      <c r="J607" s="153">
        <v>46078</v>
      </c>
      <c r="K607" s="153">
        <v>46079</v>
      </c>
      <c r="L607" s="153">
        <v>46080</v>
      </c>
      <c r="M607" s="153">
        <v>46081</v>
      </c>
      <c r="N607" s="153">
        <v>46082</v>
      </c>
      <c r="O607" s="153">
        <v>46083</v>
      </c>
      <c r="P607" s="153">
        <v>46084</v>
      </c>
      <c r="Q607" s="153">
        <v>46085</v>
      </c>
      <c r="R607" s="153">
        <v>46086</v>
      </c>
      <c r="S607" s="153">
        <v>46087</v>
      </c>
      <c r="T607" s="153">
        <v>46088</v>
      </c>
      <c r="U607" s="153">
        <v>46089</v>
      </c>
      <c r="V607" s="153">
        <v>46090</v>
      </c>
      <c r="W607" s="153">
        <v>46091</v>
      </c>
      <c r="X607" s="153">
        <v>46092</v>
      </c>
      <c r="Y607" s="153">
        <v>46093</v>
      </c>
      <c r="Z607" s="153">
        <v>46094</v>
      </c>
      <c r="AA607" s="153">
        <v>46095</v>
      </c>
      <c r="AB607" s="153">
        <v>46096</v>
      </c>
      <c r="AC607" s="153">
        <v>46097</v>
      </c>
      <c r="AD607" s="153">
        <v>46098</v>
      </c>
      <c r="AE607" s="153">
        <v>46099</v>
      </c>
      <c r="AF607" s="153">
        <v>46100</v>
      </c>
      <c r="AG607" s="153">
        <v>46101</v>
      </c>
      <c r="AH607" s="153">
        <v>46102</v>
      </c>
      <c r="AI607" s="153">
        <v>46103</v>
      </c>
      <c r="AJ607" s="153">
        <v>46104</v>
      </c>
      <c r="AK607" s="153">
        <v>46105</v>
      </c>
      <c r="AL607" s="153">
        <v>46106</v>
      </c>
      <c r="AM607" s="153">
        <v>46107</v>
      </c>
      <c r="AN607" s="153">
        <v>46108</v>
      </c>
      <c r="AO607" s="153">
        <v>46109</v>
      </c>
      <c r="AP607" s="153">
        <v>46110</v>
      </c>
      <c r="AQ607" s="153">
        <v>46111</v>
      </c>
      <c r="AR607" s="153">
        <v>46112</v>
      </c>
      <c r="AS607" s="153">
        <v>46113</v>
      </c>
      <c r="AT607" s="153">
        <v>46114</v>
      </c>
      <c r="AU607" s="153">
        <v>46115</v>
      </c>
    </row>
    <row r="608" spans="1:55" ht="11.25" customHeight="1" x14ac:dyDescent="0.2">
      <c r="A608" s="116" t="s">
        <v>1</v>
      </c>
      <c r="B608" s="117" t="s">
        <v>53</v>
      </c>
      <c r="C608" s="119">
        <v>5846</v>
      </c>
      <c r="D608" s="168">
        <v>5869</v>
      </c>
      <c r="E608" s="119">
        <v>5873</v>
      </c>
      <c r="F608" s="119">
        <v>5892</v>
      </c>
      <c r="G608" s="119">
        <v>5893</v>
      </c>
      <c r="H608" s="119">
        <v>5893</v>
      </c>
      <c r="I608" s="119">
        <v>5893</v>
      </c>
      <c r="J608" s="119">
        <v>5906</v>
      </c>
      <c r="K608" s="119">
        <v>5914</v>
      </c>
      <c r="L608" s="119">
        <v>5918</v>
      </c>
      <c r="M608" s="119">
        <v>5946</v>
      </c>
      <c r="N608" s="119">
        <v>5961</v>
      </c>
      <c r="O608" s="119">
        <v>5972</v>
      </c>
      <c r="P608" s="119">
        <v>5973</v>
      </c>
      <c r="Q608" s="119">
        <v>5978</v>
      </c>
      <c r="R608" s="119">
        <v>5981</v>
      </c>
      <c r="S608" s="119">
        <v>5983</v>
      </c>
      <c r="T608" s="119">
        <v>6005</v>
      </c>
      <c r="U608" s="119">
        <v>6049</v>
      </c>
      <c r="V608" s="119">
        <v>6052</v>
      </c>
      <c r="W608" s="119">
        <v>6057</v>
      </c>
      <c r="X608" s="119">
        <v>6059</v>
      </c>
      <c r="Y608" s="119">
        <v>6061</v>
      </c>
      <c r="Z608" s="119">
        <v>6065</v>
      </c>
      <c r="AA608" s="119">
        <v>6065</v>
      </c>
      <c r="AB608" s="119">
        <v>6086</v>
      </c>
      <c r="AC608" s="119">
        <v>6087</v>
      </c>
      <c r="AD608" s="119">
        <v>6097</v>
      </c>
      <c r="AE608" s="119">
        <v>6106</v>
      </c>
      <c r="AF608" s="119">
        <v>6106</v>
      </c>
      <c r="AG608" s="119">
        <v>6133</v>
      </c>
      <c r="AH608" s="119">
        <v>6144</v>
      </c>
      <c r="AI608" s="119">
        <v>6154</v>
      </c>
      <c r="AJ608" s="119">
        <v>6161</v>
      </c>
      <c r="AK608" s="119">
        <v>6191</v>
      </c>
      <c r="AL608" s="119">
        <v>6210</v>
      </c>
      <c r="AM608" s="119">
        <v>6222</v>
      </c>
      <c r="AN608" s="119">
        <v>6227</v>
      </c>
      <c r="AO608" s="119">
        <v>6248</v>
      </c>
      <c r="AP608" s="119">
        <v>6260</v>
      </c>
      <c r="AQ608" s="119">
        <v>6277</v>
      </c>
      <c r="AR608" s="119">
        <v>6293</v>
      </c>
      <c r="AS608" s="119">
        <v>6296</v>
      </c>
      <c r="AT608" s="119"/>
      <c r="AU608" s="119"/>
    </row>
    <row r="609" spans="1:55" ht="11.25" customHeight="1" x14ac:dyDescent="0.2">
      <c r="A609" s="121" t="s">
        <v>54</v>
      </c>
      <c r="B609" s="122" t="s">
        <v>55</v>
      </c>
      <c r="C609" s="124">
        <v>1646</v>
      </c>
      <c r="D609" s="171">
        <v>1652</v>
      </c>
      <c r="E609" s="124">
        <v>1652</v>
      </c>
      <c r="F609" s="124">
        <v>1654</v>
      </c>
      <c r="G609" s="124">
        <v>1654</v>
      </c>
      <c r="H609" s="124">
        <v>1654</v>
      </c>
      <c r="I609" s="124">
        <v>1654</v>
      </c>
      <c r="J609" s="124">
        <v>1660</v>
      </c>
      <c r="K609" s="124">
        <v>1680</v>
      </c>
      <c r="L609" s="124">
        <v>1681</v>
      </c>
      <c r="M609" s="124">
        <v>1685</v>
      </c>
      <c r="N609" s="124">
        <v>1688</v>
      </c>
      <c r="O609" s="124">
        <v>1692</v>
      </c>
      <c r="P609" s="124">
        <v>1692</v>
      </c>
      <c r="Q609" s="124">
        <v>1694</v>
      </c>
      <c r="R609" s="124">
        <v>1694</v>
      </c>
      <c r="S609" s="124">
        <v>1694</v>
      </c>
      <c r="T609" s="124">
        <v>1696</v>
      </c>
      <c r="U609" s="124">
        <v>1706</v>
      </c>
      <c r="V609" s="124">
        <v>1707</v>
      </c>
      <c r="W609" s="124">
        <v>1708</v>
      </c>
      <c r="X609" s="124">
        <v>1708</v>
      </c>
      <c r="Y609" s="124">
        <v>1708</v>
      </c>
      <c r="Z609" s="124">
        <v>1708</v>
      </c>
      <c r="AA609" s="124">
        <v>1708</v>
      </c>
      <c r="AB609" s="124">
        <v>1709</v>
      </c>
      <c r="AC609" s="124">
        <v>1709</v>
      </c>
      <c r="AD609" s="124">
        <v>1711</v>
      </c>
      <c r="AE609" s="124">
        <v>1712</v>
      </c>
      <c r="AF609" s="124">
        <v>1712</v>
      </c>
      <c r="AG609" s="124">
        <v>1718</v>
      </c>
      <c r="AH609" s="124">
        <v>1719</v>
      </c>
      <c r="AI609" s="124">
        <v>1720</v>
      </c>
      <c r="AJ609" s="124">
        <v>1722</v>
      </c>
      <c r="AK609" s="124">
        <v>1727</v>
      </c>
      <c r="AL609" s="124">
        <v>1734</v>
      </c>
      <c r="AM609" s="124">
        <v>1736</v>
      </c>
      <c r="AN609" s="124">
        <v>1738</v>
      </c>
      <c r="AO609" s="124">
        <v>1745</v>
      </c>
      <c r="AP609" s="124">
        <v>1748</v>
      </c>
      <c r="AQ609" s="124">
        <v>1751</v>
      </c>
      <c r="AR609" s="124">
        <v>1755</v>
      </c>
      <c r="AS609" s="124">
        <v>1755</v>
      </c>
      <c r="AT609" s="124"/>
      <c r="AU609" s="124"/>
    </row>
    <row r="610" spans="1:55" ht="11.25" customHeight="1" x14ac:dyDescent="0.25">
      <c r="A610" s="126">
        <v>450000</v>
      </c>
      <c r="B610" s="122" t="s">
        <v>56</v>
      </c>
      <c r="C610" s="124">
        <v>2757</v>
      </c>
      <c r="D610" s="171">
        <v>2768</v>
      </c>
      <c r="E610" s="124">
        <v>2772</v>
      </c>
      <c r="F610" s="124">
        <v>2787</v>
      </c>
      <c r="G610" s="124">
        <v>2787</v>
      </c>
      <c r="H610" s="124">
        <v>2787</v>
      </c>
      <c r="I610" s="124">
        <v>2787</v>
      </c>
      <c r="J610" s="124">
        <v>2794</v>
      </c>
      <c r="K610" s="124">
        <v>2814</v>
      </c>
      <c r="L610" s="124">
        <v>2817</v>
      </c>
      <c r="M610" s="124">
        <v>2837</v>
      </c>
      <c r="N610" s="124">
        <v>2846</v>
      </c>
      <c r="O610" s="124">
        <v>2849</v>
      </c>
      <c r="P610" s="124">
        <v>2850</v>
      </c>
      <c r="Q610" s="124">
        <v>2851</v>
      </c>
      <c r="R610" s="124">
        <v>2854</v>
      </c>
      <c r="S610" s="124">
        <v>2856</v>
      </c>
      <c r="T610" s="124">
        <v>2874</v>
      </c>
      <c r="U610" s="124">
        <v>2902</v>
      </c>
      <c r="V610" s="124">
        <v>2903</v>
      </c>
      <c r="W610" s="124">
        <v>2906</v>
      </c>
      <c r="X610" s="124">
        <v>2908</v>
      </c>
      <c r="Y610" s="124">
        <v>2910</v>
      </c>
      <c r="Z610" s="124">
        <v>2915</v>
      </c>
      <c r="AA610" s="124">
        <v>2915</v>
      </c>
      <c r="AB610" s="124">
        <v>2933</v>
      </c>
      <c r="AC610" s="124">
        <v>2934</v>
      </c>
      <c r="AD610" s="124">
        <v>2942</v>
      </c>
      <c r="AE610" s="124">
        <v>2949</v>
      </c>
      <c r="AF610" s="124">
        <v>2949</v>
      </c>
      <c r="AG610" s="124">
        <v>2964</v>
      </c>
      <c r="AH610" s="124">
        <v>2973</v>
      </c>
      <c r="AI610" s="124">
        <v>2981</v>
      </c>
      <c r="AJ610" s="124">
        <v>2984</v>
      </c>
      <c r="AK610" s="124">
        <v>3004</v>
      </c>
      <c r="AL610" s="124">
        <v>3007</v>
      </c>
      <c r="AM610" s="124">
        <v>3015</v>
      </c>
      <c r="AN610" s="124">
        <v>3016</v>
      </c>
      <c r="AO610" s="124">
        <v>3030</v>
      </c>
      <c r="AP610" s="124">
        <v>3036</v>
      </c>
      <c r="AQ610" s="124">
        <v>3047</v>
      </c>
      <c r="AR610" s="124">
        <v>3055</v>
      </c>
      <c r="AS610" s="124">
        <v>3058</v>
      </c>
      <c r="AT610" s="124"/>
      <c r="AU610" s="124"/>
    </row>
    <row r="611" spans="1:55" ht="11.25" customHeight="1" x14ac:dyDescent="0.2">
      <c r="A611" s="127" t="s">
        <v>9</v>
      </c>
      <c r="B611" s="122" t="s">
        <v>6</v>
      </c>
      <c r="C611" s="124"/>
      <c r="D611" s="171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  <c r="AC611" s="124"/>
      <c r="AD611" s="124"/>
      <c r="AE611" s="124"/>
      <c r="AF611" s="124"/>
      <c r="AG611" s="124"/>
      <c r="AH611" s="124"/>
      <c r="AI611" s="124"/>
      <c r="AJ611" s="124"/>
      <c r="AK611" s="124"/>
      <c r="AL611" s="124"/>
      <c r="AM611" s="124"/>
      <c r="AN611" s="124"/>
      <c r="AO611" s="124"/>
      <c r="AP611" s="124"/>
      <c r="AQ611" s="124"/>
      <c r="AR611" s="124"/>
      <c r="AS611" s="124"/>
      <c r="AT611" s="124"/>
      <c r="AU611" s="124"/>
    </row>
    <row r="612" spans="1:55" ht="11.25" customHeight="1" x14ac:dyDescent="0.2">
      <c r="A612" s="128">
        <v>313953.48837209301</v>
      </c>
      <c r="B612" s="122" t="s">
        <v>8</v>
      </c>
      <c r="C612" s="124"/>
      <c r="D612" s="171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  <c r="AC612" s="124"/>
      <c r="AD612" s="124"/>
      <c r="AE612" s="124"/>
      <c r="AF612" s="124"/>
      <c r="AG612" s="124"/>
      <c r="AH612" s="124"/>
      <c r="AI612" s="124"/>
      <c r="AJ612" s="124"/>
      <c r="AK612" s="124"/>
      <c r="AL612" s="124"/>
      <c r="AM612" s="124"/>
      <c r="AN612" s="124"/>
      <c r="AO612" s="124"/>
      <c r="AP612" s="124"/>
      <c r="AQ612" s="124"/>
      <c r="AR612" s="124"/>
      <c r="AS612" s="124"/>
      <c r="AT612" s="124"/>
      <c r="AU612" s="124"/>
    </row>
    <row r="613" spans="1:55" ht="11.25" customHeight="1" x14ac:dyDescent="0.25">
      <c r="A613" s="126"/>
      <c r="B613" s="132" t="s">
        <v>57</v>
      </c>
      <c r="C613" s="134"/>
      <c r="D613" s="177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  <c r="AN613" s="134"/>
      <c r="AO613" s="134"/>
      <c r="AP613" s="134"/>
      <c r="AQ613" s="134"/>
      <c r="AR613" s="134"/>
      <c r="AS613" s="134"/>
      <c r="AT613" s="134"/>
      <c r="AU613" s="134"/>
    </row>
    <row r="614" spans="1:55" ht="11.25" customHeight="1" x14ac:dyDescent="0.25">
      <c r="A614" s="154"/>
      <c r="B614" s="122" t="s">
        <v>58</v>
      </c>
      <c r="C614" s="124"/>
      <c r="D614" s="171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  <c r="AC614" s="124"/>
      <c r="AD614" s="124"/>
      <c r="AE614" s="124"/>
      <c r="AF614" s="124"/>
      <c r="AG614" s="124"/>
      <c r="AH614" s="124"/>
      <c r="AI614" s="124"/>
      <c r="AJ614" s="124"/>
      <c r="AK614" s="124"/>
      <c r="AL614" s="124"/>
      <c r="AM614" s="124"/>
      <c r="AN614" s="124"/>
      <c r="AO614" s="124"/>
      <c r="AP614" s="124"/>
      <c r="AQ614" s="124"/>
      <c r="AR614" s="124"/>
      <c r="AS614" s="124"/>
      <c r="AT614" s="124"/>
      <c r="AU614" s="124"/>
    </row>
    <row r="615" spans="1:55" ht="11.25" customHeight="1" x14ac:dyDescent="0.2">
      <c r="A615" s="128">
        <v>450</v>
      </c>
      <c r="B615" s="155" t="s">
        <v>59</v>
      </c>
      <c r="C615" s="156">
        <v>0</v>
      </c>
      <c r="D615" s="171">
        <v>23</v>
      </c>
      <c r="E615" s="156">
        <v>4</v>
      </c>
      <c r="F615" s="156">
        <v>19</v>
      </c>
      <c r="G615" s="156">
        <v>1</v>
      </c>
      <c r="H615" s="156">
        <v>0</v>
      </c>
      <c r="I615" s="156">
        <v>0</v>
      </c>
      <c r="J615" s="156">
        <v>13</v>
      </c>
      <c r="K615" s="156">
        <v>8</v>
      </c>
      <c r="L615" s="156">
        <v>4</v>
      </c>
      <c r="M615" s="156">
        <v>28</v>
      </c>
      <c r="N615" s="156">
        <v>15</v>
      </c>
      <c r="O615" s="156">
        <v>11</v>
      </c>
      <c r="P615" s="156">
        <v>1</v>
      </c>
      <c r="Q615" s="156">
        <v>5</v>
      </c>
      <c r="R615" s="156">
        <v>3</v>
      </c>
      <c r="S615" s="156">
        <v>2</v>
      </c>
      <c r="T615" s="156">
        <v>22</v>
      </c>
      <c r="U615" s="156">
        <v>44</v>
      </c>
      <c r="V615" s="156">
        <v>3</v>
      </c>
      <c r="W615" s="156">
        <v>5</v>
      </c>
      <c r="X615" s="156">
        <v>2</v>
      </c>
      <c r="Y615" s="156">
        <v>2</v>
      </c>
      <c r="Z615" s="156">
        <v>4</v>
      </c>
      <c r="AA615" s="156">
        <v>0</v>
      </c>
      <c r="AB615" s="156">
        <v>21</v>
      </c>
      <c r="AC615" s="156">
        <v>1</v>
      </c>
      <c r="AD615" s="156">
        <v>10</v>
      </c>
      <c r="AE615" s="156">
        <v>9</v>
      </c>
      <c r="AF615" s="156">
        <v>0</v>
      </c>
      <c r="AG615" s="156">
        <v>27</v>
      </c>
      <c r="AH615" s="156">
        <v>11</v>
      </c>
      <c r="AI615" s="156">
        <v>10</v>
      </c>
      <c r="AJ615" s="156">
        <v>7</v>
      </c>
      <c r="AK615" s="156">
        <v>30</v>
      </c>
      <c r="AL615" s="156">
        <v>19</v>
      </c>
      <c r="AM615" s="156">
        <v>12</v>
      </c>
      <c r="AN615" s="156">
        <v>5</v>
      </c>
      <c r="AO615" s="156">
        <v>21</v>
      </c>
      <c r="AP615" s="156">
        <v>12</v>
      </c>
      <c r="AQ615" s="156">
        <v>17</v>
      </c>
      <c r="AR615" s="156">
        <v>16</v>
      </c>
      <c r="AS615" s="156">
        <v>3</v>
      </c>
      <c r="AT615" s="156" t="s">
        <v>18</v>
      </c>
      <c r="AU615" s="156" t="s">
        <v>18</v>
      </c>
    </row>
    <row r="616" spans="1:55" ht="11.25" customHeight="1" x14ac:dyDescent="0.2">
      <c r="A616" s="128">
        <v>109</v>
      </c>
      <c r="B616" s="155" t="s">
        <v>60</v>
      </c>
      <c r="C616" s="156">
        <v>0</v>
      </c>
      <c r="D616" s="171">
        <v>6</v>
      </c>
      <c r="E616" s="156">
        <v>0</v>
      </c>
      <c r="F616" s="156">
        <v>2</v>
      </c>
      <c r="G616" s="156">
        <v>0</v>
      </c>
      <c r="H616" s="156">
        <v>0</v>
      </c>
      <c r="I616" s="156">
        <v>0</v>
      </c>
      <c r="J616" s="156">
        <v>6</v>
      </c>
      <c r="K616" s="156">
        <v>20</v>
      </c>
      <c r="L616" s="156">
        <v>1</v>
      </c>
      <c r="M616" s="156">
        <v>4</v>
      </c>
      <c r="N616" s="156">
        <v>3</v>
      </c>
      <c r="O616" s="156">
        <v>4</v>
      </c>
      <c r="P616" s="156">
        <v>0</v>
      </c>
      <c r="Q616" s="156">
        <v>2</v>
      </c>
      <c r="R616" s="156">
        <v>0</v>
      </c>
      <c r="S616" s="156">
        <v>0</v>
      </c>
      <c r="T616" s="156">
        <v>2</v>
      </c>
      <c r="U616" s="156">
        <v>10</v>
      </c>
      <c r="V616" s="156">
        <v>1</v>
      </c>
      <c r="W616" s="156">
        <v>1</v>
      </c>
      <c r="X616" s="156">
        <v>0</v>
      </c>
      <c r="Y616" s="156">
        <v>0</v>
      </c>
      <c r="Z616" s="156">
        <v>0</v>
      </c>
      <c r="AA616" s="156">
        <v>0</v>
      </c>
      <c r="AB616" s="156">
        <v>1</v>
      </c>
      <c r="AC616" s="156">
        <v>0</v>
      </c>
      <c r="AD616" s="156">
        <v>2</v>
      </c>
      <c r="AE616" s="156">
        <v>1</v>
      </c>
      <c r="AF616" s="156">
        <v>0</v>
      </c>
      <c r="AG616" s="156">
        <v>6</v>
      </c>
      <c r="AH616" s="156">
        <v>1</v>
      </c>
      <c r="AI616" s="156">
        <v>1</v>
      </c>
      <c r="AJ616" s="156">
        <v>2</v>
      </c>
      <c r="AK616" s="156">
        <v>5</v>
      </c>
      <c r="AL616" s="156">
        <v>7</v>
      </c>
      <c r="AM616" s="156">
        <v>2</v>
      </c>
      <c r="AN616" s="156">
        <v>2</v>
      </c>
      <c r="AO616" s="156">
        <v>7</v>
      </c>
      <c r="AP616" s="156">
        <v>3</v>
      </c>
      <c r="AQ616" s="156">
        <v>3</v>
      </c>
      <c r="AR616" s="156">
        <v>4</v>
      </c>
      <c r="AS616" s="156">
        <v>0</v>
      </c>
      <c r="AT616" s="156" t="s">
        <v>18</v>
      </c>
      <c r="AU616" s="156" t="s">
        <v>18</v>
      </c>
    </row>
    <row r="617" spans="1:55" ht="11.25" customHeight="1" x14ac:dyDescent="0.2">
      <c r="A617" s="128">
        <v>301</v>
      </c>
      <c r="B617" s="155" t="s">
        <v>61</v>
      </c>
      <c r="C617" s="156">
        <v>0</v>
      </c>
      <c r="D617" s="171">
        <v>11</v>
      </c>
      <c r="E617" s="156">
        <v>4</v>
      </c>
      <c r="F617" s="156">
        <v>15</v>
      </c>
      <c r="G617" s="156">
        <v>0</v>
      </c>
      <c r="H617" s="156">
        <v>0</v>
      </c>
      <c r="I617" s="156">
        <v>0</v>
      </c>
      <c r="J617" s="156">
        <v>7</v>
      </c>
      <c r="K617" s="156">
        <v>20</v>
      </c>
      <c r="L617" s="156">
        <v>3</v>
      </c>
      <c r="M617" s="156">
        <v>20</v>
      </c>
      <c r="N617" s="156">
        <v>9</v>
      </c>
      <c r="O617" s="156">
        <v>3</v>
      </c>
      <c r="P617" s="156">
        <v>1</v>
      </c>
      <c r="Q617" s="156">
        <v>1</v>
      </c>
      <c r="R617" s="156">
        <v>3</v>
      </c>
      <c r="S617" s="156">
        <v>2</v>
      </c>
      <c r="T617" s="156">
        <v>18</v>
      </c>
      <c r="U617" s="156">
        <v>28</v>
      </c>
      <c r="V617" s="156">
        <v>1</v>
      </c>
      <c r="W617" s="156">
        <v>3</v>
      </c>
      <c r="X617" s="156">
        <v>2</v>
      </c>
      <c r="Y617" s="156">
        <v>2</v>
      </c>
      <c r="Z617" s="156">
        <v>5</v>
      </c>
      <c r="AA617" s="156">
        <v>0</v>
      </c>
      <c r="AB617" s="156">
        <v>18</v>
      </c>
      <c r="AC617" s="156">
        <v>1</v>
      </c>
      <c r="AD617" s="156">
        <v>8</v>
      </c>
      <c r="AE617" s="156">
        <v>7</v>
      </c>
      <c r="AF617" s="156">
        <v>0</v>
      </c>
      <c r="AG617" s="156">
        <v>15</v>
      </c>
      <c r="AH617" s="156">
        <v>9</v>
      </c>
      <c r="AI617" s="156">
        <v>8</v>
      </c>
      <c r="AJ617" s="156">
        <v>3</v>
      </c>
      <c r="AK617" s="156">
        <v>20</v>
      </c>
      <c r="AL617" s="156">
        <v>3</v>
      </c>
      <c r="AM617" s="156">
        <v>8</v>
      </c>
      <c r="AN617" s="156">
        <v>1</v>
      </c>
      <c r="AO617" s="156">
        <v>14</v>
      </c>
      <c r="AP617" s="156">
        <v>6</v>
      </c>
      <c r="AQ617" s="156">
        <v>11</v>
      </c>
      <c r="AR617" s="156">
        <v>8</v>
      </c>
      <c r="AS617" s="156">
        <v>3</v>
      </c>
      <c r="AT617" s="156" t="s">
        <v>18</v>
      </c>
      <c r="AU617" s="156" t="s">
        <v>18</v>
      </c>
    </row>
    <row r="618" spans="1:55" ht="11.25" customHeight="1" x14ac:dyDescent="0.2">
      <c r="A618" s="128">
        <v>0</v>
      </c>
      <c r="B618" s="155" t="s">
        <v>16</v>
      </c>
      <c r="C618" s="156" t="s">
        <v>18</v>
      </c>
      <c r="D618" s="171" t="s">
        <v>18</v>
      </c>
      <c r="E618" s="156" t="s">
        <v>18</v>
      </c>
      <c r="F618" s="156" t="s">
        <v>18</v>
      </c>
      <c r="G618" s="156" t="s">
        <v>18</v>
      </c>
      <c r="H618" s="156" t="s">
        <v>18</v>
      </c>
      <c r="I618" s="156" t="s">
        <v>18</v>
      </c>
      <c r="J618" s="156" t="s">
        <v>18</v>
      </c>
      <c r="K618" s="156" t="s">
        <v>18</v>
      </c>
      <c r="L618" s="156" t="s">
        <v>18</v>
      </c>
      <c r="M618" s="156" t="s">
        <v>18</v>
      </c>
      <c r="N618" s="156" t="s">
        <v>18</v>
      </c>
      <c r="O618" s="156" t="s">
        <v>18</v>
      </c>
      <c r="P618" s="156" t="s">
        <v>18</v>
      </c>
      <c r="Q618" s="156" t="s">
        <v>18</v>
      </c>
      <c r="R618" s="156" t="s">
        <v>18</v>
      </c>
      <c r="S618" s="156" t="s">
        <v>18</v>
      </c>
      <c r="T618" s="156" t="s">
        <v>18</v>
      </c>
      <c r="U618" s="156" t="s">
        <v>18</v>
      </c>
      <c r="V618" s="156" t="s">
        <v>18</v>
      </c>
      <c r="W618" s="156" t="s">
        <v>18</v>
      </c>
      <c r="X618" s="156" t="s">
        <v>18</v>
      </c>
      <c r="Y618" s="156" t="s">
        <v>18</v>
      </c>
      <c r="Z618" s="156" t="s">
        <v>18</v>
      </c>
      <c r="AA618" s="156" t="s">
        <v>18</v>
      </c>
      <c r="AB618" s="156" t="s">
        <v>18</v>
      </c>
      <c r="AC618" s="156" t="s">
        <v>18</v>
      </c>
      <c r="AD618" s="156" t="s">
        <v>18</v>
      </c>
      <c r="AE618" s="156" t="s">
        <v>18</v>
      </c>
      <c r="AF618" s="156" t="s">
        <v>18</v>
      </c>
      <c r="AG618" s="156" t="s">
        <v>18</v>
      </c>
      <c r="AH618" s="156" t="s">
        <v>18</v>
      </c>
      <c r="AI618" s="156" t="s">
        <v>18</v>
      </c>
      <c r="AJ618" s="156" t="s">
        <v>18</v>
      </c>
      <c r="AK618" s="156" t="s">
        <v>18</v>
      </c>
      <c r="AL618" s="156" t="s">
        <v>18</v>
      </c>
      <c r="AM618" s="156" t="s">
        <v>18</v>
      </c>
      <c r="AN618" s="156" t="s">
        <v>18</v>
      </c>
      <c r="AO618" s="156" t="s">
        <v>18</v>
      </c>
      <c r="AP618" s="156" t="s">
        <v>18</v>
      </c>
      <c r="AQ618" s="156" t="s">
        <v>18</v>
      </c>
      <c r="AR618" s="156" t="s">
        <v>18</v>
      </c>
      <c r="AS618" s="156" t="s">
        <v>18</v>
      </c>
      <c r="AT618" s="156" t="s">
        <v>18</v>
      </c>
      <c r="AU618" s="156" t="s">
        <v>18</v>
      </c>
    </row>
    <row r="619" spans="1:55" ht="12.75" customHeight="1" thickBot="1" x14ac:dyDescent="0.25">
      <c r="A619" s="138">
        <v>0</v>
      </c>
      <c r="B619" s="157" t="s">
        <v>17</v>
      </c>
      <c r="C619" s="158" t="s">
        <v>18</v>
      </c>
      <c r="D619" s="180" t="s">
        <v>18</v>
      </c>
      <c r="E619" s="158" t="s">
        <v>18</v>
      </c>
      <c r="F619" s="158" t="s">
        <v>18</v>
      </c>
      <c r="G619" s="158" t="s">
        <v>18</v>
      </c>
      <c r="H619" s="158" t="s">
        <v>18</v>
      </c>
      <c r="I619" s="158" t="s">
        <v>18</v>
      </c>
      <c r="J619" s="158" t="s">
        <v>18</v>
      </c>
      <c r="K619" s="158" t="s">
        <v>18</v>
      </c>
      <c r="L619" s="158" t="s">
        <v>18</v>
      </c>
      <c r="M619" s="158" t="s">
        <v>18</v>
      </c>
      <c r="N619" s="158" t="s">
        <v>18</v>
      </c>
      <c r="O619" s="158" t="s">
        <v>18</v>
      </c>
      <c r="P619" s="158" t="s">
        <v>18</v>
      </c>
      <c r="Q619" s="158" t="s">
        <v>18</v>
      </c>
      <c r="R619" s="158" t="s">
        <v>18</v>
      </c>
      <c r="S619" s="158" t="s">
        <v>18</v>
      </c>
      <c r="T619" s="158" t="s">
        <v>18</v>
      </c>
      <c r="U619" s="158" t="s">
        <v>18</v>
      </c>
      <c r="V619" s="158" t="s">
        <v>18</v>
      </c>
      <c r="W619" s="158" t="s">
        <v>18</v>
      </c>
      <c r="X619" s="158" t="s">
        <v>18</v>
      </c>
      <c r="Y619" s="158" t="s">
        <v>18</v>
      </c>
      <c r="Z619" s="158" t="s">
        <v>18</v>
      </c>
      <c r="AA619" s="158" t="s">
        <v>18</v>
      </c>
      <c r="AB619" s="158" t="s">
        <v>18</v>
      </c>
      <c r="AC619" s="158" t="s">
        <v>18</v>
      </c>
      <c r="AD619" s="158" t="s">
        <v>18</v>
      </c>
      <c r="AE619" s="158" t="s">
        <v>18</v>
      </c>
      <c r="AF619" s="158" t="s">
        <v>18</v>
      </c>
      <c r="AG619" s="158" t="s">
        <v>18</v>
      </c>
      <c r="AH619" s="158" t="s">
        <v>18</v>
      </c>
      <c r="AI619" s="158" t="s">
        <v>18</v>
      </c>
      <c r="AJ619" s="158" t="s">
        <v>18</v>
      </c>
      <c r="AK619" s="158" t="s">
        <v>18</v>
      </c>
      <c r="AL619" s="158" t="s">
        <v>18</v>
      </c>
      <c r="AM619" s="158" t="s">
        <v>18</v>
      </c>
      <c r="AN619" s="158" t="s">
        <v>18</v>
      </c>
      <c r="AO619" s="158" t="s">
        <v>18</v>
      </c>
      <c r="AP619" s="158" t="s">
        <v>18</v>
      </c>
      <c r="AQ619" s="158" t="s">
        <v>18</v>
      </c>
      <c r="AR619" s="158" t="s">
        <v>18</v>
      </c>
      <c r="AS619" s="158" t="s">
        <v>18</v>
      </c>
      <c r="AT619" s="158" t="s">
        <v>18</v>
      </c>
      <c r="AU619" s="158" t="s">
        <v>18</v>
      </c>
    </row>
    <row r="620" spans="1:55" ht="12" customHeight="1" thickBot="1" x14ac:dyDescent="0.25">
      <c r="A620" s="151"/>
      <c r="B620" s="152" t="s">
        <v>0</v>
      </c>
      <c r="C620" s="153">
        <v>46038</v>
      </c>
      <c r="D620" s="153">
        <v>46039</v>
      </c>
      <c r="E620" s="153">
        <v>46040</v>
      </c>
      <c r="F620" s="153">
        <v>46041</v>
      </c>
      <c r="G620" s="153">
        <v>46042</v>
      </c>
      <c r="H620" s="153">
        <v>46043</v>
      </c>
      <c r="I620" s="153">
        <v>46044</v>
      </c>
      <c r="J620" s="153">
        <v>46045</v>
      </c>
      <c r="K620" s="153">
        <v>46046</v>
      </c>
      <c r="L620" s="153">
        <v>46047</v>
      </c>
      <c r="M620" s="153">
        <v>46048</v>
      </c>
      <c r="N620" s="153">
        <v>46049</v>
      </c>
      <c r="O620" s="153">
        <v>46050</v>
      </c>
      <c r="P620" s="153">
        <v>46051</v>
      </c>
      <c r="Q620" s="153">
        <v>46052</v>
      </c>
      <c r="R620" s="153">
        <v>46053</v>
      </c>
      <c r="S620" s="153">
        <v>46054</v>
      </c>
      <c r="T620" s="153">
        <v>46055</v>
      </c>
      <c r="U620" s="153">
        <v>46056</v>
      </c>
      <c r="V620" s="153">
        <v>46057</v>
      </c>
      <c r="W620" s="153">
        <v>46058</v>
      </c>
      <c r="X620" s="153">
        <v>46059</v>
      </c>
      <c r="Y620" s="153">
        <v>46060</v>
      </c>
      <c r="Z620" s="153">
        <v>46061</v>
      </c>
      <c r="AA620" s="153">
        <v>46062</v>
      </c>
      <c r="AB620" s="153">
        <v>46063</v>
      </c>
      <c r="AC620" s="153">
        <v>46064</v>
      </c>
      <c r="AD620" s="153">
        <v>46065</v>
      </c>
      <c r="AE620" s="153">
        <v>46066</v>
      </c>
      <c r="AF620" s="153">
        <v>46067</v>
      </c>
      <c r="AG620" s="153">
        <v>46068</v>
      </c>
      <c r="AH620" s="153">
        <v>46069</v>
      </c>
      <c r="AI620" s="153">
        <v>46070</v>
      </c>
      <c r="AJ620" s="153">
        <v>46071</v>
      </c>
      <c r="AK620" s="153">
        <v>46072</v>
      </c>
      <c r="AL620" s="153">
        <v>46073</v>
      </c>
      <c r="AM620" s="153">
        <v>46074</v>
      </c>
      <c r="AN620" s="153">
        <v>46075</v>
      </c>
      <c r="AO620" s="153">
        <v>46076</v>
      </c>
      <c r="AP620" s="153">
        <v>46077</v>
      </c>
      <c r="AQ620" s="153">
        <v>46078</v>
      </c>
      <c r="AR620" s="153">
        <v>46079</v>
      </c>
      <c r="AS620" s="153">
        <v>46080</v>
      </c>
      <c r="AT620" s="153">
        <v>46081</v>
      </c>
      <c r="AU620" s="153">
        <v>46082</v>
      </c>
      <c r="AV620" s="153">
        <v>46083</v>
      </c>
      <c r="AW620" s="153">
        <v>46084</v>
      </c>
      <c r="AX620" s="153">
        <v>46085</v>
      </c>
      <c r="AY620" s="188"/>
      <c r="AZ620" s="188"/>
      <c r="BA620" s="188"/>
      <c r="BB620" s="188"/>
      <c r="BC620" s="188"/>
    </row>
    <row r="621" spans="1:55" x14ac:dyDescent="0.25">
      <c r="A621" s="116" t="s">
        <v>1</v>
      </c>
      <c r="B621" s="117" t="s">
        <v>53</v>
      </c>
      <c r="C621" s="168">
        <v>5581</v>
      </c>
      <c r="D621" s="119">
        <v>5581</v>
      </c>
      <c r="E621" s="119">
        <v>5610</v>
      </c>
      <c r="F621" s="119">
        <v>5623</v>
      </c>
      <c r="G621" s="119">
        <v>5627</v>
      </c>
      <c r="H621" s="119">
        <v>5630</v>
      </c>
      <c r="I621" s="119">
        <v>5630</v>
      </c>
      <c r="J621" s="119">
        <v>5641</v>
      </c>
      <c r="K621" s="119">
        <v>5648</v>
      </c>
      <c r="L621" s="119">
        <v>5664</v>
      </c>
      <c r="M621" s="119">
        <v>5667</v>
      </c>
      <c r="N621" s="119">
        <v>5682</v>
      </c>
      <c r="O621" s="119">
        <v>5690</v>
      </c>
      <c r="P621" s="119">
        <v>5696</v>
      </c>
      <c r="Q621" s="119">
        <v>5707</v>
      </c>
      <c r="R621" s="119">
        <v>5715</v>
      </c>
      <c r="S621" s="119">
        <v>5715</v>
      </c>
      <c r="T621" s="119">
        <v>5733</v>
      </c>
      <c r="U621" s="119">
        <v>5748</v>
      </c>
      <c r="V621" s="119">
        <v>5748</v>
      </c>
      <c r="W621" s="119">
        <v>5749</v>
      </c>
      <c r="X621" s="119">
        <v>5756</v>
      </c>
      <c r="Y621" s="119">
        <v>5767</v>
      </c>
      <c r="Z621" s="119">
        <v>5775</v>
      </c>
      <c r="AA621" s="119">
        <v>5775</v>
      </c>
      <c r="AB621" s="119">
        <v>5788</v>
      </c>
      <c r="AC621" s="119">
        <v>5799</v>
      </c>
      <c r="AD621" s="119">
        <v>5800</v>
      </c>
      <c r="AE621" s="119">
        <v>5800</v>
      </c>
      <c r="AF621" s="119">
        <v>5811</v>
      </c>
      <c r="AG621" s="119">
        <v>5821</v>
      </c>
      <c r="AH621" s="119">
        <v>5841</v>
      </c>
      <c r="AI621" s="119">
        <v>5846</v>
      </c>
      <c r="AJ621" s="119">
        <v>5846</v>
      </c>
      <c r="AK621" s="119">
        <v>5869</v>
      </c>
      <c r="AL621" s="119"/>
      <c r="AM621" s="119"/>
      <c r="AN621" s="119"/>
      <c r="AO621" s="119"/>
      <c r="AP621" s="119"/>
      <c r="AQ621" s="119"/>
      <c r="AR621" s="119"/>
      <c r="AS621" s="119"/>
      <c r="AT621" s="119"/>
      <c r="AU621" s="119"/>
      <c r="AV621" s="119"/>
      <c r="AW621" s="119"/>
      <c r="AX621" s="119"/>
      <c r="AY621" s="161"/>
      <c r="AZ621" s="161"/>
      <c r="BA621" s="161"/>
      <c r="BB621" s="161"/>
      <c r="BC621" s="161"/>
    </row>
    <row r="622" spans="1:55" x14ac:dyDescent="0.25">
      <c r="A622" s="121" t="s">
        <v>54</v>
      </c>
      <c r="B622" s="122" t="s">
        <v>55</v>
      </c>
      <c r="C622" s="171">
        <v>1592</v>
      </c>
      <c r="D622" s="124">
        <v>1592</v>
      </c>
      <c r="E622" s="124">
        <v>1596</v>
      </c>
      <c r="F622" s="124">
        <v>1601</v>
      </c>
      <c r="G622" s="124">
        <v>1601</v>
      </c>
      <c r="H622" s="124">
        <v>1601</v>
      </c>
      <c r="I622" s="124">
        <v>1601</v>
      </c>
      <c r="J622" s="124">
        <v>1602</v>
      </c>
      <c r="K622" s="124">
        <v>1603</v>
      </c>
      <c r="L622" s="124">
        <v>1604</v>
      </c>
      <c r="M622" s="124">
        <v>1604</v>
      </c>
      <c r="N622" s="124">
        <v>1609</v>
      </c>
      <c r="O622" s="124">
        <v>1610</v>
      </c>
      <c r="P622" s="124">
        <v>1611</v>
      </c>
      <c r="Q622" s="124">
        <v>1613</v>
      </c>
      <c r="R622" s="124">
        <v>1619</v>
      </c>
      <c r="S622" s="124">
        <v>1619</v>
      </c>
      <c r="T622" s="124">
        <v>1619</v>
      </c>
      <c r="U622" s="124">
        <v>1620</v>
      </c>
      <c r="V622" s="124">
        <v>1620</v>
      </c>
      <c r="W622" s="124">
        <v>1620</v>
      </c>
      <c r="X622" s="124">
        <v>1620</v>
      </c>
      <c r="Y622" s="124">
        <v>1632</v>
      </c>
      <c r="Z622" s="124">
        <v>1634</v>
      </c>
      <c r="AA622" s="124">
        <v>1634</v>
      </c>
      <c r="AB622" s="124">
        <v>1634</v>
      </c>
      <c r="AC622" s="124">
        <v>1636</v>
      </c>
      <c r="AD622" s="124">
        <v>1636</v>
      </c>
      <c r="AE622" s="124">
        <v>1636</v>
      </c>
      <c r="AF622" s="124">
        <v>1638</v>
      </c>
      <c r="AG622" s="124">
        <v>1640</v>
      </c>
      <c r="AH622" s="124">
        <v>1645</v>
      </c>
      <c r="AI622" s="124">
        <v>1646</v>
      </c>
      <c r="AJ622" s="124">
        <v>1646</v>
      </c>
      <c r="AK622" s="124">
        <v>1652</v>
      </c>
      <c r="AL622" s="124"/>
      <c r="AM622" s="124"/>
      <c r="AN622" s="124"/>
      <c r="AO622" s="124"/>
      <c r="AP622" s="124"/>
      <c r="AQ622" s="124"/>
      <c r="AR622" s="124"/>
      <c r="AS622" s="124"/>
      <c r="AT622" s="124"/>
      <c r="AU622" s="124"/>
      <c r="AV622" s="124"/>
      <c r="AW622" s="124"/>
      <c r="AX622" s="124"/>
      <c r="AY622" s="161"/>
      <c r="AZ622" s="161"/>
      <c r="BA622" s="161"/>
      <c r="BB622" s="161"/>
      <c r="BC622" s="161"/>
    </row>
    <row r="623" spans="1:55" x14ac:dyDescent="0.25">
      <c r="A623" s="126">
        <v>288000</v>
      </c>
      <c r="B623" s="122" t="s">
        <v>56</v>
      </c>
      <c r="C623" s="171">
        <v>2559</v>
      </c>
      <c r="D623" s="124">
        <v>2559</v>
      </c>
      <c r="E623" s="124">
        <v>2580</v>
      </c>
      <c r="F623" s="124">
        <v>2583</v>
      </c>
      <c r="G623" s="124">
        <v>2587</v>
      </c>
      <c r="H623" s="124">
        <v>2590</v>
      </c>
      <c r="I623" s="124">
        <v>2590</v>
      </c>
      <c r="J623" s="124">
        <v>2599</v>
      </c>
      <c r="K623" s="124">
        <v>2604</v>
      </c>
      <c r="L623" s="124">
        <v>2618</v>
      </c>
      <c r="M623" s="124">
        <v>2621</v>
      </c>
      <c r="N623" s="124">
        <v>2626</v>
      </c>
      <c r="O623" s="124">
        <v>2632</v>
      </c>
      <c r="P623" s="124">
        <v>2636</v>
      </c>
      <c r="Q623" s="124">
        <v>2643</v>
      </c>
      <c r="R623" s="124">
        <v>2650</v>
      </c>
      <c r="S623" s="124">
        <v>2650</v>
      </c>
      <c r="T623" s="124">
        <v>2668</v>
      </c>
      <c r="U623" s="124">
        <v>2681</v>
      </c>
      <c r="V623" s="124">
        <v>2681</v>
      </c>
      <c r="W623" s="124">
        <v>2682</v>
      </c>
      <c r="X623" s="124">
        <v>2692</v>
      </c>
      <c r="Y623" s="124">
        <v>2701</v>
      </c>
      <c r="Z623" s="124">
        <v>2705</v>
      </c>
      <c r="AA623" s="124">
        <v>2705</v>
      </c>
      <c r="AB623" s="124">
        <v>2718</v>
      </c>
      <c r="AC623" s="124">
        <v>2725</v>
      </c>
      <c r="AD623" s="124">
        <v>2726</v>
      </c>
      <c r="AE623" s="124">
        <v>2726</v>
      </c>
      <c r="AF623" s="124">
        <v>2733</v>
      </c>
      <c r="AG623" s="124">
        <v>2739</v>
      </c>
      <c r="AH623" s="124">
        <v>2749</v>
      </c>
      <c r="AI623" s="124">
        <v>2757</v>
      </c>
      <c r="AJ623" s="124">
        <v>2757</v>
      </c>
      <c r="AK623" s="124">
        <v>2768</v>
      </c>
      <c r="AL623" s="124"/>
      <c r="AM623" s="124"/>
      <c r="AN623" s="124"/>
      <c r="AO623" s="124"/>
      <c r="AP623" s="124"/>
      <c r="AQ623" s="124"/>
      <c r="AR623" s="124"/>
      <c r="AS623" s="124"/>
      <c r="AT623" s="124"/>
      <c r="AU623" s="124"/>
      <c r="AV623" s="124"/>
      <c r="AW623" s="124"/>
      <c r="AX623" s="124"/>
      <c r="AY623" s="161"/>
      <c r="AZ623" s="161"/>
      <c r="BA623" s="161"/>
      <c r="BB623" s="161"/>
      <c r="BC623" s="161"/>
    </row>
    <row r="624" spans="1:55" x14ac:dyDescent="0.25">
      <c r="A624" s="127" t="s">
        <v>9</v>
      </c>
      <c r="B624" s="122" t="s">
        <v>6</v>
      </c>
      <c r="C624" s="171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  <c r="AC624" s="124"/>
      <c r="AD624" s="124"/>
      <c r="AE624" s="124"/>
      <c r="AF624" s="124"/>
      <c r="AG624" s="124"/>
      <c r="AH624" s="124"/>
      <c r="AI624" s="124"/>
      <c r="AJ624" s="124"/>
      <c r="AK624" s="124"/>
      <c r="AL624" s="124"/>
      <c r="AM624" s="124"/>
      <c r="AN624" s="124"/>
      <c r="AO624" s="124"/>
      <c r="AP624" s="124"/>
      <c r="AQ624" s="124"/>
      <c r="AR624" s="124"/>
      <c r="AS624" s="124"/>
      <c r="AT624" s="124"/>
      <c r="AU624" s="124"/>
      <c r="AV624" s="124"/>
      <c r="AW624" s="124"/>
      <c r="AX624" s="124"/>
      <c r="AY624" s="161"/>
      <c r="AZ624" s="161"/>
      <c r="BA624" s="161"/>
      <c r="BB624" s="161"/>
      <c r="BC624" s="161"/>
    </row>
    <row r="625" spans="1:55" x14ac:dyDescent="0.25">
      <c r="A625" s="128">
        <v>246857.14285714284</v>
      </c>
      <c r="B625" s="122" t="s">
        <v>8</v>
      </c>
      <c r="C625" s="171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  <c r="AC625" s="124"/>
      <c r="AD625" s="124"/>
      <c r="AE625" s="124"/>
      <c r="AF625" s="124"/>
      <c r="AG625" s="124"/>
      <c r="AH625" s="124"/>
      <c r="AI625" s="124"/>
      <c r="AJ625" s="124"/>
      <c r="AK625" s="124"/>
      <c r="AL625" s="124"/>
      <c r="AM625" s="124"/>
      <c r="AN625" s="124"/>
      <c r="AO625" s="124"/>
      <c r="AP625" s="124"/>
      <c r="AQ625" s="124"/>
      <c r="AR625" s="124"/>
      <c r="AS625" s="124"/>
      <c r="AT625" s="124"/>
      <c r="AU625" s="124"/>
      <c r="AV625" s="124"/>
      <c r="AW625" s="124"/>
      <c r="AX625" s="124"/>
      <c r="AY625" s="161"/>
      <c r="AZ625" s="161"/>
      <c r="BA625" s="161"/>
      <c r="BB625" s="161"/>
      <c r="BC625" s="161"/>
    </row>
    <row r="626" spans="1:55" x14ac:dyDescent="0.25">
      <c r="A626" s="126"/>
      <c r="B626" s="132" t="s">
        <v>57</v>
      </c>
      <c r="C626" s="177"/>
      <c r="D626" s="13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  <c r="AN626" s="134"/>
      <c r="AO626" s="134"/>
      <c r="AP626" s="134"/>
      <c r="AQ626" s="134"/>
      <c r="AR626" s="134"/>
      <c r="AS626" s="134"/>
      <c r="AT626" s="134"/>
      <c r="AU626" s="134"/>
      <c r="AV626" s="134"/>
      <c r="AW626" s="134"/>
      <c r="AX626" s="134"/>
      <c r="AY626" s="189"/>
      <c r="AZ626" s="189"/>
      <c r="BA626" s="189"/>
      <c r="BB626" s="189"/>
      <c r="BC626" s="189"/>
    </row>
    <row r="627" spans="1:55" x14ac:dyDescent="0.25">
      <c r="A627" s="154"/>
      <c r="B627" s="122" t="s">
        <v>58</v>
      </c>
      <c r="C627" s="171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  <c r="AC627" s="124"/>
      <c r="AD627" s="124"/>
      <c r="AE627" s="124"/>
      <c r="AF627" s="124"/>
      <c r="AG627" s="124"/>
      <c r="AH627" s="124"/>
      <c r="AI627" s="124"/>
      <c r="AJ627" s="124"/>
      <c r="AK627" s="124"/>
      <c r="AL627" s="124"/>
      <c r="AM627" s="124"/>
      <c r="AN627" s="124"/>
      <c r="AO627" s="124"/>
      <c r="AP627" s="124"/>
      <c r="AQ627" s="124"/>
      <c r="AR627" s="124"/>
      <c r="AS627" s="124"/>
      <c r="AT627" s="124"/>
      <c r="AU627" s="124"/>
      <c r="AV627" s="124"/>
      <c r="AW627" s="124"/>
      <c r="AX627" s="124"/>
      <c r="AY627" s="161"/>
      <c r="AZ627" s="161"/>
      <c r="BA627" s="161"/>
      <c r="BB627" s="161"/>
      <c r="BC627" s="161"/>
    </row>
    <row r="628" spans="1:55" x14ac:dyDescent="0.25">
      <c r="A628" s="128">
        <v>288</v>
      </c>
      <c r="B628" s="155" t="s">
        <v>59</v>
      </c>
      <c r="C628" s="171">
        <v>0</v>
      </c>
      <c r="D628" s="156">
        <v>0</v>
      </c>
      <c r="E628" s="156">
        <v>29</v>
      </c>
      <c r="F628" s="156">
        <v>13</v>
      </c>
      <c r="G628" s="156">
        <v>4</v>
      </c>
      <c r="H628" s="156">
        <v>3</v>
      </c>
      <c r="I628" s="156">
        <v>0</v>
      </c>
      <c r="J628" s="156">
        <v>11</v>
      </c>
      <c r="K628" s="156">
        <v>7</v>
      </c>
      <c r="L628" s="156">
        <v>16</v>
      </c>
      <c r="M628" s="156">
        <v>3</v>
      </c>
      <c r="N628" s="156">
        <v>15</v>
      </c>
      <c r="O628" s="156">
        <v>8</v>
      </c>
      <c r="P628" s="156">
        <v>6</v>
      </c>
      <c r="Q628" s="156">
        <v>11</v>
      </c>
      <c r="R628" s="156">
        <v>8</v>
      </c>
      <c r="S628" s="156">
        <v>0</v>
      </c>
      <c r="T628" s="156">
        <v>18</v>
      </c>
      <c r="U628" s="156">
        <v>15</v>
      </c>
      <c r="V628" s="156">
        <v>0</v>
      </c>
      <c r="W628" s="156">
        <v>1</v>
      </c>
      <c r="X628" s="156">
        <v>7</v>
      </c>
      <c r="Y628" s="156">
        <v>11</v>
      </c>
      <c r="Z628" s="156">
        <v>8</v>
      </c>
      <c r="AA628" s="156">
        <v>0</v>
      </c>
      <c r="AB628" s="156">
        <v>13</v>
      </c>
      <c r="AC628" s="156">
        <v>11</v>
      </c>
      <c r="AD628" s="156">
        <v>1</v>
      </c>
      <c r="AE628" s="156">
        <v>0</v>
      </c>
      <c r="AF628" s="156">
        <v>11</v>
      </c>
      <c r="AG628" s="156">
        <v>10</v>
      </c>
      <c r="AH628" s="156">
        <v>20</v>
      </c>
      <c r="AI628" s="156">
        <v>5</v>
      </c>
      <c r="AJ628" s="156">
        <v>0</v>
      </c>
      <c r="AK628" s="156">
        <v>23</v>
      </c>
      <c r="AL628" s="156" t="s">
        <v>18</v>
      </c>
      <c r="AM628" s="156" t="s">
        <v>18</v>
      </c>
      <c r="AN628" s="156" t="s">
        <v>18</v>
      </c>
      <c r="AO628" s="156" t="s">
        <v>18</v>
      </c>
      <c r="AP628" s="156" t="s">
        <v>18</v>
      </c>
      <c r="AQ628" s="156" t="s">
        <v>18</v>
      </c>
      <c r="AR628" s="156" t="s">
        <v>18</v>
      </c>
      <c r="AS628" s="156" t="s">
        <v>18</v>
      </c>
      <c r="AT628" s="156" t="s">
        <v>18</v>
      </c>
      <c r="AU628" s="156" t="s">
        <v>18</v>
      </c>
      <c r="AV628" s="156" t="s">
        <v>18</v>
      </c>
      <c r="AW628" s="156" t="s">
        <v>18</v>
      </c>
      <c r="AX628" s="156" t="s">
        <v>18</v>
      </c>
      <c r="AY628" s="161"/>
      <c r="AZ628" s="161"/>
      <c r="BA628" s="161"/>
      <c r="BB628" s="161"/>
      <c r="BC628" s="161"/>
    </row>
    <row r="629" spans="1:55" x14ac:dyDescent="0.25">
      <c r="A629" s="128">
        <v>60</v>
      </c>
      <c r="B629" s="155" t="s">
        <v>60</v>
      </c>
      <c r="C629" s="171">
        <v>0</v>
      </c>
      <c r="D629" s="156">
        <v>0</v>
      </c>
      <c r="E629" s="156">
        <v>4</v>
      </c>
      <c r="F629" s="156">
        <v>5</v>
      </c>
      <c r="G629" s="156">
        <v>0</v>
      </c>
      <c r="H629" s="156">
        <v>0</v>
      </c>
      <c r="I629" s="156">
        <v>0</v>
      </c>
      <c r="J629" s="156">
        <v>1</v>
      </c>
      <c r="K629" s="156">
        <v>1</v>
      </c>
      <c r="L629" s="156">
        <v>1</v>
      </c>
      <c r="M629" s="156">
        <v>0</v>
      </c>
      <c r="N629" s="156">
        <v>5</v>
      </c>
      <c r="O629" s="156">
        <v>1</v>
      </c>
      <c r="P629" s="156">
        <v>1</v>
      </c>
      <c r="Q629" s="156">
        <v>2</v>
      </c>
      <c r="R629" s="156">
        <v>6</v>
      </c>
      <c r="S629" s="156">
        <v>0</v>
      </c>
      <c r="T629" s="156">
        <v>0</v>
      </c>
      <c r="U629" s="156">
        <v>1</v>
      </c>
      <c r="V629" s="156">
        <v>0</v>
      </c>
      <c r="W629" s="156">
        <v>0</v>
      </c>
      <c r="X629" s="156">
        <v>0</v>
      </c>
      <c r="Y629" s="156">
        <v>12</v>
      </c>
      <c r="Z629" s="156">
        <v>2</v>
      </c>
      <c r="AA629" s="156">
        <v>0</v>
      </c>
      <c r="AB629" s="156">
        <v>0</v>
      </c>
      <c r="AC629" s="156">
        <v>2</v>
      </c>
      <c r="AD629" s="156">
        <v>0</v>
      </c>
      <c r="AE629" s="156">
        <v>0</v>
      </c>
      <c r="AF629" s="156">
        <v>2</v>
      </c>
      <c r="AG629" s="156">
        <v>2</v>
      </c>
      <c r="AH629" s="156">
        <v>5</v>
      </c>
      <c r="AI629" s="156">
        <v>1</v>
      </c>
      <c r="AJ629" s="156">
        <v>0</v>
      </c>
      <c r="AK629" s="156">
        <v>6</v>
      </c>
      <c r="AL629" s="156" t="s">
        <v>18</v>
      </c>
      <c r="AM629" s="156" t="s">
        <v>18</v>
      </c>
      <c r="AN629" s="156" t="s">
        <v>18</v>
      </c>
      <c r="AO629" s="156" t="s">
        <v>18</v>
      </c>
      <c r="AP629" s="156" t="s">
        <v>18</v>
      </c>
      <c r="AQ629" s="156" t="s">
        <v>18</v>
      </c>
      <c r="AR629" s="156" t="s">
        <v>18</v>
      </c>
      <c r="AS629" s="156" t="s">
        <v>18</v>
      </c>
      <c r="AT629" s="156" t="s">
        <v>18</v>
      </c>
      <c r="AU629" s="156" t="s">
        <v>18</v>
      </c>
      <c r="AV629" s="156" t="s">
        <v>18</v>
      </c>
      <c r="AW629" s="156" t="s">
        <v>18</v>
      </c>
      <c r="AX629" s="156" t="s">
        <v>18</v>
      </c>
      <c r="AY629" s="161"/>
      <c r="AZ629" s="161"/>
      <c r="BA629" s="161"/>
      <c r="BB629" s="161"/>
      <c r="BC629" s="161"/>
    </row>
    <row r="630" spans="1:55" x14ac:dyDescent="0.25">
      <c r="A630" s="128">
        <v>209</v>
      </c>
      <c r="B630" s="155" t="s">
        <v>61</v>
      </c>
      <c r="C630" s="171">
        <v>0</v>
      </c>
      <c r="D630" s="156">
        <v>0</v>
      </c>
      <c r="E630" s="156">
        <v>21</v>
      </c>
      <c r="F630" s="156">
        <v>3</v>
      </c>
      <c r="G630" s="156">
        <v>4</v>
      </c>
      <c r="H630" s="156">
        <v>3</v>
      </c>
      <c r="I630" s="156">
        <v>0</v>
      </c>
      <c r="J630" s="156">
        <v>9</v>
      </c>
      <c r="K630" s="156">
        <v>5</v>
      </c>
      <c r="L630" s="156">
        <v>14</v>
      </c>
      <c r="M630" s="156">
        <v>3</v>
      </c>
      <c r="N630" s="156">
        <v>5</v>
      </c>
      <c r="O630" s="156">
        <v>6</v>
      </c>
      <c r="P630" s="156">
        <v>4</v>
      </c>
      <c r="Q630" s="156">
        <v>7</v>
      </c>
      <c r="R630" s="156">
        <v>7</v>
      </c>
      <c r="S630" s="156">
        <v>0</v>
      </c>
      <c r="T630" s="156">
        <v>18</v>
      </c>
      <c r="U630" s="156">
        <v>13</v>
      </c>
      <c r="V630" s="156">
        <v>0</v>
      </c>
      <c r="W630" s="156">
        <v>1</v>
      </c>
      <c r="X630" s="156">
        <v>10</v>
      </c>
      <c r="Y630" s="156">
        <v>9</v>
      </c>
      <c r="Z630" s="156">
        <v>4</v>
      </c>
      <c r="AA630" s="156">
        <v>0</v>
      </c>
      <c r="AB630" s="156">
        <v>13</v>
      </c>
      <c r="AC630" s="156">
        <v>7</v>
      </c>
      <c r="AD630" s="156">
        <v>1</v>
      </c>
      <c r="AE630" s="156">
        <v>0</v>
      </c>
      <c r="AF630" s="156">
        <v>7</v>
      </c>
      <c r="AG630" s="156">
        <v>6</v>
      </c>
      <c r="AH630" s="156">
        <v>10</v>
      </c>
      <c r="AI630" s="156">
        <v>8</v>
      </c>
      <c r="AJ630" s="156">
        <v>0</v>
      </c>
      <c r="AK630" s="156">
        <v>11</v>
      </c>
      <c r="AL630" s="156" t="s">
        <v>18</v>
      </c>
      <c r="AM630" s="156" t="s">
        <v>18</v>
      </c>
      <c r="AN630" s="156" t="s">
        <v>18</v>
      </c>
      <c r="AO630" s="156" t="s">
        <v>18</v>
      </c>
      <c r="AP630" s="156" t="s">
        <v>18</v>
      </c>
      <c r="AQ630" s="156" t="s">
        <v>18</v>
      </c>
      <c r="AR630" s="156" t="s">
        <v>18</v>
      </c>
      <c r="AS630" s="156" t="s">
        <v>18</v>
      </c>
      <c r="AT630" s="156" t="s">
        <v>18</v>
      </c>
      <c r="AU630" s="156" t="s">
        <v>18</v>
      </c>
      <c r="AV630" s="156" t="s">
        <v>18</v>
      </c>
      <c r="AW630" s="156" t="s">
        <v>18</v>
      </c>
      <c r="AX630" s="156" t="s">
        <v>18</v>
      </c>
      <c r="AY630" s="161"/>
      <c r="AZ630" s="161"/>
      <c r="BA630" s="161"/>
      <c r="BB630" s="161"/>
      <c r="BC630" s="161"/>
    </row>
    <row r="631" spans="1:55" x14ac:dyDescent="0.25">
      <c r="A631" s="128">
        <v>0</v>
      </c>
      <c r="B631" s="155" t="s">
        <v>16</v>
      </c>
      <c r="C631" s="171" t="s">
        <v>18</v>
      </c>
      <c r="D631" s="156" t="s">
        <v>18</v>
      </c>
      <c r="E631" s="156" t="s">
        <v>18</v>
      </c>
      <c r="F631" s="156" t="s">
        <v>18</v>
      </c>
      <c r="G631" s="156" t="s">
        <v>18</v>
      </c>
      <c r="H631" s="156" t="s">
        <v>18</v>
      </c>
      <c r="I631" s="156" t="s">
        <v>18</v>
      </c>
      <c r="J631" s="156" t="s">
        <v>18</v>
      </c>
      <c r="K631" s="156" t="s">
        <v>18</v>
      </c>
      <c r="L631" s="156" t="s">
        <v>18</v>
      </c>
      <c r="M631" s="156" t="s">
        <v>18</v>
      </c>
      <c r="N631" s="156" t="s">
        <v>18</v>
      </c>
      <c r="O631" s="156" t="s">
        <v>18</v>
      </c>
      <c r="P631" s="156" t="s">
        <v>18</v>
      </c>
      <c r="Q631" s="156" t="s">
        <v>18</v>
      </c>
      <c r="R631" s="156" t="s">
        <v>18</v>
      </c>
      <c r="S631" s="156" t="s">
        <v>18</v>
      </c>
      <c r="T631" s="156" t="s">
        <v>18</v>
      </c>
      <c r="U631" s="156" t="s">
        <v>18</v>
      </c>
      <c r="V631" s="156" t="s">
        <v>18</v>
      </c>
      <c r="W631" s="156" t="s">
        <v>18</v>
      </c>
      <c r="X631" s="156" t="s">
        <v>18</v>
      </c>
      <c r="Y631" s="156" t="s">
        <v>18</v>
      </c>
      <c r="Z631" s="156" t="s">
        <v>18</v>
      </c>
      <c r="AA631" s="156" t="s">
        <v>18</v>
      </c>
      <c r="AB631" s="156" t="s">
        <v>18</v>
      </c>
      <c r="AC631" s="156" t="s">
        <v>18</v>
      </c>
      <c r="AD631" s="156" t="s">
        <v>18</v>
      </c>
      <c r="AE631" s="156" t="s">
        <v>18</v>
      </c>
      <c r="AF631" s="156" t="s">
        <v>18</v>
      </c>
      <c r="AG631" s="156" t="s">
        <v>18</v>
      </c>
      <c r="AH631" s="156" t="s">
        <v>18</v>
      </c>
      <c r="AI631" s="156" t="s">
        <v>18</v>
      </c>
      <c r="AJ631" s="156" t="s">
        <v>18</v>
      </c>
      <c r="AK631" s="156" t="s">
        <v>18</v>
      </c>
      <c r="AL631" s="156" t="s">
        <v>18</v>
      </c>
      <c r="AM631" s="156" t="s">
        <v>18</v>
      </c>
      <c r="AN631" s="156" t="s">
        <v>18</v>
      </c>
      <c r="AO631" s="156" t="s">
        <v>18</v>
      </c>
      <c r="AP631" s="156" t="s">
        <v>18</v>
      </c>
      <c r="AQ631" s="156" t="s">
        <v>18</v>
      </c>
      <c r="AR631" s="156" t="s">
        <v>18</v>
      </c>
      <c r="AS631" s="156" t="s">
        <v>18</v>
      </c>
      <c r="AT631" s="156" t="s">
        <v>18</v>
      </c>
      <c r="AU631" s="156" t="s">
        <v>18</v>
      </c>
      <c r="AV631" s="156" t="s">
        <v>18</v>
      </c>
      <c r="AW631" s="156" t="s">
        <v>18</v>
      </c>
      <c r="AX631" s="156" t="s">
        <v>18</v>
      </c>
      <c r="AY631" s="161"/>
      <c r="AZ631" s="161"/>
      <c r="BA631" s="161"/>
      <c r="BB631" s="161"/>
      <c r="BC631" s="161"/>
    </row>
    <row r="632" spans="1:55" x14ac:dyDescent="0.25">
      <c r="A632" s="138">
        <v>0</v>
      </c>
      <c r="B632" s="157" t="s">
        <v>17</v>
      </c>
      <c r="C632" s="180" t="s">
        <v>18</v>
      </c>
      <c r="D632" s="158" t="s">
        <v>18</v>
      </c>
      <c r="E632" s="158" t="s">
        <v>18</v>
      </c>
      <c r="F632" s="158" t="s">
        <v>18</v>
      </c>
      <c r="G632" s="158" t="s">
        <v>18</v>
      </c>
      <c r="H632" s="158" t="s">
        <v>18</v>
      </c>
      <c r="I632" s="158" t="s">
        <v>18</v>
      </c>
      <c r="J632" s="158" t="s">
        <v>18</v>
      </c>
      <c r="K632" s="158" t="s">
        <v>18</v>
      </c>
      <c r="L632" s="158" t="s">
        <v>18</v>
      </c>
      <c r="M632" s="158" t="s">
        <v>18</v>
      </c>
      <c r="N632" s="158" t="s">
        <v>18</v>
      </c>
      <c r="O632" s="158" t="s">
        <v>18</v>
      </c>
      <c r="P632" s="158" t="s">
        <v>18</v>
      </c>
      <c r="Q632" s="158" t="s">
        <v>18</v>
      </c>
      <c r="R632" s="158" t="s">
        <v>18</v>
      </c>
      <c r="S632" s="158" t="s">
        <v>18</v>
      </c>
      <c r="T632" s="158" t="s">
        <v>18</v>
      </c>
      <c r="U632" s="158" t="s">
        <v>18</v>
      </c>
      <c r="V632" s="158" t="s">
        <v>18</v>
      </c>
      <c r="W632" s="158" t="s">
        <v>18</v>
      </c>
      <c r="X632" s="158" t="s">
        <v>18</v>
      </c>
      <c r="Y632" s="158" t="s">
        <v>18</v>
      </c>
      <c r="Z632" s="158" t="s">
        <v>18</v>
      </c>
      <c r="AA632" s="158" t="s">
        <v>18</v>
      </c>
      <c r="AB632" s="158" t="s">
        <v>18</v>
      </c>
      <c r="AC632" s="158" t="s">
        <v>18</v>
      </c>
      <c r="AD632" s="158" t="s">
        <v>18</v>
      </c>
      <c r="AE632" s="158" t="s">
        <v>18</v>
      </c>
      <c r="AF632" s="158" t="s">
        <v>18</v>
      </c>
      <c r="AG632" s="158" t="s">
        <v>18</v>
      </c>
      <c r="AH632" s="158" t="s">
        <v>18</v>
      </c>
      <c r="AI632" s="158" t="s">
        <v>18</v>
      </c>
      <c r="AJ632" s="158" t="s">
        <v>18</v>
      </c>
      <c r="AK632" s="158" t="s">
        <v>18</v>
      </c>
      <c r="AL632" s="158" t="s">
        <v>18</v>
      </c>
      <c r="AM632" s="158" t="s">
        <v>18</v>
      </c>
      <c r="AN632" s="158" t="s">
        <v>18</v>
      </c>
      <c r="AO632" s="158" t="s">
        <v>18</v>
      </c>
      <c r="AP632" s="158" t="s">
        <v>18</v>
      </c>
      <c r="AQ632" s="158" t="s">
        <v>18</v>
      </c>
      <c r="AR632" s="158" t="s">
        <v>18</v>
      </c>
      <c r="AS632" s="158" t="s">
        <v>18</v>
      </c>
      <c r="AT632" s="158" t="s">
        <v>18</v>
      </c>
      <c r="AU632" s="158" t="s">
        <v>18</v>
      </c>
      <c r="AV632" s="158" t="s">
        <v>18</v>
      </c>
      <c r="AW632" s="158" t="s">
        <v>18</v>
      </c>
      <c r="AX632" s="158" t="s">
        <v>18</v>
      </c>
      <c r="AY632" s="161"/>
      <c r="AZ632" s="161"/>
      <c r="BA632" s="161"/>
      <c r="BB632" s="161"/>
      <c r="BC632" s="161"/>
    </row>
    <row r="633" spans="1:55" x14ac:dyDescent="0.2">
      <c r="A633" s="162">
        <v>1046823.5294117647</v>
      </c>
      <c r="B633" s="163" t="s">
        <v>0</v>
      </c>
      <c r="C633" s="159">
        <v>46038</v>
      </c>
      <c r="D633" s="159">
        <v>46039</v>
      </c>
      <c r="E633" s="159">
        <v>46040</v>
      </c>
      <c r="F633" s="159">
        <v>46041</v>
      </c>
      <c r="G633" s="159">
        <v>46042</v>
      </c>
      <c r="H633" s="159">
        <v>46043</v>
      </c>
      <c r="I633" s="159">
        <v>46044</v>
      </c>
      <c r="J633" s="159">
        <v>46045</v>
      </c>
      <c r="K633" s="159">
        <v>46046</v>
      </c>
      <c r="L633" s="159">
        <v>46047</v>
      </c>
      <c r="M633" s="159">
        <v>46048</v>
      </c>
      <c r="N633" s="159">
        <v>46049</v>
      </c>
      <c r="O633" s="159">
        <v>46050</v>
      </c>
      <c r="P633" s="159">
        <v>46051</v>
      </c>
      <c r="Q633" s="159">
        <v>46052</v>
      </c>
      <c r="R633" s="159">
        <v>46053</v>
      </c>
      <c r="S633" s="159">
        <v>46054</v>
      </c>
      <c r="T633" s="159">
        <v>46055</v>
      </c>
      <c r="U633" s="159">
        <v>46056</v>
      </c>
      <c r="V633" s="159">
        <v>46057</v>
      </c>
      <c r="W633" s="159">
        <v>46058</v>
      </c>
      <c r="X633" s="159">
        <v>46059</v>
      </c>
      <c r="Y633" s="159">
        <v>46060</v>
      </c>
      <c r="Z633" s="159">
        <v>46061</v>
      </c>
      <c r="AA633" s="159">
        <v>46062</v>
      </c>
      <c r="AB633" s="159">
        <v>46063</v>
      </c>
      <c r="AC633" s="159">
        <v>46064</v>
      </c>
      <c r="AD633" s="159">
        <v>46065</v>
      </c>
      <c r="AE633" s="159">
        <v>46066</v>
      </c>
      <c r="AF633" s="159">
        <v>46067</v>
      </c>
      <c r="AG633" s="159">
        <v>46068</v>
      </c>
      <c r="AH633" s="159">
        <v>46069</v>
      </c>
      <c r="AI633" s="159">
        <v>46070</v>
      </c>
      <c r="AJ633" s="159">
        <v>46071</v>
      </c>
      <c r="AK633" s="159">
        <v>46072</v>
      </c>
      <c r="AL633" s="159">
        <v>46073</v>
      </c>
      <c r="AM633" s="159">
        <v>46074</v>
      </c>
      <c r="AN633" s="159">
        <v>46075</v>
      </c>
      <c r="AO633" s="159">
        <v>46076</v>
      </c>
      <c r="AP633" s="159">
        <v>46077</v>
      </c>
      <c r="AQ633" s="159">
        <v>46078</v>
      </c>
      <c r="AR633" s="159">
        <v>46079</v>
      </c>
      <c r="AS633" s="159">
        <v>46080</v>
      </c>
      <c r="AT633" s="159">
        <v>46081</v>
      </c>
      <c r="AU633" s="159">
        <v>46082</v>
      </c>
      <c r="AV633" s="159">
        <v>46083</v>
      </c>
      <c r="AW633" s="159">
        <v>46084</v>
      </c>
      <c r="AX633" s="159">
        <v>46085</v>
      </c>
      <c r="AY633" s="159">
        <v>46086</v>
      </c>
      <c r="AZ633" s="159">
        <v>46087</v>
      </c>
      <c r="BA633" s="159">
        <v>46088</v>
      </c>
      <c r="BB633" s="159">
        <v>46089</v>
      </c>
      <c r="BC633" s="159">
        <v>46090</v>
      </c>
    </row>
    <row r="634" spans="1:55" x14ac:dyDescent="0.25">
      <c r="A634" s="165"/>
      <c r="B634" s="166">
        <v>11878</v>
      </c>
      <c r="C634" s="160">
        <v>14</v>
      </c>
      <c r="D634" s="160">
        <v>0</v>
      </c>
      <c r="E634" s="160">
        <v>1727</v>
      </c>
      <c r="F634" s="160">
        <v>0</v>
      </c>
      <c r="G634" s="160">
        <v>0</v>
      </c>
      <c r="H634" s="160">
        <v>0</v>
      </c>
      <c r="I634" s="160">
        <v>955</v>
      </c>
      <c r="J634" s="160">
        <v>0</v>
      </c>
      <c r="K634" s="160">
        <v>0</v>
      </c>
      <c r="L634" s="160">
        <v>1503</v>
      </c>
      <c r="M634" s="160">
        <v>0</v>
      </c>
      <c r="N634" s="160">
        <v>597</v>
      </c>
      <c r="O634" s="160">
        <v>0</v>
      </c>
      <c r="P634" s="160">
        <v>475</v>
      </c>
      <c r="Q634" s="160">
        <v>0</v>
      </c>
      <c r="R634" s="160">
        <v>0</v>
      </c>
      <c r="S634" s="160">
        <v>1167</v>
      </c>
      <c r="T634" s="160">
        <v>0</v>
      </c>
      <c r="U634" s="160">
        <v>0</v>
      </c>
      <c r="V634" s="160">
        <v>0</v>
      </c>
      <c r="W634" s="160">
        <v>993</v>
      </c>
      <c r="X634" s="160">
        <v>0</v>
      </c>
      <c r="Y634" s="160">
        <v>0</v>
      </c>
      <c r="Z634" s="160">
        <v>1181</v>
      </c>
      <c r="AA634" s="160">
        <v>0</v>
      </c>
      <c r="AB634" s="160">
        <v>0</v>
      </c>
      <c r="AC634" s="160">
        <v>0</v>
      </c>
      <c r="AD634" s="160">
        <v>1149</v>
      </c>
      <c r="AE634" s="160">
        <v>0</v>
      </c>
      <c r="AF634" s="160">
        <v>0</v>
      </c>
      <c r="AG634" s="160">
        <v>1335</v>
      </c>
      <c r="AH634" s="160">
        <v>0</v>
      </c>
      <c r="AI634" s="160">
        <v>0</v>
      </c>
      <c r="AJ634" s="160">
        <v>782</v>
      </c>
      <c r="AK634" s="160">
        <v>0</v>
      </c>
      <c r="AL634" s="160">
        <v>0</v>
      </c>
      <c r="AM634" s="160">
        <v>0</v>
      </c>
      <c r="AN634" s="160">
        <v>0</v>
      </c>
      <c r="AO634" s="160">
        <v>0</v>
      </c>
      <c r="AP634" s="160">
        <v>0</v>
      </c>
      <c r="AQ634" s="160">
        <v>0</v>
      </c>
      <c r="AR634" s="160">
        <v>0</v>
      </c>
      <c r="AS634" s="160">
        <v>0</v>
      </c>
      <c r="AT634" s="160">
        <v>0</v>
      </c>
      <c r="AU634" s="160">
        <v>0</v>
      </c>
      <c r="AV634" s="160">
        <v>0</v>
      </c>
      <c r="AW634" s="160">
        <v>0</v>
      </c>
      <c r="AX634" s="160">
        <v>0</v>
      </c>
      <c r="AY634" s="160">
        <v>0</v>
      </c>
      <c r="AZ634" s="160">
        <v>0</v>
      </c>
      <c r="BA634" s="160">
        <v>0</v>
      </c>
      <c r="BB634" s="160">
        <v>0</v>
      </c>
      <c r="BC634" s="160">
        <v>0</v>
      </c>
    </row>
    <row r="635" spans="1:55" x14ac:dyDescent="0.2">
      <c r="A635" s="116" t="s">
        <v>1</v>
      </c>
      <c r="B635" s="117" t="s">
        <v>2</v>
      </c>
      <c r="C635" s="168">
        <v>30521</v>
      </c>
      <c r="D635" s="119">
        <v>30521</v>
      </c>
      <c r="E635" s="119">
        <v>30761</v>
      </c>
      <c r="F635" s="169">
        <v>30761</v>
      </c>
      <c r="G635" s="119">
        <v>30761</v>
      </c>
      <c r="H635" s="119">
        <v>30761</v>
      </c>
      <c r="I635" s="119">
        <v>30855</v>
      </c>
      <c r="J635" s="169">
        <v>30855</v>
      </c>
      <c r="K635" s="119">
        <v>30855</v>
      </c>
      <c r="L635" s="119">
        <v>30932</v>
      </c>
      <c r="M635" s="169">
        <v>30932</v>
      </c>
      <c r="N635" s="119">
        <v>30963</v>
      </c>
      <c r="O635" s="169">
        <v>30963</v>
      </c>
      <c r="P635" s="119">
        <v>31041</v>
      </c>
      <c r="Q635" s="169">
        <v>31041</v>
      </c>
      <c r="R635" s="119">
        <v>31041</v>
      </c>
      <c r="S635" s="119">
        <v>31102</v>
      </c>
      <c r="T635" s="169">
        <v>31102</v>
      </c>
      <c r="U635" s="119">
        <v>31102</v>
      </c>
      <c r="V635" s="119">
        <v>31102</v>
      </c>
      <c r="W635" s="119">
        <v>31213</v>
      </c>
      <c r="X635" s="169">
        <v>31213</v>
      </c>
      <c r="Y635" s="119">
        <v>31213</v>
      </c>
      <c r="Z635" s="119">
        <v>31294</v>
      </c>
      <c r="AA635" s="169">
        <v>31294</v>
      </c>
      <c r="AB635" s="119">
        <v>31294</v>
      </c>
      <c r="AC635" s="119">
        <v>31294</v>
      </c>
      <c r="AD635" s="119">
        <v>31389</v>
      </c>
      <c r="AE635" s="169">
        <v>31389</v>
      </c>
      <c r="AF635" s="119">
        <v>31389</v>
      </c>
      <c r="AG635" s="119">
        <v>31442</v>
      </c>
      <c r="AH635" s="169">
        <v>31442</v>
      </c>
      <c r="AI635" s="119">
        <v>31442</v>
      </c>
      <c r="AJ635" s="119">
        <v>31480</v>
      </c>
      <c r="AK635" s="168"/>
      <c r="AL635" s="119"/>
      <c r="AM635" s="119"/>
      <c r="AN635" s="119"/>
      <c r="AO635" s="119"/>
      <c r="AP635" s="119"/>
      <c r="AQ635" s="119"/>
      <c r="AR635" s="119"/>
      <c r="AS635" s="119"/>
      <c r="AT635" s="119"/>
      <c r="AU635" s="119"/>
      <c r="AV635" s="119"/>
      <c r="AW635" s="119"/>
      <c r="AX635" s="119"/>
      <c r="AY635" s="119"/>
      <c r="AZ635" s="119"/>
      <c r="BA635" s="119"/>
      <c r="BB635" s="119"/>
      <c r="BC635" s="119"/>
    </row>
    <row r="636" spans="1:55" x14ac:dyDescent="0.2">
      <c r="A636" s="121" t="s">
        <v>3</v>
      </c>
      <c r="B636" s="122" t="s">
        <v>4</v>
      </c>
      <c r="C636" s="171">
        <v>1093</v>
      </c>
      <c r="D636" s="124">
        <v>1093</v>
      </c>
      <c r="E636" s="124">
        <v>1104</v>
      </c>
      <c r="F636" s="172">
        <v>1104</v>
      </c>
      <c r="G636" s="124">
        <v>1104</v>
      </c>
      <c r="H636" s="124">
        <v>1104</v>
      </c>
      <c r="I636" s="124">
        <v>1109</v>
      </c>
      <c r="J636" s="172">
        <v>1109</v>
      </c>
      <c r="K636" s="124">
        <v>1109</v>
      </c>
      <c r="L636" s="124">
        <v>1112</v>
      </c>
      <c r="M636" s="172">
        <v>1112</v>
      </c>
      <c r="N636" s="124">
        <v>1114</v>
      </c>
      <c r="O636" s="172">
        <v>1114</v>
      </c>
      <c r="P636" s="124">
        <v>1115</v>
      </c>
      <c r="Q636" s="172">
        <v>1115</v>
      </c>
      <c r="R636" s="124">
        <v>1115</v>
      </c>
      <c r="S636" s="124">
        <v>1118</v>
      </c>
      <c r="T636" s="172">
        <v>1118</v>
      </c>
      <c r="U636" s="124">
        <v>1118</v>
      </c>
      <c r="V636" s="124">
        <v>1118</v>
      </c>
      <c r="W636" s="124">
        <v>1119</v>
      </c>
      <c r="X636" s="172">
        <v>1119</v>
      </c>
      <c r="Y636" s="124">
        <v>1119</v>
      </c>
      <c r="Z636" s="124">
        <v>1120</v>
      </c>
      <c r="AA636" s="172">
        <v>1120</v>
      </c>
      <c r="AB636" s="124">
        <v>1120</v>
      </c>
      <c r="AC636" s="124">
        <v>1120</v>
      </c>
      <c r="AD636" s="124">
        <v>1123</v>
      </c>
      <c r="AE636" s="172">
        <v>1123</v>
      </c>
      <c r="AF636" s="124">
        <v>1123</v>
      </c>
      <c r="AG636" s="124">
        <v>1123</v>
      </c>
      <c r="AH636" s="172">
        <v>1123</v>
      </c>
      <c r="AI636" s="124">
        <v>1123</v>
      </c>
      <c r="AJ636" s="124">
        <v>1124</v>
      </c>
      <c r="AK636" s="171" t="s">
        <v>18</v>
      </c>
      <c r="AL636" s="124" t="s">
        <v>18</v>
      </c>
      <c r="AM636" s="124" t="s">
        <v>18</v>
      </c>
      <c r="AN636" s="124" t="s">
        <v>18</v>
      </c>
      <c r="AO636" s="124" t="s">
        <v>18</v>
      </c>
      <c r="AP636" s="124" t="s">
        <v>18</v>
      </c>
      <c r="AQ636" s="124" t="s">
        <v>18</v>
      </c>
      <c r="AR636" s="124" t="s">
        <v>18</v>
      </c>
      <c r="AS636" s="124" t="s">
        <v>18</v>
      </c>
      <c r="AT636" s="124" t="s">
        <v>18</v>
      </c>
      <c r="AU636" s="124" t="s">
        <v>18</v>
      </c>
      <c r="AV636" s="124" t="s">
        <v>18</v>
      </c>
      <c r="AW636" s="124" t="s">
        <v>18</v>
      </c>
      <c r="AX636" s="124" t="s">
        <v>18</v>
      </c>
      <c r="AY636" s="124" t="s">
        <v>18</v>
      </c>
      <c r="AZ636" s="124" t="s">
        <v>18</v>
      </c>
      <c r="BA636" s="124" t="s">
        <v>18</v>
      </c>
      <c r="BB636" s="124" t="s">
        <v>18</v>
      </c>
      <c r="BC636" s="124" t="s">
        <v>18</v>
      </c>
    </row>
    <row r="637" spans="1:55" x14ac:dyDescent="0.25">
      <c r="A637" s="126"/>
      <c r="B637" s="122" t="s">
        <v>5</v>
      </c>
      <c r="C637" s="171">
        <v>34</v>
      </c>
      <c r="D637" s="124">
        <v>34</v>
      </c>
      <c r="E637" s="124">
        <v>34</v>
      </c>
      <c r="F637" s="172">
        <v>34</v>
      </c>
      <c r="G637" s="124">
        <v>34</v>
      </c>
      <c r="H637" s="124">
        <v>34</v>
      </c>
      <c r="I637" s="124">
        <v>31</v>
      </c>
      <c r="J637" s="172">
        <v>34</v>
      </c>
      <c r="K637" s="124">
        <v>34</v>
      </c>
      <c r="L637" s="124">
        <v>31</v>
      </c>
      <c r="M637" s="172">
        <v>31</v>
      </c>
      <c r="N637" s="124">
        <v>30</v>
      </c>
      <c r="O637" s="172">
        <v>30</v>
      </c>
      <c r="P637" s="124">
        <v>29</v>
      </c>
      <c r="Q637" s="172">
        <v>29</v>
      </c>
      <c r="R637" s="124">
        <v>29</v>
      </c>
      <c r="S637" s="124">
        <v>28</v>
      </c>
      <c r="T637" s="172">
        <v>28</v>
      </c>
      <c r="U637" s="124">
        <v>28</v>
      </c>
      <c r="V637" s="124">
        <v>28</v>
      </c>
      <c r="W637" s="124">
        <v>27</v>
      </c>
      <c r="X637" s="172">
        <v>32</v>
      </c>
      <c r="Y637" s="124">
        <v>32</v>
      </c>
      <c r="Z637" s="124">
        <v>31</v>
      </c>
      <c r="AA637" s="172">
        <v>31</v>
      </c>
      <c r="AB637" s="124">
        <v>31</v>
      </c>
      <c r="AC637" s="124">
        <v>31</v>
      </c>
      <c r="AD637" s="124">
        <v>28</v>
      </c>
      <c r="AE637" s="172">
        <v>28</v>
      </c>
      <c r="AF637" s="124">
        <v>28</v>
      </c>
      <c r="AG637" s="124">
        <v>28</v>
      </c>
      <c r="AH637" s="172">
        <v>28</v>
      </c>
      <c r="AI637" s="124">
        <v>28</v>
      </c>
      <c r="AJ637" s="124">
        <v>27</v>
      </c>
      <c r="AK637" s="171" t="s">
        <v>18</v>
      </c>
      <c r="AL637" s="124" t="s">
        <v>18</v>
      </c>
      <c r="AM637" s="124" t="s">
        <v>18</v>
      </c>
      <c r="AN637" s="124" t="s">
        <v>18</v>
      </c>
      <c r="AO637" s="124" t="s">
        <v>18</v>
      </c>
      <c r="AP637" s="124" t="s">
        <v>18</v>
      </c>
      <c r="AQ637" s="124" t="s">
        <v>18</v>
      </c>
      <c r="AR637" s="124" t="s">
        <v>18</v>
      </c>
      <c r="AS637" s="124" t="s">
        <v>18</v>
      </c>
      <c r="AT637" s="124" t="s">
        <v>18</v>
      </c>
      <c r="AU637" s="124" t="s">
        <v>18</v>
      </c>
      <c r="AV637" s="124" t="s">
        <v>18</v>
      </c>
      <c r="AW637" s="124" t="s">
        <v>18</v>
      </c>
      <c r="AX637" s="124" t="s">
        <v>18</v>
      </c>
      <c r="AY637" s="124" t="s">
        <v>18</v>
      </c>
      <c r="AZ637" s="124" t="s">
        <v>18</v>
      </c>
      <c r="BA637" s="124" t="s">
        <v>18</v>
      </c>
      <c r="BB637" s="124" t="s">
        <v>18</v>
      </c>
      <c r="BC637" s="124" t="s">
        <v>18</v>
      </c>
    </row>
    <row r="638" spans="1:55" x14ac:dyDescent="0.2">
      <c r="A638" s="127"/>
      <c r="B638" s="122" t="s">
        <v>6</v>
      </c>
      <c r="C638" s="171"/>
      <c r="D638" s="124"/>
      <c r="E638" s="124"/>
      <c r="F638" s="172"/>
      <c r="G638" s="124"/>
      <c r="H638" s="124"/>
      <c r="I638" s="124">
        <v>3</v>
      </c>
      <c r="J638" s="172"/>
      <c r="K638" s="124"/>
      <c r="L638" s="124"/>
      <c r="M638" s="172"/>
      <c r="N638" s="124"/>
      <c r="O638" s="172"/>
      <c r="P638" s="124"/>
      <c r="Q638" s="172"/>
      <c r="R638" s="124"/>
      <c r="S638" s="124"/>
      <c r="T638" s="172"/>
      <c r="U638" s="124"/>
      <c r="V638" s="124"/>
      <c r="W638" s="124">
        <v>5</v>
      </c>
      <c r="X638" s="172"/>
      <c r="Y638" s="124"/>
      <c r="Z638" s="124"/>
      <c r="AA638" s="172"/>
      <c r="AB638" s="124"/>
      <c r="AC638" s="124"/>
      <c r="AD638" s="124"/>
      <c r="AE638" s="172"/>
      <c r="AF638" s="124"/>
      <c r="AG638" s="124"/>
      <c r="AH638" s="172"/>
      <c r="AI638" s="124"/>
      <c r="AJ638" s="124"/>
      <c r="AK638" s="171"/>
      <c r="AL638" s="124"/>
      <c r="AM638" s="124"/>
      <c r="AN638" s="124"/>
      <c r="AO638" s="124"/>
      <c r="AP638" s="124"/>
      <c r="AQ638" s="124"/>
      <c r="AR638" s="124"/>
      <c r="AS638" s="124"/>
      <c r="AT638" s="124"/>
      <c r="AU638" s="124"/>
      <c r="AV638" s="124"/>
      <c r="AW638" s="124"/>
      <c r="AX638" s="124"/>
      <c r="AY638" s="124"/>
      <c r="AZ638" s="124"/>
      <c r="BA638" s="124"/>
      <c r="BB638" s="124"/>
      <c r="BC638" s="124"/>
    </row>
    <row r="639" spans="1:55" x14ac:dyDescent="0.2">
      <c r="A639" s="128"/>
      <c r="B639" s="122" t="s">
        <v>8</v>
      </c>
      <c r="C639" s="174">
        <v>1100</v>
      </c>
      <c r="D639" s="130">
        <v>1100</v>
      </c>
      <c r="E639" s="130">
        <v>1100</v>
      </c>
      <c r="F639" s="175">
        <v>1100</v>
      </c>
      <c r="G639" s="130">
        <v>1100</v>
      </c>
      <c r="H639" s="130">
        <v>1100</v>
      </c>
      <c r="I639" s="130">
        <v>1100</v>
      </c>
      <c r="J639" s="175">
        <v>1100</v>
      </c>
      <c r="K639" s="130">
        <v>1100</v>
      </c>
      <c r="L639" s="130">
        <v>1100</v>
      </c>
      <c r="M639" s="175">
        <v>1100</v>
      </c>
      <c r="N639" s="130">
        <v>1100</v>
      </c>
      <c r="O639" s="175">
        <v>1100</v>
      </c>
      <c r="P639" s="130">
        <v>1100</v>
      </c>
      <c r="Q639" s="175">
        <v>1100</v>
      </c>
      <c r="R639" s="130">
        <v>1100</v>
      </c>
      <c r="S639" s="130">
        <v>1100</v>
      </c>
      <c r="T639" s="175">
        <v>1100</v>
      </c>
      <c r="U639" s="130">
        <v>1100</v>
      </c>
      <c r="V639" s="130">
        <v>1100</v>
      </c>
      <c r="W639" s="130">
        <v>1100</v>
      </c>
      <c r="X639" s="175">
        <v>1100</v>
      </c>
      <c r="Y639" s="130">
        <v>1100</v>
      </c>
      <c r="Z639" s="130">
        <v>1100</v>
      </c>
      <c r="AA639" s="175">
        <v>1100</v>
      </c>
      <c r="AB639" s="130">
        <v>1100</v>
      </c>
      <c r="AC639" s="130">
        <v>1100</v>
      </c>
      <c r="AD639" s="130">
        <v>1100</v>
      </c>
      <c r="AE639" s="175">
        <v>1100</v>
      </c>
      <c r="AF639" s="130">
        <v>1100</v>
      </c>
      <c r="AG639" s="130">
        <v>1100</v>
      </c>
      <c r="AH639" s="175">
        <v>1100</v>
      </c>
      <c r="AI639" s="130">
        <v>1100</v>
      </c>
      <c r="AJ639" s="130">
        <v>1100</v>
      </c>
      <c r="AK639" s="174" t="s">
        <v>18</v>
      </c>
      <c r="AL639" s="130" t="s">
        <v>18</v>
      </c>
      <c r="AM639" s="130" t="s">
        <v>18</v>
      </c>
      <c r="AN639" s="130" t="s">
        <v>18</v>
      </c>
      <c r="AO639" s="130" t="s">
        <v>18</v>
      </c>
      <c r="AP639" s="130" t="s">
        <v>18</v>
      </c>
      <c r="AQ639" s="130" t="s">
        <v>18</v>
      </c>
      <c r="AR639" s="130" t="s">
        <v>18</v>
      </c>
      <c r="AS639" s="130" t="s">
        <v>18</v>
      </c>
      <c r="AT639" s="130" t="s">
        <v>18</v>
      </c>
      <c r="AU639" s="130" t="s">
        <v>18</v>
      </c>
      <c r="AV639" s="130" t="s">
        <v>18</v>
      </c>
      <c r="AW639" s="130" t="s">
        <v>18</v>
      </c>
      <c r="AX639" s="130" t="s">
        <v>18</v>
      </c>
      <c r="AY639" s="130" t="s">
        <v>18</v>
      </c>
      <c r="AZ639" s="130" t="s">
        <v>18</v>
      </c>
      <c r="BA639" s="130" t="s">
        <v>18</v>
      </c>
      <c r="BB639" s="130" t="s">
        <v>18</v>
      </c>
      <c r="BC639" s="130" t="s">
        <v>18</v>
      </c>
    </row>
    <row r="640" spans="1:55" ht="15.75" customHeight="1" x14ac:dyDescent="0.2">
      <c r="A640" s="127" t="s">
        <v>9</v>
      </c>
      <c r="B640" s="132" t="s">
        <v>10</v>
      </c>
      <c r="C640" s="177" t="s">
        <v>11</v>
      </c>
      <c r="D640" s="134" t="s">
        <v>11</v>
      </c>
      <c r="E640" s="134" t="s">
        <v>11</v>
      </c>
      <c r="F640" s="178" t="s">
        <v>11</v>
      </c>
      <c r="G640" s="134" t="s">
        <v>11</v>
      </c>
      <c r="H640" s="134" t="s">
        <v>11</v>
      </c>
      <c r="I640" s="134" t="s">
        <v>11</v>
      </c>
      <c r="J640" s="178" t="s">
        <v>11</v>
      </c>
      <c r="K640" s="134" t="s">
        <v>11</v>
      </c>
      <c r="L640" s="134" t="s">
        <v>11</v>
      </c>
      <c r="M640" s="178" t="s">
        <v>11</v>
      </c>
      <c r="N640" s="134" t="s">
        <v>11</v>
      </c>
      <c r="O640" s="178" t="s">
        <v>11</v>
      </c>
      <c r="P640" s="134" t="s">
        <v>11</v>
      </c>
      <c r="Q640" s="178" t="s">
        <v>11</v>
      </c>
      <c r="R640" s="134" t="s">
        <v>11</v>
      </c>
      <c r="S640" s="134" t="s">
        <v>11</v>
      </c>
      <c r="T640" s="178" t="s">
        <v>11</v>
      </c>
      <c r="U640" s="134" t="s">
        <v>11</v>
      </c>
      <c r="V640" s="134" t="s">
        <v>11</v>
      </c>
      <c r="W640" s="134" t="s">
        <v>11</v>
      </c>
      <c r="X640" s="178" t="s">
        <v>11</v>
      </c>
      <c r="Y640" s="134" t="s">
        <v>11</v>
      </c>
      <c r="Z640" s="134" t="s">
        <v>11</v>
      </c>
      <c r="AA640" s="178" t="s">
        <v>11</v>
      </c>
      <c r="AB640" s="134" t="s">
        <v>11</v>
      </c>
      <c r="AC640" s="134" t="s">
        <v>11</v>
      </c>
      <c r="AD640" s="134" t="s">
        <v>11</v>
      </c>
      <c r="AE640" s="178" t="s">
        <v>11</v>
      </c>
      <c r="AF640" s="134" t="s">
        <v>11</v>
      </c>
      <c r="AG640" s="134" t="s">
        <v>11</v>
      </c>
      <c r="AH640" s="178" t="s">
        <v>11</v>
      </c>
      <c r="AI640" s="134" t="s">
        <v>11</v>
      </c>
      <c r="AJ640" s="134" t="s">
        <v>11</v>
      </c>
      <c r="AK640" s="177" t="s">
        <v>18</v>
      </c>
      <c r="AL640" s="134" t="s">
        <v>18</v>
      </c>
      <c r="AM640" s="134" t="s">
        <v>18</v>
      </c>
      <c r="AN640" s="134" t="s">
        <v>18</v>
      </c>
      <c r="AO640" s="134" t="s">
        <v>18</v>
      </c>
      <c r="AP640" s="134" t="s">
        <v>18</v>
      </c>
      <c r="AQ640" s="134" t="s">
        <v>18</v>
      </c>
      <c r="AR640" s="134" t="s">
        <v>18</v>
      </c>
      <c r="AS640" s="134" t="s">
        <v>18</v>
      </c>
      <c r="AT640" s="134" t="s">
        <v>18</v>
      </c>
      <c r="AU640" s="134" t="s">
        <v>18</v>
      </c>
      <c r="AV640" s="134" t="s">
        <v>18</v>
      </c>
      <c r="AW640" s="134" t="s">
        <v>18</v>
      </c>
      <c r="AX640" s="134" t="s">
        <v>18</v>
      </c>
      <c r="AY640" s="134" t="s">
        <v>18</v>
      </c>
      <c r="AZ640" s="134" t="s">
        <v>18</v>
      </c>
      <c r="BA640" s="134" t="s">
        <v>18</v>
      </c>
      <c r="BB640" s="134" t="s">
        <v>18</v>
      </c>
      <c r="BC640" s="134" t="s">
        <v>18</v>
      </c>
    </row>
    <row r="641" spans="1:55" ht="15.75" customHeight="1" x14ac:dyDescent="0.2">
      <c r="A641" s="128">
        <v>84617.647058823539</v>
      </c>
      <c r="B641" s="122" t="s">
        <v>12</v>
      </c>
      <c r="C641" s="171">
        <v>37</v>
      </c>
      <c r="D641" s="124"/>
      <c r="E641" s="124"/>
      <c r="F641" s="172" t="s">
        <v>81</v>
      </c>
      <c r="G641" s="124"/>
      <c r="H641" s="124"/>
      <c r="I641" s="124"/>
      <c r="J641" s="172" t="s">
        <v>81</v>
      </c>
      <c r="K641" s="124"/>
      <c r="L641" s="124"/>
      <c r="M641" s="172"/>
      <c r="N641" s="124"/>
      <c r="O641" s="172"/>
      <c r="P641" s="124"/>
      <c r="Q641" s="172"/>
      <c r="R641" s="124"/>
      <c r="S641" s="124"/>
      <c r="T641" s="172"/>
      <c r="U641" s="124"/>
      <c r="V641" s="124"/>
      <c r="W641" s="124"/>
      <c r="X641" s="172"/>
      <c r="Y641" s="124"/>
      <c r="Z641" s="124"/>
      <c r="AA641" s="172"/>
      <c r="AB641" s="124"/>
      <c r="AC641" s="124"/>
      <c r="AD641" s="124"/>
      <c r="AE641" s="172"/>
      <c r="AF641" s="124"/>
      <c r="AG641" s="124"/>
      <c r="AH641" s="172"/>
      <c r="AI641" s="124"/>
      <c r="AJ641" s="124"/>
      <c r="AK641" s="171"/>
      <c r="AL641" s="124"/>
      <c r="AM641" s="124"/>
      <c r="AN641" s="124"/>
      <c r="AO641" s="124"/>
      <c r="AP641" s="124"/>
      <c r="AQ641" s="124"/>
      <c r="AR641" s="124"/>
      <c r="AS641" s="124"/>
      <c r="AT641" s="124"/>
      <c r="AU641" s="124"/>
      <c r="AV641" s="124"/>
      <c r="AW641" s="124"/>
      <c r="AX641" s="124"/>
      <c r="AY641" s="124"/>
      <c r="AZ641" s="124"/>
      <c r="BA641" s="124"/>
      <c r="BB641" s="124"/>
      <c r="BC641" s="124"/>
    </row>
    <row r="642" spans="1:55" ht="15.75" customHeight="1" x14ac:dyDescent="0.2">
      <c r="A642" s="128">
        <v>959</v>
      </c>
      <c r="B642" s="136" t="s">
        <v>13</v>
      </c>
      <c r="C642" s="171">
        <v>0</v>
      </c>
      <c r="D642" s="137">
        <v>0</v>
      </c>
      <c r="E642" s="137">
        <v>240</v>
      </c>
      <c r="F642" s="172">
        <v>0</v>
      </c>
      <c r="G642" s="137">
        <v>0</v>
      </c>
      <c r="H642" s="137">
        <v>0</v>
      </c>
      <c r="I642" s="137">
        <v>94</v>
      </c>
      <c r="J642" s="172">
        <v>0</v>
      </c>
      <c r="K642" s="137">
        <v>0</v>
      </c>
      <c r="L642" s="137">
        <v>77</v>
      </c>
      <c r="M642" s="172">
        <v>0</v>
      </c>
      <c r="N642" s="137">
        <v>31</v>
      </c>
      <c r="O642" s="172">
        <v>0</v>
      </c>
      <c r="P642" s="137">
        <v>78</v>
      </c>
      <c r="Q642" s="172">
        <v>0</v>
      </c>
      <c r="R642" s="137">
        <v>0</v>
      </c>
      <c r="S642" s="137">
        <v>61</v>
      </c>
      <c r="T642" s="172">
        <v>0</v>
      </c>
      <c r="U642" s="137">
        <v>0</v>
      </c>
      <c r="V642" s="137">
        <v>0</v>
      </c>
      <c r="W642" s="137">
        <v>111</v>
      </c>
      <c r="X642" s="172">
        <v>0</v>
      </c>
      <c r="Y642" s="137">
        <v>0</v>
      </c>
      <c r="Z642" s="137">
        <v>81</v>
      </c>
      <c r="AA642" s="172">
        <v>0</v>
      </c>
      <c r="AB642" s="137">
        <v>0</v>
      </c>
      <c r="AC642" s="137">
        <v>0</v>
      </c>
      <c r="AD642" s="137">
        <v>95</v>
      </c>
      <c r="AE642" s="172">
        <v>0</v>
      </c>
      <c r="AF642" s="137">
        <v>0</v>
      </c>
      <c r="AG642" s="137">
        <v>53</v>
      </c>
      <c r="AH642" s="172">
        <v>0</v>
      </c>
      <c r="AI642" s="137">
        <v>0</v>
      </c>
      <c r="AJ642" s="137">
        <v>38</v>
      </c>
      <c r="AK642" s="171" t="s">
        <v>18</v>
      </c>
      <c r="AL642" s="137" t="s">
        <v>18</v>
      </c>
      <c r="AM642" s="137" t="s">
        <v>18</v>
      </c>
      <c r="AN642" s="137" t="s">
        <v>18</v>
      </c>
      <c r="AO642" s="137" t="s">
        <v>18</v>
      </c>
      <c r="AP642" s="137" t="s">
        <v>18</v>
      </c>
      <c r="AQ642" s="137" t="s">
        <v>18</v>
      </c>
      <c r="AR642" s="137" t="s">
        <v>18</v>
      </c>
      <c r="AS642" s="137" t="s">
        <v>18</v>
      </c>
      <c r="AT642" s="137" t="s">
        <v>18</v>
      </c>
      <c r="AU642" s="137" t="s">
        <v>18</v>
      </c>
      <c r="AV642" s="137" t="s">
        <v>18</v>
      </c>
      <c r="AW642" s="137" t="s">
        <v>18</v>
      </c>
      <c r="AX642" s="137" t="s">
        <v>18</v>
      </c>
      <c r="AY642" s="137" t="s">
        <v>18</v>
      </c>
      <c r="AZ642" s="137" t="s">
        <v>18</v>
      </c>
      <c r="BA642" s="137" t="s">
        <v>18</v>
      </c>
      <c r="BB642" s="137" t="s">
        <v>18</v>
      </c>
      <c r="BC642" s="137" t="s">
        <v>18</v>
      </c>
    </row>
    <row r="643" spans="1:55" ht="15.75" customHeight="1" x14ac:dyDescent="0.2">
      <c r="A643" s="128">
        <v>31</v>
      </c>
      <c r="B643" s="136" t="s">
        <v>14</v>
      </c>
      <c r="C643" s="171">
        <v>0</v>
      </c>
      <c r="D643" s="137">
        <v>0</v>
      </c>
      <c r="E643" s="137">
        <v>11</v>
      </c>
      <c r="F643" s="172">
        <v>0</v>
      </c>
      <c r="G643" s="137">
        <v>0</v>
      </c>
      <c r="H643" s="137">
        <v>0</v>
      </c>
      <c r="I643" s="137">
        <v>5</v>
      </c>
      <c r="J643" s="172">
        <v>0</v>
      </c>
      <c r="K643" s="137">
        <v>0</v>
      </c>
      <c r="L643" s="137">
        <v>3</v>
      </c>
      <c r="M643" s="172">
        <v>0</v>
      </c>
      <c r="N643" s="137">
        <v>2</v>
      </c>
      <c r="O643" s="172">
        <v>0</v>
      </c>
      <c r="P643" s="137">
        <v>1</v>
      </c>
      <c r="Q643" s="172">
        <v>0</v>
      </c>
      <c r="R643" s="137">
        <v>0</v>
      </c>
      <c r="S643" s="137">
        <v>3</v>
      </c>
      <c r="T643" s="172">
        <v>0</v>
      </c>
      <c r="U643" s="137">
        <v>0</v>
      </c>
      <c r="V643" s="137">
        <v>0</v>
      </c>
      <c r="W643" s="137">
        <v>1</v>
      </c>
      <c r="X643" s="172">
        <v>0</v>
      </c>
      <c r="Y643" s="137">
        <v>0</v>
      </c>
      <c r="Z643" s="137">
        <v>1</v>
      </c>
      <c r="AA643" s="172">
        <v>0</v>
      </c>
      <c r="AB643" s="137">
        <v>0</v>
      </c>
      <c r="AC643" s="137">
        <v>0</v>
      </c>
      <c r="AD643" s="137">
        <v>3</v>
      </c>
      <c r="AE643" s="172">
        <v>0</v>
      </c>
      <c r="AF643" s="137">
        <v>0</v>
      </c>
      <c r="AG643" s="137">
        <v>0</v>
      </c>
      <c r="AH643" s="172">
        <v>0</v>
      </c>
      <c r="AI643" s="137">
        <v>0</v>
      </c>
      <c r="AJ643" s="137">
        <v>1</v>
      </c>
      <c r="AK643" s="171" t="s">
        <v>18</v>
      </c>
      <c r="AL643" s="137" t="s">
        <v>18</v>
      </c>
      <c r="AM643" s="137" t="s">
        <v>18</v>
      </c>
      <c r="AN643" s="137" t="s">
        <v>18</v>
      </c>
      <c r="AO643" s="137" t="s">
        <v>18</v>
      </c>
      <c r="AP643" s="137" t="s">
        <v>18</v>
      </c>
      <c r="AQ643" s="137" t="s">
        <v>18</v>
      </c>
      <c r="AR643" s="137" t="s">
        <v>18</v>
      </c>
      <c r="AS643" s="137" t="s">
        <v>18</v>
      </c>
      <c r="AT643" s="137" t="s">
        <v>18</v>
      </c>
      <c r="AU643" s="137" t="s">
        <v>18</v>
      </c>
      <c r="AV643" s="137" t="s">
        <v>18</v>
      </c>
      <c r="AW643" s="137" t="s">
        <v>18</v>
      </c>
      <c r="AX643" s="137" t="s">
        <v>18</v>
      </c>
      <c r="AY643" s="137" t="s">
        <v>18</v>
      </c>
      <c r="AZ643" s="137" t="s">
        <v>18</v>
      </c>
      <c r="BA643" s="137" t="s">
        <v>18</v>
      </c>
      <c r="BB643" s="137" t="s">
        <v>18</v>
      </c>
      <c r="BC643" s="137" t="s">
        <v>18</v>
      </c>
    </row>
    <row r="644" spans="1:55" ht="15.75" customHeight="1" x14ac:dyDescent="0.2">
      <c r="A644" s="128">
        <v>15</v>
      </c>
      <c r="B644" s="136" t="s">
        <v>15</v>
      </c>
      <c r="C644" s="171">
        <v>0</v>
      </c>
      <c r="D644" s="137">
        <v>0</v>
      </c>
      <c r="E644" s="137">
        <v>0</v>
      </c>
      <c r="F644" s="172">
        <v>0</v>
      </c>
      <c r="G644" s="137">
        <v>0</v>
      </c>
      <c r="H644" s="137">
        <v>0</v>
      </c>
      <c r="I644" s="137">
        <v>3</v>
      </c>
      <c r="J644" s="172">
        <v>0</v>
      </c>
      <c r="K644" s="137">
        <v>0</v>
      </c>
      <c r="L644" s="137">
        <v>3</v>
      </c>
      <c r="M644" s="172">
        <v>0</v>
      </c>
      <c r="N644" s="137">
        <v>1</v>
      </c>
      <c r="O644" s="172">
        <v>0</v>
      </c>
      <c r="P644" s="137">
        <v>1</v>
      </c>
      <c r="Q644" s="172">
        <v>0</v>
      </c>
      <c r="R644" s="137">
        <v>0</v>
      </c>
      <c r="S644" s="137">
        <v>1</v>
      </c>
      <c r="T644" s="172">
        <v>0</v>
      </c>
      <c r="U644" s="137">
        <v>0</v>
      </c>
      <c r="V644" s="137">
        <v>0</v>
      </c>
      <c r="W644" s="137">
        <v>1</v>
      </c>
      <c r="X644" s="172">
        <v>0</v>
      </c>
      <c r="Y644" s="137">
        <v>0</v>
      </c>
      <c r="Z644" s="137">
        <v>1</v>
      </c>
      <c r="AA644" s="172">
        <v>0</v>
      </c>
      <c r="AB644" s="137">
        <v>0</v>
      </c>
      <c r="AC644" s="137">
        <v>0</v>
      </c>
      <c r="AD644" s="137">
        <v>3</v>
      </c>
      <c r="AE644" s="172">
        <v>0</v>
      </c>
      <c r="AF644" s="137">
        <v>0</v>
      </c>
      <c r="AG644" s="137">
        <v>0</v>
      </c>
      <c r="AH644" s="172">
        <v>0</v>
      </c>
      <c r="AI644" s="137">
        <v>0</v>
      </c>
      <c r="AJ644" s="137">
        <v>1</v>
      </c>
      <c r="AK644" s="171" t="s">
        <v>18</v>
      </c>
      <c r="AL644" s="137" t="s">
        <v>18</v>
      </c>
      <c r="AM644" s="137" t="s">
        <v>18</v>
      </c>
      <c r="AN644" s="137" t="s">
        <v>18</v>
      </c>
      <c r="AO644" s="137" t="s">
        <v>18</v>
      </c>
      <c r="AP644" s="137" t="s">
        <v>18</v>
      </c>
      <c r="AQ644" s="137" t="s">
        <v>18</v>
      </c>
      <c r="AR644" s="137" t="s">
        <v>18</v>
      </c>
      <c r="AS644" s="137" t="s">
        <v>18</v>
      </c>
      <c r="AT644" s="137" t="s">
        <v>18</v>
      </c>
      <c r="AU644" s="137" t="s">
        <v>18</v>
      </c>
      <c r="AV644" s="137" t="s">
        <v>18</v>
      </c>
      <c r="AW644" s="137" t="s">
        <v>18</v>
      </c>
      <c r="AX644" s="137" t="s">
        <v>18</v>
      </c>
      <c r="AY644" s="137" t="s">
        <v>18</v>
      </c>
      <c r="AZ644" s="137" t="s">
        <v>18</v>
      </c>
      <c r="BA644" s="137" t="s">
        <v>18</v>
      </c>
      <c r="BB644" s="137" t="s">
        <v>18</v>
      </c>
      <c r="BC644" s="137" t="s">
        <v>18</v>
      </c>
    </row>
    <row r="645" spans="1:55" ht="15.75" customHeight="1" x14ac:dyDescent="0.2">
      <c r="A645" s="128">
        <v>16500</v>
      </c>
      <c r="B645" s="136" t="s">
        <v>16</v>
      </c>
      <c r="C645" s="171">
        <v>0</v>
      </c>
      <c r="D645" s="137">
        <v>0</v>
      </c>
      <c r="E645" s="137">
        <v>0</v>
      </c>
      <c r="F645" s="172">
        <v>0</v>
      </c>
      <c r="G645" s="137">
        <v>0</v>
      </c>
      <c r="H645" s="137">
        <v>0</v>
      </c>
      <c r="I645" s="137">
        <v>3300</v>
      </c>
      <c r="J645" s="172">
        <v>0</v>
      </c>
      <c r="K645" s="137">
        <v>0</v>
      </c>
      <c r="L645" s="137">
        <v>3300</v>
      </c>
      <c r="M645" s="172">
        <v>0</v>
      </c>
      <c r="N645" s="137">
        <v>1100</v>
      </c>
      <c r="O645" s="172">
        <v>0</v>
      </c>
      <c r="P645" s="137">
        <v>1100</v>
      </c>
      <c r="Q645" s="172">
        <v>0</v>
      </c>
      <c r="R645" s="137">
        <v>0</v>
      </c>
      <c r="S645" s="137">
        <v>1100</v>
      </c>
      <c r="T645" s="172">
        <v>0</v>
      </c>
      <c r="U645" s="137">
        <v>0</v>
      </c>
      <c r="V645" s="137">
        <v>0</v>
      </c>
      <c r="W645" s="137">
        <v>1100</v>
      </c>
      <c r="X645" s="172">
        <v>0</v>
      </c>
      <c r="Y645" s="137">
        <v>0</v>
      </c>
      <c r="Z645" s="137">
        <v>1100</v>
      </c>
      <c r="AA645" s="172">
        <v>0</v>
      </c>
      <c r="AB645" s="137">
        <v>0</v>
      </c>
      <c r="AC645" s="137">
        <v>0</v>
      </c>
      <c r="AD645" s="137">
        <v>3300</v>
      </c>
      <c r="AE645" s="172">
        <v>0</v>
      </c>
      <c r="AF645" s="137">
        <v>0</v>
      </c>
      <c r="AG645" s="137">
        <v>0</v>
      </c>
      <c r="AH645" s="172">
        <v>0</v>
      </c>
      <c r="AI645" s="137">
        <v>0</v>
      </c>
      <c r="AJ645" s="137">
        <v>1100</v>
      </c>
      <c r="AK645" s="171" t="s">
        <v>18</v>
      </c>
      <c r="AL645" s="137" t="s">
        <v>18</v>
      </c>
      <c r="AM645" s="137" t="s">
        <v>18</v>
      </c>
      <c r="AN645" s="137" t="s">
        <v>18</v>
      </c>
      <c r="AO645" s="137" t="s">
        <v>18</v>
      </c>
      <c r="AP645" s="137" t="s">
        <v>18</v>
      </c>
      <c r="AQ645" s="137" t="s">
        <v>18</v>
      </c>
      <c r="AR645" s="137" t="s">
        <v>18</v>
      </c>
      <c r="AS645" s="137" t="s">
        <v>18</v>
      </c>
      <c r="AT645" s="137" t="s">
        <v>18</v>
      </c>
      <c r="AU645" s="137" t="s">
        <v>18</v>
      </c>
      <c r="AV645" s="137" t="s">
        <v>18</v>
      </c>
      <c r="AW645" s="137" t="s">
        <v>18</v>
      </c>
      <c r="AX645" s="137" t="s">
        <v>18</v>
      </c>
      <c r="AY645" s="137" t="s">
        <v>18</v>
      </c>
      <c r="AZ645" s="137" t="s">
        <v>18</v>
      </c>
      <c r="BA645" s="137" t="s">
        <v>18</v>
      </c>
      <c r="BB645" s="137" t="s">
        <v>18</v>
      </c>
      <c r="BC645" s="137" t="s">
        <v>18</v>
      </c>
    </row>
    <row r="646" spans="1:55" ht="15.75" customHeight="1" x14ac:dyDescent="0.2">
      <c r="A646" s="138">
        <v>0.17205422314911367</v>
      </c>
      <c r="B646" s="139" t="s">
        <v>17</v>
      </c>
      <c r="C646" s="180" t="s">
        <v>18</v>
      </c>
      <c r="D646" s="141" t="s">
        <v>18</v>
      </c>
      <c r="E646" s="141" t="s">
        <v>18</v>
      </c>
      <c r="F646" s="181" t="s">
        <v>18</v>
      </c>
      <c r="G646" s="141" t="s">
        <v>18</v>
      </c>
      <c r="H646" s="141" t="s">
        <v>18</v>
      </c>
      <c r="I646" s="141">
        <v>0.35106382978723405</v>
      </c>
      <c r="J646" s="181" t="s">
        <v>18</v>
      </c>
      <c r="K646" s="141" t="s">
        <v>18</v>
      </c>
      <c r="L646" s="141">
        <v>0.42857142857142855</v>
      </c>
      <c r="M646" s="181" t="s">
        <v>18</v>
      </c>
      <c r="N646" s="141">
        <v>0.35483870967741937</v>
      </c>
      <c r="O646" s="181" t="s">
        <v>18</v>
      </c>
      <c r="P646" s="141">
        <v>0.14102564102564102</v>
      </c>
      <c r="Q646" s="181" t="s">
        <v>18</v>
      </c>
      <c r="R646" s="141" t="s">
        <v>18</v>
      </c>
      <c r="S646" s="141">
        <v>0.18032786885245902</v>
      </c>
      <c r="T646" s="181" t="s">
        <v>18</v>
      </c>
      <c r="U646" s="141" t="s">
        <v>18</v>
      </c>
      <c r="V646" s="141" t="s">
        <v>18</v>
      </c>
      <c r="W646" s="141">
        <v>9.90990990990991E-2</v>
      </c>
      <c r="X646" s="181" t="s">
        <v>18</v>
      </c>
      <c r="Y646" s="141" t="s">
        <v>18</v>
      </c>
      <c r="Z646" s="141">
        <v>0.13580246913580246</v>
      </c>
      <c r="AA646" s="181" t="s">
        <v>18</v>
      </c>
      <c r="AB646" s="141" t="s">
        <v>18</v>
      </c>
      <c r="AC646" s="141" t="s">
        <v>18</v>
      </c>
      <c r="AD646" s="141">
        <v>0.3473684210526316</v>
      </c>
      <c r="AE646" s="181" t="s">
        <v>18</v>
      </c>
      <c r="AF646" s="141" t="s">
        <v>18</v>
      </c>
      <c r="AG646" s="141" t="s">
        <v>18</v>
      </c>
      <c r="AH646" s="181" t="s">
        <v>18</v>
      </c>
      <c r="AI646" s="141" t="s">
        <v>18</v>
      </c>
      <c r="AJ646" s="141">
        <v>0.28947368421052633</v>
      </c>
      <c r="AK646" s="180" t="s">
        <v>18</v>
      </c>
      <c r="AL646" s="141" t="s">
        <v>18</v>
      </c>
      <c r="AM646" s="141" t="s">
        <v>18</v>
      </c>
      <c r="AN646" s="141" t="s">
        <v>18</v>
      </c>
      <c r="AO646" s="141" t="s">
        <v>18</v>
      </c>
      <c r="AP646" s="141" t="s">
        <v>18</v>
      </c>
      <c r="AQ646" s="141" t="s">
        <v>18</v>
      </c>
      <c r="AR646" s="141" t="s">
        <v>18</v>
      </c>
      <c r="AS646" s="141" t="s">
        <v>18</v>
      </c>
      <c r="AT646" s="141" t="s">
        <v>18</v>
      </c>
      <c r="AU646" s="141" t="s">
        <v>18</v>
      </c>
      <c r="AV646" s="141" t="s">
        <v>18</v>
      </c>
      <c r="AW646" s="141" t="s">
        <v>18</v>
      </c>
      <c r="AX646" s="141" t="s">
        <v>18</v>
      </c>
      <c r="AY646" s="141" t="s">
        <v>18</v>
      </c>
      <c r="AZ646" s="141" t="s">
        <v>18</v>
      </c>
      <c r="BA646" s="141" t="s">
        <v>18</v>
      </c>
      <c r="BB646" s="141" t="s">
        <v>18</v>
      </c>
      <c r="BC646" s="141" t="s">
        <v>18</v>
      </c>
    </row>
    <row r="647" spans="1:55" ht="15.75" customHeight="1" x14ac:dyDescent="0.2">
      <c r="A647" s="116" t="s">
        <v>1</v>
      </c>
      <c r="B647" s="117" t="s">
        <v>2</v>
      </c>
      <c r="C647" s="168">
        <v>24517</v>
      </c>
      <c r="D647" s="119">
        <v>24517</v>
      </c>
      <c r="E647" s="119">
        <v>24615</v>
      </c>
      <c r="F647" s="169">
        <v>24615</v>
      </c>
      <c r="G647" s="119">
        <v>24615</v>
      </c>
      <c r="H647" s="119">
        <v>24615</v>
      </c>
      <c r="I647" s="119">
        <v>24745</v>
      </c>
      <c r="J647" s="169">
        <v>24745</v>
      </c>
      <c r="K647" s="119">
        <v>24745</v>
      </c>
      <c r="L647" s="119">
        <v>24937</v>
      </c>
      <c r="M647" s="169">
        <v>24937</v>
      </c>
      <c r="N647" s="119">
        <v>25103</v>
      </c>
      <c r="O647" s="169">
        <v>25103</v>
      </c>
      <c r="P647" s="119">
        <v>25202</v>
      </c>
      <c r="Q647" s="169">
        <v>25202</v>
      </c>
      <c r="R647" s="119">
        <v>25202</v>
      </c>
      <c r="S647" s="119">
        <v>25306</v>
      </c>
      <c r="T647" s="169">
        <v>25306</v>
      </c>
      <c r="U647" s="119">
        <v>25306</v>
      </c>
      <c r="V647" s="119">
        <v>25306</v>
      </c>
      <c r="W647" s="119">
        <v>25396</v>
      </c>
      <c r="X647" s="169">
        <v>25396</v>
      </c>
      <c r="Y647" s="119">
        <v>25396</v>
      </c>
      <c r="Z647" s="119">
        <v>25504</v>
      </c>
      <c r="AA647" s="169">
        <v>25504</v>
      </c>
      <c r="AB647" s="119">
        <v>25504</v>
      </c>
      <c r="AC647" s="119">
        <v>25504</v>
      </c>
      <c r="AD647" s="119">
        <v>25590</v>
      </c>
      <c r="AE647" s="169">
        <v>25590</v>
      </c>
      <c r="AF647" s="119">
        <v>25590</v>
      </c>
      <c r="AG647" s="119">
        <v>25830</v>
      </c>
      <c r="AH647" s="169">
        <v>25830</v>
      </c>
      <c r="AI647" s="119">
        <v>25830</v>
      </c>
      <c r="AJ647" s="119">
        <v>25891</v>
      </c>
      <c r="AK647" s="168" t="s">
        <v>18</v>
      </c>
      <c r="AL647" s="119" t="s">
        <v>18</v>
      </c>
      <c r="AM647" s="119" t="s">
        <v>18</v>
      </c>
      <c r="AN647" s="119" t="s">
        <v>18</v>
      </c>
      <c r="AO647" s="119" t="s">
        <v>18</v>
      </c>
      <c r="AP647" s="119" t="s">
        <v>18</v>
      </c>
      <c r="AQ647" s="119" t="s">
        <v>18</v>
      </c>
      <c r="AR647" s="119" t="s">
        <v>18</v>
      </c>
      <c r="AS647" s="119" t="s">
        <v>18</v>
      </c>
      <c r="AT647" s="119" t="s">
        <v>18</v>
      </c>
      <c r="AU647" s="119" t="s">
        <v>18</v>
      </c>
      <c r="AV647" s="119" t="s">
        <v>18</v>
      </c>
      <c r="AW647" s="119" t="s">
        <v>18</v>
      </c>
      <c r="AX647" s="119" t="s">
        <v>18</v>
      </c>
      <c r="AY647" s="119" t="s">
        <v>18</v>
      </c>
      <c r="AZ647" s="119" t="s">
        <v>18</v>
      </c>
      <c r="BA647" s="119" t="s">
        <v>18</v>
      </c>
      <c r="BB647" s="119" t="s">
        <v>18</v>
      </c>
      <c r="BC647" s="119" t="s">
        <v>18</v>
      </c>
    </row>
    <row r="648" spans="1:55" ht="15.75" customHeight="1" x14ac:dyDescent="0.2">
      <c r="A648" s="121" t="s">
        <v>19</v>
      </c>
      <c r="B648" s="122" t="s">
        <v>4</v>
      </c>
      <c r="C648" s="171">
        <v>925</v>
      </c>
      <c r="D648" s="124">
        <v>925</v>
      </c>
      <c r="E648" s="124">
        <v>926</v>
      </c>
      <c r="F648" s="172">
        <v>926</v>
      </c>
      <c r="G648" s="124">
        <v>926</v>
      </c>
      <c r="H648" s="124">
        <v>926</v>
      </c>
      <c r="I648" s="124">
        <v>927</v>
      </c>
      <c r="J648" s="172">
        <v>927</v>
      </c>
      <c r="K648" s="124">
        <v>927</v>
      </c>
      <c r="L648" s="124">
        <v>928</v>
      </c>
      <c r="M648" s="172">
        <v>928</v>
      </c>
      <c r="N648" s="124">
        <v>928</v>
      </c>
      <c r="O648" s="172">
        <v>928</v>
      </c>
      <c r="P648" s="124">
        <v>929</v>
      </c>
      <c r="Q648" s="172">
        <v>929</v>
      </c>
      <c r="R648" s="124">
        <v>929</v>
      </c>
      <c r="S648" s="124">
        <v>930</v>
      </c>
      <c r="T648" s="172">
        <v>930</v>
      </c>
      <c r="U648" s="124">
        <v>930</v>
      </c>
      <c r="V648" s="124">
        <v>930</v>
      </c>
      <c r="W648" s="124">
        <v>931</v>
      </c>
      <c r="X648" s="172">
        <v>931</v>
      </c>
      <c r="Y648" s="124">
        <v>931</v>
      </c>
      <c r="Z648" s="124">
        <v>933</v>
      </c>
      <c r="AA648" s="172">
        <v>933</v>
      </c>
      <c r="AB648" s="124">
        <v>933</v>
      </c>
      <c r="AC648" s="124">
        <v>933</v>
      </c>
      <c r="AD648" s="124">
        <v>934</v>
      </c>
      <c r="AE648" s="172">
        <v>934</v>
      </c>
      <c r="AF648" s="124">
        <v>934</v>
      </c>
      <c r="AG648" s="124">
        <v>936</v>
      </c>
      <c r="AH648" s="172">
        <v>936</v>
      </c>
      <c r="AI648" s="124">
        <v>936</v>
      </c>
      <c r="AJ648" s="124">
        <v>937</v>
      </c>
      <c r="AK648" s="171" t="s">
        <v>18</v>
      </c>
      <c r="AL648" s="124" t="s">
        <v>18</v>
      </c>
      <c r="AM648" s="124" t="s">
        <v>18</v>
      </c>
      <c r="AN648" s="124" t="s">
        <v>18</v>
      </c>
      <c r="AO648" s="124" t="s">
        <v>18</v>
      </c>
      <c r="AP648" s="124" t="s">
        <v>18</v>
      </c>
      <c r="AQ648" s="124" t="s">
        <v>18</v>
      </c>
      <c r="AR648" s="124" t="s">
        <v>18</v>
      </c>
      <c r="AS648" s="124" t="s">
        <v>18</v>
      </c>
      <c r="AT648" s="124" t="s">
        <v>18</v>
      </c>
      <c r="AU648" s="124" t="s">
        <v>18</v>
      </c>
      <c r="AV648" s="124" t="s">
        <v>18</v>
      </c>
      <c r="AW648" s="124" t="s">
        <v>18</v>
      </c>
      <c r="AX648" s="124" t="s">
        <v>18</v>
      </c>
      <c r="AY648" s="124" t="s">
        <v>18</v>
      </c>
      <c r="AZ648" s="124" t="s">
        <v>18</v>
      </c>
      <c r="BA648" s="124" t="s">
        <v>18</v>
      </c>
      <c r="BB648" s="124" t="s">
        <v>18</v>
      </c>
      <c r="BC648" s="124" t="s">
        <v>18</v>
      </c>
    </row>
    <row r="649" spans="1:55" ht="15.75" customHeight="1" x14ac:dyDescent="0.25">
      <c r="A649" s="143">
        <v>1</v>
      </c>
      <c r="B649" s="122" t="s">
        <v>5</v>
      </c>
      <c r="C649" s="171">
        <v>11</v>
      </c>
      <c r="D649" s="124">
        <v>11</v>
      </c>
      <c r="E649" s="124">
        <v>11</v>
      </c>
      <c r="F649" s="172">
        <v>11</v>
      </c>
      <c r="G649" s="124">
        <v>11</v>
      </c>
      <c r="H649" s="124">
        <v>11</v>
      </c>
      <c r="I649" s="124">
        <v>10</v>
      </c>
      <c r="J649" s="172">
        <v>11</v>
      </c>
      <c r="K649" s="124">
        <v>11</v>
      </c>
      <c r="L649" s="124">
        <v>9</v>
      </c>
      <c r="M649" s="172">
        <v>11</v>
      </c>
      <c r="N649" s="124">
        <v>11</v>
      </c>
      <c r="O649" s="172">
        <v>11</v>
      </c>
      <c r="P649" s="124">
        <v>10</v>
      </c>
      <c r="Q649" s="172">
        <v>11</v>
      </c>
      <c r="R649" s="124">
        <v>11</v>
      </c>
      <c r="S649" s="124">
        <v>10</v>
      </c>
      <c r="T649" s="172">
        <v>10</v>
      </c>
      <c r="U649" s="124">
        <v>10</v>
      </c>
      <c r="V649" s="124">
        <v>10</v>
      </c>
      <c r="W649" s="124">
        <v>10</v>
      </c>
      <c r="X649" s="172">
        <v>10</v>
      </c>
      <c r="Y649" s="124">
        <v>10</v>
      </c>
      <c r="Z649" s="124">
        <v>8</v>
      </c>
      <c r="AA649" s="172">
        <v>12</v>
      </c>
      <c r="AB649" s="124">
        <v>12</v>
      </c>
      <c r="AC649" s="124">
        <v>12</v>
      </c>
      <c r="AD649" s="124">
        <v>11</v>
      </c>
      <c r="AE649" s="172">
        <v>11</v>
      </c>
      <c r="AF649" s="124">
        <v>11</v>
      </c>
      <c r="AG649" s="124">
        <v>9</v>
      </c>
      <c r="AH649" s="172">
        <v>11</v>
      </c>
      <c r="AI649" s="124">
        <v>11</v>
      </c>
      <c r="AJ649" s="124">
        <v>10</v>
      </c>
      <c r="AK649" s="171" t="s">
        <v>18</v>
      </c>
      <c r="AL649" s="124" t="s">
        <v>18</v>
      </c>
      <c r="AM649" s="124" t="s">
        <v>18</v>
      </c>
      <c r="AN649" s="124" t="s">
        <v>18</v>
      </c>
      <c r="AO649" s="124" t="s">
        <v>18</v>
      </c>
      <c r="AP649" s="124" t="s">
        <v>18</v>
      </c>
      <c r="AQ649" s="124" t="s">
        <v>18</v>
      </c>
      <c r="AR649" s="124" t="s">
        <v>18</v>
      </c>
      <c r="AS649" s="124" t="s">
        <v>18</v>
      </c>
      <c r="AT649" s="124" t="s">
        <v>18</v>
      </c>
      <c r="AU649" s="124" t="s">
        <v>18</v>
      </c>
      <c r="AV649" s="124" t="s">
        <v>18</v>
      </c>
      <c r="AW649" s="124" t="s">
        <v>18</v>
      </c>
      <c r="AX649" s="124" t="s">
        <v>18</v>
      </c>
      <c r="AY649" s="124" t="s">
        <v>18</v>
      </c>
      <c r="AZ649" s="124" t="s">
        <v>18</v>
      </c>
      <c r="BA649" s="124" t="s">
        <v>18</v>
      </c>
      <c r="BB649" s="124" t="s">
        <v>18</v>
      </c>
      <c r="BC649" s="124" t="s">
        <v>18</v>
      </c>
    </row>
    <row r="650" spans="1:55" ht="15.75" customHeight="1" x14ac:dyDescent="0.25">
      <c r="A650" s="144" t="s">
        <v>20</v>
      </c>
      <c r="B650" s="122" t="s">
        <v>6</v>
      </c>
      <c r="C650" s="171"/>
      <c r="D650" s="124"/>
      <c r="E650" s="124"/>
      <c r="F650" s="172"/>
      <c r="G650" s="124"/>
      <c r="H650" s="124"/>
      <c r="I650" s="124">
        <v>1</v>
      </c>
      <c r="J650" s="172"/>
      <c r="K650" s="124"/>
      <c r="L650" s="124">
        <v>2</v>
      </c>
      <c r="M650" s="172"/>
      <c r="N650" s="124"/>
      <c r="O650" s="172"/>
      <c r="P650" s="124">
        <v>1</v>
      </c>
      <c r="Q650" s="172"/>
      <c r="R650" s="124"/>
      <c r="S650" s="124"/>
      <c r="T650" s="172"/>
      <c r="U650" s="124"/>
      <c r="V650" s="124"/>
      <c r="W650" s="124"/>
      <c r="X650" s="172"/>
      <c r="Y650" s="124"/>
      <c r="Z650" s="124">
        <v>4</v>
      </c>
      <c r="AA650" s="172"/>
      <c r="AB650" s="124"/>
      <c r="AC650" s="124"/>
      <c r="AD650" s="124"/>
      <c r="AE650" s="172"/>
      <c r="AF650" s="124"/>
      <c r="AG650" s="124">
        <v>2</v>
      </c>
      <c r="AH650" s="172"/>
      <c r="AI650" s="124"/>
      <c r="AJ650" s="124">
        <v>1</v>
      </c>
      <c r="AK650" s="171"/>
      <c r="AL650" s="124"/>
      <c r="AM650" s="124"/>
      <c r="AN650" s="124"/>
      <c r="AO650" s="124"/>
      <c r="AP650" s="124"/>
      <c r="AQ650" s="124"/>
      <c r="AR650" s="124"/>
      <c r="AS650" s="124"/>
      <c r="AT650" s="124"/>
      <c r="AU650" s="124"/>
      <c r="AV650" s="124"/>
      <c r="AW650" s="124"/>
      <c r="AX650" s="124"/>
      <c r="AY650" s="124"/>
      <c r="AZ650" s="124"/>
      <c r="BA650" s="124"/>
      <c r="BB650" s="124"/>
      <c r="BC650" s="124"/>
    </row>
    <row r="651" spans="1:55" ht="15.75" customHeight="1" x14ac:dyDescent="0.25">
      <c r="A651" s="145">
        <v>369100</v>
      </c>
      <c r="B651" s="122" t="s">
        <v>8</v>
      </c>
      <c r="C651" s="174">
        <v>780</v>
      </c>
      <c r="D651" s="130">
        <v>780</v>
      </c>
      <c r="E651" s="130">
        <v>780</v>
      </c>
      <c r="F651" s="175">
        <v>780</v>
      </c>
      <c r="G651" s="130">
        <v>780</v>
      </c>
      <c r="H651" s="130">
        <v>780</v>
      </c>
      <c r="I651" s="130">
        <v>780</v>
      </c>
      <c r="J651" s="175">
        <v>780</v>
      </c>
      <c r="K651" s="130">
        <v>780</v>
      </c>
      <c r="L651" s="130">
        <v>780</v>
      </c>
      <c r="M651" s="175">
        <v>780</v>
      </c>
      <c r="N651" s="130">
        <v>780</v>
      </c>
      <c r="O651" s="175">
        <v>780</v>
      </c>
      <c r="P651" s="130">
        <v>780</v>
      </c>
      <c r="Q651" s="175">
        <v>780</v>
      </c>
      <c r="R651" s="130">
        <v>780</v>
      </c>
      <c r="S651" s="130">
        <v>780</v>
      </c>
      <c r="T651" s="175">
        <v>780</v>
      </c>
      <c r="U651" s="130">
        <v>780</v>
      </c>
      <c r="V651" s="130">
        <v>780</v>
      </c>
      <c r="W651" s="130">
        <v>780</v>
      </c>
      <c r="X651" s="175">
        <v>780</v>
      </c>
      <c r="Y651" s="130">
        <v>780</v>
      </c>
      <c r="Z651" s="130">
        <v>780</v>
      </c>
      <c r="AA651" s="175">
        <v>780</v>
      </c>
      <c r="AB651" s="130">
        <v>780</v>
      </c>
      <c r="AC651" s="130">
        <v>780</v>
      </c>
      <c r="AD651" s="130">
        <v>780</v>
      </c>
      <c r="AE651" s="175">
        <v>780</v>
      </c>
      <c r="AF651" s="130">
        <v>780</v>
      </c>
      <c r="AG651" s="130">
        <v>780</v>
      </c>
      <c r="AH651" s="175">
        <v>780</v>
      </c>
      <c r="AI651" s="130">
        <v>780</v>
      </c>
      <c r="AJ651" s="130">
        <v>780</v>
      </c>
      <c r="AK651" s="174" t="s">
        <v>18</v>
      </c>
      <c r="AL651" s="130" t="s">
        <v>18</v>
      </c>
      <c r="AM651" s="130" t="s">
        <v>18</v>
      </c>
      <c r="AN651" s="130" t="s">
        <v>18</v>
      </c>
      <c r="AO651" s="130" t="s">
        <v>18</v>
      </c>
      <c r="AP651" s="130" t="s">
        <v>18</v>
      </c>
      <c r="AQ651" s="130" t="s">
        <v>18</v>
      </c>
      <c r="AR651" s="130" t="s">
        <v>18</v>
      </c>
      <c r="AS651" s="130" t="s">
        <v>18</v>
      </c>
      <c r="AT651" s="130" t="s">
        <v>18</v>
      </c>
      <c r="AU651" s="130" t="s">
        <v>18</v>
      </c>
      <c r="AV651" s="130" t="s">
        <v>18</v>
      </c>
      <c r="AW651" s="130" t="s">
        <v>18</v>
      </c>
      <c r="AX651" s="130" t="s">
        <v>18</v>
      </c>
      <c r="AY651" s="130" t="s">
        <v>18</v>
      </c>
      <c r="AZ651" s="130" t="s">
        <v>18</v>
      </c>
      <c r="BA651" s="130" t="s">
        <v>18</v>
      </c>
      <c r="BB651" s="130" t="s">
        <v>18</v>
      </c>
      <c r="BC651" s="130" t="s">
        <v>18</v>
      </c>
    </row>
    <row r="652" spans="1:55" ht="15.75" customHeight="1" x14ac:dyDescent="0.2">
      <c r="A652" s="127" t="s">
        <v>9</v>
      </c>
      <c r="B652" s="132" t="s">
        <v>10</v>
      </c>
      <c r="C652" s="177" t="s">
        <v>21</v>
      </c>
      <c r="D652" s="134" t="s">
        <v>21</v>
      </c>
      <c r="E652" s="134" t="s">
        <v>21</v>
      </c>
      <c r="F652" s="178" t="s">
        <v>21</v>
      </c>
      <c r="G652" s="134" t="s">
        <v>21</v>
      </c>
      <c r="H652" s="134" t="s">
        <v>21</v>
      </c>
      <c r="I652" s="134" t="s">
        <v>21</v>
      </c>
      <c r="J652" s="178" t="s">
        <v>21</v>
      </c>
      <c r="K652" s="134" t="s">
        <v>21</v>
      </c>
      <c r="L652" s="134" t="s">
        <v>21</v>
      </c>
      <c r="M652" s="178" t="s">
        <v>21</v>
      </c>
      <c r="N652" s="134" t="s">
        <v>21</v>
      </c>
      <c r="O652" s="178" t="s">
        <v>21</v>
      </c>
      <c r="P652" s="134" t="s">
        <v>21</v>
      </c>
      <c r="Q652" s="178" t="s">
        <v>21</v>
      </c>
      <c r="R652" s="134" t="s">
        <v>21</v>
      </c>
      <c r="S652" s="134" t="s">
        <v>21</v>
      </c>
      <c r="T652" s="178" t="s">
        <v>21</v>
      </c>
      <c r="U652" s="134" t="s">
        <v>21</v>
      </c>
      <c r="V652" s="134" t="s">
        <v>21</v>
      </c>
      <c r="W652" s="134" t="s">
        <v>21</v>
      </c>
      <c r="X652" s="178" t="s">
        <v>21</v>
      </c>
      <c r="Y652" s="134" t="s">
        <v>21</v>
      </c>
      <c r="Z652" s="134" t="s">
        <v>21</v>
      </c>
      <c r="AA652" s="178" t="s">
        <v>21</v>
      </c>
      <c r="AB652" s="134" t="s">
        <v>21</v>
      </c>
      <c r="AC652" s="134" t="s">
        <v>21</v>
      </c>
      <c r="AD652" s="134" t="s">
        <v>21</v>
      </c>
      <c r="AE652" s="178" t="s">
        <v>21</v>
      </c>
      <c r="AF652" s="134" t="s">
        <v>21</v>
      </c>
      <c r="AG652" s="134" t="s">
        <v>21</v>
      </c>
      <c r="AH652" s="178" t="s">
        <v>21</v>
      </c>
      <c r="AI652" s="134" t="s">
        <v>21</v>
      </c>
      <c r="AJ652" s="134" t="s">
        <v>21</v>
      </c>
      <c r="AK652" s="177" t="s">
        <v>18</v>
      </c>
      <c r="AL652" s="134" t="s">
        <v>18</v>
      </c>
      <c r="AM652" s="134" t="s">
        <v>18</v>
      </c>
      <c r="AN652" s="134" t="s">
        <v>18</v>
      </c>
      <c r="AO652" s="134" t="s">
        <v>18</v>
      </c>
      <c r="AP652" s="134" t="s">
        <v>18</v>
      </c>
      <c r="AQ652" s="134" t="s">
        <v>18</v>
      </c>
      <c r="AR652" s="134" t="s">
        <v>18</v>
      </c>
      <c r="AS652" s="134" t="s">
        <v>18</v>
      </c>
      <c r="AT652" s="134" t="s">
        <v>18</v>
      </c>
      <c r="AU652" s="134" t="s">
        <v>18</v>
      </c>
      <c r="AV652" s="134" t="s">
        <v>18</v>
      </c>
      <c r="AW652" s="134" t="s">
        <v>18</v>
      </c>
      <c r="AX652" s="134" t="s">
        <v>18</v>
      </c>
      <c r="AY652" s="134" t="s">
        <v>18</v>
      </c>
      <c r="AZ652" s="134" t="s">
        <v>18</v>
      </c>
      <c r="BA652" s="134" t="s">
        <v>18</v>
      </c>
      <c r="BB652" s="134" t="s">
        <v>18</v>
      </c>
      <c r="BC652" s="134" t="s">
        <v>18</v>
      </c>
    </row>
    <row r="653" spans="1:55" ht="15.75" customHeight="1" x14ac:dyDescent="0.2">
      <c r="A653" s="128">
        <v>121235.29411764708</v>
      </c>
      <c r="B653" s="122" t="s">
        <v>12</v>
      </c>
      <c r="C653" s="171"/>
      <c r="D653" s="124"/>
      <c r="E653" s="124"/>
      <c r="F653" s="172"/>
      <c r="G653" s="124"/>
      <c r="H653" s="124"/>
      <c r="I653" s="124"/>
      <c r="J653" s="172"/>
      <c r="K653" s="124"/>
      <c r="L653" s="124"/>
      <c r="M653" s="172"/>
      <c r="N653" s="124"/>
      <c r="O653" s="172"/>
      <c r="P653" s="124"/>
      <c r="Q653" s="172"/>
      <c r="R653" s="124"/>
      <c r="S653" s="124"/>
      <c r="T653" s="172"/>
      <c r="U653" s="124"/>
      <c r="V653" s="124"/>
      <c r="W653" s="124"/>
      <c r="X653" s="172"/>
      <c r="Y653" s="124"/>
      <c r="Z653" s="124"/>
      <c r="AA653" s="172"/>
      <c r="AB653" s="124"/>
      <c r="AC653" s="124"/>
      <c r="AD653" s="124"/>
      <c r="AE653" s="172"/>
      <c r="AF653" s="124"/>
      <c r="AG653" s="124"/>
      <c r="AH653" s="172"/>
      <c r="AI653" s="124"/>
      <c r="AJ653" s="124"/>
      <c r="AK653" s="171"/>
      <c r="AL653" s="124"/>
      <c r="AM653" s="124"/>
      <c r="AN653" s="124"/>
      <c r="AO653" s="124"/>
      <c r="AP653" s="124"/>
      <c r="AQ653" s="124"/>
      <c r="AR653" s="124"/>
      <c r="AS653" s="124"/>
      <c r="AT653" s="124"/>
      <c r="AU653" s="124"/>
      <c r="AV653" s="124"/>
      <c r="AW653" s="124"/>
      <c r="AX653" s="124"/>
      <c r="AY653" s="124"/>
      <c r="AZ653" s="124"/>
      <c r="BA653" s="124"/>
      <c r="BB653" s="124"/>
      <c r="BC653" s="124"/>
    </row>
    <row r="654" spans="1:55" ht="15.75" customHeight="1" x14ac:dyDescent="0.2">
      <c r="A654" s="128">
        <v>1374</v>
      </c>
      <c r="B654" s="136" t="s">
        <v>13</v>
      </c>
      <c r="C654" s="171">
        <v>0</v>
      </c>
      <c r="D654" s="137">
        <v>0</v>
      </c>
      <c r="E654" s="137">
        <v>98</v>
      </c>
      <c r="F654" s="172">
        <v>0</v>
      </c>
      <c r="G654" s="137">
        <v>0</v>
      </c>
      <c r="H654" s="137">
        <v>0</v>
      </c>
      <c r="I654" s="137">
        <v>130</v>
      </c>
      <c r="J654" s="172">
        <v>0</v>
      </c>
      <c r="K654" s="137">
        <v>0</v>
      </c>
      <c r="L654" s="137">
        <v>192</v>
      </c>
      <c r="M654" s="172">
        <v>0</v>
      </c>
      <c r="N654" s="137">
        <v>166</v>
      </c>
      <c r="O654" s="172">
        <v>0</v>
      </c>
      <c r="P654" s="137">
        <v>99</v>
      </c>
      <c r="Q654" s="172">
        <v>0</v>
      </c>
      <c r="R654" s="137">
        <v>0</v>
      </c>
      <c r="S654" s="137">
        <v>104</v>
      </c>
      <c r="T654" s="172">
        <v>0</v>
      </c>
      <c r="U654" s="137">
        <v>0</v>
      </c>
      <c r="V654" s="137">
        <v>0</v>
      </c>
      <c r="W654" s="137">
        <v>90</v>
      </c>
      <c r="X654" s="172">
        <v>0</v>
      </c>
      <c r="Y654" s="137">
        <v>0</v>
      </c>
      <c r="Z654" s="137">
        <v>108</v>
      </c>
      <c r="AA654" s="172">
        <v>0</v>
      </c>
      <c r="AB654" s="137">
        <v>0</v>
      </c>
      <c r="AC654" s="137">
        <v>0</v>
      </c>
      <c r="AD654" s="137">
        <v>86</v>
      </c>
      <c r="AE654" s="172">
        <v>0</v>
      </c>
      <c r="AF654" s="137">
        <v>0</v>
      </c>
      <c r="AG654" s="137">
        <v>240</v>
      </c>
      <c r="AH654" s="172">
        <v>0</v>
      </c>
      <c r="AI654" s="137">
        <v>0</v>
      </c>
      <c r="AJ654" s="137">
        <v>61</v>
      </c>
      <c r="AK654" s="171" t="s">
        <v>18</v>
      </c>
      <c r="AL654" s="137" t="s">
        <v>18</v>
      </c>
      <c r="AM654" s="137" t="s">
        <v>18</v>
      </c>
      <c r="AN654" s="137" t="s">
        <v>18</v>
      </c>
      <c r="AO654" s="137" t="s">
        <v>18</v>
      </c>
      <c r="AP654" s="137" t="s">
        <v>18</v>
      </c>
      <c r="AQ654" s="137" t="s">
        <v>18</v>
      </c>
      <c r="AR654" s="137" t="s">
        <v>18</v>
      </c>
      <c r="AS654" s="137" t="s">
        <v>18</v>
      </c>
      <c r="AT654" s="137" t="s">
        <v>18</v>
      </c>
      <c r="AU654" s="137" t="s">
        <v>18</v>
      </c>
      <c r="AV654" s="137" t="s">
        <v>18</v>
      </c>
      <c r="AW654" s="137" t="s">
        <v>18</v>
      </c>
      <c r="AX654" s="137" t="s">
        <v>18</v>
      </c>
      <c r="AY654" s="137" t="s">
        <v>18</v>
      </c>
      <c r="AZ654" s="137" t="s">
        <v>18</v>
      </c>
      <c r="BA654" s="137" t="s">
        <v>18</v>
      </c>
      <c r="BB654" s="137" t="s">
        <v>18</v>
      </c>
      <c r="BC654" s="137" t="s">
        <v>18</v>
      </c>
    </row>
    <row r="655" spans="1:55" ht="15.75" customHeight="1" x14ac:dyDescent="0.2">
      <c r="A655" s="128">
        <v>12</v>
      </c>
      <c r="B655" s="136" t="s">
        <v>14</v>
      </c>
      <c r="C655" s="171">
        <v>0</v>
      </c>
      <c r="D655" s="137">
        <v>0</v>
      </c>
      <c r="E655" s="137">
        <v>1</v>
      </c>
      <c r="F655" s="172">
        <v>0</v>
      </c>
      <c r="G655" s="137">
        <v>0</v>
      </c>
      <c r="H655" s="137">
        <v>0</v>
      </c>
      <c r="I655" s="137">
        <v>1</v>
      </c>
      <c r="J655" s="172">
        <v>0</v>
      </c>
      <c r="K655" s="137">
        <v>0</v>
      </c>
      <c r="L655" s="137">
        <v>1</v>
      </c>
      <c r="M655" s="172">
        <v>0</v>
      </c>
      <c r="N655" s="137">
        <v>0</v>
      </c>
      <c r="O655" s="172">
        <v>0</v>
      </c>
      <c r="P655" s="137">
        <v>1</v>
      </c>
      <c r="Q655" s="172">
        <v>0</v>
      </c>
      <c r="R655" s="137">
        <v>0</v>
      </c>
      <c r="S655" s="137">
        <v>1</v>
      </c>
      <c r="T655" s="172">
        <v>0</v>
      </c>
      <c r="U655" s="137">
        <v>0</v>
      </c>
      <c r="V655" s="137">
        <v>0</v>
      </c>
      <c r="W655" s="137">
        <v>1</v>
      </c>
      <c r="X655" s="172">
        <v>0</v>
      </c>
      <c r="Y655" s="137">
        <v>0</v>
      </c>
      <c r="Z655" s="137">
        <v>2</v>
      </c>
      <c r="AA655" s="172">
        <v>0</v>
      </c>
      <c r="AB655" s="137">
        <v>0</v>
      </c>
      <c r="AC655" s="137">
        <v>0</v>
      </c>
      <c r="AD655" s="137">
        <v>1</v>
      </c>
      <c r="AE655" s="172">
        <v>0</v>
      </c>
      <c r="AF655" s="137">
        <v>0</v>
      </c>
      <c r="AG655" s="137">
        <v>2</v>
      </c>
      <c r="AH655" s="172">
        <v>0</v>
      </c>
      <c r="AI655" s="137">
        <v>0</v>
      </c>
      <c r="AJ655" s="137">
        <v>1</v>
      </c>
      <c r="AK655" s="171" t="s">
        <v>18</v>
      </c>
      <c r="AL655" s="137" t="s">
        <v>18</v>
      </c>
      <c r="AM655" s="137" t="s">
        <v>18</v>
      </c>
      <c r="AN655" s="137" t="s">
        <v>18</v>
      </c>
      <c r="AO655" s="137" t="s">
        <v>18</v>
      </c>
      <c r="AP655" s="137" t="s">
        <v>18</v>
      </c>
      <c r="AQ655" s="137" t="s">
        <v>18</v>
      </c>
      <c r="AR655" s="137" t="s">
        <v>18</v>
      </c>
      <c r="AS655" s="137" t="s">
        <v>18</v>
      </c>
      <c r="AT655" s="137" t="s">
        <v>18</v>
      </c>
      <c r="AU655" s="137" t="s">
        <v>18</v>
      </c>
      <c r="AV655" s="137" t="s">
        <v>18</v>
      </c>
      <c r="AW655" s="137" t="s">
        <v>18</v>
      </c>
      <c r="AX655" s="137" t="s">
        <v>18</v>
      </c>
      <c r="AY655" s="137" t="s">
        <v>18</v>
      </c>
      <c r="AZ655" s="137" t="s">
        <v>18</v>
      </c>
      <c r="BA655" s="137" t="s">
        <v>18</v>
      </c>
      <c r="BB655" s="137" t="s">
        <v>18</v>
      </c>
      <c r="BC655" s="137" t="s">
        <v>18</v>
      </c>
    </row>
    <row r="656" spans="1:55" ht="15.75" customHeight="1" x14ac:dyDescent="0.2">
      <c r="A656" s="128">
        <v>11</v>
      </c>
      <c r="B656" s="136" t="s">
        <v>15</v>
      </c>
      <c r="C656" s="171">
        <v>0</v>
      </c>
      <c r="D656" s="137">
        <v>0</v>
      </c>
      <c r="E656" s="137">
        <v>0</v>
      </c>
      <c r="F656" s="172">
        <v>0</v>
      </c>
      <c r="G656" s="137">
        <v>0</v>
      </c>
      <c r="H656" s="137">
        <v>0</v>
      </c>
      <c r="I656" s="137">
        <v>1</v>
      </c>
      <c r="J656" s="172">
        <v>0</v>
      </c>
      <c r="K656" s="137">
        <v>0</v>
      </c>
      <c r="L656" s="137">
        <v>2</v>
      </c>
      <c r="M656" s="172">
        <v>0</v>
      </c>
      <c r="N656" s="137">
        <v>0</v>
      </c>
      <c r="O656" s="172">
        <v>0</v>
      </c>
      <c r="P656" s="137">
        <v>1</v>
      </c>
      <c r="Q656" s="172">
        <v>0</v>
      </c>
      <c r="R656" s="137">
        <v>0</v>
      </c>
      <c r="S656" s="137">
        <v>1</v>
      </c>
      <c r="T656" s="172">
        <v>0</v>
      </c>
      <c r="U656" s="137">
        <v>0</v>
      </c>
      <c r="V656" s="137">
        <v>0</v>
      </c>
      <c r="W656" s="137">
        <v>0</v>
      </c>
      <c r="X656" s="172">
        <v>0</v>
      </c>
      <c r="Y656" s="137">
        <v>0</v>
      </c>
      <c r="Z656" s="137">
        <v>2</v>
      </c>
      <c r="AA656" s="172">
        <v>0</v>
      </c>
      <c r="AB656" s="137">
        <v>0</v>
      </c>
      <c r="AC656" s="137">
        <v>0</v>
      </c>
      <c r="AD656" s="137">
        <v>1</v>
      </c>
      <c r="AE656" s="172">
        <v>0</v>
      </c>
      <c r="AF656" s="137">
        <v>0</v>
      </c>
      <c r="AG656" s="137">
        <v>2</v>
      </c>
      <c r="AH656" s="172">
        <v>0</v>
      </c>
      <c r="AI656" s="137">
        <v>0</v>
      </c>
      <c r="AJ656" s="137">
        <v>1</v>
      </c>
      <c r="AK656" s="171" t="s">
        <v>18</v>
      </c>
      <c r="AL656" s="137" t="s">
        <v>18</v>
      </c>
      <c r="AM656" s="137" t="s">
        <v>18</v>
      </c>
      <c r="AN656" s="137" t="s">
        <v>18</v>
      </c>
      <c r="AO656" s="137" t="s">
        <v>18</v>
      </c>
      <c r="AP656" s="137" t="s">
        <v>18</v>
      </c>
      <c r="AQ656" s="137" t="s">
        <v>18</v>
      </c>
      <c r="AR656" s="137" t="s">
        <v>18</v>
      </c>
      <c r="AS656" s="137" t="s">
        <v>18</v>
      </c>
      <c r="AT656" s="137" t="s">
        <v>18</v>
      </c>
      <c r="AU656" s="137" t="s">
        <v>18</v>
      </c>
      <c r="AV656" s="137" t="s">
        <v>18</v>
      </c>
      <c r="AW656" s="137" t="s">
        <v>18</v>
      </c>
      <c r="AX656" s="137" t="s">
        <v>18</v>
      </c>
      <c r="AY656" s="137" t="s">
        <v>18</v>
      </c>
      <c r="AZ656" s="137" t="s">
        <v>18</v>
      </c>
      <c r="BA656" s="137" t="s">
        <v>18</v>
      </c>
      <c r="BB656" s="137" t="s">
        <v>18</v>
      </c>
      <c r="BC656" s="137" t="s">
        <v>18</v>
      </c>
    </row>
    <row r="657" spans="1:55" ht="15.75" customHeight="1" x14ac:dyDescent="0.2">
      <c r="A657" s="128">
        <v>8580</v>
      </c>
      <c r="B657" s="136" t="s">
        <v>16</v>
      </c>
      <c r="C657" s="171">
        <v>0</v>
      </c>
      <c r="D657" s="137">
        <v>0</v>
      </c>
      <c r="E657" s="137">
        <v>0</v>
      </c>
      <c r="F657" s="172">
        <v>0</v>
      </c>
      <c r="G657" s="137">
        <v>0</v>
      </c>
      <c r="H657" s="137">
        <v>0</v>
      </c>
      <c r="I657" s="137">
        <v>780</v>
      </c>
      <c r="J657" s="172">
        <v>0</v>
      </c>
      <c r="K657" s="137">
        <v>0</v>
      </c>
      <c r="L657" s="137">
        <v>1560</v>
      </c>
      <c r="M657" s="172">
        <v>0</v>
      </c>
      <c r="N657" s="137">
        <v>0</v>
      </c>
      <c r="O657" s="172">
        <v>0</v>
      </c>
      <c r="P657" s="137">
        <v>780</v>
      </c>
      <c r="Q657" s="172">
        <v>0</v>
      </c>
      <c r="R657" s="137">
        <v>0</v>
      </c>
      <c r="S657" s="137">
        <v>780</v>
      </c>
      <c r="T657" s="172">
        <v>0</v>
      </c>
      <c r="U657" s="137">
        <v>0</v>
      </c>
      <c r="V657" s="137">
        <v>0</v>
      </c>
      <c r="W657" s="137">
        <v>0</v>
      </c>
      <c r="X657" s="172">
        <v>0</v>
      </c>
      <c r="Y657" s="137">
        <v>0</v>
      </c>
      <c r="Z657" s="137">
        <v>1560</v>
      </c>
      <c r="AA657" s="172">
        <v>0</v>
      </c>
      <c r="AB657" s="137">
        <v>0</v>
      </c>
      <c r="AC657" s="137">
        <v>0</v>
      </c>
      <c r="AD657" s="137">
        <v>780</v>
      </c>
      <c r="AE657" s="172">
        <v>0</v>
      </c>
      <c r="AF657" s="137">
        <v>0</v>
      </c>
      <c r="AG657" s="137">
        <v>1560</v>
      </c>
      <c r="AH657" s="172">
        <v>0</v>
      </c>
      <c r="AI657" s="137">
        <v>0</v>
      </c>
      <c r="AJ657" s="137">
        <v>780</v>
      </c>
      <c r="AK657" s="171" t="s">
        <v>18</v>
      </c>
      <c r="AL657" s="137" t="s">
        <v>18</v>
      </c>
      <c r="AM657" s="137" t="s">
        <v>18</v>
      </c>
      <c r="AN657" s="137" t="s">
        <v>18</v>
      </c>
      <c r="AO657" s="137" t="s">
        <v>18</v>
      </c>
      <c r="AP657" s="137" t="s">
        <v>18</v>
      </c>
      <c r="AQ657" s="137" t="s">
        <v>18</v>
      </c>
      <c r="AR657" s="137" t="s">
        <v>18</v>
      </c>
      <c r="AS657" s="137" t="s">
        <v>18</v>
      </c>
      <c r="AT657" s="137" t="s">
        <v>18</v>
      </c>
      <c r="AU657" s="137" t="s">
        <v>18</v>
      </c>
      <c r="AV657" s="137" t="s">
        <v>18</v>
      </c>
      <c r="AW657" s="137" t="s">
        <v>18</v>
      </c>
      <c r="AX657" s="137" t="s">
        <v>18</v>
      </c>
      <c r="AY657" s="137" t="s">
        <v>18</v>
      </c>
      <c r="AZ657" s="137" t="s">
        <v>18</v>
      </c>
      <c r="BA657" s="137" t="s">
        <v>18</v>
      </c>
      <c r="BB657" s="137" t="s">
        <v>18</v>
      </c>
      <c r="BC657" s="137" t="s">
        <v>18</v>
      </c>
    </row>
    <row r="658" spans="1:55" ht="15.75" customHeight="1" x14ac:dyDescent="0.2">
      <c r="A658" s="138">
        <v>6.2445414847161575E-2</v>
      </c>
      <c r="B658" s="136" t="s">
        <v>17</v>
      </c>
      <c r="C658" s="183" t="s">
        <v>18</v>
      </c>
      <c r="D658" s="147" t="s">
        <v>18</v>
      </c>
      <c r="E658" s="147" t="s">
        <v>18</v>
      </c>
      <c r="F658" s="184" t="s">
        <v>18</v>
      </c>
      <c r="G658" s="147" t="s">
        <v>18</v>
      </c>
      <c r="H658" s="147" t="s">
        <v>18</v>
      </c>
      <c r="I658" s="147">
        <v>0.06</v>
      </c>
      <c r="J658" s="184" t="s">
        <v>18</v>
      </c>
      <c r="K658" s="147" t="s">
        <v>18</v>
      </c>
      <c r="L658" s="147">
        <v>8.1250000000000003E-2</v>
      </c>
      <c r="M658" s="184" t="s">
        <v>18</v>
      </c>
      <c r="N658" s="147" t="s">
        <v>18</v>
      </c>
      <c r="O658" s="184" t="s">
        <v>18</v>
      </c>
      <c r="P658" s="147">
        <v>7.8787878787878782E-2</v>
      </c>
      <c r="Q658" s="184" t="s">
        <v>18</v>
      </c>
      <c r="R658" s="147" t="s">
        <v>18</v>
      </c>
      <c r="S658" s="147">
        <v>7.4999999999999997E-2</v>
      </c>
      <c r="T658" s="184" t="s">
        <v>18</v>
      </c>
      <c r="U658" s="147" t="s">
        <v>18</v>
      </c>
      <c r="V658" s="147" t="s">
        <v>18</v>
      </c>
      <c r="W658" s="147" t="s">
        <v>18</v>
      </c>
      <c r="X658" s="184" t="s">
        <v>18</v>
      </c>
      <c r="Y658" s="147" t="s">
        <v>18</v>
      </c>
      <c r="Z658" s="147">
        <v>0.14444444444444443</v>
      </c>
      <c r="AA658" s="184" t="s">
        <v>18</v>
      </c>
      <c r="AB658" s="147" t="s">
        <v>18</v>
      </c>
      <c r="AC658" s="147" t="s">
        <v>18</v>
      </c>
      <c r="AD658" s="147">
        <v>9.0697674418604657E-2</v>
      </c>
      <c r="AE658" s="184" t="s">
        <v>18</v>
      </c>
      <c r="AF658" s="147" t="s">
        <v>18</v>
      </c>
      <c r="AG658" s="147">
        <v>6.5000000000000002E-2</v>
      </c>
      <c r="AH658" s="184" t="s">
        <v>18</v>
      </c>
      <c r="AI658" s="147" t="s">
        <v>18</v>
      </c>
      <c r="AJ658" s="147">
        <v>0.12786885245901639</v>
      </c>
      <c r="AK658" s="183" t="s">
        <v>18</v>
      </c>
      <c r="AL658" s="147" t="s">
        <v>18</v>
      </c>
      <c r="AM658" s="147" t="s">
        <v>18</v>
      </c>
      <c r="AN658" s="147" t="s">
        <v>18</v>
      </c>
      <c r="AO658" s="147" t="s">
        <v>18</v>
      </c>
      <c r="AP658" s="147" t="s">
        <v>18</v>
      </c>
      <c r="AQ658" s="147" t="s">
        <v>18</v>
      </c>
      <c r="AR658" s="147" t="s">
        <v>18</v>
      </c>
      <c r="AS658" s="147" t="s">
        <v>18</v>
      </c>
      <c r="AT658" s="147" t="s">
        <v>18</v>
      </c>
      <c r="AU658" s="147" t="s">
        <v>18</v>
      </c>
      <c r="AV658" s="147" t="s">
        <v>18</v>
      </c>
      <c r="AW658" s="147" t="s">
        <v>18</v>
      </c>
      <c r="AX658" s="147" t="s">
        <v>18</v>
      </c>
      <c r="AY658" s="147" t="s">
        <v>18</v>
      </c>
      <c r="AZ658" s="147" t="s">
        <v>18</v>
      </c>
      <c r="BA658" s="147" t="s">
        <v>18</v>
      </c>
      <c r="BB658" s="147" t="s">
        <v>18</v>
      </c>
      <c r="BC658" s="147" t="s">
        <v>18</v>
      </c>
    </row>
    <row r="659" spans="1:55" ht="15.75" customHeight="1" x14ac:dyDescent="0.2">
      <c r="A659" s="149" t="s">
        <v>1</v>
      </c>
      <c r="B659" s="150" t="s">
        <v>2</v>
      </c>
      <c r="C659" s="174">
        <v>18741</v>
      </c>
      <c r="D659" s="130">
        <v>18741</v>
      </c>
      <c r="E659" s="130">
        <v>18841</v>
      </c>
      <c r="F659" s="175">
        <v>18841</v>
      </c>
      <c r="G659" s="130">
        <v>18841</v>
      </c>
      <c r="H659" s="130">
        <v>18841</v>
      </c>
      <c r="I659" s="130">
        <v>18871</v>
      </c>
      <c r="J659" s="175">
        <v>18871</v>
      </c>
      <c r="K659" s="130">
        <v>18871</v>
      </c>
      <c r="L659" s="130">
        <v>18914</v>
      </c>
      <c r="M659" s="175">
        <v>18914</v>
      </c>
      <c r="N659" s="130">
        <v>18924</v>
      </c>
      <c r="O659" s="175">
        <v>18924</v>
      </c>
      <c r="P659" s="130">
        <v>18936</v>
      </c>
      <c r="Q659" s="175">
        <v>18936</v>
      </c>
      <c r="R659" s="130">
        <v>18936</v>
      </c>
      <c r="S659" s="130">
        <v>19009</v>
      </c>
      <c r="T659" s="175">
        <v>19009</v>
      </c>
      <c r="U659" s="130">
        <v>19009</v>
      </c>
      <c r="V659" s="130">
        <v>19009</v>
      </c>
      <c r="W659" s="130">
        <v>19042</v>
      </c>
      <c r="X659" s="175">
        <v>19042</v>
      </c>
      <c r="Y659" s="130">
        <v>19042</v>
      </c>
      <c r="Z659" s="130">
        <v>19072</v>
      </c>
      <c r="AA659" s="175">
        <v>19072</v>
      </c>
      <c r="AB659" s="130">
        <v>19072</v>
      </c>
      <c r="AC659" s="130">
        <v>19072</v>
      </c>
      <c r="AD659" s="130">
        <v>19105</v>
      </c>
      <c r="AE659" s="175">
        <v>19105</v>
      </c>
      <c r="AF659" s="130">
        <v>19105</v>
      </c>
      <c r="AG659" s="130">
        <v>19189</v>
      </c>
      <c r="AH659" s="175">
        <v>19189</v>
      </c>
      <c r="AI659" s="130">
        <v>19189</v>
      </c>
      <c r="AJ659" s="130">
        <v>19203</v>
      </c>
      <c r="AK659" s="174" t="s">
        <v>18</v>
      </c>
      <c r="AL659" s="130" t="s">
        <v>18</v>
      </c>
      <c r="AM659" s="130" t="s">
        <v>18</v>
      </c>
      <c r="AN659" s="130" t="s">
        <v>18</v>
      </c>
      <c r="AO659" s="130" t="s">
        <v>18</v>
      </c>
      <c r="AP659" s="130" t="s">
        <v>18</v>
      </c>
      <c r="AQ659" s="130" t="s">
        <v>18</v>
      </c>
      <c r="AR659" s="130" t="s">
        <v>18</v>
      </c>
      <c r="AS659" s="130" t="s">
        <v>18</v>
      </c>
      <c r="AT659" s="130" t="s">
        <v>18</v>
      </c>
      <c r="AU659" s="130" t="s">
        <v>18</v>
      </c>
      <c r="AV659" s="130" t="s">
        <v>18</v>
      </c>
      <c r="AW659" s="130" t="s">
        <v>18</v>
      </c>
      <c r="AX659" s="130" t="s">
        <v>18</v>
      </c>
      <c r="AY659" s="130" t="s">
        <v>18</v>
      </c>
      <c r="AZ659" s="130" t="s">
        <v>18</v>
      </c>
      <c r="BA659" s="130" t="s">
        <v>18</v>
      </c>
      <c r="BB659" s="130" t="s">
        <v>18</v>
      </c>
      <c r="BC659" s="130" t="s">
        <v>18</v>
      </c>
    </row>
    <row r="660" spans="1:55" ht="15.75" customHeight="1" x14ac:dyDescent="0.2">
      <c r="A660" s="121" t="s">
        <v>19</v>
      </c>
      <c r="B660" s="122" t="s">
        <v>4</v>
      </c>
      <c r="C660" s="171">
        <v>903</v>
      </c>
      <c r="D660" s="124">
        <v>903</v>
      </c>
      <c r="E660" s="124">
        <v>904</v>
      </c>
      <c r="F660" s="172">
        <v>904</v>
      </c>
      <c r="G660" s="124">
        <v>904</v>
      </c>
      <c r="H660" s="124">
        <v>904</v>
      </c>
      <c r="I660" s="124">
        <v>904</v>
      </c>
      <c r="J660" s="172">
        <v>904</v>
      </c>
      <c r="K660" s="124">
        <v>904</v>
      </c>
      <c r="L660" s="124">
        <v>905</v>
      </c>
      <c r="M660" s="172">
        <v>905</v>
      </c>
      <c r="N660" s="124">
        <v>905</v>
      </c>
      <c r="O660" s="172">
        <v>905</v>
      </c>
      <c r="P660" s="124">
        <v>905</v>
      </c>
      <c r="Q660" s="172">
        <v>905</v>
      </c>
      <c r="R660" s="124">
        <v>905</v>
      </c>
      <c r="S660" s="124">
        <v>907</v>
      </c>
      <c r="T660" s="172">
        <v>907</v>
      </c>
      <c r="U660" s="124">
        <v>907</v>
      </c>
      <c r="V660" s="124">
        <v>907</v>
      </c>
      <c r="W660" s="124">
        <v>907</v>
      </c>
      <c r="X660" s="172">
        <v>907</v>
      </c>
      <c r="Y660" s="124">
        <v>907</v>
      </c>
      <c r="Z660" s="124">
        <v>914</v>
      </c>
      <c r="AA660" s="172">
        <v>914</v>
      </c>
      <c r="AB660" s="124">
        <v>914</v>
      </c>
      <c r="AC660" s="124">
        <v>914</v>
      </c>
      <c r="AD660" s="124">
        <v>916</v>
      </c>
      <c r="AE660" s="172">
        <v>916</v>
      </c>
      <c r="AF660" s="124">
        <v>916</v>
      </c>
      <c r="AG660" s="124">
        <v>919</v>
      </c>
      <c r="AH660" s="172">
        <v>919</v>
      </c>
      <c r="AI660" s="124">
        <v>919</v>
      </c>
      <c r="AJ660" s="124">
        <v>920</v>
      </c>
      <c r="AK660" s="171" t="s">
        <v>18</v>
      </c>
      <c r="AL660" s="124" t="s">
        <v>18</v>
      </c>
      <c r="AM660" s="124" t="s">
        <v>18</v>
      </c>
      <c r="AN660" s="124" t="s">
        <v>18</v>
      </c>
      <c r="AO660" s="124" t="s">
        <v>18</v>
      </c>
      <c r="AP660" s="124" t="s">
        <v>18</v>
      </c>
      <c r="AQ660" s="124" t="s">
        <v>18</v>
      </c>
      <c r="AR660" s="124" t="s">
        <v>18</v>
      </c>
      <c r="AS660" s="124" t="s">
        <v>18</v>
      </c>
      <c r="AT660" s="124" t="s">
        <v>18</v>
      </c>
      <c r="AU660" s="124" t="s">
        <v>18</v>
      </c>
      <c r="AV660" s="124" t="s">
        <v>18</v>
      </c>
      <c r="AW660" s="124" t="s">
        <v>18</v>
      </c>
      <c r="AX660" s="124" t="s">
        <v>18</v>
      </c>
      <c r="AY660" s="124" t="s">
        <v>18</v>
      </c>
      <c r="AZ660" s="124" t="s">
        <v>18</v>
      </c>
      <c r="BA660" s="124" t="s">
        <v>18</v>
      </c>
      <c r="BB660" s="124" t="s">
        <v>18</v>
      </c>
      <c r="BC660" s="124" t="s">
        <v>18</v>
      </c>
    </row>
    <row r="661" spans="1:55" ht="15.75" customHeight="1" x14ac:dyDescent="0.25">
      <c r="A661" s="143">
        <v>2</v>
      </c>
      <c r="B661" s="122" t="s">
        <v>5</v>
      </c>
      <c r="C661" s="171">
        <v>35</v>
      </c>
      <c r="D661" s="124">
        <v>35</v>
      </c>
      <c r="E661" s="124">
        <v>35</v>
      </c>
      <c r="F661" s="172">
        <v>35</v>
      </c>
      <c r="G661" s="124">
        <v>35</v>
      </c>
      <c r="H661" s="124">
        <v>35</v>
      </c>
      <c r="I661" s="124">
        <v>35</v>
      </c>
      <c r="J661" s="172">
        <v>35</v>
      </c>
      <c r="K661" s="124">
        <v>35</v>
      </c>
      <c r="L661" s="124">
        <v>34</v>
      </c>
      <c r="M661" s="172">
        <v>34</v>
      </c>
      <c r="N661" s="124">
        <v>34</v>
      </c>
      <c r="O661" s="172">
        <v>34</v>
      </c>
      <c r="P661" s="124">
        <v>34</v>
      </c>
      <c r="Q661" s="172">
        <v>34</v>
      </c>
      <c r="R661" s="124">
        <v>34</v>
      </c>
      <c r="S661" s="124">
        <v>32</v>
      </c>
      <c r="T661" s="172">
        <v>32</v>
      </c>
      <c r="U661" s="124">
        <v>32</v>
      </c>
      <c r="V661" s="124">
        <v>32</v>
      </c>
      <c r="W661" s="124">
        <v>32</v>
      </c>
      <c r="X661" s="172">
        <v>32</v>
      </c>
      <c r="Y661" s="124">
        <v>32</v>
      </c>
      <c r="Z661" s="124">
        <v>25</v>
      </c>
      <c r="AA661" s="172">
        <v>25</v>
      </c>
      <c r="AB661" s="124">
        <v>25</v>
      </c>
      <c r="AC661" s="124">
        <v>25</v>
      </c>
      <c r="AD661" s="124">
        <v>23</v>
      </c>
      <c r="AE661" s="172">
        <v>23</v>
      </c>
      <c r="AF661" s="124">
        <v>23</v>
      </c>
      <c r="AG661" s="124">
        <v>20</v>
      </c>
      <c r="AH661" s="172">
        <v>20</v>
      </c>
      <c r="AI661" s="124">
        <v>20</v>
      </c>
      <c r="AJ661" s="124">
        <v>18</v>
      </c>
      <c r="AK661" s="171" t="s">
        <v>18</v>
      </c>
      <c r="AL661" s="124" t="s">
        <v>18</v>
      </c>
      <c r="AM661" s="124" t="s">
        <v>18</v>
      </c>
      <c r="AN661" s="124" t="s">
        <v>18</v>
      </c>
      <c r="AO661" s="124" t="s">
        <v>18</v>
      </c>
      <c r="AP661" s="124" t="s">
        <v>18</v>
      </c>
      <c r="AQ661" s="124" t="s">
        <v>18</v>
      </c>
      <c r="AR661" s="124" t="s">
        <v>18</v>
      </c>
      <c r="AS661" s="124" t="s">
        <v>18</v>
      </c>
      <c r="AT661" s="124" t="s">
        <v>18</v>
      </c>
      <c r="AU661" s="124" t="s">
        <v>18</v>
      </c>
      <c r="AV661" s="124" t="s">
        <v>18</v>
      </c>
      <c r="AW661" s="124" t="s">
        <v>18</v>
      </c>
      <c r="AX661" s="124" t="s">
        <v>18</v>
      </c>
      <c r="AY661" s="124" t="s">
        <v>18</v>
      </c>
      <c r="AZ661" s="124" t="s">
        <v>18</v>
      </c>
      <c r="BA661" s="124" t="s">
        <v>18</v>
      </c>
      <c r="BB661" s="124" t="s">
        <v>18</v>
      </c>
      <c r="BC661" s="124" t="s">
        <v>18</v>
      </c>
    </row>
    <row r="662" spans="1:55" ht="15.75" customHeight="1" x14ac:dyDescent="0.2">
      <c r="A662" s="127"/>
      <c r="B662" s="122" t="s">
        <v>6</v>
      </c>
      <c r="C662" s="171"/>
      <c r="D662" s="124"/>
      <c r="E662" s="124"/>
      <c r="F662" s="172"/>
      <c r="G662" s="124"/>
      <c r="H662" s="124"/>
      <c r="I662" s="124"/>
      <c r="J662" s="172"/>
      <c r="K662" s="124"/>
      <c r="L662" s="124"/>
      <c r="M662" s="172"/>
      <c r="N662" s="124"/>
      <c r="O662" s="172"/>
      <c r="P662" s="124"/>
      <c r="Q662" s="172"/>
      <c r="R662" s="124"/>
      <c r="S662" s="124"/>
      <c r="T662" s="172"/>
      <c r="U662" s="124"/>
      <c r="V662" s="124"/>
      <c r="W662" s="124"/>
      <c r="X662" s="172"/>
      <c r="Y662" s="124"/>
      <c r="Z662" s="124"/>
      <c r="AA662" s="172"/>
      <c r="AB662" s="124"/>
      <c r="AC662" s="124"/>
      <c r="AD662" s="124"/>
      <c r="AE662" s="172"/>
      <c r="AF662" s="124"/>
      <c r="AG662" s="124"/>
      <c r="AH662" s="172"/>
      <c r="AI662" s="124"/>
      <c r="AJ662" s="124"/>
      <c r="AK662" s="171"/>
      <c r="AL662" s="124"/>
      <c r="AM662" s="124"/>
      <c r="AN662" s="124"/>
      <c r="AO662" s="124"/>
      <c r="AP662" s="124"/>
      <c r="AQ662" s="124"/>
      <c r="AR662" s="124"/>
      <c r="AS662" s="124"/>
      <c r="AT662" s="124"/>
      <c r="AU662" s="124"/>
      <c r="AV662" s="124"/>
      <c r="AW662" s="124"/>
      <c r="AX662" s="124"/>
      <c r="AY662" s="124"/>
      <c r="AZ662" s="124"/>
      <c r="BA662" s="124"/>
      <c r="BB662" s="124"/>
      <c r="BC662" s="124"/>
    </row>
    <row r="663" spans="1:55" ht="15.75" customHeight="1" x14ac:dyDescent="0.2">
      <c r="A663" s="128"/>
      <c r="B663" s="122" t="s">
        <v>8</v>
      </c>
      <c r="C663" s="174">
        <v>400</v>
      </c>
      <c r="D663" s="130">
        <v>400</v>
      </c>
      <c r="E663" s="130">
        <v>400</v>
      </c>
      <c r="F663" s="175">
        <v>400</v>
      </c>
      <c r="G663" s="130">
        <v>400</v>
      </c>
      <c r="H663" s="130">
        <v>400</v>
      </c>
      <c r="I663" s="130">
        <v>400</v>
      </c>
      <c r="J663" s="175">
        <v>400</v>
      </c>
      <c r="K663" s="130">
        <v>400</v>
      </c>
      <c r="L663" s="130">
        <v>400</v>
      </c>
      <c r="M663" s="175">
        <v>400</v>
      </c>
      <c r="N663" s="130">
        <v>400</v>
      </c>
      <c r="O663" s="175">
        <v>400</v>
      </c>
      <c r="P663" s="130">
        <v>400</v>
      </c>
      <c r="Q663" s="175">
        <v>400</v>
      </c>
      <c r="R663" s="130">
        <v>400</v>
      </c>
      <c r="S663" s="130">
        <v>400</v>
      </c>
      <c r="T663" s="175">
        <v>400</v>
      </c>
      <c r="U663" s="130">
        <v>400</v>
      </c>
      <c r="V663" s="130">
        <v>400</v>
      </c>
      <c r="W663" s="130">
        <v>400</v>
      </c>
      <c r="X663" s="175">
        <v>400</v>
      </c>
      <c r="Y663" s="130">
        <v>400</v>
      </c>
      <c r="Z663" s="130">
        <v>400</v>
      </c>
      <c r="AA663" s="175">
        <v>400</v>
      </c>
      <c r="AB663" s="130">
        <v>400</v>
      </c>
      <c r="AC663" s="130">
        <v>400</v>
      </c>
      <c r="AD663" s="130">
        <v>400</v>
      </c>
      <c r="AE663" s="175">
        <v>400</v>
      </c>
      <c r="AF663" s="130">
        <v>400</v>
      </c>
      <c r="AG663" s="130">
        <v>400</v>
      </c>
      <c r="AH663" s="175">
        <v>400</v>
      </c>
      <c r="AI663" s="130">
        <v>400</v>
      </c>
      <c r="AJ663" s="130">
        <v>400</v>
      </c>
      <c r="AK663" s="174" t="s">
        <v>18</v>
      </c>
      <c r="AL663" s="130" t="s">
        <v>18</v>
      </c>
      <c r="AM663" s="130" t="s">
        <v>18</v>
      </c>
      <c r="AN663" s="130" t="s">
        <v>18</v>
      </c>
      <c r="AO663" s="130" t="s">
        <v>18</v>
      </c>
      <c r="AP663" s="130" t="s">
        <v>18</v>
      </c>
      <c r="AQ663" s="130" t="s">
        <v>18</v>
      </c>
      <c r="AR663" s="130" t="s">
        <v>18</v>
      </c>
      <c r="AS663" s="130" t="s">
        <v>18</v>
      </c>
      <c r="AT663" s="130" t="s">
        <v>18</v>
      </c>
      <c r="AU663" s="130" t="s">
        <v>18</v>
      </c>
      <c r="AV663" s="130" t="s">
        <v>18</v>
      </c>
      <c r="AW663" s="130" t="s">
        <v>18</v>
      </c>
      <c r="AX663" s="130" t="s">
        <v>18</v>
      </c>
      <c r="AY663" s="130" t="s">
        <v>18</v>
      </c>
      <c r="AZ663" s="130" t="s">
        <v>18</v>
      </c>
      <c r="BA663" s="130" t="s">
        <v>18</v>
      </c>
      <c r="BB663" s="130" t="s">
        <v>18</v>
      </c>
      <c r="BC663" s="130" t="s">
        <v>18</v>
      </c>
    </row>
    <row r="664" spans="1:55" ht="15.75" customHeight="1" x14ac:dyDescent="0.2">
      <c r="A664" s="127" t="s">
        <v>9</v>
      </c>
      <c r="B664" s="132" t="s">
        <v>10</v>
      </c>
      <c r="C664" s="177" t="s">
        <v>22</v>
      </c>
      <c r="D664" s="134" t="s">
        <v>22</v>
      </c>
      <c r="E664" s="134" t="s">
        <v>22</v>
      </c>
      <c r="F664" s="178" t="s">
        <v>22</v>
      </c>
      <c r="G664" s="134" t="s">
        <v>22</v>
      </c>
      <c r="H664" s="134" t="s">
        <v>22</v>
      </c>
      <c r="I664" s="134" t="s">
        <v>22</v>
      </c>
      <c r="J664" s="178" t="s">
        <v>22</v>
      </c>
      <c r="K664" s="134" t="s">
        <v>22</v>
      </c>
      <c r="L664" s="134" t="s">
        <v>22</v>
      </c>
      <c r="M664" s="178" t="s">
        <v>22</v>
      </c>
      <c r="N664" s="134" t="s">
        <v>22</v>
      </c>
      <c r="O664" s="178" t="s">
        <v>22</v>
      </c>
      <c r="P664" s="134" t="s">
        <v>22</v>
      </c>
      <c r="Q664" s="178" t="s">
        <v>22</v>
      </c>
      <c r="R664" s="134" t="s">
        <v>22</v>
      </c>
      <c r="S664" s="134" t="s">
        <v>22</v>
      </c>
      <c r="T664" s="178" t="s">
        <v>22</v>
      </c>
      <c r="U664" s="134" t="s">
        <v>22</v>
      </c>
      <c r="V664" s="134" t="s">
        <v>22</v>
      </c>
      <c r="W664" s="134" t="s">
        <v>22</v>
      </c>
      <c r="X664" s="178" t="s">
        <v>22</v>
      </c>
      <c r="Y664" s="134" t="s">
        <v>22</v>
      </c>
      <c r="Z664" s="134" t="s">
        <v>22</v>
      </c>
      <c r="AA664" s="178" t="s">
        <v>22</v>
      </c>
      <c r="AB664" s="134" t="s">
        <v>22</v>
      </c>
      <c r="AC664" s="134" t="s">
        <v>22</v>
      </c>
      <c r="AD664" s="134" t="s">
        <v>22</v>
      </c>
      <c r="AE664" s="178" t="s">
        <v>22</v>
      </c>
      <c r="AF664" s="134" t="s">
        <v>22</v>
      </c>
      <c r="AG664" s="134" t="s">
        <v>22</v>
      </c>
      <c r="AH664" s="178" t="s">
        <v>22</v>
      </c>
      <c r="AI664" s="134" t="s">
        <v>22</v>
      </c>
      <c r="AJ664" s="134" t="s">
        <v>22</v>
      </c>
      <c r="AK664" s="177" t="s">
        <v>18</v>
      </c>
      <c r="AL664" s="134" t="s">
        <v>18</v>
      </c>
      <c r="AM664" s="134" t="s">
        <v>18</v>
      </c>
      <c r="AN664" s="134" t="s">
        <v>18</v>
      </c>
      <c r="AO664" s="134" t="s">
        <v>18</v>
      </c>
      <c r="AP664" s="134" t="s">
        <v>18</v>
      </c>
      <c r="AQ664" s="134" t="s">
        <v>18</v>
      </c>
      <c r="AR664" s="134" t="s">
        <v>18</v>
      </c>
      <c r="AS664" s="134" t="s">
        <v>18</v>
      </c>
      <c r="AT664" s="134" t="s">
        <v>18</v>
      </c>
      <c r="AU664" s="134" t="s">
        <v>18</v>
      </c>
      <c r="AV664" s="134" t="s">
        <v>18</v>
      </c>
      <c r="AW664" s="134" t="s">
        <v>18</v>
      </c>
      <c r="AX664" s="134" t="s">
        <v>18</v>
      </c>
      <c r="AY664" s="134" t="s">
        <v>18</v>
      </c>
      <c r="AZ664" s="134" t="s">
        <v>18</v>
      </c>
      <c r="BA664" s="134" t="s">
        <v>18</v>
      </c>
      <c r="BB664" s="134" t="s">
        <v>18</v>
      </c>
      <c r="BC664" s="134" t="s">
        <v>18</v>
      </c>
    </row>
    <row r="665" spans="1:55" ht="15.75" customHeight="1" x14ac:dyDescent="0.2">
      <c r="A665" s="128">
        <v>40764.705882352937</v>
      </c>
      <c r="B665" s="122" t="s">
        <v>12</v>
      </c>
      <c r="C665" s="171"/>
      <c r="D665" s="124"/>
      <c r="E665" s="124"/>
      <c r="F665" s="172"/>
      <c r="G665" s="124"/>
      <c r="H665" s="124"/>
      <c r="I665" s="124"/>
      <c r="J665" s="172"/>
      <c r="K665" s="124"/>
      <c r="L665" s="124"/>
      <c r="M665" s="172"/>
      <c r="N665" s="124"/>
      <c r="O665" s="172"/>
      <c r="P665" s="124"/>
      <c r="Q665" s="172"/>
      <c r="R665" s="124"/>
      <c r="S665" s="124"/>
      <c r="T665" s="172"/>
      <c r="U665" s="124"/>
      <c r="V665" s="124"/>
      <c r="W665" s="124"/>
      <c r="X665" s="172"/>
      <c r="Y665" s="124"/>
      <c r="Z665" s="124"/>
      <c r="AA665" s="172" t="s">
        <v>24</v>
      </c>
      <c r="AB665" s="124"/>
      <c r="AC665" s="124"/>
      <c r="AD665" s="124"/>
      <c r="AE665" s="172"/>
      <c r="AF665" s="124"/>
      <c r="AG665" s="124"/>
      <c r="AH665" s="172"/>
      <c r="AI665" s="124"/>
      <c r="AJ665" s="124"/>
      <c r="AK665" s="171"/>
      <c r="AL665" s="124"/>
      <c r="AM665" s="124"/>
      <c r="AN665" s="124"/>
      <c r="AO665" s="124"/>
      <c r="AP665" s="124"/>
      <c r="AQ665" s="124"/>
      <c r="AR665" s="124"/>
      <c r="AS665" s="124"/>
      <c r="AT665" s="124"/>
      <c r="AU665" s="124"/>
      <c r="AV665" s="124"/>
      <c r="AW665" s="124"/>
      <c r="AX665" s="124"/>
      <c r="AY665" s="124"/>
      <c r="AZ665" s="124"/>
      <c r="BA665" s="124"/>
      <c r="BB665" s="124"/>
      <c r="BC665" s="124"/>
    </row>
    <row r="666" spans="1:55" ht="15.75" customHeight="1" x14ac:dyDescent="0.2">
      <c r="A666" s="128">
        <v>462</v>
      </c>
      <c r="B666" s="136" t="s">
        <v>13</v>
      </c>
      <c r="C666" s="171">
        <v>0</v>
      </c>
      <c r="D666" s="137">
        <v>0</v>
      </c>
      <c r="E666" s="137">
        <v>100</v>
      </c>
      <c r="F666" s="172">
        <v>0</v>
      </c>
      <c r="G666" s="137">
        <v>0</v>
      </c>
      <c r="H666" s="137">
        <v>0</v>
      </c>
      <c r="I666" s="137">
        <v>30</v>
      </c>
      <c r="J666" s="172">
        <v>0</v>
      </c>
      <c r="K666" s="137">
        <v>0</v>
      </c>
      <c r="L666" s="137">
        <v>43</v>
      </c>
      <c r="M666" s="172">
        <v>0</v>
      </c>
      <c r="N666" s="137">
        <v>10</v>
      </c>
      <c r="O666" s="172">
        <v>0</v>
      </c>
      <c r="P666" s="137">
        <v>12</v>
      </c>
      <c r="Q666" s="172">
        <v>0</v>
      </c>
      <c r="R666" s="137">
        <v>0</v>
      </c>
      <c r="S666" s="137">
        <v>73</v>
      </c>
      <c r="T666" s="172">
        <v>0</v>
      </c>
      <c r="U666" s="137">
        <v>0</v>
      </c>
      <c r="V666" s="137">
        <v>0</v>
      </c>
      <c r="W666" s="137">
        <v>33</v>
      </c>
      <c r="X666" s="172">
        <v>0</v>
      </c>
      <c r="Y666" s="137">
        <v>0</v>
      </c>
      <c r="Z666" s="137">
        <v>30</v>
      </c>
      <c r="AA666" s="172">
        <v>0</v>
      </c>
      <c r="AB666" s="137">
        <v>0</v>
      </c>
      <c r="AC666" s="137">
        <v>0</v>
      </c>
      <c r="AD666" s="137">
        <v>33</v>
      </c>
      <c r="AE666" s="172">
        <v>0</v>
      </c>
      <c r="AF666" s="137">
        <v>0</v>
      </c>
      <c r="AG666" s="137">
        <v>84</v>
      </c>
      <c r="AH666" s="172">
        <v>0</v>
      </c>
      <c r="AI666" s="137">
        <v>0</v>
      </c>
      <c r="AJ666" s="137">
        <v>14</v>
      </c>
      <c r="AK666" s="171" t="s">
        <v>18</v>
      </c>
      <c r="AL666" s="137" t="s">
        <v>18</v>
      </c>
      <c r="AM666" s="137" t="s">
        <v>18</v>
      </c>
      <c r="AN666" s="137" t="s">
        <v>18</v>
      </c>
      <c r="AO666" s="137" t="s">
        <v>18</v>
      </c>
      <c r="AP666" s="137" t="s">
        <v>18</v>
      </c>
      <c r="AQ666" s="137" t="s">
        <v>18</v>
      </c>
      <c r="AR666" s="137" t="s">
        <v>18</v>
      </c>
      <c r="AS666" s="137" t="s">
        <v>18</v>
      </c>
      <c r="AT666" s="137" t="s">
        <v>18</v>
      </c>
      <c r="AU666" s="137" t="s">
        <v>18</v>
      </c>
      <c r="AV666" s="137" t="s">
        <v>18</v>
      </c>
      <c r="AW666" s="137" t="s">
        <v>18</v>
      </c>
      <c r="AX666" s="137" t="s">
        <v>18</v>
      </c>
      <c r="AY666" s="137" t="s">
        <v>18</v>
      </c>
      <c r="AZ666" s="137" t="s">
        <v>18</v>
      </c>
      <c r="BA666" s="137" t="s">
        <v>18</v>
      </c>
      <c r="BB666" s="137" t="s">
        <v>18</v>
      </c>
      <c r="BC666" s="137" t="s">
        <v>18</v>
      </c>
    </row>
    <row r="667" spans="1:55" ht="15.75" customHeight="1" x14ac:dyDescent="0.2">
      <c r="A667" s="128">
        <v>17</v>
      </c>
      <c r="B667" s="136" t="s">
        <v>14</v>
      </c>
      <c r="C667" s="171">
        <v>0</v>
      </c>
      <c r="D667" s="137">
        <v>0</v>
      </c>
      <c r="E667" s="137">
        <v>1</v>
      </c>
      <c r="F667" s="172">
        <v>0</v>
      </c>
      <c r="G667" s="137">
        <v>0</v>
      </c>
      <c r="H667" s="137">
        <v>0</v>
      </c>
      <c r="I667" s="137">
        <v>0</v>
      </c>
      <c r="J667" s="172">
        <v>0</v>
      </c>
      <c r="K667" s="137">
        <v>0</v>
      </c>
      <c r="L667" s="137">
        <v>1</v>
      </c>
      <c r="M667" s="172">
        <v>0</v>
      </c>
      <c r="N667" s="137">
        <v>0</v>
      </c>
      <c r="O667" s="172">
        <v>0</v>
      </c>
      <c r="P667" s="137">
        <v>0</v>
      </c>
      <c r="Q667" s="172">
        <v>0</v>
      </c>
      <c r="R667" s="137">
        <v>0</v>
      </c>
      <c r="S667" s="137">
        <v>2</v>
      </c>
      <c r="T667" s="172">
        <v>0</v>
      </c>
      <c r="U667" s="137">
        <v>0</v>
      </c>
      <c r="V667" s="137">
        <v>0</v>
      </c>
      <c r="W667" s="137">
        <v>0</v>
      </c>
      <c r="X667" s="172">
        <v>0</v>
      </c>
      <c r="Y667" s="137">
        <v>0</v>
      </c>
      <c r="Z667" s="137">
        <v>7</v>
      </c>
      <c r="AA667" s="172">
        <v>0</v>
      </c>
      <c r="AB667" s="137">
        <v>0</v>
      </c>
      <c r="AC667" s="137">
        <v>0</v>
      </c>
      <c r="AD667" s="137">
        <v>2</v>
      </c>
      <c r="AE667" s="172">
        <v>0</v>
      </c>
      <c r="AF667" s="137">
        <v>0</v>
      </c>
      <c r="AG667" s="137">
        <v>3</v>
      </c>
      <c r="AH667" s="172">
        <v>0</v>
      </c>
      <c r="AI667" s="137">
        <v>0</v>
      </c>
      <c r="AJ667" s="137">
        <v>1</v>
      </c>
      <c r="AK667" s="171" t="s">
        <v>18</v>
      </c>
      <c r="AL667" s="137" t="s">
        <v>18</v>
      </c>
      <c r="AM667" s="137" t="s">
        <v>18</v>
      </c>
      <c r="AN667" s="137" t="s">
        <v>18</v>
      </c>
      <c r="AO667" s="137" t="s">
        <v>18</v>
      </c>
      <c r="AP667" s="137" t="s">
        <v>18</v>
      </c>
      <c r="AQ667" s="137" t="s">
        <v>18</v>
      </c>
      <c r="AR667" s="137" t="s">
        <v>18</v>
      </c>
      <c r="AS667" s="137" t="s">
        <v>18</v>
      </c>
      <c r="AT667" s="137" t="s">
        <v>18</v>
      </c>
      <c r="AU667" s="137" t="s">
        <v>18</v>
      </c>
      <c r="AV667" s="137" t="s">
        <v>18</v>
      </c>
      <c r="AW667" s="137" t="s">
        <v>18</v>
      </c>
      <c r="AX667" s="137" t="s">
        <v>18</v>
      </c>
      <c r="AY667" s="137" t="s">
        <v>18</v>
      </c>
      <c r="AZ667" s="137" t="s">
        <v>18</v>
      </c>
      <c r="BA667" s="137" t="s">
        <v>18</v>
      </c>
      <c r="BB667" s="137" t="s">
        <v>18</v>
      </c>
      <c r="BC667" s="137" t="s">
        <v>18</v>
      </c>
    </row>
    <row r="668" spans="1:55" ht="15.75" customHeight="1" x14ac:dyDescent="0.2">
      <c r="A668" s="128">
        <v>17</v>
      </c>
      <c r="B668" s="136" t="s">
        <v>15</v>
      </c>
      <c r="C668" s="171">
        <v>0</v>
      </c>
      <c r="D668" s="137">
        <v>0</v>
      </c>
      <c r="E668" s="137">
        <v>0</v>
      </c>
      <c r="F668" s="172">
        <v>0</v>
      </c>
      <c r="G668" s="137">
        <v>0</v>
      </c>
      <c r="H668" s="137">
        <v>0</v>
      </c>
      <c r="I668" s="137">
        <v>0</v>
      </c>
      <c r="J668" s="172">
        <v>0</v>
      </c>
      <c r="K668" s="137">
        <v>0</v>
      </c>
      <c r="L668" s="137">
        <v>1</v>
      </c>
      <c r="M668" s="172">
        <v>0</v>
      </c>
      <c r="N668" s="137">
        <v>0</v>
      </c>
      <c r="O668" s="172">
        <v>0</v>
      </c>
      <c r="P668" s="137">
        <v>0</v>
      </c>
      <c r="Q668" s="172">
        <v>0</v>
      </c>
      <c r="R668" s="137">
        <v>0</v>
      </c>
      <c r="S668" s="137">
        <v>2</v>
      </c>
      <c r="T668" s="172">
        <v>0</v>
      </c>
      <c r="U668" s="137">
        <v>0</v>
      </c>
      <c r="V668" s="137">
        <v>0</v>
      </c>
      <c r="W668" s="137">
        <v>0</v>
      </c>
      <c r="X668" s="172">
        <v>0</v>
      </c>
      <c r="Y668" s="137">
        <v>0</v>
      </c>
      <c r="Z668" s="137">
        <v>7</v>
      </c>
      <c r="AA668" s="172">
        <v>0</v>
      </c>
      <c r="AB668" s="137">
        <v>0</v>
      </c>
      <c r="AC668" s="137">
        <v>0</v>
      </c>
      <c r="AD668" s="137">
        <v>2</v>
      </c>
      <c r="AE668" s="172">
        <v>0</v>
      </c>
      <c r="AF668" s="137">
        <v>0</v>
      </c>
      <c r="AG668" s="137">
        <v>3</v>
      </c>
      <c r="AH668" s="172">
        <v>0</v>
      </c>
      <c r="AI668" s="137">
        <v>0</v>
      </c>
      <c r="AJ668" s="137">
        <v>2</v>
      </c>
      <c r="AK668" s="171" t="s">
        <v>18</v>
      </c>
      <c r="AL668" s="137" t="s">
        <v>18</v>
      </c>
      <c r="AM668" s="137" t="s">
        <v>18</v>
      </c>
      <c r="AN668" s="137" t="s">
        <v>18</v>
      </c>
      <c r="AO668" s="137" t="s">
        <v>18</v>
      </c>
      <c r="AP668" s="137" t="s">
        <v>18</v>
      </c>
      <c r="AQ668" s="137" t="s">
        <v>18</v>
      </c>
      <c r="AR668" s="137" t="s">
        <v>18</v>
      </c>
      <c r="AS668" s="137" t="s">
        <v>18</v>
      </c>
      <c r="AT668" s="137" t="s">
        <v>18</v>
      </c>
      <c r="AU668" s="137" t="s">
        <v>18</v>
      </c>
      <c r="AV668" s="137" t="s">
        <v>18</v>
      </c>
      <c r="AW668" s="137" t="s">
        <v>18</v>
      </c>
      <c r="AX668" s="137" t="s">
        <v>18</v>
      </c>
      <c r="AY668" s="137" t="s">
        <v>18</v>
      </c>
      <c r="AZ668" s="137" t="s">
        <v>18</v>
      </c>
      <c r="BA668" s="137" t="s">
        <v>18</v>
      </c>
      <c r="BB668" s="137" t="s">
        <v>18</v>
      </c>
      <c r="BC668" s="137" t="s">
        <v>18</v>
      </c>
    </row>
    <row r="669" spans="1:55" ht="15.75" customHeight="1" x14ac:dyDescent="0.2">
      <c r="A669" s="128">
        <v>6800</v>
      </c>
      <c r="B669" s="136" t="s">
        <v>16</v>
      </c>
      <c r="C669" s="171">
        <v>0</v>
      </c>
      <c r="D669" s="137">
        <v>0</v>
      </c>
      <c r="E669" s="137">
        <v>0</v>
      </c>
      <c r="F669" s="172">
        <v>0</v>
      </c>
      <c r="G669" s="137">
        <v>0</v>
      </c>
      <c r="H669" s="137">
        <v>0</v>
      </c>
      <c r="I669" s="137">
        <v>0</v>
      </c>
      <c r="J669" s="172">
        <v>0</v>
      </c>
      <c r="K669" s="137">
        <v>0</v>
      </c>
      <c r="L669" s="137">
        <v>400</v>
      </c>
      <c r="M669" s="172">
        <v>0</v>
      </c>
      <c r="N669" s="137">
        <v>0</v>
      </c>
      <c r="O669" s="172">
        <v>0</v>
      </c>
      <c r="P669" s="137">
        <v>0</v>
      </c>
      <c r="Q669" s="172">
        <v>0</v>
      </c>
      <c r="R669" s="137">
        <v>0</v>
      </c>
      <c r="S669" s="137">
        <v>800</v>
      </c>
      <c r="T669" s="172">
        <v>0</v>
      </c>
      <c r="U669" s="137">
        <v>0</v>
      </c>
      <c r="V669" s="137">
        <v>0</v>
      </c>
      <c r="W669" s="137">
        <v>0</v>
      </c>
      <c r="X669" s="172">
        <v>0</v>
      </c>
      <c r="Y669" s="137">
        <v>0</v>
      </c>
      <c r="Z669" s="137">
        <v>2800</v>
      </c>
      <c r="AA669" s="172">
        <v>0</v>
      </c>
      <c r="AB669" s="137">
        <v>0</v>
      </c>
      <c r="AC669" s="137">
        <v>0</v>
      </c>
      <c r="AD669" s="137">
        <v>800</v>
      </c>
      <c r="AE669" s="172">
        <v>0</v>
      </c>
      <c r="AF669" s="137">
        <v>0</v>
      </c>
      <c r="AG669" s="137">
        <v>1200</v>
      </c>
      <c r="AH669" s="172">
        <v>0</v>
      </c>
      <c r="AI669" s="137">
        <v>0</v>
      </c>
      <c r="AJ669" s="137">
        <v>800</v>
      </c>
      <c r="AK669" s="171" t="s">
        <v>18</v>
      </c>
      <c r="AL669" s="137" t="s">
        <v>18</v>
      </c>
      <c r="AM669" s="137" t="s">
        <v>18</v>
      </c>
      <c r="AN669" s="137" t="s">
        <v>18</v>
      </c>
      <c r="AO669" s="137" t="s">
        <v>18</v>
      </c>
      <c r="AP669" s="137" t="s">
        <v>18</v>
      </c>
      <c r="AQ669" s="137" t="s">
        <v>18</v>
      </c>
      <c r="AR669" s="137" t="s">
        <v>18</v>
      </c>
      <c r="AS669" s="137" t="s">
        <v>18</v>
      </c>
      <c r="AT669" s="137" t="s">
        <v>18</v>
      </c>
      <c r="AU669" s="137" t="s">
        <v>18</v>
      </c>
      <c r="AV669" s="137" t="s">
        <v>18</v>
      </c>
      <c r="AW669" s="137" t="s">
        <v>18</v>
      </c>
      <c r="AX669" s="137" t="s">
        <v>18</v>
      </c>
      <c r="AY669" s="137" t="s">
        <v>18</v>
      </c>
      <c r="AZ669" s="137" t="s">
        <v>18</v>
      </c>
      <c r="BA669" s="137" t="s">
        <v>18</v>
      </c>
      <c r="BB669" s="137" t="s">
        <v>18</v>
      </c>
      <c r="BC669" s="137" t="s">
        <v>18</v>
      </c>
    </row>
    <row r="670" spans="1:55" ht="15.75" customHeight="1" x14ac:dyDescent="0.2">
      <c r="A670" s="138">
        <v>0.1471861471861472</v>
      </c>
      <c r="B670" s="136" t="s">
        <v>17</v>
      </c>
      <c r="C670" s="183" t="s">
        <v>18</v>
      </c>
      <c r="D670" s="147" t="s">
        <v>18</v>
      </c>
      <c r="E670" s="147" t="s">
        <v>18</v>
      </c>
      <c r="F670" s="184" t="s">
        <v>18</v>
      </c>
      <c r="G670" s="147" t="s">
        <v>18</v>
      </c>
      <c r="H670" s="147" t="s">
        <v>18</v>
      </c>
      <c r="I670" s="147" t="s">
        <v>18</v>
      </c>
      <c r="J670" s="184" t="s">
        <v>18</v>
      </c>
      <c r="K670" s="147" t="s">
        <v>18</v>
      </c>
      <c r="L670" s="147">
        <v>9.3023255813953487E-2</v>
      </c>
      <c r="M670" s="184" t="s">
        <v>18</v>
      </c>
      <c r="N670" s="147" t="s">
        <v>18</v>
      </c>
      <c r="O670" s="184" t="s">
        <v>18</v>
      </c>
      <c r="P670" s="147" t="s">
        <v>18</v>
      </c>
      <c r="Q670" s="184" t="s">
        <v>18</v>
      </c>
      <c r="R670" s="147" t="s">
        <v>18</v>
      </c>
      <c r="S670" s="147">
        <v>0.1095890410958904</v>
      </c>
      <c r="T670" s="184" t="s">
        <v>18</v>
      </c>
      <c r="U670" s="147" t="s">
        <v>18</v>
      </c>
      <c r="V670" s="147" t="s">
        <v>18</v>
      </c>
      <c r="W670" s="147" t="s">
        <v>18</v>
      </c>
      <c r="X670" s="184" t="s">
        <v>18</v>
      </c>
      <c r="Y670" s="147" t="s">
        <v>18</v>
      </c>
      <c r="Z670" s="147">
        <v>0.93333333333333335</v>
      </c>
      <c r="AA670" s="184" t="s">
        <v>18</v>
      </c>
      <c r="AB670" s="147" t="s">
        <v>18</v>
      </c>
      <c r="AC670" s="147" t="s">
        <v>18</v>
      </c>
      <c r="AD670" s="147">
        <v>0.24242424242424243</v>
      </c>
      <c r="AE670" s="184" t="s">
        <v>18</v>
      </c>
      <c r="AF670" s="147" t="s">
        <v>18</v>
      </c>
      <c r="AG670" s="147">
        <v>0.14285714285714285</v>
      </c>
      <c r="AH670" s="184" t="s">
        <v>18</v>
      </c>
      <c r="AI670" s="147" t="s">
        <v>18</v>
      </c>
      <c r="AJ670" s="147">
        <v>0.5714285714285714</v>
      </c>
      <c r="AK670" s="183" t="s">
        <v>18</v>
      </c>
      <c r="AL670" s="147" t="s">
        <v>18</v>
      </c>
      <c r="AM670" s="147" t="s">
        <v>18</v>
      </c>
      <c r="AN670" s="147" t="s">
        <v>18</v>
      </c>
      <c r="AO670" s="147" t="s">
        <v>18</v>
      </c>
      <c r="AP670" s="147" t="s">
        <v>18</v>
      </c>
      <c r="AQ670" s="147" t="s">
        <v>18</v>
      </c>
      <c r="AR670" s="147" t="s">
        <v>18</v>
      </c>
      <c r="AS670" s="147" t="s">
        <v>18</v>
      </c>
      <c r="AT670" s="147" t="s">
        <v>18</v>
      </c>
      <c r="AU670" s="147" t="s">
        <v>18</v>
      </c>
      <c r="AV670" s="147" t="s">
        <v>18</v>
      </c>
      <c r="AW670" s="147" t="s">
        <v>18</v>
      </c>
      <c r="AX670" s="147" t="s">
        <v>18</v>
      </c>
      <c r="AY670" s="147" t="s">
        <v>18</v>
      </c>
      <c r="AZ670" s="147" t="s">
        <v>18</v>
      </c>
      <c r="BA670" s="147" t="s">
        <v>18</v>
      </c>
      <c r="BB670" s="147" t="s">
        <v>18</v>
      </c>
      <c r="BC670" s="147" t="s">
        <v>18</v>
      </c>
    </row>
    <row r="671" spans="1:55" ht="15.75" customHeight="1" x14ac:dyDescent="0.2">
      <c r="A671" s="149" t="s">
        <v>1</v>
      </c>
      <c r="B671" s="150" t="s">
        <v>2</v>
      </c>
      <c r="C671" s="174">
        <v>17557</v>
      </c>
      <c r="D671" s="130">
        <v>17557</v>
      </c>
      <c r="E671" s="130">
        <v>17836</v>
      </c>
      <c r="F671" s="175">
        <v>17836</v>
      </c>
      <c r="G671" s="130">
        <v>17836</v>
      </c>
      <c r="H671" s="130">
        <v>17836</v>
      </c>
      <c r="I671" s="130">
        <v>17899</v>
      </c>
      <c r="J671" s="175">
        <v>17899</v>
      </c>
      <c r="K671" s="130">
        <v>17899</v>
      </c>
      <c r="L671" s="130">
        <v>18057</v>
      </c>
      <c r="M671" s="175">
        <v>18057</v>
      </c>
      <c r="N671" s="130">
        <v>18074</v>
      </c>
      <c r="O671" s="175">
        <v>18074</v>
      </c>
      <c r="P671" s="130">
        <v>18092</v>
      </c>
      <c r="Q671" s="175">
        <v>18092</v>
      </c>
      <c r="R671" s="130">
        <v>18092</v>
      </c>
      <c r="S671" s="130">
        <v>18220</v>
      </c>
      <c r="T671" s="175">
        <v>18220</v>
      </c>
      <c r="U671" s="130">
        <v>18220</v>
      </c>
      <c r="V671" s="130">
        <v>18220</v>
      </c>
      <c r="W671" s="130">
        <v>18277</v>
      </c>
      <c r="X671" s="175">
        <v>18277</v>
      </c>
      <c r="Y671" s="130">
        <v>18277</v>
      </c>
      <c r="Z671" s="130">
        <v>18459</v>
      </c>
      <c r="AA671" s="175">
        <v>18459</v>
      </c>
      <c r="AB671" s="130">
        <v>18459</v>
      </c>
      <c r="AC671" s="130">
        <v>18459</v>
      </c>
      <c r="AD671" s="130">
        <v>18552</v>
      </c>
      <c r="AE671" s="175">
        <v>18552</v>
      </c>
      <c r="AF671" s="130">
        <v>18552</v>
      </c>
      <c r="AG671" s="130">
        <v>18707</v>
      </c>
      <c r="AH671" s="175">
        <v>18707</v>
      </c>
      <c r="AI671" s="130">
        <v>18707</v>
      </c>
      <c r="AJ671" s="130">
        <v>18761</v>
      </c>
      <c r="AK671" s="174" t="s">
        <v>18</v>
      </c>
      <c r="AL671" s="130" t="s">
        <v>18</v>
      </c>
      <c r="AM671" s="130" t="s">
        <v>18</v>
      </c>
      <c r="AN671" s="130" t="s">
        <v>18</v>
      </c>
      <c r="AO671" s="130" t="s">
        <v>18</v>
      </c>
      <c r="AP671" s="130" t="s">
        <v>18</v>
      </c>
      <c r="AQ671" s="130" t="s">
        <v>18</v>
      </c>
      <c r="AR671" s="130" t="s">
        <v>18</v>
      </c>
      <c r="AS671" s="130" t="s">
        <v>18</v>
      </c>
      <c r="AT671" s="130" t="s">
        <v>18</v>
      </c>
      <c r="AU671" s="130" t="s">
        <v>18</v>
      </c>
      <c r="AV671" s="130" t="s">
        <v>18</v>
      </c>
      <c r="AW671" s="130" t="s">
        <v>18</v>
      </c>
      <c r="AX671" s="130" t="s">
        <v>18</v>
      </c>
      <c r="AY671" s="130" t="s">
        <v>18</v>
      </c>
      <c r="AZ671" s="130" t="s">
        <v>18</v>
      </c>
      <c r="BA671" s="130" t="s">
        <v>18</v>
      </c>
      <c r="BB671" s="130" t="s">
        <v>18</v>
      </c>
      <c r="BC671" s="130" t="s">
        <v>18</v>
      </c>
    </row>
    <row r="672" spans="1:55" ht="15.75" customHeight="1" x14ac:dyDescent="0.2">
      <c r="A672" s="121" t="s">
        <v>19</v>
      </c>
      <c r="B672" s="122" t="s">
        <v>4</v>
      </c>
      <c r="C672" s="171">
        <v>901</v>
      </c>
      <c r="D672" s="124">
        <v>901</v>
      </c>
      <c r="E672" s="124">
        <v>904</v>
      </c>
      <c r="F672" s="172">
        <v>904</v>
      </c>
      <c r="G672" s="124">
        <v>904</v>
      </c>
      <c r="H672" s="124">
        <v>904</v>
      </c>
      <c r="I672" s="124">
        <v>906</v>
      </c>
      <c r="J672" s="172">
        <v>906</v>
      </c>
      <c r="K672" s="124">
        <v>906</v>
      </c>
      <c r="L672" s="124">
        <v>908</v>
      </c>
      <c r="M672" s="172">
        <v>908</v>
      </c>
      <c r="N672" s="124">
        <v>909</v>
      </c>
      <c r="O672" s="172">
        <v>909</v>
      </c>
      <c r="P672" s="124">
        <v>910</v>
      </c>
      <c r="Q672" s="172">
        <v>910</v>
      </c>
      <c r="R672" s="124">
        <v>910</v>
      </c>
      <c r="S672" s="124">
        <v>911</v>
      </c>
      <c r="T672" s="172">
        <v>911</v>
      </c>
      <c r="U672" s="124">
        <v>911</v>
      </c>
      <c r="V672" s="124">
        <v>911</v>
      </c>
      <c r="W672" s="124">
        <v>914</v>
      </c>
      <c r="X672" s="172">
        <v>914</v>
      </c>
      <c r="Y672" s="124">
        <v>914</v>
      </c>
      <c r="Z672" s="124">
        <v>916</v>
      </c>
      <c r="AA672" s="172">
        <v>916</v>
      </c>
      <c r="AB672" s="124">
        <v>916</v>
      </c>
      <c r="AC672" s="124">
        <v>916</v>
      </c>
      <c r="AD672" s="124">
        <v>916</v>
      </c>
      <c r="AE672" s="172">
        <v>916</v>
      </c>
      <c r="AF672" s="124">
        <v>916</v>
      </c>
      <c r="AG672" s="124">
        <v>918</v>
      </c>
      <c r="AH672" s="172">
        <v>918</v>
      </c>
      <c r="AI672" s="124">
        <v>918</v>
      </c>
      <c r="AJ672" s="124">
        <v>918</v>
      </c>
      <c r="AK672" s="171" t="s">
        <v>18</v>
      </c>
      <c r="AL672" s="124" t="s">
        <v>18</v>
      </c>
      <c r="AM672" s="124" t="s">
        <v>18</v>
      </c>
      <c r="AN672" s="124" t="s">
        <v>18</v>
      </c>
      <c r="AO672" s="124" t="s">
        <v>18</v>
      </c>
      <c r="AP672" s="124" t="s">
        <v>18</v>
      </c>
      <c r="AQ672" s="124" t="s">
        <v>18</v>
      </c>
      <c r="AR672" s="124" t="s">
        <v>18</v>
      </c>
      <c r="AS672" s="124" t="s">
        <v>18</v>
      </c>
      <c r="AT672" s="124" t="s">
        <v>18</v>
      </c>
      <c r="AU672" s="124" t="s">
        <v>18</v>
      </c>
      <c r="AV672" s="124" t="s">
        <v>18</v>
      </c>
      <c r="AW672" s="124" t="s">
        <v>18</v>
      </c>
      <c r="AX672" s="124" t="s">
        <v>18</v>
      </c>
      <c r="AY672" s="124" t="s">
        <v>18</v>
      </c>
      <c r="AZ672" s="124" t="s">
        <v>18</v>
      </c>
      <c r="BA672" s="124" t="s">
        <v>18</v>
      </c>
      <c r="BB672" s="124" t="s">
        <v>18</v>
      </c>
      <c r="BC672" s="124" t="s">
        <v>18</v>
      </c>
    </row>
    <row r="673" spans="1:55" ht="15.75" customHeight="1" x14ac:dyDescent="0.25">
      <c r="A673" s="143">
        <v>3</v>
      </c>
      <c r="B673" s="122" t="s">
        <v>5</v>
      </c>
      <c r="C673" s="171">
        <v>9</v>
      </c>
      <c r="D673" s="124">
        <v>9</v>
      </c>
      <c r="E673" s="124">
        <v>6</v>
      </c>
      <c r="F673" s="172">
        <v>9</v>
      </c>
      <c r="G673" s="124">
        <v>9</v>
      </c>
      <c r="H673" s="124">
        <v>9</v>
      </c>
      <c r="I673" s="124">
        <v>8</v>
      </c>
      <c r="J673" s="172">
        <v>8</v>
      </c>
      <c r="K673" s="124">
        <v>8</v>
      </c>
      <c r="L673" s="124">
        <v>7</v>
      </c>
      <c r="M673" s="172">
        <v>9</v>
      </c>
      <c r="N673" s="124">
        <v>8</v>
      </c>
      <c r="O673" s="172">
        <v>8</v>
      </c>
      <c r="P673" s="124">
        <v>8</v>
      </c>
      <c r="Q673" s="172">
        <v>8</v>
      </c>
      <c r="R673" s="124">
        <v>8</v>
      </c>
      <c r="S673" s="124">
        <v>7</v>
      </c>
      <c r="T673" s="172">
        <v>8</v>
      </c>
      <c r="U673" s="124">
        <v>8</v>
      </c>
      <c r="V673" s="124">
        <v>8</v>
      </c>
      <c r="W673" s="124">
        <v>5</v>
      </c>
      <c r="X673" s="172">
        <v>8</v>
      </c>
      <c r="Y673" s="124">
        <v>8</v>
      </c>
      <c r="Z673" s="124">
        <v>6</v>
      </c>
      <c r="AA673" s="172">
        <v>8</v>
      </c>
      <c r="AB673" s="124">
        <v>8</v>
      </c>
      <c r="AC673" s="124">
        <v>8</v>
      </c>
      <c r="AD673" s="124">
        <v>8</v>
      </c>
      <c r="AE673" s="172">
        <v>8</v>
      </c>
      <c r="AF673" s="124">
        <v>8</v>
      </c>
      <c r="AG673" s="124">
        <v>6</v>
      </c>
      <c r="AH673" s="172">
        <v>6</v>
      </c>
      <c r="AI673" s="124">
        <v>6</v>
      </c>
      <c r="AJ673" s="124">
        <v>6</v>
      </c>
      <c r="AK673" s="171" t="s">
        <v>18</v>
      </c>
      <c r="AL673" s="124" t="s">
        <v>18</v>
      </c>
      <c r="AM673" s="124" t="s">
        <v>18</v>
      </c>
      <c r="AN673" s="124" t="s">
        <v>18</v>
      </c>
      <c r="AO673" s="124" t="s">
        <v>18</v>
      </c>
      <c r="AP673" s="124" t="s">
        <v>18</v>
      </c>
      <c r="AQ673" s="124" t="s">
        <v>18</v>
      </c>
      <c r="AR673" s="124" t="s">
        <v>18</v>
      </c>
      <c r="AS673" s="124" t="s">
        <v>18</v>
      </c>
      <c r="AT673" s="124" t="s">
        <v>18</v>
      </c>
      <c r="AU673" s="124" t="s">
        <v>18</v>
      </c>
      <c r="AV673" s="124" t="s">
        <v>18</v>
      </c>
      <c r="AW673" s="124" t="s">
        <v>18</v>
      </c>
      <c r="AX673" s="124" t="s">
        <v>18</v>
      </c>
      <c r="AY673" s="124" t="s">
        <v>18</v>
      </c>
      <c r="AZ673" s="124" t="s">
        <v>18</v>
      </c>
      <c r="BA673" s="124" t="s">
        <v>18</v>
      </c>
      <c r="BB673" s="124" t="s">
        <v>18</v>
      </c>
      <c r="BC673" s="124" t="s">
        <v>18</v>
      </c>
    </row>
    <row r="674" spans="1:55" ht="15.75" customHeight="1" x14ac:dyDescent="0.2">
      <c r="A674" s="127"/>
      <c r="B674" s="122" t="s">
        <v>6</v>
      </c>
      <c r="C674" s="171"/>
      <c r="D674" s="124"/>
      <c r="E674" s="124">
        <v>3</v>
      </c>
      <c r="F674" s="172"/>
      <c r="G674" s="124"/>
      <c r="H674" s="124"/>
      <c r="I674" s="124"/>
      <c r="J674" s="172"/>
      <c r="K674" s="124"/>
      <c r="L674" s="124">
        <v>2</v>
      </c>
      <c r="M674" s="172"/>
      <c r="N674" s="124"/>
      <c r="O674" s="172"/>
      <c r="P674" s="124"/>
      <c r="Q674" s="172"/>
      <c r="R674" s="124"/>
      <c r="S674" s="124">
        <v>1</v>
      </c>
      <c r="T674" s="172"/>
      <c r="U674" s="124"/>
      <c r="V674" s="124"/>
      <c r="W674" s="124">
        <v>3</v>
      </c>
      <c r="X674" s="172"/>
      <c r="Y674" s="124"/>
      <c r="Z674" s="124">
        <v>2</v>
      </c>
      <c r="AA674" s="172"/>
      <c r="AB674" s="124"/>
      <c r="AC674" s="124"/>
      <c r="AD674" s="124"/>
      <c r="AE674" s="172"/>
      <c r="AF674" s="124"/>
      <c r="AG674" s="124"/>
      <c r="AH674" s="172"/>
      <c r="AI674" s="124"/>
      <c r="AJ674" s="124"/>
      <c r="AK674" s="171"/>
      <c r="AL674" s="124"/>
      <c r="AM674" s="124"/>
      <c r="AN674" s="124"/>
      <c r="AO674" s="124"/>
      <c r="AP674" s="124"/>
      <c r="AQ674" s="124"/>
      <c r="AR674" s="124"/>
      <c r="AS674" s="124"/>
      <c r="AT674" s="124"/>
      <c r="AU674" s="124"/>
      <c r="AV674" s="124"/>
      <c r="AW674" s="124"/>
      <c r="AX674" s="124"/>
      <c r="AY674" s="124"/>
      <c r="AZ674" s="124"/>
      <c r="BA674" s="124"/>
      <c r="BB674" s="124"/>
      <c r="BC674" s="124"/>
    </row>
    <row r="675" spans="1:55" ht="15.75" customHeight="1" x14ac:dyDescent="0.2">
      <c r="A675" s="128"/>
      <c r="B675" s="122" t="s">
        <v>8</v>
      </c>
      <c r="C675" s="174">
        <v>780</v>
      </c>
      <c r="D675" s="130">
        <v>780</v>
      </c>
      <c r="E675" s="130">
        <v>780</v>
      </c>
      <c r="F675" s="175">
        <v>780</v>
      </c>
      <c r="G675" s="130">
        <v>780</v>
      </c>
      <c r="H675" s="130">
        <v>780</v>
      </c>
      <c r="I675" s="130">
        <v>780</v>
      </c>
      <c r="J675" s="175">
        <v>780</v>
      </c>
      <c r="K675" s="130">
        <v>780</v>
      </c>
      <c r="L675" s="130">
        <v>780</v>
      </c>
      <c r="M675" s="175">
        <v>780</v>
      </c>
      <c r="N675" s="130">
        <v>780</v>
      </c>
      <c r="O675" s="175">
        <v>780</v>
      </c>
      <c r="P675" s="130">
        <v>780</v>
      </c>
      <c r="Q675" s="175">
        <v>780</v>
      </c>
      <c r="R675" s="130">
        <v>780</v>
      </c>
      <c r="S675" s="130">
        <v>780</v>
      </c>
      <c r="T675" s="175">
        <v>780</v>
      </c>
      <c r="U675" s="130">
        <v>780</v>
      </c>
      <c r="V675" s="130">
        <v>780</v>
      </c>
      <c r="W675" s="130">
        <v>780</v>
      </c>
      <c r="X675" s="175">
        <v>780</v>
      </c>
      <c r="Y675" s="130">
        <v>780</v>
      </c>
      <c r="Z675" s="130">
        <v>780</v>
      </c>
      <c r="AA675" s="175">
        <v>780</v>
      </c>
      <c r="AB675" s="130">
        <v>780</v>
      </c>
      <c r="AC675" s="130">
        <v>780</v>
      </c>
      <c r="AD675" s="130">
        <v>780</v>
      </c>
      <c r="AE675" s="175">
        <v>780</v>
      </c>
      <c r="AF675" s="130">
        <v>780</v>
      </c>
      <c r="AG675" s="130">
        <v>780</v>
      </c>
      <c r="AH675" s="175">
        <v>780</v>
      </c>
      <c r="AI675" s="130">
        <v>780</v>
      </c>
      <c r="AJ675" s="130">
        <v>780</v>
      </c>
      <c r="AK675" s="174" t="s">
        <v>18</v>
      </c>
      <c r="AL675" s="130" t="s">
        <v>18</v>
      </c>
      <c r="AM675" s="130" t="s">
        <v>18</v>
      </c>
      <c r="AN675" s="130" t="s">
        <v>18</v>
      </c>
      <c r="AO675" s="130" t="s">
        <v>18</v>
      </c>
      <c r="AP675" s="130" t="s">
        <v>18</v>
      </c>
      <c r="AQ675" s="130" t="s">
        <v>18</v>
      </c>
      <c r="AR675" s="130" t="s">
        <v>18</v>
      </c>
      <c r="AS675" s="130" t="s">
        <v>18</v>
      </c>
      <c r="AT675" s="130" t="s">
        <v>18</v>
      </c>
      <c r="AU675" s="130" t="s">
        <v>18</v>
      </c>
      <c r="AV675" s="130" t="s">
        <v>18</v>
      </c>
      <c r="AW675" s="130" t="s">
        <v>18</v>
      </c>
      <c r="AX675" s="130" t="s">
        <v>18</v>
      </c>
      <c r="AY675" s="130" t="s">
        <v>18</v>
      </c>
      <c r="AZ675" s="130" t="s">
        <v>18</v>
      </c>
      <c r="BA675" s="130" t="s">
        <v>18</v>
      </c>
      <c r="BB675" s="130" t="s">
        <v>18</v>
      </c>
      <c r="BC675" s="130" t="s">
        <v>18</v>
      </c>
    </row>
    <row r="676" spans="1:55" ht="15.75" customHeight="1" x14ac:dyDescent="0.2">
      <c r="A676" s="127" t="s">
        <v>9</v>
      </c>
      <c r="B676" s="132" t="s">
        <v>10</v>
      </c>
      <c r="C676" s="177" t="s">
        <v>25</v>
      </c>
      <c r="D676" s="134" t="s">
        <v>25</v>
      </c>
      <c r="E676" s="134" t="s">
        <v>25</v>
      </c>
      <c r="F676" s="178" t="s">
        <v>25</v>
      </c>
      <c r="G676" s="134" t="s">
        <v>25</v>
      </c>
      <c r="H676" s="134" t="s">
        <v>25</v>
      </c>
      <c r="I676" s="134" t="s">
        <v>25</v>
      </c>
      <c r="J676" s="178" t="s">
        <v>25</v>
      </c>
      <c r="K676" s="134" t="s">
        <v>25</v>
      </c>
      <c r="L676" s="134" t="s">
        <v>25</v>
      </c>
      <c r="M676" s="178" t="s">
        <v>25</v>
      </c>
      <c r="N676" s="134" t="s">
        <v>25</v>
      </c>
      <c r="O676" s="178" t="s">
        <v>25</v>
      </c>
      <c r="P676" s="134" t="s">
        <v>25</v>
      </c>
      <c r="Q676" s="178" t="s">
        <v>25</v>
      </c>
      <c r="R676" s="134" t="s">
        <v>25</v>
      </c>
      <c r="S676" s="134" t="s">
        <v>25</v>
      </c>
      <c r="T676" s="178" t="s">
        <v>25</v>
      </c>
      <c r="U676" s="134" t="s">
        <v>25</v>
      </c>
      <c r="V676" s="134" t="s">
        <v>25</v>
      </c>
      <c r="W676" s="134" t="s">
        <v>25</v>
      </c>
      <c r="X676" s="178" t="s">
        <v>25</v>
      </c>
      <c r="Y676" s="134" t="s">
        <v>25</v>
      </c>
      <c r="Z676" s="134" t="s">
        <v>25</v>
      </c>
      <c r="AA676" s="178" t="s">
        <v>25</v>
      </c>
      <c r="AB676" s="134" t="s">
        <v>25</v>
      </c>
      <c r="AC676" s="134" t="s">
        <v>25</v>
      </c>
      <c r="AD676" s="134" t="s">
        <v>25</v>
      </c>
      <c r="AE676" s="178" t="s">
        <v>25</v>
      </c>
      <c r="AF676" s="134" t="s">
        <v>25</v>
      </c>
      <c r="AG676" s="134" t="s">
        <v>25</v>
      </c>
      <c r="AH676" s="178" t="s">
        <v>25</v>
      </c>
      <c r="AI676" s="134" t="s">
        <v>25</v>
      </c>
      <c r="AJ676" s="134" t="s">
        <v>25</v>
      </c>
      <c r="AK676" s="177" t="s">
        <v>18</v>
      </c>
      <c r="AL676" s="134" t="s">
        <v>18</v>
      </c>
      <c r="AM676" s="134" t="s">
        <v>18</v>
      </c>
      <c r="AN676" s="134" t="s">
        <v>18</v>
      </c>
      <c r="AO676" s="134" t="s">
        <v>18</v>
      </c>
      <c r="AP676" s="134" t="s">
        <v>18</v>
      </c>
      <c r="AQ676" s="134" t="s">
        <v>18</v>
      </c>
      <c r="AR676" s="134" t="s">
        <v>18</v>
      </c>
      <c r="AS676" s="134" t="s">
        <v>18</v>
      </c>
      <c r="AT676" s="134" t="s">
        <v>18</v>
      </c>
      <c r="AU676" s="134" t="s">
        <v>18</v>
      </c>
      <c r="AV676" s="134" t="s">
        <v>18</v>
      </c>
      <c r="AW676" s="134" t="s">
        <v>18</v>
      </c>
      <c r="AX676" s="134" t="s">
        <v>18</v>
      </c>
      <c r="AY676" s="134" t="s">
        <v>18</v>
      </c>
      <c r="AZ676" s="134" t="s">
        <v>18</v>
      </c>
      <c r="BA676" s="134" t="s">
        <v>18</v>
      </c>
      <c r="BB676" s="134" t="s">
        <v>18</v>
      </c>
      <c r="BC676" s="134" t="s">
        <v>18</v>
      </c>
    </row>
    <row r="677" spans="1:55" ht="15.75" customHeight="1" x14ac:dyDescent="0.2">
      <c r="A677" s="128">
        <v>106235.29411764708</v>
      </c>
      <c r="B677" s="122" t="s">
        <v>12</v>
      </c>
      <c r="C677" s="171"/>
      <c r="D677" s="124"/>
      <c r="E677" s="124"/>
      <c r="F677" s="172"/>
      <c r="G677" s="124"/>
      <c r="H677" s="124"/>
      <c r="I677" s="124"/>
      <c r="J677" s="172"/>
      <c r="K677" s="124"/>
      <c r="L677" s="124"/>
      <c r="M677" s="172"/>
      <c r="N677" s="124"/>
      <c r="O677" s="172"/>
      <c r="P677" s="124"/>
      <c r="Q677" s="172"/>
      <c r="R677" s="124"/>
      <c r="S677" s="124"/>
      <c r="T677" s="172"/>
      <c r="U677" s="124"/>
      <c r="V677" s="124"/>
      <c r="W677" s="124"/>
      <c r="X677" s="172" t="s">
        <v>82</v>
      </c>
      <c r="Y677" s="124"/>
      <c r="Z677" s="124"/>
      <c r="AA677" s="172"/>
      <c r="AB677" s="124"/>
      <c r="AC677" s="124"/>
      <c r="AD677" s="124"/>
      <c r="AE677" s="172"/>
      <c r="AF677" s="124"/>
      <c r="AG677" s="124"/>
      <c r="AH677" s="172"/>
      <c r="AI677" s="124"/>
      <c r="AJ677" s="124"/>
      <c r="AK677" s="171"/>
      <c r="AL677" s="124"/>
      <c r="AM677" s="124"/>
      <c r="AN677" s="124"/>
      <c r="AO677" s="124"/>
      <c r="AP677" s="124"/>
      <c r="AQ677" s="124"/>
      <c r="AR677" s="124"/>
      <c r="AS677" s="124"/>
      <c r="AT677" s="124"/>
      <c r="AU677" s="124"/>
      <c r="AV677" s="124"/>
      <c r="AW677" s="124"/>
      <c r="AX677" s="124"/>
      <c r="AY677" s="124"/>
      <c r="AZ677" s="124"/>
      <c r="BA677" s="124"/>
      <c r="BB677" s="124"/>
      <c r="BC677" s="124"/>
    </row>
    <row r="678" spans="1:55" ht="15.75" customHeight="1" x14ac:dyDescent="0.2">
      <c r="A678" s="128">
        <v>1204</v>
      </c>
      <c r="B678" s="136" t="s">
        <v>13</v>
      </c>
      <c r="C678" s="171">
        <v>0</v>
      </c>
      <c r="D678" s="137">
        <v>0</v>
      </c>
      <c r="E678" s="137">
        <v>279</v>
      </c>
      <c r="F678" s="172">
        <v>0</v>
      </c>
      <c r="G678" s="137">
        <v>0</v>
      </c>
      <c r="H678" s="137">
        <v>0</v>
      </c>
      <c r="I678" s="137">
        <v>63</v>
      </c>
      <c r="J678" s="172">
        <v>0</v>
      </c>
      <c r="K678" s="137">
        <v>0</v>
      </c>
      <c r="L678" s="137">
        <v>158</v>
      </c>
      <c r="M678" s="172">
        <v>0</v>
      </c>
      <c r="N678" s="137">
        <v>17</v>
      </c>
      <c r="O678" s="172">
        <v>0</v>
      </c>
      <c r="P678" s="137">
        <v>18</v>
      </c>
      <c r="Q678" s="172">
        <v>0</v>
      </c>
      <c r="R678" s="137">
        <v>0</v>
      </c>
      <c r="S678" s="137">
        <v>128</v>
      </c>
      <c r="T678" s="172">
        <v>0</v>
      </c>
      <c r="U678" s="137">
        <v>0</v>
      </c>
      <c r="V678" s="137">
        <v>0</v>
      </c>
      <c r="W678" s="137">
        <v>57</v>
      </c>
      <c r="X678" s="172">
        <v>0</v>
      </c>
      <c r="Y678" s="137">
        <v>0</v>
      </c>
      <c r="Z678" s="137">
        <v>182</v>
      </c>
      <c r="AA678" s="172">
        <v>0</v>
      </c>
      <c r="AB678" s="137">
        <v>0</v>
      </c>
      <c r="AC678" s="137">
        <v>0</v>
      </c>
      <c r="AD678" s="137">
        <v>93</v>
      </c>
      <c r="AE678" s="172">
        <v>0</v>
      </c>
      <c r="AF678" s="137">
        <v>0</v>
      </c>
      <c r="AG678" s="137">
        <v>155</v>
      </c>
      <c r="AH678" s="172">
        <v>0</v>
      </c>
      <c r="AI678" s="137">
        <v>0</v>
      </c>
      <c r="AJ678" s="137">
        <v>54</v>
      </c>
      <c r="AK678" s="171" t="s">
        <v>18</v>
      </c>
      <c r="AL678" s="137" t="s">
        <v>18</v>
      </c>
      <c r="AM678" s="137" t="s">
        <v>18</v>
      </c>
      <c r="AN678" s="137" t="s">
        <v>18</v>
      </c>
      <c r="AO678" s="137" t="s">
        <v>18</v>
      </c>
      <c r="AP678" s="137" t="s">
        <v>18</v>
      </c>
      <c r="AQ678" s="137" t="s">
        <v>18</v>
      </c>
      <c r="AR678" s="137" t="s">
        <v>18</v>
      </c>
      <c r="AS678" s="137" t="s">
        <v>18</v>
      </c>
      <c r="AT678" s="137" t="s">
        <v>18</v>
      </c>
      <c r="AU678" s="137" t="s">
        <v>18</v>
      </c>
      <c r="AV678" s="137" t="s">
        <v>18</v>
      </c>
      <c r="AW678" s="137" t="s">
        <v>18</v>
      </c>
      <c r="AX678" s="137" t="s">
        <v>18</v>
      </c>
      <c r="AY678" s="137" t="s">
        <v>18</v>
      </c>
      <c r="AZ678" s="137" t="s">
        <v>18</v>
      </c>
      <c r="BA678" s="137" t="s">
        <v>18</v>
      </c>
      <c r="BB678" s="137" t="s">
        <v>18</v>
      </c>
      <c r="BC678" s="137" t="s">
        <v>18</v>
      </c>
    </row>
    <row r="679" spans="1:55" ht="15.75" customHeight="1" x14ac:dyDescent="0.2">
      <c r="A679" s="128">
        <v>17</v>
      </c>
      <c r="B679" s="136" t="s">
        <v>14</v>
      </c>
      <c r="C679" s="171">
        <v>0</v>
      </c>
      <c r="D679" s="137">
        <v>0</v>
      </c>
      <c r="E679" s="137">
        <v>3</v>
      </c>
      <c r="F679" s="172">
        <v>0</v>
      </c>
      <c r="G679" s="137">
        <v>0</v>
      </c>
      <c r="H679" s="137">
        <v>0</v>
      </c>
      <c r="I679" s="137">
        <v>2</v>
      </c>
      <c r="J679" s="172">
        <v>0</v>
      </c>
      <c r="K679" s="137">
        <v>0</v>
      </c>
      <c r="L679" s="137">
        <v>2</v>
      </c>
      <c r="M679" s="172">
        <v>0</v>
      </c>
      <c r="N679" s="137">
        <v>1</v>
      </c>
      <c r="O679" s="172">
        <v>0</v>
      </c>
      <c r="P679" s="137">
        <v>1</v>
      </c>
      <c r="Q679" s="172">
        <v>0</v>
      </c>
      <c r="R679" s="137">
        <v>0</v>
      </c>
      <c r="S679" s="137">
        <v>1</v>
      </c>
      <c r="T679" s="172">
        <v>0</v>
      </c>
      <c r="U679" s="137">
        <v>0</v>
      </c>
      <c r="V679" s="137">
        <v>0</v>
      </c>
      <c r="W679" s="137">
        <v>3</v>
      </c>
      <c r="X679" s="172">
        <v>0</v>
      </c>
      <c r="Y679" s="137">
        <v>0</v>
      </c>
      <c r="Z679" s="137">
        <v>2</v>
      </c>
      <c r="AA679" s="172">
        <v>0</v>
      </c>
      <c r="AB679" s="137">
        <v>0</v>
      </c>
      <c r="AC679" s="137">
        <v>0</v>
      </c>
      <c r="AD679" s="137">
        <v>0</v>
      </c>
      <c r="AE679" s="172">
        <v>0</v>
      </c>
      <c r="AF679" s="137">
        <v>0</v>
      </c>
      <c r="AG679" s="137">
        <v>2</v>
      </c>
      <c r="AH679" s="172">
        <v>0</v>
      </c>
      <c r="AI679" s="137">
        <v>0</v>
      </c>
      <c r="AJ679" s="137">
        <v>0</v>
      </c>
      <c r="AK679" s="171" t="s">
        <v>18</v>
      </c>
      <c r="AL679" s="137" t="s">
        <v>18</v>
      </c>
      <c r="AM679" s="137" t="s">
        <v>18</v>
      </c>
      <c r="AN679" s="137" t="s">
        <v>18</v>
      </c>
      <c r="AO679" s="137" t="s">
        <v>18</v>
      </c>
      <c r="AP679" s="137" t="s">
        <v>18</v>
      </c>
      <c r="AQ679" s="137" t="s">
        <v>18</v>
      </c>
      <c r="AR679" s="137" t="s">
        <v>18</v>
      </c>
      <c r="AS679" s="137" t="s">
        <v>18</v>
      </c>
      <c r="AT679" s="137" t="s">
        <v>18</v>
      </c>
      <c r="AU679" s="137" t="s">
        <v>18</v>
      </c>
      <c r="AV679" s="137" t="s">
        <v>18</v>
      </c>
      <c r="AW679" s="137" t="s">
        <v>18</v>
      </c>
      <c r="AX679" s="137" t="s">
        <v>18</v>
      </c>
      <c r="AY679" s="137" t="s">
        <v>18</v>
      </c>
      <c r="AZ679" s="137" t="s">
        <v>18</v>
      </c>
      <c r="BA679" s="137" t="s">
        <v>18</v>
      </c>
      <c r="BB679" s="137" t="s">
        <v>18</v>
      </c>
      <c r="BC679" s="137" t="s">
        <v>18</v>
      </c>
    </row>
    <row r="680" spans="1:55" ht="15.75" customHeight="1" x14ac:dyDescent="0.2">
      <c r="A680" s="128">
        <v>14</v>
      </c>
      <c r="B680" s="136" t="s">
        <v>15</v>
      </c>
      <c r="C680" s="171">
        <v>0</v>
      </c>
      <c r="D680" s="137">
        <v>0</v>
      </c>
      <c r="E680" s="137">
        <v>3</v>
      </c>
      <c r="F680" s="172">
        <v>0</v>
      </c>
      <c r="G680" s="137">
        <v>0</v>
      </c>
      <c r="H680" s="137">
        <v>0</v>
      </c>
      <c r="I680" s="137">
        <v>1</v>
      </c>
      <c r="J680" s="172">
        <v>0</v>
      </c>
      <c r="K680" s="137">
        <v>0</v>
      </c>
      <c r="L680" s="137">
        <v>1</v>
      </c>
      <c r="M680" s="172">
        <v>0</v>
      </c>
      <c r="N680" s="137">
        <v>1</v>
      </c>
      <c r="O680" s="172">
        <v>0</v>
      </c>
      <c r="P680" s="137">
        <v>0</v>
      </c>
      <c r="Q680" s="172">
        <v>0</v>
      </c>
      <c r="R680" s="137">
        <v>0</v>
      </c>
      <c r="S680" s="137">
        <v>1</v>
      </c>
      <c r="T680" s="172">
        <v>0</v>
      </c>
      <c r="U680" s="137">
        <v>0</v>
      </c>
      <c r="V680" s="137">
        <v>0</v>
      </c>
      <c r="W680" s="137">
        <v>3</v>
      </c>
      <c r="X680" s="172">
        <v>0</v>
      </c>
      <c r="Y680" s="137">
        <v>0</v>
      </c>
      <c r="Z680" s="137">
        <v>2</v>
      </c>
      <c r="AA680" s="172">
        <v>0</v>
      </c>
      <c r="AB680" s="137">
        <v>0</v>
      </c>
      <c r="AC680" s="137">
        <v>0</v>
      </c>
      <c r="AD680" s="137">
        <v>0</v>
      </c>
      <c r="AE680" s="172">
        <v>0</v>
      </c>
      <c r="AF680" s="137">
        <v>0</v>
      </c>
      <c r="AG680" s="137">
        <v>2</v>
      </c>
      <c r="AH680" s="172">
        <v>0</v>
      </c>
      <c r="AI680" s="137">
        <v>0</v>
      </c>
      <c r="AJ680" s="137">
        <v>0</v>
      </c>
      <c r="AK680" s="171" t="s">
        <v>18</v>
      </c>
      <c r="AL680" s="137" t="s">
        <v>18</v>
      </c>
      <c r="AM680" s="137" t="s">
        <v>18</v>
      </c>
      <c r="AN680" s="137" t="s">
        <v>18</v>
      </c>
      <c r="AO680" s="137" t="s">
        <v>18</v>
      </c>
      <c r="AP680" s="137" t="s">
        <v>18</v>
      </c>
      <c r="AQ680" s="137" t="s">
        <v>18</v>
      </c>
      <c r="AR680" s="137" t="s">
        <v>18</v>
      </c>
      <c r="AS680" s="137" t="s">
        <v>18</v>
      </c>
      <c r="AT680" s="137" t="s">
        <v>18</v>
      </c>
      <c r="AU680" s="137" t="s">
        <v>18</v>
      </c>
      <c r="AV680" s="137" t="s">
        <v>18</v>
      </c>
      <c r="AW680" s="137" t="s">
        <v>18</v>
      </c>
      <c r="AX680" s="137" t="s">
        <v>18</v>
      </c>
      <c r="AY680" s="137" t="s">
        <v>18</v>
      </c>
      <c r="AZ680" s="137" t="s">
        <v>18</v>
      </c>
      <c r="BA680" s="137" t="s">
        <v>18</v>
      </c>
      <c r="BB680" s="137" t="s">
        <v>18</v>
      </c>
      <c r="BC680" s="137" t="s">
        <v>18</v>
      </c>
    </row>
    <row r="681" spans="1:55" ht="15.75" customHeight="1" x14ac:dyDescent="0.2">
      <c r="A681" s="128">
        <v>10920</v>
      </c>
      <c r="B681" s="136" t="s">
        <v>16</v>
      </c>
      <c r="C681" s="171">
        <v>0</v>
      </c>
      <c r="D681" s="137">
        <v>0</v>
      </c>
      <c r="E681" s="137">
        <v>2340</v>
      </c>
      <c r="F681" s="172">
        <v>0</v>
      </c>
      <c r="G681" s="137">
        <v>0</v>
      </c>
      <c r="H681" s="137">
        <v>0</v>
      </c>
      <c r="I681" s="137">
        <v>780</v>
      </c>
      <c r="J681" s="172">
        <v>0</v>
      </c>
      <c r="K681" s="137">
        <v>0</v>
      </c>
      <c r="L681" s="137">
        <v>780</v>
      </c>
      <c r="M681" s="172">
        <v>0</v>
      </c>
      <c r="N681" s="137">
        <v>780</v>
      </c>
      <c r="O681" s="172">
        <v>0</v>
      </c>
      <c r="P681" s="137">
        <v>0</v>
      </c>
      <c r="Q681" s="172">
        <v>0</v>
      </c>
      <c r="R681" s="137">
        <v>0</v>
      </c>
      <c r="S681" s="137">
        <v>780</v>
      </c>
      <c r="T681" s="172">
        <v>0</v>
      </c>
      <c r="U681" s="137">
        <v>0</v>
      </c>
      <c r="V681" s="137">
        <v>0</v>
      </c>
      <c r="W681" s="137">
        <v>2340</v>
      </c>
      <c r="X681" s="172">
        <v>0</v>
      </c>
      <c r="Y681" s="137">
        <v>0</v>
      </c>
      <c r="Z681" s="137">
        <v>1560</v>
      </c>
      <c r="AA681" s="172">
        <v>0</v>
      </c>
      <c r="AB681" s="137">
        <v>0</v>
      </c>
      <c r="AC681" s="137">
        <v>0</v>
      </c>
      <c r="AD681" s="137">
        <v>0</v>
      </c>
      <c r="AE681" s="172">
        <v>0</v>
      </c>
      <c r="AF681" s="137">
        <v>0</v>
      </c>
      <c r="AG681" s="137">
        <v>1560</v>
      </c>
      <c r="AH681" s="172">
        <v>0</v>
      </c>
      <c r="AI681" s="137">
        <v>0</v>
      </c>
      <c r="AJ681" s="137">
        <v>0</v>
      </c>
      <c r="AK681" s="171" t="s">
        <v>18</v>
      </c>
      <c r="AL681" s="137" t="s">
        <v>18</v>
      </c>
      <c r="AM681" s="137" t="s">
        <v>18</v>
      </c>
      <c r="AN681" s="137" t="s">
        <v>18</v>
      </c>
      <c r="AO681" s="137" t="s">
        <v>18</v>
      </c>
      <c r="AP681" s="137" t="s">
        <v>18</v>
      </c>
      <c r="AQ681" s="137" t="s">
        <v>18</v>
      </c>
      <c r="AR681" s="137" t="s">
        <v>18</v>
      </c>
      <c r="AS681" s="137" t="s">
        <v>18</v>
      </c>
      <c r="AT681" s="137" t="s">
        <v>18</v>
      </c>
      <c r="AU681" s="137" t="s">
        <v>18</v>
      </c>
      <c r="AV681" s="137" t="s">
        <v>18</v>
      </c>
      <c r="AW681" s="137" t="s">
        <v>18</v>
      </c>
      <c r="AX681" s="137" t="s">
        <v>18</v>
      </c>
      <c r="AY681" s="137" t="s">
        <v>18</v>
      </c>
      <c r="AZ681" s="137" t="s">
        <v>18</v>
      </c>
      <c r="BA681" s="137" t="s">
        <v>18</v>
      </c>
      <c r="BB681" s="137" t="s">
        <v>18</v>
      </c>
      <c r="BC681" s="137" t="s">
        <v>18</v>
      </c>
    </row>
    <row r="682" spans="1:55" ht="15.75" customHeight="1" x14ac:dyDescent="0.2">
      <c r="A682" s="138">
        <v>9.0697674418604657E-2</v>
      </c>
      <c r="B682" s="136" t="s">
        <v>17</v>
      </c>
      <c r="C682" s="183" t="s">
        <v>18</v>
      </c>
      <c r="D682" s="147" t="s">
        <v>18</v>
      </c>
      <c r="E682" s="147">
        <v>8.387096774193549E-2</v>
      </c>
      <c r="F682" s="184" t="s">
        <v>18</v>
      </c>
      <c r="G682" s="147" t="s">
        <v>18</v>
      </c>
      <c r="H682" s="147" t="s">
        <v>18</v>
      </c>
      <c r="I682" s="147">
        <v>0.12380952380952381</v>
      </c>
      <c r="J682" s="184" t="s">
        <v>18</v>
      </c>
      <c r="K682" s="147" t="s">
        <v>18</v>
      </c>
      <c r="L682" s="147">
        <v>4.9367088607594936E-2</v>
      </c>
      <c r="M682" s="184" t="s">
        <v>18</v>
      </c>
      <c r="N682" s="147">
        <v>0.45882352941176469</v>
      </c>
      <c r="O682" s="184" t="s">
        <v>18</v>
      </c>
      <c r="P682" s="147" t="s">
        <v>18</v>
      </c>
      <c r="Q682" s="184" t="s">
        <v>18</v>
      </c>
      <c r="R682" s="147" t="s">
        <v>18</v>
      </c>
      <c r="S682" s="147">
        <v>6.0937499999999999E-2</v>
      </c>
      <c r="T682" s="184" t="s">
        <v>18</v>
      </c>
      <c r="U682" s="147" t="s">
        <v>18</v>
      </c>
      <c r="V682" s="147" t="s">
        <v>18</v>
      </c>
      <c r="W682" s="147">
        <v>0.41052631578947368</v>
      </c>
      <c r="X682" s="184" t="s">
        <v>18</v>
      </c>
      <c r="Y682" s="147" t="s">
        <v>18</v>
      </c>
      <c r="Z682" s="147">
        <v>8.5714285714285715E-2</v>
      </c>
      <c r="AA682" s="184" t="s">
        <v>18</v>
      </c>
      <c r="AB682" s="147" t="s">
        <v>18</v>
      </c>
      <c r="AC682" s="147" t="s">
        <v>18</v>
      </c>
      <c r="AD682" s="147" t="s">
        <v>18</v>
      </c>
      <c r="AE682" s="184" t="s">
        <v>18</v>
      </c>
      <c r="AF682" s="147" t="s">
        <v>18</v>
      </c>
      <c r="AG682" s="147">
        <v>0.10064516129032258</v>
      </c>
      <c r="AH682" s="184" t="s">
        <v>18</v>
      </c>
      <c r="AI682" s="147" t="s">
        <v>18</v>
      </c>
      <c r="AJ682" s="147" t="s">
        <v>18</v>
      </c>
      <c r="AK682" s="183" t="s">
        <v>18</v>
      </c>
      <c r="AL682" s="147" t="s">
        <v>18</v>
      </c>
      <c r="AM682" s="147" t="s">
        <v>18</v>
      </c>
      <c r="AN682" s="147" t="s">
        <v>18</v>
      </c>
      <c r="AO682" s="147" t="s">
        <v>18</v>
      </c>
      <c r="AP682" s="147" t="s">
        <v>18</v>
      </c>
      <c r="AQ682" s="147" t="s">
        <v>18</v>
      </c>
      <c r="AR682" s="147" t="s">
        <v>18</v>
      </c>
      <c r="AS682" s="147" t="s">
        <v>18</v>
      </c>
      <c r="AT682" s="147" t="s">
        <v>18</v>
      </c>
      <c r="AU682" s="147" t="s">
        <v>18</v>
      </c>
      <c r="AV682" s="147" t="s">
        <v>18</v>
      </c>
      <c r="AW682" s="147" t="s">
        <v>18</v>
      </c>
      <c r="AX682" s="147" t="s">
        <v>18</v>
      </c>
      <c r="AY682" s="147" t="s">
        <v>18</v>
      </c>
      <c r="AZ682" s="147" t="s">
        <v>18</v>
      </c>
      <c r="BA682" s="147" t="s">
        <v>18</v>
      </c>
      <c r="BB682" s="147" t="s">
        <v>18</v>
      </c>
      <c r="BC682" s="147" t="s">
        <v>18</v>
      </c>
    </row>
    <row r="683" spans="1:55" ht="15.75" customHeight="1" x14ac:dyDescent="0.2">
      <c r="A683" s="149" t="s">
        <v>1</v>
      </c>
      <c r="B683" s="150" t="s">
        <v>2</v>
      </c>
      <c r="C683" s="174">
        <v>16571</v>
      </c>
      <c r="D683" s="130">
        <v>16571</v>
      </c>
      <c r="E683" s="130">
        <v>16695</v>
      </c>
      <c r="F683" s="175">
        <v>16695</v>
      </c>
      <c r="G683" s="130">
        <v>16695</v>
      </c>
      <c r="H683" s="130">
        <v>16695</v>
      </c>
      <c r="I683" s="130">
        <v>16770</v>
      </c>
      <c r="J683" s="175">
        <v>16770</v>
      </c>
      <c r="K683" s="130">
        <v>16770</v>
      </c>
      <c r="L683" s="130">
        <v>16858</v>
      </c>
      <c r="M683" s="175">
        <v>16858</v>
      </c>
      <c r="N683" s="130">
        <v>16907</v>
      </c>
      <c r="O683" s="175">
        <v>16907</v>
      </c>
      <c r="P683" s="130">
        <v>16979</v>
      </c>
      <c r="Q683" s="175">
        <v>16979</v>
      </c>
      <c r="R683" s="130">
        <v>16979</v>
      </c>
      <c r="S683" s="130">
        <v>17049</v>
      </c>
      <c r="T683" s="175">
        <v>17049</v>
      </c>
      <c r="U683" s="130">
        <v>17049</v>
      </c>
      <c r="V683" s="130">
        <v>17049</v>
      </c>
      <c r="W683" s="130">
        <v>17090</v>
      </c>
      <c r="X683" s="175">
        <v>17090</v>
      </c>
      <c r="Y683" s="130">
        <v>17090</v>
      </c>
      <c r="Z683" s="130">
        <v>17146</v>
      </c>
      <c r="AA683" s="175">
        <v>17146</v>
      </c>
      <c r="AB683" s="130">
        <v>17146</v>
      </c>
      <c r="AC683" s="130">
        <v>17146</v>
      </c>
      <c r="AD683" s="130">
        <v>17168</v>
      </c>
      <c r="AE683" s="175">
        <v>17168</v>
      </c>
      <c r="AF683" s="130">
        <v>17168</v>
      </c>
      <c r="AG683" s="130">
        <v>17204</v>
      </c>
      <c r="AH683" s="175">
        <v>17204</v>
      </c>
      <c r="AI683" s="130">
        <v>17204</v>
      </c>
      <c r="AJ683" s="130">
        <v>17222</v>
      </c>
      <c r="AK683" s="174" t="s">
        <v>18</v>
      </c>
      <c r="AL683" s="130" t="s">
        <v>18</v>
      </c>
      <c r="AM683" s="130" t="s">
        <v>18</v>
      </c>
      <c r="AN683" s="130" t="s">
        <v>18</v>
      </c>
      <c r="AO683" s="130" t="s">
        <v>18</v>
      </c>
      <c r="AP683" s="130" t="s">
        <v>18</v>
      </c>
      <c r="AQ683" s="130" t="s">
        <v>18</v>
      </c>
      <c r="AR683" s="130" t="s">
        <v>18</v>
      </c>
      <c r="AS683" s="130" t="s">
        <v>18</v>
      </c>
      <c r="AT683" s="130" t="s">
        <v>18</v>
      </c>
      <c r="AU683" s="130" t="s">
        <v>18</v>
      </c>
      <c r="AV683" s="130" t="s">
        <v>18</v>
      </c>
      <c r="AW683" s="130" t="s">
        <v>18</v>
      </c>
      <c r="AX683" s="130" t="s">
        <v>18</v>
      </c>
      <c r="AY683" s="130" t="s">
        <v>18</v>
      </c>
      <c r="AZ683" s="130" t="s">
        <v>18</v>
      </c>
      <c r="BA683" s="130" t="s">
        <v>18</v>
      </c>
      <c r="BB683" s="130" t="s">
        <v>18</v>
      </c>
      <c r="BC683" s="130" t="s">
        <v>18</v>
      </c>
    </row>
    <row r="684" spans="1:55" ht="15.75" customHeight="1" x14ac:dyDescent="0.2">
      <c r="A684" s="121" t="s">
        <v>19</v>
      </c>
      <c r="B684" s="122" t="s">
        <v>4</v>
      </c>
      <c r="C684" s="171">
        <v>1493</v>
      </c>
      <c r="D684" s="124">
        <v>1493</v>
      </c>
      <c r="E684" s="124">
        <v>1498</v>
      </c>
      <c r="F684" s="172">
        <v>1498</v>
      </c>
      <c r="G684" s="124">
        <v>1498</v>
      </c>
      <c r="H684" s="124">
        <v>1498</v>
      </c>
      <c r="I684" s="124">
        <v>1501</v>
      </c>
      <c r="J684" s="172">
        <v>1501</v>
      </c>
      <c r="K684" s="124">
        <v>1501</v>
      </c>
      <c r="L684" s="124">
        <v>1503</v>
      </c>
      <c r="M684" s="172">
        <v>1503</v>
      </c>
      <c r="N684" s="124">
        <v>1506</v>
      </c>
      <c r="O684" s="172">
        <v>1506</v>
      </c>
      <c r="P684" s="124">
        <v>1506</v>
      </c>
      <c r="Q684" s="172">
        <v>1506</v>
      </c>
      <c r="R684" s="124">
        <v>1506</v>
      </c>
      <c r="S684" s="124">
        <v>1511</v>
      </c>
      <c r="T684" s="172">
        <v>1511</v>
      </c>
      <c r="U684" s="124">
        <v>1511</v>
      </c>
      <c r="V684" s="124">
        <v>1511</v>
      </c>
      <c r="W684" s="124">
        <v>1514</v>
      </c>
      <c r="X684" s="172">
        <v>1514</v>
      </c>
      <c r="Y684" s="124">
        <v>1514</v>
      </c>
      <c r="Z684" s="124">
        <v>1514</v>
      </c>
      <c r="AA684" s="172">
        <v>1514</v>
      </c>
      <c r="AB684" s="124">
        <v>1514</v>
      </c>
      <c r="AC684" s="124">
        <v>1514</v>
      </c>
      <c r="AD684" s="124">
        <v>1515</v>
      </c>
      <c r="AE684" s="172">
        <v>1515</v>
      </c>
      <c r="AF684" s="124">
        <v>1515</v>
      </c>
      <c r="AG684" s="124">
        <v>1521</v>
      </c>
      <c r="AH684" s="172">
        <v>1521</v>
      </c>
      <c r="AI684" s="124">
        <v>1521</v>
      </c>
      <c r="AJ684" s="124">
        <v>1524</v>
      </c>
      <c r="AK684" s="171" t="s">
        <v>18</v>
      </c>
      <c r="AL684" s="124" t="s">
        <v>18</v>
      </c>
      <c r="AM684" s="124" t="s">
        <v>18</v>
      </c>
      <c r="AN684" s="124" t="s">
        <v>18</v>
      </c>
      <c r="AO684" s="124" t="s">
        <v>18</v>
      </c>
      <c r="AP684" s="124" t="s">
        <v>18</v>
      </c>
      <c r="AQ684" s="124" t="s">
        <v>18</v>
      </c>
      <c r="AR684" s="124" t="s">
        <v>18</v>
      </c>
      <c r="AS684" s="124" t="s">
        <v>18</v>
      </c>
      <c r="AT684" s="124" t="s">
        <v>18</v>
      </c>
      <c r="AU684" s="124" t="s">
        <v>18</v>
      </c>
      <c r="AV684" s="124" t="s">
        <v>18</v>
      </c>
      <c r="AW684" s="124" t="s">
        <v>18</v>
      </c>
      <c r="AX684" s="124" t="s">
        <v>18</v>
      </c>
      <c r="AY684" s="124" t="s">
        <v>18</v>
      </c>
      <c r="AZ684" s="124" t="s">
        <v>18</v>
      </c>
      <c r="BA684" s="124" t="s">
        <v>18</v>
      </c>
      <c r="BB684" s="124" t="s">
        <v>18</v>
      </c>
      <c r="BC684" s="124" t="s">
        <v>18</v>
      </c>
    </row>
    <row r="685" spans="1:55" ht="15.75" customHeight="1" x14ac:dyDescent="0.25">
      <c r="A685" s="143">
        <v>4</v>
      </c>
      <c r="B685" s="122" t="s">
        <v>5</v>
      </c>
      <c r="C685" s="171">
        <v>12</v>
      </c>
      <c r="D685" s="124">
        <v>12</v>
      </c>
      <c r="E685" s="124">
        <v>10</v>
      </c>
      <c r="F685" s="172">
        <v>12</v>
      </c>
      <c r="G685" s="124">
        <v>12</v>
      </c>
      <c r="H685" s="124">
        <v>12</v>
      </c>
      <c r="I685" s="124">
        <v>9</v>
      </c>
      <c r="J685" s="172">
        <v>12</v>
      </c>
      <c r="K685" s="124">
        <v>12</v>
      </c>
      <c r="L685" s="124">
        <v>10</v>
      </c>
      <c r="M685" s="172">
        <v>13</v>
      </c>
      <c r="N685" s="124">
        <v>13</v>
      </c>
      <c r="O685" s="172">
        <v>13</v>
      </c>
      <c r="P685" s="124">
        <v>13</v>
      </c>
      <c r="Q685" s="172">
        <v>13</v>
      </c>
      <c r="R685" s="124">
        <v>13</v>
      </c>
      <c r="S685" s="124">
        <v>11</v>
      </c>
      <c r="T685" s="172">
        <v>13</v>
      </c>
      <c r="U685" s="124">
        <v>13</v>
      </c>
      <c r="V685" s="124">
        <v>13</v>
      </c>
      <c r="W685" s="124">
        <v>11</v>
      </c>
      <c r="X685" s="172">
        <v>11</v>
      </c>
      <c r="Y685" s="124">
        <v>11</v>
      </c>
      <c r="Z685" s="124">
        <v>11</v>
      </c>
      <c r="AA685" s="172">
        <v>11</v>
      </c>
      <c r="AB685" s="124">
        <v>11</v>
      </c>
      <c r="AC685" s="124">
        <v>11</v>
      </c>
      <c r="AD685" s="124">
        <v>11</v>
      </c>
      <c r="AE685" s="172">
        <v>11</v>
      </c>
      <c r="AF685" s="124">
        <v>11</v>
      </c>
      <c r="AG685" s="124">
        <v>11</v>
      </c>
      <c r="AH685" s="172">
        <v>14</v>
      </c>
      <c r="AI685" s="124">
        <v>14</v>
      </c>
      <c r="AJ685" s="124">
        <v>11</v>
      </c>
      <c r="AK685" s="171" t="s">
        <v>18</v>
      </c>
      <c r="AL685" s="124" t="s">
        <v>18</v>
      </c>
      <c r="AM685" s="124" t="s">
        <v>18</v>
      </c>
      <c r="AN685" s="124" t="s">
        <v>18</v>
      </c>
      <c r="AO685" s="124" t="s">
        <v>18</v>
      </c>
      <c r="AP685" s="124" t="s">
        <v>18</v>
      </c>
      <c r="AQ685" s="124" t="s">
        <v>18</v>
      </c>
      <c r="AR685" s="124" t="s">
        <v>18</v>
      </c>
      <c r="AS685" s="124" t="s">
        <v>18</v>
      </c>
      <c r="AT685" s="124" t="s">
        <v>18</v>
      </c>
      <c r="AU685" s="124" t="s">
        <v>18</v>
      </c>
      <c r="AV685" s="124" t="s">
        <v>18</v>
      </c>
      <c r="AW685" s="124" t="s">
        <v>18</v>
      </c>
      <c r="AX685" s="124" t="s">
        <v>18</v>
      </c>
      <c r="AY685" s="124" t="s">
        <v>18</v>
      </c>
      <c r="AZ685" s="124" t="s">
        <v>18</v>
      </c>
      <c r="BA685" s="124" t="s">
        <v>18</v>
      </c>
      <c r="BB685" s="124" t="s">
        <v>18</v>
      </c>
      <c r="BC685" s="124" t="s">
        <v>18</v>
      </c>
    </row>
    <row r="686" spans="1:55" ht="15.75" customHeight="1" x14ac:dyDescent="0.2">
      <c r="A686" s="127"/>
      <c r="B686" s="122" t="s">
        <v>6</v>
      </c>
      <c r="C686" s="171"/>
      <c r="D686" s="124"/>
      <c r="E686" s="124">
        <v>2</v>
      </c>
      <c r="F686" s="172"/>
      <c r="G686" s="124"/>
      <c r="H686" s="124"/>
      <c r="I686" s="124">
        <v>3</v>
      </c>
      <c r="J686" s="172"/>
      <c r="K686" s="124"/>
      <c r="L686" s="124">
        <v>3</v>
      </c>
      <c r="M686" s="172"/>
      <c r="N686" s="124"/>
      <c r="O686" s="172"/>
      <c r="P686" s="124"/>
      <c r="Q686" s="172"/>
      <c r="R686" s="124"/>
      <c r="S686" s="124">
        <v>2</v>
      </c>
      <c r="T686" s="172"/>
      <c r="U686" s="124"/>
      <c r="V686" s="124"/>
      <c r="W686" s="124"/>
      <c r="X686" s="172"/>
      <c r="Y686" s="124"/>
      <c r="Z686" s="124"/>
      <c r="AA686" s="172"/>
      <c r="AB686" s="124"/>
      <c r="AC686" s="124"/>
      <c r="AD686" s="124"/>
      <c r="AE686" s="172"/>
      <c r="AF686" s="124"/>
      <c r="AG686" s="124">
        <v>3</v>
      </c>
      <c r="AH686" s="172"/>
      <c r="AI686" s="124"/>
      <c r="AJ686" s="124">
        <v>3</v>
      </c>
      <c r="AK686" s="171"/>
      <c r="AL686" s="124"/>
      <c r="AM686" s="124"/>
      <c r="AN686" s="124"/>
      <c r="AO686" s="124"/>
      <c r="AP686" s="124"/>
      <c r="AQ686" s="124"/>
      <c r="AR686" s="124"/>
      <c r="AS686" s="124"/>
      <c r="AT686" s="124"/>
      <c r="AU686" s="124"/>
      <c r="AV686" s="124"/>
      <c r="AW686" s="124"/>
      <c r="AX686" s="124"/>
      <c r="AY686" s="124"/>
      <c r="AZ686" s="124"/>
      <c r="BA686" s="124"/>
      <c r="BB686" s="124"/>
      <c r="BC686" s="124"/>
    </row>
    <row r="687" spans="1:55" ht="15.75" customHeight="1" x14ac:dyDescent="0.2">
      <c r="A687" s="128"/>
      <c r="B687" s="122" t="s">
        <v>8</v>
      </c>
      <c r="C687" s="174">
        <v>650</v>
      </c>
      <c r="D687" s="130">
        <v>650</v>
      </c>
      <c r="E687" s="130">
        <v>650</v>
      </c>
      <c r="F687" s="175">
        <v>650</v>
      </c>
      <c r="G687" s="130">
        <v>650</v>
      </c>
      <c r="H687" s="130">
        <v>650</v>
      </c>
      <c r="I687" s="130">
        <v>650</v>
      </c>
      <c r="J687" s="175">
        <v>650</v>
      </c>
      <c r="K687" s="130">
        <v>650</v>
      </c>
      <c r="L687" s="130">
        <v>650</v>
      </c>
      <c r="M687" s="175">
        <v>650</v>
      </c>
      <c r="N687" s="130">
        <v>650</v>
      </c>
      <c r="O687" s="175">
        <v>650</v>
      </c>
      <c r="P687" s="130">
        <v>650</v>
      </c>
      <c r="Q687" s="175">
        <v>650</v>
      </c>
      <c r="R687" s="130">
        <v>650</v>
      </c>
      <c r="S687" s="130">
        <v>650</v>
      </c>
      <c r="T687" s="175">
        <v>650</v>
      </c>
      <c r="U687" s="130">
        <v>650</v>
      </c>
      <c r="V687" s="130">
        <v>650</v>
      </c>
      <c r="W687" s="130">
        <v>650</v>
      </c>
      <c r="X687" s="175">
        <v>650</v>
      </c>
      <c r="Y687" s="130">
        <v>650</v>
      </c>
      <c r="Z687" s="130">
        <v>650</v>
      </c>
      <c r="AA687" s="175">
        <v>650</v>
      </c>
      <c r="AB687" s="130">
        <v>650</v>
      </c>
      <c r="AC687" s="130">
        <v>650</v>
      </c>
      <c r="AD687" s="130">
        <v>650</v>
      </c>
      <c r="AE687" s="175">
        <v>650</v>
      </c>
      <c r="AF687" s="130">
        <v>650</v>
      </c>
      <c r="AG687" s="130">
        <v>650</v>
      </c>
      <c r="AH687" s="175">
        <v>650</v>
      </c>
      <c r="AI687" s="130">
        <v>650</v>
      </c>
      <c r="AJ687" s="130">
        <v>650</v>
      </c>
      <c r="AK687" s="174" t="s">
        <v>18</v>
      </c>
      <c r="AL687" s="130" t="s">
        <v>18</v>
      </c>
      <c r="AM687" s="130" t="s">
        <v>18</v>
      </c>
      <c r="AN687" s="130" t="s">
        <v>18</v>
      </c>
      <c r="AO687" s="130" t="s">
        <v>18</v>
      </c>
      <c r="AP687" s="130" t="s">
        <v>18</v>
      </c>
      <c r="AQ687" s="130" t="s">
        <v>18</v>
      </c>
      <c r="AR687" s="130" t="s">
        <v>18</v>
      </c>
      <c r="AS687" s="130" t="s">
        <v>18</v>
      </c>
      <c r="AT687" s="130" t="s">
        <v>18</v>
      </c>
      <c r="AU687" s="130" t="s">
        <v>18</v>
      </c>
      <c r="AV687" s="130" t="s">
        <v>18</v>
      </c>
      <c r="AW687" s="130" t="s">
        <v>18</v>
      </c>
      <c r="AX687" s="130" t="s">
        <v>18</v>
      </c>
      <c r="AY687" s="130" t="s">
        <v>18</v>
      </c>
      <c r="AZ687" s="130" t="s">
        <v>18</v>
      </c>
      <c r="BA687" s="130" t="s">
        <v>18</v>
      </c>
      <c r="BB687" s="130" t="s">
        <v>18</v>
      </c>
      <c r="BC687" s="130" t="s">
        <v>18</v>
      </c>
    </row>
    <row r="688" spans="1:55" ht="15.75" customHeight="1" x14ac:dyDescent="0.2">
      <c r="A688" s="127" t="s">
        <v>9</v>
      </c>
      <c r="B688" s="132" t="s">
        <v>10</v>
      </c>
      <c r="C688" s="177" t="s">
        <v>26</v>
      </c>
      <c r="D688" s="134" t="s">
        <v>26</v>
      </c>
      <c r="E688" s="134" t="s">
        <v>26</v>
      </c>
      <c r="F688" s="178" t="s">
        <v>26</v>
      </c>
      <c r="G688" s="134" t="s">
        <v>26</v>
      </c>
      <c r="H688" s="134" t="s">
        <v>26</v>
      </c>
      <c r="I688" s="134" t="s">
        <v>26</v>
      </c>
      <c r="J688" s="178" t="s">
        <v>26</v>
      </c>
      <c r="K688" s="134" t="s">
        <v>26</v>
      </c>
      <c r="L688" s="134" t="s">
        <v>26</v>
      </c>
      <c r="M688" s="178" t="s">
        <v>26</v>
      </c>
      <c r="N688" s="134" t="s">
        <v>26</v>
      </c>
      <c r="O688" s="178" t="s">
        <v>26</v>
      </c>
      <c r="P688" s="134" t="s">
        <v>26</v>
      </c>
      <c r="Q688" s="178" t="s">
        <v>26</v>
      </c>
      <c r="R688" s="134" t="s">
        <v>26</v>
      </c>
      <c r="S688" s="134" t="s">
        <v>26</v>
      </c>
      <c r="T688" s="178" t="s">
        <v>26</v>
      </c>
      <c r="U688" s="134" t="s">
        <v>26</v>
      </c>
      <c r="V688" s="134" t="s">
        <v>26</v>
      </c>
      <c r="W688" s="134" t="s">
        <v>26</v>
      </c>
      <c r="X688" s="178" t="s">
        <v>26</v>
      </c>
      <c r="Y688" s="134" t="s">
        <v>26</v>
      </c>
      <c r="Z688" s="134" t="s">
        <v>26</v>
      </c>
      <c r="AA688" s="178" t="s">
        <v>26</v>
      </c>
      <c r="AB688" s="134" t="s">
        <v>26</v>
      </c>
      <c r="AC688" s="134" t="s">
        <v>26</v>
      </c>
      <c r="AD688" s="134" t="s">
        <v>26</v>
      </c>
      <c r="AE688" s="178" t="s">
        <v>26</v>
      </c>
      <c r="AF688" s="134" t="s">
        <v>26</v>
      </c>
      <c r="AG688" s="134" t="s">
        <v>26</v>
      </c>
      <c r="AH688" s="178" t="s">
        <v>26</v>
      </c>
      <c r="AI688" s="134" t="s">
        <v>26</v>
      </c>
      <c r="AJ688" s="134" t="s">
        <v>26</v>
      </c>
      <c r="AK688" s="177" t="s">
        <v>18</v>
      </c>
      <c r="AL688" s="134" t="s">
        <v>18</v>
      </c>
      <c r="AM688" s="134" t="s">
        <v>18</v>
      </c>
      <c r="AN688" s="134" t="s">
        <v>18</v>
      </c>
      <c r="AO688" s="134" t="s">
        <v>18</v>
      </c>
      <c r="AP688" s="134" t="s">
        <v>18</v>
      </c>
      <c r="AQ688" s="134" t="s">
        <v>18</v>
      </c>
      <c r="AR688" s="134" t="s">
        <v>18</v>
      </c>
      <c r="AS688" s="134" t="s">
        <v>18</v>
      </c>
      <c r="AT688" s="134" t="s">
        <v>18</v>
      </c>
      <c r="AU688" s="134" t="s">
        <v>18</v>
      </c>
      <c r="AV688" s="134" t="s">
        <v>18</v>
      </c>
      <c r="AW688" s="134" t="s">
        <v>18</v>
      </c>
      <c r="AX688" s="134" t="s">
        <v>18</v>
      </c>
      <c r="AY688" s="134" t="s">
        <v>18</v>
      </c>
      <c r="AZ688" s="134" t="s">
        <v>18</v>
      </c>
      <c r="BA688" s="134" t="s">
        <v>18</v>
      </c>
      <c r="BB688" s="134" t="s">
        <v>18</v>
      </c>
      <c r="BC688" s="134" t="s">
        <v>18</v>
      </c>
    </row>
    <row r="689" spans="1:55" ht="15.75" customHeight="1" x14ac:dyDescent="0.2">
      <c r="A689" s="128">
        <v>57441.176470588245</v>
      </c>
      <c r="B689" s="122" t="s">
        <v>12</v>
      </c>
      <c r="C689" s="171"/>
      <c r="D689" s="124"/>
      <c r="E689" s="124"/>
      <c r="F689" s="172"/>
      <c r="G689" s="124"/>
      <c r="H689" s="124"/>
      <c r="I689" s="124"/>
      <c r="J689" s="172"/>
      <c r="K689" s="124"/>
      <c r="L689" s="124"/>
      <c r="M689" s="172"/>
      <c r="N689" s="124"/>
      <c r="O689" s="172"/>
      <c r="P689" s="124"/>
      <c r="Q689" s="172"/>
      <c r="R689" s="124"/>
      <c r="S689" s="124"/>
      <c r="T689" s="172"/>
      <c r="U689" s="124"/>
      <c r="V689" s="124"/>
      <c r="W689" s="124"/>
      <c r="X689" s="172"/>
      <c r="Y689" s="124"/>
      <c r="Z689" s="124"/>
      <c r="AA689" s="172"/>
      <c r="AB689" s="124"/>
      <c r="AC689" s="124"/>
      <c r="AD689" s="124"/>
      <c r="AE689" s="172" t="s">
        <v>83</v>
      </c>
      <c r="AF689" s="124"/>
      <c r="AG689" s="124"/>
      <c r="AH689" s="172" t="s">
        <v>84</v>
      </c>
      <c r="AI689" s="124"/>
      <c r="AJ689" s="124"/>
      <c r="AK689" s="171" t="s">
        <v>85</v>
      </c>
      <c r="AL689" s="124"/>
      <c r="AM689" s="124"/>
      <c r="AN689" s="124"/>
      <c r="AO689" s="124"/>
      <c r="AP689" s="124"/>
      <c r="AQ689" s="124"/>
      <c r="AR689" s="124"/>
      <c r="AS689" s="124"/>
      <c r="AT689" s="124"/>
      <c r="AU689" s="124"/>
      <c r="AV689" s="124"/>
      <c r="AW689" s="124"/>
      <c r="AX689" s="124"/>
      <c r="AY689" s="124"/>
      <c r="AZ689" s="124"/>
      <c r="BA689" s="124"/>
      <c r="BB689" s="124"/>
      <c r="BC689" s="124"/>
    </row>
    <row r="690" spans="1:55" ht="15.75" customHeight="1" x14ac:dyDescent="0.2">
      <c r="A690" s="128">
        <v>651</v>
      </c>
      <c r="B690" s="136" t="s">
        <v>13</v>
      </c>
      <c r="C690" s="171">
        <v>0</v>
      </c>
      <c r="D690" s="137">
        <v>0</v>
      </c>
      <c r="E690" s="137">
        <v>124</v>
      </c>
      <c r="F690" s="172">
        <v>0</v>
      </c>
      <c r="G690" s="137">
        <v>0</v>
      </c>
      <c r="H690" s="137">
        <v>0</v>
      </c>
      <c r="I690" s="137">
        <v>75</v>
      </c>
      <c r="J690" s="172">
        <v>0</v>
      </c>
      <c r="K690" s="137">
        <v>0</v>
      </c>
      <c r="L690" s="137">
        <v>88</v>
      </c>
      <c r="M690" s="172">
        <v>0</v>
      </c>
      <c r="N690" s="137">
        <v>49</v>
      </c>
      <c r="O690" s="172">
        <v>0</v>
      </c>
      <c r="P690" s="137">
        <v>72</v>
      </c>
      <c r="Q690" s="172">
        <v>0</v>
      </c>
      <c r="R690" s="137">
        <v>0</v>
      </c>
      <c r="S690" s="137">
        <v>70</v>
      </c>
      <c r="T690" s="172">
        <v>0</v>
      </c>
      <c r="U690" s="137">
        <v>0</v>
      </c>
      <c r="V690" s="137">
        <v>0</v>
      </c>
      <c r="W690" s="137">
        <v>41</v>
      </c>
      <c r="X690" s="172">
        <v>0</v>
      </c>
      <c r="Y690" s="137">
        <v>0</v>
      </c>
      <c r="Z690" s="137">
        <v>56</v>
      </c>
      <c r="AA690" s="172">
        <v>0</v>
      </c>
      <c r="AB690" s="137">
        <v>0</v>
      </c>
      <c r="AC690" s="137">
        <v>0</v>
      </c>
      <c r="AD690" s="137">
        <v>22</v>
      </c>
      <c r="AE690" s="172">
        <v>0</v>
      </c>
      <c r="AF690" s="137">
        <v>0</v>
      </c>
      <c r="AG690" s="137">
        <v>36</v>
      </c>
      <c r="AH690" s="172">
        <v>0</v>
      </c>
      <c r="AI690" s="137">
        <v>0</v>
      </c>
      <c r="AJ690" s="137">
        <v>18</v>
      </c>
      <c r="AK690" s="171" t="s">
        <v>18</v>
      </c>
      <c r="AL690" s="137" t="s">
        <v>18</v>
      </c>
      <c r="AM690" s="137" t="s">
        <v>18</v>
      </c>
      <c r="AN690" s="137" t="s">
        <v>18</v>
      </c>
      <c r="AO690" s="137" t="s">
        <v>18</v>
      </c>
      <c r="AP690" s="137" t="s">
        <v>18</v>
      </c>
      <c r="AQ690" s="137" t="s">
        <v>18</v>
      </c>
      <c r="AR690" s="137" t="s">
        <v>18</v>
      </c>
      <c r="AS690" s="137" t="s">
        <v>18</v>
      </c>
      <c r="AT690" s="137" t="s">
        <v>18</v>
      </c>
      <c r="AU690" s="137" t="s">
        <v>18</v>
      </c>
      <c r="AV690" s="137" t="s">
        <v>18</v>
      </c>
      <c r="AW690" s="137" t="s">
        <v>18</v>
      </c>
      <c r="AX690" s="137" t="s">
        <v>18</v>
      </c>
      <c r="AY690" s="137" t="s">
        <v>18</v>
      </c>
      <c r="AZ690" s="137" t="s">
        <v>18</v>
      </c>
      <c r="BA690" s="137" t="s">
        <v>18</v>
      </c>
      <c r="BB690" s="137" t="s">
        <v>18</v>
      </c>
      <c r="BC690" s="137" t="s">
        <v>18</v>
      </c>
    </row>
    <row r="691" spans="1:55" ht="15.75" customHeight="1" x14ac:dyDescent="0.2">
      <c r="A691" s="128">
        <v>31</v>
      </c>
      <c r="B691" s="136" t="s">
        <v>14</v>
      </c>
      <c r="C691" s="171">
        <v>0</v>
      </c>
      <c r="D691" s="137">
        <v>0</v>
      </c>
      <c r="E691" s="137">
        <v>5</v>
      </c>
      <c r="F691" s="172">
        <v>0</v>
      </c>
      <c r="G691" s="137">
        <v>0</v>
      </c>
      <c r="H691" s="137">
        <v>0</v>
      </c>
      <c r="I691" s="137">
        <v>3</v>
      </c>
      <c r="J691" s="172">
        <v>0</v>
      </c>
      <c r="K691" s="137">
        <v>0</v>
      </c>
      <c r="L691" s="137">
        <v>2</v>
      </c>
      <c r="M691" s="172">
        <v>0</v>
      </c>
      <c r="N691" s="137">
        <v>3</v>
      </c>
      <c r="O691" s="172">
        <v>0</v>
      </c>
      <c r="P691" s="137">
        <v>0</v>
      </c>
      <c r="Q691" s="172">
        <v>0</v>
      </c>
      <c r="R691" s="137">
        <v>0</v>
      </c>
      <c r="S691" s="137">
        <v>5</v>
      </c>
      <c r="T691" s="172">
        <v>0</v>
      </c>
      <c r="U691" s="137">
        <v>0</v>
      </c>
      <c r="V691" s="137">
        <v>0</v>
      </c>
      <c r="W691" s="137">
        <v>3</v>
      </c>
      <c r="X691" s="172">
        <v>0</v>
      </c>
      <c r="Y691" s="137">
        <v>0</v>
      </c>
      <c r="Z691" s="137">
        <v>0</v>
      </c>
      <c r="AA691" s="172">
        <v>0</v>
      </c>
      <c r="AB691" s="137">
        <v>0</v>
      </c>
      <c r="AC691" s="137">
        <v>0</v>
      </c>
      <c r="AD691" s="137">
        <v>1</v>
      </c>
      <c r="AE691" s="172">
        <v>0</v>
      </c>
      <c r="AF691" s="137">
        <v>0</v>
      </c>
      <c r="AG691" s="137">
        <v>6</v>
      </c>
      <c r="AH691" s="172">
        <v>0</v>
      </c>
      <c r="AI691" s="137">
        <v>0</v>
      </c>
      <c r="AJ691" s="137">
        <v>3</v>
      </c>
      <c r="AK691" s="171" t="s">
        <v>18</v>
      </c>
      <c r="AL691" s="137" t="s">
        <v>18</v>
      </c>
      <c r="AM691" s="137" t="s">
        <v>18</v>
      </c>
      <c r="AN691" s="137" t="s">
        <v>18</v>
      </c>
      <c r="AO691" s="137" t="s">
        <v>18</v>
      </c>
      <c r="AP691" s="137" t="s">
        <v>18</v>
      </c>
      <c r="AQ691" s="137" t="s">
        <v>18</v>
      </c>
      <c r="AR691" s="137" t="s">
        <v>18</v>
      </c>
      <c r="AS691" s="137" t="s">
        <v>18</v>
      </c>
      <c r="AT691" s="137" t="s">
        <v>18</v>
      </c>
      <c r="AU691" s="137" t="s">
        <v>18</v>
      </c>
      <c r="AV691" s="137" t="s">
        <v>18</v>
      </c>
      <c r="AW691" s="137" t="s">
        <v>18</v>
      </c>
      <c r="AX691" s="137" t="s">
        <v>18</v>
      </c>
      <c r="AY691" s="137" t="s">
        <v>18</v>
      </c>
      <c r="AZ691" s="137" t="s">
        <v>18</v>
      </c>
      <c r="BA691" s="137" t="s">
        <v>18</v>
      </c>
      <c r="BB691" s="137" t="s">
        <v>18</v>
      </c>
      <c r="BC691" s="137" t="s">
        <v>18</v>
      </c>
    </row>
    <row r="692" spans="1:55" ht="15.75" customHeight="1" x14ac:dyDescent="0.2">
      <c r="A692" s="128">
        <v>14</v>
      </c>
      <c r="B692" s="136" t="s">
        <v>15</v>
      </c>
      <c r="C692" s="171">
        <v>0</v>
      </c>
      <c r="D692" s="137">
        <v>0</v>
      </c>
      <c r="E692" s="137">
        <v>2</v>
      </c>
      <c r="F692" s="172">
        <v>0</v>
      </c>
      <c r="G692" s="137">
        <v>0</v>
      </c>
      <c r="H692" s="137">
        <v>0</v>
      </c>
      <c r="I692" s="137">
        <v>3</v>
      </c>
      <c r="J692" s="172">
        <v>0</v>
      </c>
      <c r="K692" s="137">
        <v>0</v>
      </c>
      <c r="L692" s="137">
        <v>2</v>
      </c>
      <c r="M692" s="172">
        <v>0</v>
      </c>
      <c r="N692" s="137">
        <v>0</v>
      </c>
      <c r="O692" s="172">
        <v>0</v>
      </c>
      <c r="P692" s="137">
        <v>0</v>
      </c>
      <c r="Q692" s="172">
        <v>0</v>
      </c>
      <c r="R692" s="137">
        <v>0</v>
      </c>
      <c r="S692" s="137">
        <v>2</v>
      </c>
      <c r="T692" s="172">
        <v>0</v>
      </c>
      <c r="U692" s="137">
        <v>0</v>
      </c>
      <c r="V692" s="137">
        <v>0</v>
      </c>
      <c r="W692" s="137">
        <v>2</v>
      </c>
      <c r="X692" s="172">
        <v>0</v>
      </c>
      <c r="Y692" s="137">
        <v>0</v>
      </c>
      <c r="Z692" s="137">
        <v>0</v>
      </c>
      <c r="AA692" s="172">
        <v>0</v>
      </c>
      <c r="AB692" s="137">
        <v>0</v>
      </c>
      <c r="AC692" s="137">
        <v>0</v>
      </c>
      <c r="AD692" s="137">
        <v>0</v>
      </c>
      <c r="AE692" s="172">
        <v>0</v>
      </c>
      <c r="AF692" s="137">
        <v>0</v>
      </c>
      <c r="AG692" s="137">
        <v>0</v>
      </c>
      <c r="AH692" s="172">
        <v>0</v>
      </c>
      <c r="AI692" s="137">
        <v>0</v>
      </c>
      <c r="AJ692" s="137">
        <v>3</v>
      </c>
      <c r="AK692" s="171" t="s">
        <v>18</v>
      </c>
      <c r="AL692" s="137" t="s">
        <v>18</v>
      </c>
      <c r="AM692" s="137" t="s">
        <v>18</v>
      </c>
      <c r="AN692" s="137" t="s">
        <v>18</v>
      </c>
      <c r="AO692" s="137" t="s">
        <v>18</v>
      </c>
      <c r="AP692" s="137" t="s">
        <v>18</v>
      </c>
      <c r="AQ692" s="137" t="s">
        <v>18</v>
      </c>
      <c r="AR692" s="137" t="s">
        <v>18</v>
      </c>
      <c r="AS692" s="137" t="s">
        <v>18</v>
      </c>
      <c r="AT692" s="137" t="s">
        <v>18</v>
      </c>
      <c r="AU692" s="137" t="s">
        <v>18</v>
      </c>
      <c r="AV692" s="137" t="s">
        <v>18</v>
      </c>
      <c r="AW692" s="137" t="s">
        <v>18</v>
      </c>
      <c r="AX692" s="137" t="s">
        <v>18</v>
      </c>
      <c r="AY692" s="137" t="s">
        <v>18</v>
      </c>
      <c r="AZ692" s="137" t="s">
        <v>18</v>
      </c>
      <c r="BA692" s="137" t="s">
        <v>18</v>
      </c>
      <c r="BB692" s="137" t="s">
        <v>18</v>
      </c>
      <c r="BC692" s="137" t="s">
        <v>18</v>
      </c>
    </row>
    <row r="693" spans="1:55" ht="15.75" customHeight="1" x14ac:dyDescent="0.2">
      <c r="A693" s="128">
        <v>9100</v>
      </c>
      <c r="B693" s="136" t="s">
        <v>16</v>
      </c>
      <c r="C693" s="171">
        <v>0</v>
      </c>
      <c r="D693" s="137">
        <v>0</v>
      </c>
      <c r="E693" s="137">
        <v>1300</v>
      </c>
      <c r="F693" s="172">
        <v>0</v>
      </c>
      <c r="G693" s="137">
        <v>0</v>
      </c>
      <c r="H693" s="137">
        <v>0</v>
      </c>
      <c r="I693" s="137">
        <v>1950</v>
      </c>
      <c r="J693" s="172">
        <v>0</v>
      </c>
      <c r="K693" s="137">
        <v>0</v>
      </c>
      <c r="L693" s="137">
        <v>1300</v>
      </c>
      <c r="M693" s="172">
        <v>0</v>
      </c>
      <c r="N693" s="137">
        <v>0</v>
      </c>
      <c r="O693" s="172">
        <v>0</v>
      </c>
      <c r="P693" s="137">
        <v>0</v>
      </c>
      <c r="Q693" s="172">
        <v>0</v>
      </c>
      <c r="R693" s="137">
        <v>0</v>
      </c>
      <c r="S693" s="137">
        <v>1300</v>
      </c>
      <c r="T693" s="172">
        <v>0</v>
      </c>
      <c r="U693" s="137">
        <v>0</v>
      </c>
      <c r="V693" s="137">
        <v>0</v>
      </c>
      <c r="W693" s="137">
        <v>1300</v>
      </c>
      <c r="X693" s="172">
        <v>0</v>
      </c>
      <c r="Y693" s="137">
        <v>0</v>
      </c>
      <c r="Z693" s="137">
        <v>0</v>
      </c>
      <c r="AA693" s="172">
        <v>0</v>
      </c>
      <c r="AB693" s="137">
        <v>0</v>
      </c>
      <c r="AC693" s="137">
        <v>0</v>
      </c>
      <c r="AD693" s="137">
        <v>0</v>
      </c>
      <c r="AE693" s="172">
        <v>0</v>
      </c>
      <c r="AF693" s="137">
        <v>0</v>
      </c>
      <c r="AG693" s="137">
        <v>0</v>
      </c>
      <c r="AH693" s="172">
        <v>0</v>
      </c>
      <c r="AI693" s="137">
        <v>0</v>
      </c>
      <c r="AJ693" s="137">
        <v>1950</v>
      </c>
      <c r="AK693" s="171" t="s">
        <v>18</v>
      </c>
      <c r="AL693" s="137" t="s">
        <v>18</v>
      </c>
      <c r="AM693" s="137" t="s">
        <v>18</v>
      </c>
      <c r="AN693" s="137" t="s">
        <v>18</v>
      </c>
      <c r="AO693" s="137" t="s">
        <v>18</v>
      </c>
      <c r="AP693" s="137" t="s">
        <v>18</v>
      </c>
      <c r="AQ693" s="137" t="s">
        <v>18</v>
      </c>
      <c r="AR693" s="137" t="s">
        <v>18</v>
      </c>
      <c r="AS693" s="137" t="s">
        <v>18</v>
      </c>
      <c r="AT693" s="137" t="s">
        <v>18</v>
      </c>
      <c r="AU693" s="137" t="s">
        <v>18</v>
      </c>
      <c r="AV693" s="137" t="s">
        <v>18</v>
      </c>
      <c r="AW693" s="137" t="s">
        <v>18</v>
      </c>
      <c r="AX693" s="137" t="s">
        <v>18</v>
      </c>
      <c r="AY693" s="137" t="s">
        <v>18</v>
      </c>
      <c r="AZ693" s="137" t="s">
        <v>18</v>
      </c>
      <c r="BA693" s="137" t="s">
        <v>18</v>
      </c>
      <c r="BB693" s="137" t="s">
        <v>18</v>
      </c>
      <c r="BC693" s="137" t="s">
        <v>18</v>
      </c>
    </row>
    <row r="694" spans="1:55" ht="15.75" customHeight="1" x14ac:dyDescent="0.2">
      <c r="A694" s="138">
        <v>0.13978494623655913</v>
      </c>
      <c r="B694" s="139" t="s">
        <v>17</v>
      </c>
      <c r="C694" s="180" t="s">
        <v>18</v>
      </c>
      <c r="D694" s="141" t="s">
        <v>18</v>
      </c>
      <c r="E694" s="141">
        <v>0.10483870967741936</v>
      </c>
      <c r="F694" s="181" t="s">
        <v>18</v>
      </c>
      <c r="G694" s="141" t="s">
        <v>18</v>
      </c>
      <c r="H694" s="141" t="s">
        <v>18</v>
      </c>
      <c r="I694" s="141">
        <v>0.26</v>
      </c>
      <c r="J694" s="181" t="s">
        <v>18</v>
      </c>
      <c r="K694" s="141" t="s">
        <v>18</v>
      </c>
      <c r="L694" s="141">
        <v>0.14772727272727273</v>
      </c>
      <c r="M694" s="181" t="s">
        <v>18</v>
      </c>
      <c r="N694" s="141" t="s">
        <v>18</v>
      </c>
      <c r="O694" s="181" t="s">
        <v>18</v>
      </c>
      <c r="P694" s="141" t="s">
        <v>18</v>
      </c>
      <c r="Q694" s="181" t="s">
        <v>18</v>
      </c>
      <c r="R694" s="141" t="s">
        <v>18</v>
      </c>
      <c r="S694" s="141">
        <v>0.18571428571428572</v>
      </c>
      <c r="T694" s="181" t="s">
        <v>18</v>
      </c>
      <c r="U694" s="141" t="s">
        <v>18</v>
      </c>
      <c r="V694" s="141" t="s">
        <v>18</v>
      </c>
      <c r="W694" s="141">
        <v>0.31707317073170732</v>
      </c>
      <c r="X694" s="181" t="s">
        <v>18</v>
      </c>
      <c r="Y694" s="141" t="s">
        <v>18</v>
      </c>
      <c r="Z694" s="141" t="s">
        <v>18</v>
      </c>
      <c r="AA694" s="181" t="s">
        <v>18</v>
      </c>
      <c r="AB694" s="141" t="s">
        <v>18</v>
      </c>
      <c r="AC694" s="141" t="s">
        <v>18</v>
      </c>
      <c r="AD694" s="141" t="s">
        <v>18</v>
      </c>
      <c r="AE694" s="181" t="s">
        <v>18</v>
      </c>
      <c r="AF694" s="141" t="s">
        <v>18</v>
      </c>
      <c r="AG694" s="141" t="s">
        <v>18</v>
      </c>
      <c r="AH694" s="181" t="s">
        <v>18</v>
      </c>
      <c r="AI694" s="141" t="s">
        <v>18</v>
      </c>
      <c r="AJ694" s="141">
        <v>1.0833333333333333</v>
      </c>
      <c r="AK694" s="180" t="s">
        <v>18</v>
      </c>
      <c r="AL694" s="141" t="s">
        <v>18</v>
      </c>
      <c r="AM694" s="141" t="s">
        <v>18</v>
      </c>
      <c r="AN694" s="141" t="s">
        <v>18</v>
      </c>
      <c r="AO694" s="141" t="s">
        <v>18</v>
      </c>
      <c r="AP694" s="141" t="s">
        <v>18</v>
      </c>
      <c r="AQ694" s="141" t="s">
        <v>18</v>
      </c>
      <c r="AR694" s="141" t="s">
        <v>18</v>
      </c>
      <c r="AS694" s="141" t="s">
        <v>18</v>
      </c>
      <c r="AT694" s="141" t="s">
        <v>18</v>
      </c>
      <c r="AU694" s="141" t="s">
        <v>18</v>
      </c>
      <c r="AV694" s="141" t="s">
        <v>18</v>
      </c>
      <c r="AW694" s="141" t="s">
        <v>18</v>
      </c>
      <c r="AX694" s="141" t="s">
        <v>18</v>
      </c>
      <c r="AY694" s="141" t="s">
        <v>18</v>
      </c>
      <c r="AZ694" s="141" t="s">
        <v>18</v>
      </c>
      <c r="BA694" s="141" t="s">
        <v>18</v>
      </c>
      <c r="BB694" s="141" t="s">
        <v>18</v>
      </c>
      <c r="BC694" s="141" t="s">
        <v>18</v>
      </c>
    </row>
    <row r="695" spans="1:55" ht="15.75" customHeight="1" x14ac:dyDescent="0.2">
      <c r="A695" s="116" t="s">
        <v>1</v>
      </c>
      <c r="B695" s="117" t="s">
        <v>2</v>
      </c>
      <c r="C695" s="168">
        <v>20149</v>
      </c>
      <c r="D695" s="119">
        <v>20149</v>
      </c>
      <c r="E695" s="119">
        <v>20187</v>
      </c>
      <c r="F695" s="169">
        <v>20187</v>
      </c>
      <c r="G695" s="119">
        <v>20187</v>
      </c>
      <c r="H695" s="119">
        <v>20187</v>
      </c>
      <c r="I695" s="119">
        <v>20234</v>
      </c>
      <c r="J695" s="169">
        <v>20234</v>
      </c>
      <c r="K695" s="119">
        <v>20234</v>
      </c>
      <c r="L695" s="119">
        <v>20310</v>
      </c>
      <c r="M695" s="169">
        <v>20310</v>
      </c>
      <c r="N695" s="119">
        <v>20375</v>
      </c>
      <c r="O695" s="169">
        <v>20375</v>
      </c>
      <c r="P695" s="119">
        <v>20408</v>
      </c>
      <c r="Q695" s="169">
        <v>20408</v>
      </c>
      <c r="R695" s="119">
        <v>20408</v>
      </c>
      <c r="S695" s="119">
        <v>20462</v>
      </c>
      <c r="T695" s="169">
        <v>20462</v>
      </c>
      <c r="U695" s="119">
        <v>20462</v>
      </c>
      <c r="V695" s="119">
        <v>20462</v>
      </c>
      <c r="W695" s="119">
        <v>20550</v>
      </c>
      <c r="X695" s="169">
        <v>20550</v>
      </c>
      <c r="Y695" s="119">
        <v>20550</v>
      </c>
      <c r="Z695" s="119">
        <v>20604</v>
      </c>
      <c r="AA695" s="169">
        <v>20604</v>
      </c>
      <c r="AB695" s="119">
        <v>20604</v>
      </c>
      <c r="AC695" s="119">
        <v>20604</v>
      </c>
      <c r="AD695" s="119">
        <v>20677</v>
      </c>
      <c r="AE695" s="169">
        <v>20677</v>
      </c>
      <c r="AF695" s="119">
        <v>20677</v>
      </c>
      <c r="AG695" s="119">
        <v>20747</v>
      </c>
      <c r="AH695" s="169">
        <v>20747</v>
      </c>
      <c r="AI695" s="119">
        <v>20747</v>
      </c>
      <c r="AJ695" s="119">
        <v>20839</v>
      </c>
      <c r="AK695" s="168" t="s">
        <v>18</v>
      </c>
      <c r="AL695" s="119" t="s">
        <v>18</v>
      </c>
      <c r="AM695" s="119" t="s">
        <v>18</v>
      </c>
      <c r="AN695" s="119" t="s">
        <v>18</v>
      </c>
      <c r="AO695" s="119" t="s">
        <v>18</v>
      </c>
      <c r="AP695" s="119" t="s">
        <v>18</v>
      </c>
      <c r="AQ695" s="119" t="s">
        <v>18</v>
      </c>
      <c r="AR695" s="119" t="s">
        <v>18</v>
      </c>
      <c r="AS695" s="119" t="s">
        <v>18</v>
      </c>
      <c r="AT695" s="119" t="s">
        <v>18</v>
      </c>
      <c r="AU695" s="119" t="s">
        <v>18</v>
      </c>
      <c r="AV695" s="119" t="s">
        <v>18</v>
      </c>
      <c r="AW695" s="119" t="s">
        <v>18</v>
      </c>
      <c r="AX695" s="119" t="s">
        <v>18</v>
      </c>
      <c r="AY695" s="119" t="s">
        <v>18</v>
      </c>
      <c r="AZ695" s="119" t="s">
        <v>18</v>
      </c>
      <c r="BA695" s="119" t="s">
        <v>18</v>
      </c>
      <c r="BB695" s="119" t="s">
        <v>18</v>
      </c>
      <c r="BC695" s="119" t="s">
        <v>18</v>
      </c>
    </row>
    <row r="696" spans="1:55" ht="15.75" customHeight="1" x14ac:dyDescent="0.2">
      <c r="A696" s="121" t="s">
        <v>29</v>
      </c>
      <c r="B696" s="122" t="s">
        <v>4</v>
      </c>
      <c r="C696" s="171">
        <v>1143</v>
      </c>
      <c r="D696" s="124">
        <v>1143</v>
      </c>
      <c r="E696" s="124">
        <v>1146</v>
      </c>
      <c r="F696" s="172">
        <v>1146</v>
      </c>
      <c r="G696" s="124">
        <v>1146</v>
      </c>
      <c r="H696" s="124">
        <v>1146</v>
      </c>
      <c r="I696" s="124">
        <v>1152</v>
      </c>
      <c r="J696" s="172">
        <v>1152</v>
      </c>
      <c r="K696" s="124">
        <v>1152</v>
      </c>
      <c r="L696" s="124">
        <v>1154</v>
      </c>
      <c r="M696" s="172">
        <v>1154</v>
      </c>
      <c r="N696" s="124">
        <v>1156</v>
      </c>
      <c r="O696" s="172">
        <v>1156</v>
      </c>
      <c r="P696" s="124">
        <v>1156</v>
      </c>
      <c r="Q696" s="172">
        <v>1156</v>
      </c>
      <c r="R696" s="124">
        <v>1156</v>
      </c>
      <c r="S696" s="124">
        <v>1157</v>
      </c>
      <c r="T696" s="172">
        <v>1157</v>
      </c>
      <c r="U696" s="124">
        <v>1157</v>
      </c>
      <c r="V696" s="124">
        <v>1157</v>
      </c>
      <c r="W696" s="124">
        <v>1158</v>
      </c>
      <c r="X696" s="172">
        <v>1158</v>
      </c>
      <c r="Y696" s="124">
        <v>1158</v>
      </c>
      <c r="Z696" s="124">
        <v>1159</v>
      </c>
      <c r="AA696" s="172">
        <v>1159</v>
      </c>
      <c r="AB696" s="124">
        <v>1159</v>
      </c>
      <c r="AC696" s="124">
        <v>1159</v>
      </c>
      <c r="AD696" s="124">
        <v>1160</v>
      </c>
      <c r="AE696" s="172">
        <v>1160</v>
      </c>
      <c r="AF696" s="124">
        <v>1160</v>
      </c>
      <c r="AG696" s="124">
        <v>1162</v>
      </c>
      <c r="AH696" s="172">
        <v>1162</v>
      </c>
      <c r="AI696" s="124">
        <v>1162</v>
      </c>
      <c r="AJ696" s="124">
        <v>1164</v>
      </c>
      <c r="AK696" s="171" t="s">
        <v>18</v>
      </c>
      <c r="AL696" s="124" t="s">
        <v>18</v>
      </c>
      <c r="AM696" s="124" t="s">
        <v>18</v>
      </c>
      <c r="AN696" s="124" t="s">
        <v>18</v>
      </c>
      <c r="AO696" s="124" t="s">
        <v>18</v>
      </c>
      <c r="AP696" s="124" t="s">
        <v>18</v>
      </c>
      <c r="AQ696" s="124" t="s">
        <v>18</v>
      </c>
      <c r="AR696" s="124" t="s">
        <v>18</v>
      </c>
      <c r="AS696" s="124" t="s">
        <v>18</v>
      </c>
      <c r="AT696" s="124" t="s">
        <v>18</v>
      </c>
      <c r="AU696" s="124" t="s">
        <v>18</v>
      </c>
      <c r="AV696" s="124" t="s">
        <v>18</v>
      </c>
      <c r="AW696" s="124" t="s">
        <v>18</v>
      </c>
      <c r="AX696" s="124" t="s">
        <v>18</v>
      </c>
      <c r="AY696" s="124" t="s">
        <v>18</v>
      </c>
      <c r="AZ696" s="124" t="s">
        <v>18</v>
      </c>
      <c r="BA696" s="124" t="s">
        <v>18</v>
      </c>
      <c r="BB696" s="124" t="s">
        <v>18</v>
      </c>
      <c r="BC696" s="124" t="s">
        <v>18</v>
      </c>
    </row>
    <row r="697" spans="1:55" ht="15.75" customHeight="1" x14ac:dyDescent="0.25">
      <c r="A697" s="143">
        <v>1</v>
      </c>
      <c r="B697" s="122" t="s">
        <v>5</v>
      </c>
      <c r="C697" s="171">
        <v>6</v>
      </c>
      <c r="D697" s="124">
        <v>6</v>
      </c>
      <c r="E697" s="124">
        <v>5</v>
      </c>
      <c r="F697" s="172">
        <v>12</v>
      </c>
      <c r="G697" s="124">
        <v>12</v>
      </c>
      <c r="H697" s="124">
        <v>12</v>
      </c>
      <c r="I697" s="124">
        <v>12</v>
      </c>
      <c r="J697" s="172">
        <v>10</v>
      </c>
      <c r="K697" s="124">
        <v>10</v>
      </c>
      <c r="L697" s="124">
        <v>8</v>
      </c>
      <c r="M697" s="172">
        <v>10</v>
      </c>
      <c r="N697" s="124">
        <v>8</v>
      </c>
      <c r="O697" s="172">
        <v>8</v>
      </c>
      <c r="P697" s="124">
        <v>8</v>
      </c>
      <c r="Q697" s="172">
        <v>8</v>
      </c>
      <c r="R697" s="124">
        <v>8</v>
      </c>
      <c r="S697" s="124">
        <v>8</v>
      </c>
      <c r="T697" s="172">
        <v>9</v>
      </c>
      <c r="U697" s="124">
        <v>9</v>
      </c>
      <c r="V697" s="124">
        <v>9</v>
      </c>
      <c r="W697" s="124">
        <v>8</v>
      </c>
      <c r="X697" s="172">
        <v>8</v>
      </c>
      <c r="Y697" s="124">
        <v>8</v>
      </c>
      <c r="Z697" s="124">
        <v>7</v>
      </c>
      <c r="AA697" s="172">
        <v>7</v>
      </c>
      <c r="AB697" s="124">
        <v>7</v>
      </c>
      <c r="AC697" s="124">
        <v>7</v>
      </c>
      <c r="AD697" s="124">
        <v>6</v>
      </c>
      <c r="AE697" s="172">
        <v>9</v>
      </c>
      <c r="AF697" s="124">
        <v>9</v>
      </c>
      <c r="AG697" s="124">
        <v>7</v>
      </c>
      <c r="AH697" s="172">
        <v>9</v>
      </c>
      <c r="AI697" s="124">
        <v>9</v>
      </c>
      <c r="AJ697" s="124">
        <v>7</v>
      </c>
      <c r="AK697" s="171" t="s">
        <v>18</v>
      </c>
      <c r="AL697" s="124" t="s">
        <v>18</v>
      </c>
      <c r="AM697" s="124" t="s">
        <v>18</v>
      </c>
      <c r="AN697" s="124" t="s">
        <v>18</v>
      </c>
      <c r="AO697" s="124" t="s">
        <v>18</v>
      </c>
      <c r="AP697" s="124" t="s">
        <v>18</v>
      </c>
      <c r="AQ697" s="124" t="s">
        <v>18</v>
      </c>
      <c r="AR697" s="124" t="s">
        <v>18</v>
      </c>
      <c r="AS697" s="124" t="s">
        <v>18</v>
      </c>
      <c r="AT697" s="124" t="s">
        <v>18</v>
      </c>
      <c r="AU697" s="124" t="s">
        <v>18</v>
      </c>
      <c r="AV697" s="124" t="s">
        <v>18</v>
      </c>
      <c r="AW697" s="124" t="s">
        <v>18</v>
      </c>
      <c r="AX697" s="124" t="s">
        <v>18</v>
      </c>
      <c r="AY697" s="124" t="s">
        <v>18</v>
      </c>
      <c r="AZ697" s="124" t="s">
        <v>18</v>
      </c>
      <c r="BA697" s="124" t="s">
        <v>18</v>
      </c>
      <c r="BB697" s="124" t="s">
        <v>18</v>
      </c>
      <c r="BC697" s="124" t="s">
        <v>18</v>
      </c>
    </row>
    <row r="698" spans="1:55" ht="15.75" customHeight="1" x14ac:dyDescent="0.25">
      <c r="A698" s="144" t="s">
        <v>20</v>
      </c>
      <c r="B698" s="122" t="s">
        <v>6</v>
      </c>
      <c r="C698" s="171"/>
      <c r="D698" s="124"/>
      <c r="E698" s="124">
        <v>7</v>
      </c>
      <c r="F698" s="172"/>
      <c r="G698" s="124"/>
      <c r="H698" s="124"/>
      <c r="I698" s="124">
        <v>-2</v>
      </c>
      <c r="J698" s="172"/>
      <c r="K698" s="124"/>
      <c r="L698" s="124">
        <v>2</v>
      </c>
      <c r="M698" s="172"/>
      <c r="N698" s="124"/>
      <c r="O698" s="172"/>
      <c r="P698" s="124"/>
      <c r="Q698" s="172"/>
      <c r="R698" s="124"/>
      <c r="S698" s="124">
        <v>1</v>
      </c>
      <c r="T698" s="172"/>
      <c r="U698" s="124"/>
      <c r="V698" s="124"/>
      <c r="W698" s="124"/>
      <c r="X698" s="172"/>
      <c r="Y698" s="124"/>
      <c r="Z698" s="124"/>
      <c r="AA698" s="172"/>
      <c r="AB698" s="124"/>
      <c r="AC698" s="124"/>
      <c r="AD698" s="124">
        <v>3</v>
      </c>
      <c r="AE698" s="172"/>
      <c r="AF698" s="124"/>
      <c r="AG698" s="124">
        <v>2</v>
      </c>
      <c r="AH698" s="172"/>
      <c r="AI698" s="124"/>
      <c r="AJ698" s="124">
        <v>2</v>
      </c>
      <c r="AK698" s="171"/>
      <c r="AL698" s="124"/>
      <c r="AM698" s="124"/>
      <c r="AN698" s="124"/>
      <c r="AO698" s="124"/>
      <c r="AP698" s="124"/>
      <c r="AQ698" s="124"/>
      <c r="AR698" s="124"/>
      <c r="AS698" s="124"/>
      <c r="AT698" s="124"/>
      <c r="AU698" s="124"/>
      <c r="AV698" s="124"/>
      <c r="AW698" s="124"/>
      <c r="AX698" s="124"/>
      <c r="AY698" s="124"/>
      <c r="AZ698" s="124"/>
      <c r="BA698" s="124"/>
      <c r="BB698" s="124"/>
      <c r="BC698" s="124"/>
    </row>
    <row r="699" spans="1:55" ht="15.75" customHeight="1" x14ac:dyDescent="0.25">
      <c r="A699" s="145">
        <v>222600</v>
      </c>
      <c r="B699" s="122" t="s">
        <v>8</v>
      </c>
      <c r="C699" s="174">
        <v>880</v>
      </c>
      <c r="D699" s="130">
        <v>880</v>
      </c>
      <c r="E699" s="130">
        <v>880</v>
      </c>
      <c r="F699" s="175">
        <v>500</v>
      </c>
      <c r="G699" s="130">
        <v>500</v>
      </c>
      <c r="H699" s="130">
        <v>500</v>
      </c>
      <c r="I699" s="130">
        <v>500</v>
      </c>
      <c r="J699" s="175">
        <v>500</v>
      </c>
      <c r="K699" s="130">
        <v>500</v>
      </c>
      <c r="L699" s="130">
        <v>500</v>
      </c>
      <c r="M699" s="175">
        <v>500</v>
      </c>
      <c r="N699" s="130">
        <v>500</v>
      </c>
      <c r="O699" s="175">
        <v>500</v>
      </c>
      <c r="P699" s="130">
        <v>500</v>
      </c>
      <c r="Q699" s="175">
        <v>500</v>
      </c>
      <c r="R699" s="130">
        <v>500</v>
      </c>
      <c r="S699" s="130">
        <v>500</v>
      </c>
      <c r="T699" s="175">
        <v>500</v>
      </c>
      <c r="U699" s="130">
        <v>500</v>
      </c>
      <c r="V699" s="130">
        <v>500</v>
      </c>
      <c r="W699" s="130">
        <v>500</v>
      </c>
      <c r="X699" s="175">
        <v>500</v>
      </c>
      <c r="Y699" s="130">
        <v>500</v>
      </c>
      <c r="Z699" s="130">
        <v>500</v>
      </c>
      <c r="AA699" s="175">
        <v>500</v>
      </c>
      <c r="AB699" s="130">
        <v>500</v>
      </c>
      <c r="AC699" s="130">
        <v>500</v>
      </c>
      <c r="AD699" s="130">
        <v>500</v>
      </c>
      <c r="AE699" s="175">
        <v>500</v>
      </c>
      <c r="AF699" s="130">
        <v>500</v>
      </c>
      <c r="AG699" s="130">
        <v>500</v>
      </c>
      <c r="AH699" s="175">
        <v>500</v>
      </c>
      <c r="AI699" s="130">
        <v>500</v>
      </c>
      <c r="AJ699" s="130">
        <v>500</v>
      </c>
      <c r="AK699" s="174" t="s">
        <v>18</v>
      </c>
      <c r="AL699" s="130" t="s">
        <v>18</v>
      </c>
      <c r="AM699" s="130" t="s">
        <v>18</v>
      </c>
      <c r="AN699" s="130" t="s">
        <v>18</v>
      </c>
      <c r="AO699" s="130" t="s">
        <v>18</v>
      </c>
      <c r="AP699" s="130" t="s">
        <v>18</v>
      </c>
      <c r="AQ699" s="130" t="s">
        <v>18</v>
      </c>
      <c r="AR699" s="130" t="s">
        <v>18</v>
      </c>
      <c r="AS699" s="130" t="s">
        <v>18</v>
      </c>
      <c r="AT699" s="130" t="s">
        <v>18</v>
      </c>
      <c r="AU699" s="130" t="s">
        <v>18</v>
      </c>
      <c r="AV699" s="130" t="s">
        <v>18</v>
      </c>
      <c r="AW699" s="130" t="s">
        <v>18</v>
      </c>
      <c r="AX699" s="130" t="s">
        <v>18</v>
      </c>
      <c r="AY699" s="130" t="s">
        <v>18</v>
      </c>
      <c r="AZ699" s="130" t="s">
        <v>18</v>
      </c>
      <c r="BA699" s="130" t="s">
        <v>18</v>
      </c>
      <c r="BB699" s="130" t="s">
        <v>18</v>
      </c>
      <c r="BC699" s="130" t="s">
        <v>18</v>
      </c>
    </row>
    <row r="700" spans="1:55" ht="15.75" customHeight="1" x14ac:dyDescent="0.2">
      <c r="A700" s="127" t="s">
        <v>9</v>
      </c>
      <c r="B700" s="132" t="s">
        <v>10</v>
      </c>
      <c r="C700" s="177" t="s">
        <v>86</v>
      </c>
      <c r="D700" s="134" t="s">
        <v>86</v>
      </c>
      <c r="E700" s="134" t="s">
        <v>86</v>
      </c>
      <c r="F700" s="178" t="s">
        <v>87</v>
      </c>
      <c r="G700" s="134" t="s">
        <v>87</v>
      </c>
      <c r="H700" s="134" t="s">
        <v>87</v>
      </c>
      <c r="I700" s="134" t="s">
        <v>87</v>
      </c>
      <c r="J700" s="178" t="s">
        <v>30</v>
      </c>
      <c r="K700" s="134" t="s">
        <v>30</v>
      </c>
      <c r="L700" s="134" t="s">
        <v>30</v>
      </c>
      <c r="M700" s="178" t="s">
        <v>30</v>
      </c>
      <c r="N700" s="134" t="s">
        <v>30</v>
      </c>
      <c r="O700" s="178" t="s">
        <v>30</v>
      </c>
      <c r="P700" s="134" t="s">
        <v>30</v>
      </c>
      <c r="Q700" s="178" t="s">
        <v>30</v>
      </c>
      <c r="R700" s="134" t="s">
        <v>30</v>
      </c>
      <c r="S700" s="134" t="s">
        <v>30</v>
      </c>
      <c r="T700" s="178" t="s">
        <v>30</v>
      </c>
      <c r="U700" s="134" t="s">
        <v>30</v>
      </c>
      <c r="V700" s="134" t="s">
        <v>30</v>
      </c>
      <c r="W700" s="134" t="s">
        <v>30</v>
      </c>
      <c r="X700" s="178" t="s">
        <v>30</v>
      </c>
      <c r="Y700" s="134" t="s">
        <v>30</v>
      </c>
      <c r="Z700" s="134" t="s">
        <v>30</v>
      </c>
      <c r="AA700" s="178" t="s">
        <v>30</v>
      </c>
      <c r="AB700" s="134" t="s">
        <v>30</v>
      </c>
      <c r="AC700" s="134" t="s">
        <v>30</v>
      </c>
      <c r="AD700" s="134" t="s">
        <v>30</v>
      </c>
      <c r="AE700" s="178" t="s">
        <v>30</v>
      </c>
      <c r="AF700" s="134" t="s">
        <v>30</v>
      </c>
      <c r="AG700" s="134" t="s">
        <v>30</v>
      </c>
      <c r="AH700" s="178" t="s">
        <v>30</v>
      </c>
      <c r="AI700" s="134" t="s">
        <v>30</v>
      </c>
      <c r="AJ700" s="134" t="s">
        <v>30</v>
      </c>
      <c r="AK700" s="177" t="s">
        <v>18</v>
      </c>
      <c r="AL700" s="134" t="s">
        <v>18</v>
      </c>
      <c r="AM700" s="134" t="s">
        <v>18</v>
      </c>
      <c r="AN700" s="134" t="s">
        <v>18</v>
      </c>
      <c r="AO700" s="134" t="s">
        <v>18</v>
      </c>
      <c r="AP700" s="134" t="s">
        <v>18</v>
      </c>
      <c r="AQ700" s="134" t="s">
        <v>18</v>
      </c>
      <c r="AR700" s="134" t="s">
        <v>18</v>
      </c>
      <c r="AS700" s="134" t="s">
        <v>18</v>
      </c>
      <c r="AT700" s="134" t="s">
        <v>18</v>
      </c>
      <c r="AU700" s="134" t="s">
        <v>18</v>
      </c>
      <c r="AV700" s="134" t="s">
        <v>18</v>
      </c>
      <c r="AW700" s="134" t="s">
        <v>18</v>
      </c>
      <c r="AX700" s="134" t="s">
        <v>18</v>
      </c>
      <c r="AY700" s="134" t="s">
        <v>18</v>
      </c>
      <c r="AZ700" s="134" t="s">
        <v>18</v>
      </c>
      <c r="BA700" s="134" t="s">
        <v>18</v>
      </c>
      <c r="BB700" s="134" t="s">
        <v>18</v>
      </c>
      <c r="BC700" s="134" t="s">
        <v>18</v>
      </c>
    </row>
    <row r="701" spans="1:55" ht="15.75" customHeight="1" x14ac:dyDescent="0.2">
      <c r="A701" s="128">
        <v>60882.352941176461</v>
      </c>
      <c r="B701" s="122" t="s">
        <v>12</v>
      </c>
      <c r="C701" s="171" t="s">
        <v>88</v>
      </c>
      <c r="D701" s="124"/>
      <c r="E701" s="124"/>
      <c r="F701" s="172" t="s">
        <v>89</v>
      </c>
      <c r="G701" s="124"/>
      <c r="H701" s="124"/>
      <c r="I701" s="124"/>
      <c r="J701" s="172"/>
      <c r="K701" s="124"/>
      <c r="L701" s="124"/>
      <c r="M701" s="172"/>
      <c r="N701" s="124"/>
      <c r="O701" s="172"/>
      <c r="P701" s="124"/>
      <c r="Q701" s="172"/>
      <c r="R701" s="124"/>
      <c r="S701" s="124"/>
      <c r="T701" s="172"/>
      <c r="U701" s="124"/>
      <c r="V701" s="124"/>
      <c r="W701" s="124"/>
      <c r="X701" s="172"/>
      <c r="Y701" s="124"/>
      <c r="Z701" s="124"/>
      <c r="AA701" s="172"/>
      <c r="AB701" s="124"/>
      <c r="AC701" s="124"/>
      <c r="AD701" s="124"/>
      <c r="AE701" s="172"/>
      <c r="AF701" s="124"/>
      <c r="AG701" s="124"/>
      <c r="AH701" s="172"/>
      <c r="AI701" s="124"/>
      <c r="AJ701" s="124"/>
      <c r="AK701" s="171"/>
      <c r="AL701" s="124"/>
      <c r="AM701" s="124"/>
      <c r="AN701" s="124"/>
      <c r="AO701" s="124"/>
      <c r="AP701" s="124"/>
      <c r="AQ701" s="124"/>
      <c r="AR701" s="124"/>
      <c r="AS701" s="124"/>
      <c r="AT701" s="124"/>
      <c r="AU701" s="124"/>
      <c r="AV701" s="124"/>
      <c r="AW701" s="124"/>
      <c r="AX701" s="124"/>
      <c r="AY701" s="124"/>
      <c r="AZ701" s="124"/>
      <c r="BA701" s="124"/>
      <c r="BB701" s="124"/>
      <c r="BC701" s="124"/>
    </row>
    <row r="702" spans="1:55" ht="15.75" customHeight="1" x14ac:dyDescent="0.2">
      <c r="A702" s="128">
        <v>690</v>
      </c>
      <c r="B702" s="136" t="s">
        <v>13</v>
      </c>
      <c r="C702" s="171">
        <v>0</v>
      </c>
      <c r="D702" s="137">
        <v>0</v>
      </c>
      <c r="E702" s="137">
        <v>38</v>
      </c>
      <c r="F702" s="172">
        <v>0</v>
      </c>
      <c r="G702" s="137">
        <v>0</v>
      </c>
      <c r="H702" s="137">
        <v>0</v>
      </c>
      <c r="I702" s="137">
        <v>47</v>
      </c>
      <c r="J702" s="172">
        <v>0</v>
      </c>
      <c r="K702" s="137">
        <v>0</v>
      </c>
      <c r="L702" s="137">
        <v>76</v>
      </c>
      <c r="M702" s="172">
        <v>0</v>
      </c>
      <c r="N702" s="137">
        <v>65</v>
      </c>
      <c r="O702" s="172">
        <v>0</v>
      </c>
      <c r="P702" s="137">
        <v>33</v>
      </c>
      <c r="Q702" s="172">
        <v>0</v>
      </c>
      <c r="R702" s="137">
        <v>0</v>
      </c>
      <c r="S702" s="137">
        <v>54</v>
      </c>
      <c r="T702" s="172">
        <v>0</v>
      </c>
      <c r="U702" s="137">
        <v>0</v>
      </c>
      <c r="V702" s="137">
        <v>0</v>
      </c>
      <c r="W702" s="137">
        <v>88</v>
      </c>
      <c r="X702" s="172">
        <v>0</v>
      </c>
      <c r="Y702" s="137">
        <v>0</v>
      </c>
      <c r="Z702" s="137">
        <v>54</v>
      </c>
      <c r="AA702" s="172">
        <v>0</v>
      </c>
      <c r="AB702" s="137">
        <v>0</v>
      </c>
      <c r="AC702" s="137">
        <v>0</v>
      </c>
      <c r="AD702" s="137">
        <v>73</v>
      </c>
      <c r="AE702" s="172">
        <v>0</v>
      </c>
      <c r="AF702" s="137">
        <v>0</v>
      </c>
      <c r="AG702" s="137">
        <v>70</v>
      </c>
      <c r="AH702" s="172">
        <v>0</v>
      </c>
      <c r="AI702" s="137">
        <v>0</v>
      </c>
      <c r="AJ702" s="137">
        <v>92</v>
      </c>
      <c r="AK702" s="171" t="s">
        <v>18</v>
      </c>
      <c r="AL702" s="137" t="s">
        <v>18</v>
      </c>
      <c r="AM702" s="137" t="s">
        <v>18</v>
      </c>
      <c r="AN702" s="137" t="s">
        <v>18</v>
      </c>
      <c r="AO702" s="137" t="s">
        <v>18</v>
      </c>
      <c r="AP702" s="137" t="s">
        <v>18</v>
      </c>
      <c r="AQ702" s="137" t="s">
        <v>18</v>
      </c>
      <c r="AR702" s="137" t="s">
        <v>18</v>
      </c>
      <c r="AS702" s="137" t="s">
        <v>18</v>
      </c>
      <c r="AT702" s="137" t="s">
        <v>18</v>
      </c>
      <c r="AU702" s="137" t="s">
        <v>18</v>
      </c>
      <c r="AV702" s="137" t="s">
        <v>18</v>
      </c>
      <c r="AW702" s="137" t="s">
        <v>18</v>
      </c>
      <c r="AX702" s="137" t="s">
        <v>18</v>
      </c>
      <c r="AY702" s="137" t="s">
        <v>18</v>
      </c>
      <c r="AZ702" s="137" t="s">
        <v>18</v>
      </c>
      <c r="BA702" s="137" t="s">
        <v>18</v>
      </c>
      <c r="BB702" s="137" t="s">
        <v>18</v>
      </c>
      <c r="BC702" s="137" t="s">
        <v>18</v>
      </c>
    </row>
    <row r="703" spans="1:55" ht="15.75" customHeight="1" x14ac:dyDescent="0.2">
      <c r="A703" s="128">
        <v>21</v>
      </c>
      <c r="B703" s="136" t="s">
        <v>14</v>
      </c>
      <c r="C703" s="171">
        <v>0</v>
      </c>
      <c r="D703" s="137">
        <v>0</v>
      </c>
      <c r="E703" s="137">
        <v>3</v>
      </c>
      <c r="F703" s="172">
        <v>0</v>
      </c>
      <c r="G703" s="137">
        <v>0</v>
      </c>
      <c r="H703" s="137">
        <v>0</v>
      </c>
      <c r="I703" s="137">
        <v>6</v>
      </c>
      <c r="J703" s="172">
        <v>0</v>
      </c>
      <c r="K703" s="137">
        <v>0</v>
      </c>
      <c r="L703" s="137">
        <v>2</v>
      </c>
      <c r="M703" s="172">
        <v>0</v>
      </c>
      <c r="N703" s="137">
        <v>2</v>
      </c>
      <c r="O703" s="172">
        <v>0</v>
      </c>
      <c r="P703" s="137">
        <v>0</v>
      </c>
      <c r="Q703" s="172">
        <v>0</v>
      </c>
      <c r="R703" s="137">
        <v>0</v>
      </c>
      <c r="S703" s="137">
        <v>1</v>
      </c>
      <c r="T703" s="172">
        <v>0</v>
      </c>
      <c r="U703" s="137">
        <v>0</v>
      </c>
      <c r="V703" s="137">
        <v>0</v>
      </c>
      <c r="W703" s="137">
        <v>1</v>
      </c>
      <c r="X703" s="172">
        <v>0</v>
      </c>
      <c r="Y703" s="137">
        <v>0</v>
      </c>
      <c r="Z703" s="137">
        <v>1</v>
      </c>
      <c r="AA703" s="172">
        <v>0</v>
      </c>
      <c r="AB703" s="137">
        <v>0</v>
      </c>
      <c r="AC703" s="137">
        <v>0</v>
      </c>
      <c r="AD703" s="137">
        <v>1</v>
      </c>
      <c r="AE703" s="172">
        <v>0</v>
      </c>
      <c r="AF703" s="137">
        <v>0</v>
      </c>
      <c r="AG703" s="137">
        <v>2</v>
      </c>
      <c r="AH703" s="172">
        <v>0</v>
      </c>
      <c r="AI703" s="137">
        <v>0</v>
      </c>
      <c r="AJ703" s="137">
        <v>2</v>
      </c>
      <c r="AK703" s="171" t="s">
        <v>18</v>
      </c>
      <c r="AL703" s="137" t="s">
        <v>18</v>
      </c>
      <c r="AM703" s="137" t="s">
        <v>18</v>
      </c>
      <c r="AN703" s="137" t="s">
        <v>18</v>
      </c>
      <c r="AO703" s="137" t="s">
        <v>18</v>
      </c>
      <c r="AP703" s="137" t="s">
        <v>18</v>
      </c>
      <c r="AQ703" s="137" t="s">
        <v>18</v>
      </c>
      <c r="AR703" s="137" t="s">
        <v>18</v>
      </c>
      <c r="AS703" s="137" t="s">
        <v>18</v>
      </c>
      <c r="AT703" s="137" t="s">
        <v>18</v>
      </c>
      <c r="AU703" s="137" t="s">
        <v>18</v>
      </c>
      <c r="AV703" s="137" t="s">
        <v>18</v>
      </c>
      <c r="AW703" s="137" t="s">
        <v>18</v>
      </c>
      <c r="AX703" s="137" t="s">
        <v>18</v>
      </c>
      <c r="AY703" s="137" t="s">
        <v>18</v>
      </c>
      <c r="AZ703" s="137" t="s">
        <v>18</v>
      </c>
      <c r="BA703" s="137" t="s">
        <v>18</v>
      </c>
      <c r="BB703" s="137" t="s">
        <v>18</v>
      </c>
      <c r="BC703" s="137" t="s">
        <v>18</v>
      </c>
    </row>
    <row r="704" spans="1:55" ht="15.75" customHeight="1" x14ac:dyDescent="0.2">
      <c r="A704" s="128">
        <v>12</v>
      </c>
      <c r="B704" s="136" t="s">
        <v>15</v>
      </c>
      <c r="C704" s="171">
        <v>0</v>
      </c>
      <c r="D704" s="137">
        <v>0</v>
      </c>
      <c r="E704" s="137">
        <v>1</v>
      </c>
      <c r="F704" s="172">
        <v>0</v>
      </c>
      <c r="G704" s="137">
        <v>0</v>
      </c>
      <c r="H704" s="137">
        <v>0</v>
      </c>
      <c r="I704" s="137">
        <v>0</v>
      </c>
      <c r="J704" s="172">
        <v>0</v>
      </c>
      <c r="K704" s="137">
        <v>0</v>
      </c>
      <c r="L704" s="137">
        <v>2</v>
      </c>
      <c r="M704" s="172">
        <v>0</v>
      </c>
      <c r="N704" s="137">
        <v>2</v>
      </c>
      <c r="O704" s="172">
        <v>0</v>
      </c>
      <c r="P704" s="137">
        <v>0</v>
      </c>
      <c r="Q704" s="172">
        <v>0</v>
      </c>
      <c r="R704" s="137">
        <v>0</v>
      </c>
      <c r="S704" s="137">
        <v>0</v>
      </c>
      <c r="T704" s="172">
        <v>0</v>
      </c>
      <c r="U704" s="137">
        <v>0</v>
      </c>
      <c r="V704" s="137">
        <v>0</v>
      </c>
      <c r="W704" s="137">
        <v>1</v>
      </c>
      <c r="X704" s="172">
        <v>0</v>
      </c>
      <c r="Y704" s="137">
        <v>0</v>
      </c>
      <c r="Z704" s="137">
        <v>1</v>
      </c>
      <c r="AA704" s="172">
        <v>0</v>
      </c>
      <c r="AB704" s="137">
        <v>0</v>
      </c>
      <c r="AC704" s="137">
        <v>0</v>
      </c>
      <c r="AD704" s="137">
        <v>1</v>
      </c>
      <c r="AE704" s="172">
        <v>0</v>
      </c>
      <c r="AF704" s="137">
        <v>0</v>
      </c>
      <c r="AG704" s="137">
        <v>2</v>
      </c>
      <c r="AH704" s="172">
        <v>0</v>
      </c>
      <c r="AI704" s="137">
        <v>0</v>
      </c>
      <c r="AJ704" s="137">
        <v>2</v>
      </c>
      <c r="AK704" s="171" t="s">
        <v>18</v>
      </c>
      <c r="AL704" s="137" t="s">
        <v>18</v>
      </c>
      <c r="AM704" s="137" t="s">
        <v>18</v>
      </c>
      <c r="AN704" s="137" t="s">
        <v>18</v>
      </c>
      <c r="AO704" s="137" t="s">
        <v>18</v>
      </c>
      <c r="AP704" s="137" t="s">
        <v>18</v>
      </c>
      <c r="AQ704" s="137" t="s">
        <v>18</v>
      </c>
      <c r="AR704" s="137" t="s">
        <v>18</v>
      </c>
      <c r="AS704" s="137" t="s">
        <v>18</v>
      </c>
      <c r="AT704" s="137" t="s">
        <v>18</v>
      </c>
      <c r="AU704" s="137" t="s">
        <v>18</v>
      </c>
      <c r="AV704" s="137" t="s">
        <v>18</v>
      </c>
      <c r="AW704" s="137" t="s">
        <v>18</v>
      </c>
      <c r="AX704" s="137" t="s">
        <v>18</v>
      </c>
      <c r="AY704" s="137" t="s">
        <v>18</v>
      </c>
      <c r="AZ704" s="137" t="s">
        <v>18</v>
      </c>
      <c r="BA704" s="137" t="s">
        <v>18</v>
      </c>
      <c r="BB704" s="137" t="s">
        <v>18</v>
      </c>
      <c r="BC704" s="137" t="s">
        <v>18</v>
      </c>
    </row>
    <row r="705" spans="1:55" ht="15.75" customHeight="1" x14ac:dyDescent="0.2">
      <c r="A705" s="128">
        <v>6380</v>
      </c>
      <c r="B705" s="136" t="s">
        <v>16</v>
      </c>
      <c r="C705" s="171">
        <v>0</v>
      </c>
      <c r="D705" s="137">
        <v>0</v>
      </c>
      <c r="E705" s="137">
        <v>880</v>
      </c>
      <c r="F705" s="172">
        <v>0</v>
      </c>
      <c r="G705" s="137">
        <v>0</v>
      </c>
      <c r="H705" s="137">
        <v>0</v>
      </c>
      <c r="I705" s="137">
        <v>0</v>
      </c>
      <c r="J705" s="172">
        <v>0</v>
      </c>
      <c r="K705" s="137">
        <v>0</v>
      </c>
      <c r="L705" s="137">
        <v>1000</v>
      </c>
      <c r="M705" s="172">
        <v>0</v>
      </c>
      <c r="N705" s="137">
        <v>1000</v>
      </c>
      <c r="O705" s="172">
        <v>0</v>
      </c>
      <c r="P705" s="137">
        <v>0</v>
      </c>
      <c r="Q705" s="172">
        <v>0</v>
      </c>
      <c r="R705" s="137">
        <v>0</v>
      </c>
      <c r="S705" s="137">
        <v>0</v>
      </c>
      <c r="T705" s="172">
        <v>0</v>
      </c>
      <c r="U705" s="137">
        <v>0</v>
      </c>
      <c r="V705" s="137">
        <v>0</v>
      </c>
      <c r="W705" s="137">
        <v>500</v>
      </c>
      <c r="X705" s="172">
        <v>0</v>
      </c>
      <c r="Y705" s="137">
        <v>0</v>
      </c>
      <c r="Z705" s="137">
        <v>500</v>
      </c>
      <c r="AA705" s="172">
        <v>0</v>
      </c>
      <c r="AB705" s="137">
        <v>0</v>
      </c>
      <c r="AC705" s="137">
        <v>0</v>
      </c>
      <c r="AD705" s="137">
        <v>500</v>
      </c>
      <c r="AE705" s="172">
        <v>0</v>
      </c>
      <c r="AF705" s="137">
        <v>0</v>
      </c>
      <c r="AG705" s="137">
        <v>1000</v>
      </c>
      <c r="AH705" s="172">
        <v>0</v>
      </c>
      <c r="AI705" s="137">
        <v>0</v>
      </c>
      <c r="AJ705" s="137">
        <v>1000</v>
      </c>
      <c r="AK705" s="171" t="s">
        <v>18</v>
      </c>
      <c r="AL705" s="137" t="s">
        <v>18</v>
      </c>
      <c r="AM705" s="137" t="s">
        <v>18</v>
      </c>
      <c r="AN705" s="137" t="s">
        <v>18</v>
      </c>
      <c r="AO705" s="137" t="s">
        <v>18</v>
      </c>
      <c r="AP705" s="137" t="s">
        <v>18</v>
      </c>
      <c r="AQ705" s="137" t="s">
        <v>18</v>
      </c>
      <c r="AR705" s="137" t="s">
        <v>18</v>
      </c>
      <c r="AS705" s="137" t="s">
        <v>18</v>
      </c>
      <c r="AT705" s="137" t="s">
        <v>18</v>
      </c>
      <c r="AU705" s="137" t="s">
        <v>18</v>
      </c>
      <c r="AV705" s="137" t="s">
        <v>18</v>
      </c>
      <c r="AW705" s="137" t="s">
        <v>18</v>
      </c>
      <c r="AX705" s="137" t="s">
        <v>18</v>
      </c>
      <c r="AY705" s="137" t="s">
        <v>18</v>
      </c>
      <c r="AZ705" s="137" t="s">
        <v>18</v>
      </c>
      <c r="BA705" s="137" t="s">
        <v>18</v>
      </c>
      <c r="BB705" s="137" t="s">
        <v>18</v>
      </c>
      <c r="BC705" s="137" t="s">
        <v>18</v>
      </c>
    </row>
    <row r="706" spans="1:55" ht="15.75" customHeight="1" x14ac:dyDescent="0.2">
      <c r="A706" s="138">
        <v>9.2463768115942035E-2</v>
      </c>
      <c r="B706" s="136" t="s">
        <v>17</v>
      </c>
      <c r="C706" s="183" t="s">
        <v>18</v>
      </c>
      <c r="D706" s="147" t="s">
        <v>18</v>
      </c>
      <c r="E706" s="147">
        <v>0.23157894736842105</v>
      </c>
      <c r="F706" s="184" t="s">
        <v>18</v>
      </c>
      <c r="G706" s="147" t="s">
        <v>18</v>
      </c>
      <c r="H706" s="147" t="s">
        <v>18</v>
      </c>
      <c r="I706" s="147" t="s">
        <v>18</v>
      </c>
      <c r="J706" s="184" t="s">
        <v>18</v>
      </c>
      <c r="K706" s="147" t="s">
        <v>18</v>
      </c>
      <c r="L706" s="147">
        <v>0.13157894736842105</v>
      </c>
      <c r="M706" s="184" t="s">
        <v>18</v>
      </c>
      <c r="N706" s="147">
        <v>0.15384615384615385</v>
      </c>
      <c r="O706" s="184" t="s">
        <v>18</v>
      </c>
      <c r="P706" s="147" t="s">
        <v>18</v>
      </c>
      <c r="Q706" s="184" t="s">
        <v>18</v>
      </c>
      <c r="R706" s="147" t="s">
        <v>18</v>
      </c>
      <c r="S706" s="147" t="s">
        <v>18</v>
      </c>
      <c r="T706" s="184" t="s">
        <v>18</v>
      </c>
      <c r="U706" s="147" t="s">
        <v>18</v>
      </c>
      <c r="V706" s="147" t="s">
        <v>18</v>
      </c>
      <c r="W706" s="147">
        <v>5.6818181818181816E-2</v>
      </c>
      <c r="X706" s="184" t="s">
        <v>18</v>
      </c>
      <c r="Y706" s="147" t="s">
        <v>18</v>
      </c>
      <c r="Z706" s="147">
        <v>9.2592592592592587E-2</v>
      </c>
      <c r="AA706" s="184" t="s">
        <v>18</v>
      </c>
      <c r="AB706" s="147" t="s">
        <v>18</v>
      </c>
      <c r="AC706" s="147" t="s">
        <v>18</v>
      </c>
      <c r="AD706" s="147">
        <v>6.8493150684931503E-2</v>
      </c>
      <c r="AE706" s="184" t="s">
        <v>18</v>
      </c>
      <c r="AF706" s="147" t="s">
        <v>18</v>
      </c>
      <c r="AG706" s="147">
        <v>0.14285714285714285</v>
      </c>
      <c r="AH706" s="184" t="s">
        <v>18</v>
      </c>
      <c r="AI706" s="147" t="s">
        <v>18</v>
      </c>
      <c r="AJ706" s="147">
        <v>0.10869565217391304</v>
      </c>
      <c r="AK706" s="183" t="s">
        <v>18</v>
      </c>
      <c r="AL706" s="147" t="s">
        <v>18</v>
      </c>
      <c r="AM706" s="147" t="s">
        <v>18</v>
      </c>
      <c r="AN706" s="147" t="s">
        <v>18</v>
      </c>
      <c r="AO706" s="147" t="s">
        <v>18</v>
      </c>
      <c r="AP706" s="147" t="s">
        <v>18</v>
      </c>
      <c r="AQ706" s="147" t="s">
        <v>18</v>
      </c>
      <c r="AR706" s="147" t="s">
        <v>18</v>
      </c>
      <c r="AS706" s="147" t="s">
        <v>18</v>
      </c>
      <c r="AT706" s="147" t="s">
        <v>18</v>
      </c>
      <c r="AU706" s="147" t="s">
        <v>18</v>
      </c>
      <c r="AV706" s="147" t="s">
        <v>18</v>
      </c>
      <c r="AW706" s="147" t="s">
        <v>18</v>
      </c>
      <c r="AX706" s="147" t="s">
        <v>18</v>
      </c>
      <c r="AY706" s="147" t="s">
        <v>18</v>
      </c>
      <c r="AZ706" s="147" t="s">
        <v>18</v>
      </c>
      <c r="BA706" s="147" t="s">
        <v>18</v>
      </c>
      <c r="BB706" s="147" t="s">
        <v>18</v>
      </c>
      <c r="BC706" s="147" t="s">
        <v>18</v>
      </c>
    </row>
    <row r="707" spans="1:55" ht="15.75" customHeight="1" x14ac:dyDescent="0.2">
      <c r="A707" s="149" t="s">
        <v>1</v>
      </c>
      <c r="B707" s="150" t="s">
        <v>2</v>
      </c>
      <c r="C707" s="174">
        <v>16517</v>
      </c>
      <c r="D707" s="130">
        <v>16517</v>
      </c>
      <c r="E707" s="130">
        <v>16550</v>
      </c>
      <c r="F707" s="175">
        <v>16550</v>
      </c>
      <c r="G707" s="130">
        <v>16550</v>
      </c>
      <c r="H707" s="130">
        <v>16550</v>
      </c>
      <c r="I707" s="130">
        <v>16575</v>
      </c>
      <c r="J707" s="175">
        <v>16575</v>
      </c>
      <c r="K707" s="130">
        <v>16575</v>
      </c>
      <c r="L707" s="130">
        <v>16636</v>
      </c>
      <c r="M707" s="175">
        <v>16636</v>
      </c>
      <c r="N707" s="130">
        <v>16668</v>
      </c>
      <c r="O707" s="175">
        <v>16668</v>
      </c>
      <c r="P707" s="130">
        <v>16674</v>
      </c>
      <c r="Q707" s="175">
        <v>16674</v>
      </c>
      <c r="R707" s="130">
        <v>16674</v>
      </c>
      <c r="S707" s="130">
        <v>16715</v>
      </c>
      <c r="T707" s="175">
        <v>16715</v>
      </c>
      <c r="U707" s="130">
        <v>16715</v>
      </c>
      <c r="V707" s="130">
        <v>16715</v>
      </c>
      <c r="W707" s="130">
        <v>16754</v>
      </c>
      <c r="X707" s="175">
        <v>16754</v>
      </c>
      <c r="Y707" s="130">
        <v>16754</v>
      </c>
      <c r="Z707" s="130">
        <v>16765</v>
      </c>
      <c r="AA707" s="175">
        <v>16765</v>
      </c>
      <c r="AB707" s="130">
        <v>16765</v>
      </c>
      <c r="AC707" s="130">
        <v>16765</v>
      </c>
      <c r="AD707" s="130">
        <v>16831</v>
      </c>
      <c r="AE707" s="175">
        <v>16831</v>
      </c>
      <c r="AF707" s="130">
        <v>16831</v>
      </c>
      <c r="AG707" s="130">
        <v>16874</v>
      </c>
      <c r="AH707" s="175">
        <v>16874</v>
      </c>
      <c r="AI707" s="130">
        <v>16874</v>
      </c>
      <c r="AJ707" s="130">
        <v>16958</v>
      </c>
      <c r="AK707" s="174" t="s">
        <v>18</v>
      </c>
      <c r="AL707" s="130" t="s">
        <v>18</v>
      </c>
      <c r="AM707" s="130" t="s">
        <v>18</v>
      </c>
      <c r="AN707" s="130" t="s">
        <v>18</v>
      </c>
      <c r="AO707" s="130" t="s">
        <v>18</v>
      </c>
      <c r="AP707" s="130" t="s">
        <v>18</v>
      </c>
      <c r="AQ707" s="130" t="s">
        <v>18</v>
      </c>
      <c r="AR707" s="130" t="s">
        <v>18</v>
      </c>
      <c r="AS707" s="130" t="s">
        <v>18</v>
      </c>
      <c r="AT707" s="130" t="s">
        <v>18</v>
      </c>
      <c r="AU707" s="130" t="s">
        <v>18</v>
      </c>
      <c r="AV707" s="130" t="s">
        <v>18</v>
      </c>
      <c r="AW707" s="130" t="s">
        <v>18</v>
      </c>
      <c r="AX707" s="130" t="s">
        <v>18</v>
      </c>
      <c r="AY707" s="130" t="s">
        <v>18</v>
      </c>
      <c r="AZ707" s="130" t="s">
        <v>18</v>
      </c>
      <c r="BA707" s="130" t="s">
        <v>18</v>
      </c>
      <c r="BB707" s="130" t="s">
        <v>18</v>
      </c>
      <c r="BC707" s="130" t="s">
        <v>18</v>
      </c>
    </row>
    <row r="708" spans="1:55" ht="15.75" customHeight="1" x14ac:dyDescent="0.2">
      <c r="A708" s="121" t="s">
        <v>29</v>
      </c>
      <c r="B708" s="122" t="s">
        <v>4</v>
      </c>
      <c r="C708" s="171">
        <v>969</v>
      </c>
      <c r="D708" s="124">
        <v>969</v>
      </c>
      <c r="E708" s="124">
        <v>972</v>
      </c>
      <c r="F708" s="172">
        <v>972</v>
      </c>
      <c r="G708" s="124">
        <v>972</v>
      </c>
      <c r="H708" s="124">
        <v>972</v>
      </c>
      <c r="I708" s="124">
        <v>973</v>
      </c>
      <c r="J708" s="172">
        <v>973</v>
      </c>
      <c r="K708" s="124">
        <v>973</v>
      </c>
      <c r="L708" s="124">
        <v>994</v>
      </c>
      <c r="M708" s="172">
        <v>994</v>
      </c>
      <c r="N708" s="124">
        <v>994</v>
      </c>
      <c r="O708" s="172">
        <v>994</v>
      </c>
      <c r="P708" s="124">
        <v>994</v>
      </c>
      <c r="Q708" s="172">
        <v>994</v>
      </c>
      <c r="R708" s="124">
        <v>994</v>
      </c>
      <c r="S708" s="124">
        <v>1005</v>
      </c>
      <c r="T708" s="172">
        <v>1005</v>
      </c>
      <c r="U708" s="124">
        <v>1005</v>
      </c>
      <c r="V708" s="124">
        <v>1005</v>
      </c>
      <c r="W708" s="124">
        <v>1021</v>
      </c>
      <c r="X708" s="172">
        <v>1021</v>
      </c>
      <c r="Y708" s="124">
        <v>1021</v>
      </c>
      <c r="Z708" s="124">
        <v>1028</v>
      </c>
      <c r="AA708" s="172">
        <v>1028</v>
      </c>
      <c r="AB708" s="124">
        <v>1028</v>
      </c>
      <c r="AC708" s="124">
        <v>1028</v>
      </c>
      <c r="AD708" s="124">
        <v>1057</v>
      </c>
      <c r="AE708" s="172">
        <v>1057</v>
      </c>
      <c r="AF708" s="124">
        <v>1057</v>
      </c>
      <c r="AG708" s="124">
        <v>1057</v>
      </c>
      <c r="AH708" s="172">
        <v>1057</v>
      </c>
      <c r="AI708" s="124">
        <v>1057</v>
      </c>
      <c r="AJ708" s="124">
        <v>1098</v>
      </c>
      <c r="AK708" s="171" t="s">
        <v>18</v>
      </c>
      <c r="AL708" s="124" t="s">
        <v>18</v>
      </c>
      <c r="AM708" s="124" t="s">
        <v>18</v>
      </c>
      <c r="AN708" s="124" t="s">
        <v>18</v>
      </c>
      <c r="AO708" s="124" t="s">
        <v>18</v>
      </c>
      <c r="AP708" s="124" t="s">
        <v>18</v>
      </c>
      <c r="AQ708" s="124" t="s">
        <v>18</v>
      </c>
      <c r="AR708" s="124" t="s">
        <v>18</v>
      </c>
      <c r="AS708" s="124" t="s">
        <v>18</v>
      </c>
      <c r="AT708" s="124" t="s">
        <v>18</v>
      </c>
      <c r="AU708" s="124" t="s">
        <v>18</v>
      </c>
      <c r="AV708" s="124" t="s">
        <v>18</v>
      </c>
      <c r="AW708" s="124" t="s">
        <v>18</v>
      </c>
      <c r="AX708" s="124" t="s">
        <v>18</v>
      </c>
      <c r="AY708" s="124" t="s">
        <v>18</v>
      </c>
      <c r="AZ708" s="124" t="s">
        <v>18</v>
      </c>
      <c r="BA708" s="124" t="s">
        <v>18</v>
      </c>
      <c r="BB708" s="124" t="s">
        <v>18</v>
      </c>
      <c r="BC708" s="124" t="s">
        <v>18</v>
      </c>
    </row>
    <row r="709" spans="1:55" ht="15.75" customHeight="1" x14ac:dyDescent="0.25">
      <c r="A709" s="143">
        <v>2</v>
      </c>
      <c r="B709" s="122" t="s">
        <v>5</v>
      </c>
      <c r="C709" s="171">
        <v>12</v>
      </c>
      <c r="D709" s="124">
        <v>12</v>
      </c>
      <c r="E709" s="124">
        <v>12</v>
      </c>
      <c r="F709" s="172">
        <v>12</v>
      </c>
      <c r="G709" s="124">
        <v>12</v>
      </c>
      <c r="H709" s="124">
        <v>12</v>
      </c>
      <c r="I709" s="124">
        <v>12</v>
      </c>
      <c r="J709" s="172">
        <v>12</v>
      </c>
      <c r="K709" s="124">
        <v>12</v>
      </c>
      <c r="L709" s="124">
        <v>12</v>
      </c>
      <c r="M709" s="172">
        <v>12</v>
      </c>
      <c r="N709" s="124">
        <v>12</v>
      </c>
      <c r="O709" s="172">
        <v>12</v>
      </c>
      <c r="P709" s="124">
        <v>12</v>
      </c>
      <c r="Q709" s="172">
        <v>18</v>
      </c>
      <c r="R709" s="124">
        <v>18</v>
      </c>
      <c r="S709" s="124">
        <v>17</v>
      </c>
      <c r="T709" s="172">
        <v>23</v>
      </c>
      <c r="U709" s="124">
        <v>23</v>
      </c>
      <c r="V709" s="124">
        <v>23</v>
      </c>
      <c r="W709" s="124">
        <v>21</v>
      </c>
      <c r="X709" s="172">
        <v>21</v>
      </c>
      <c r="Y709" s="124">
        <v>21</v>
      </c>
      <c r="Z709" s="124">
        <v>21</v>
      </c>
      <c r="AA709" s="172">
        <v>6</v>
      </c>
      <c r="AB709" s="124">
        <v>6</v>
      </c>
      <c r="AC709" s="124">
        <v>6</v>
      </c>
      <c r="AD709" s="124">
        <v>6</v>
      </c>
      <c r="AE709" s="172">
        <v>11</v>
      </c>
      <c r="AF709" s="124">
        <v>11</v>
      </c>
      <c r="AG709" s="124">
        <v>7</v>
      </c>
      <c r="AH709" s="172">
        <v>10</v>
      </c>
      <c r="AI709" s="124">
        <v>10</v>
      </c>
      <c r="AJ709" s="124">
        <v>10</v>
      </c>
      <c r="AK709" s="171" t="s">
        <v>18</v>
      </c>
      <c r="AL709" s="124" t="s">
        <v>18</v>
      </c>
      <c r="AM709" s="124" t="s">
        <v>18</v>
      </c>
      <c r="AN709" s="124" t="s">
        <v>18</v>
      </c>
      <c r="AO709" s="124" t="s">
        <v>18</v>
      </c>
      <c r="AP709" s="124" t="s">
        <v>18</v>
      </c>
      <c r="AQ709" s="124" t="s">
        <v>18</v>
      </c>
      <c r="AR709" s="124" t="s">
        <v>18</v>
      </c>
      <c r="AS709" s="124" t="s">
        <v>18</v>
      </c>
      <c r="AT709" s="124" t="s">
        <v>18</v>
      </c>
      <c r="AU709" s="124" t="s">
        <v>18</v>
      </c>
      <c r="AV709" s="124" t="s">
        <v>18</v>
      </c>
      <c r="AW709" s="124" t="s">
        <v>18</v>
      </c>
      <c r="AX709" s="124" t="s">
        <v>18</v>
      </c>
      <c r="AY709" s="124" t="s">
        <v>18</v>
      </c>
      <c r="AZ709" s="124" t="s">
        <v>18</v>
      </c>
      <c r="BA709" s="124" t="s">
        <v>18</v>
      </c>
      <c r="BB709" s="124" t="s">
        <v>18</v>
      </c>
      <c r="BC709" s="124" t="s">
        <v>18</v>
      </c>
    </row>
    <row r="710" spans="1:55" ht="15.75" customHeight="1" x14ac:dyDescent="0.2">
      <c r="A710" s="127"/>
      <c r="B710" s="122" t="s">
        <v>6</v>
      </c>
      <c r="C710" s="171"/>
      <c r="D710" s="124"/>
      <c r="E710" s="124"/>
      <c r="F710" s="172"/>
      <c r="G710" s="124"/>
      <c r="H710" s="124"/>
      <c r="I710" s="124"/>
      <c r="J710" s="172"/>
      <c r="K710" s="124"/>
      <c r="L710" s="124"/>
      <c r="M710" s="172"/>
      <c r="N710" s="124"/>
      <c r="O710" s="172"/>
      <c r="P710" s="124">
        <v>6</v>
      </c>
      <c r="Q710" s="172"/>
      <c r="R710" s="124"/>
      <c r="S710" s="124">
        <v>6</v>
      </c>
      <c r="T710" s="172"/>
      <c r="U710" s="124"/>
      <c r="V710" s="124"/>
      <c r="W710" s="124"/>
      <c r="X710" s="172"/>
      <c r="Y710" s="124"/>
      <c r="Z710" s="124">
        <v>-15</v>
      </c>
      <c r="AA710" s="172"/>
      <c r="AB710" s="124"/>
      <c r="AC710" s="124"/>
      <c r="AD710" s="124">
        <v>5</v>
      </c>
      <c r="AE710" s="172"/>
      <c r="AF710" s="124"/>
      <c r="AG710" s="124">
        <v>3</v>
      </c>
      <c r="AH710" s="172"/>
      <c r="AI710" s="124"/>
      <c r="AJ710" s="124"/>
      <c r="AK710" s="171"/>
      <c r="AL710" s="124"/>
      <c r="AM710" s="124"/>
      <c r="AN710" s="124"/>
      <c r="AO710" s="124"/>
      <c r="AP710" s="124"/>
      <c r="AQ710" s="124"/>
      <c r="AR710" s="124"/>
      <c r="AS710" s="124"/>
      <c r="AT710" s="124"/>
      <c r="AU710" s="124"/>
      <c r="AV710" s="124"/>
      <c r="AW710" s="124"/>
      <c r="AX710" s="124"/>
      <c r="AY710" s="124"/>
      <c r="AZ710" s="124"/>
      <c r="BA710" s="124"/>
      <c r="BB710" s="124"/>
      <c r="BC710" s="124"/>
    </row>
    <row r="711" spans="1:55" ht="15.75" customHeight="1" x14ac:dyDescent="0.2">
      <c r="A711" s="128"/>
      <c r="B711" s="122" t="s">
        <v>8</v>
      </c>
      <c r="C711" s="174">
        <v>1100</v>
      </c>
      <c r="D711" s="130">
        <v>1100</v>
      </c>
      <c r="E711" s="130">
        <v>1100</v>
      </c>
      <c r="F711" s="175">
        <v>1100</v>
      </c>
      <c r="G711" s="130">
        <v>1100</v>
      </c>
      <c r="H711" s="130">
        <v>1100</v>
      </c>
      <c r="I711" s="130">
        <v>1100</v>
      </c>
      <c r="J711" s="175">
        <v>1100</v>
      </c>
      <c r="K711" s="130">
        <v>1100</v>
      </c>
      <c r="L711" s="130">
        <v>1100</v>
      </c>
      <c r="M711" s="175">
        <v>1100</v>
      </c>
      <c r="N711" s="130">
        <v>1100</v>
      </c>
      <c r="O711" s="175">
        <v>1100</v>
      </c>
      <c r="P711" s="130">
        <v>1100</v>
      </c>
      <c r="Q711" s="175">
        <v>1100</v>
      </c>
      <c r="R711" s="130">
        <v>1100</v>
      </c>
      <c r="S711" s="130">
        <v>1100</v>
      </c>
      <c r="T711" s="175">
        <v>1100</v>
      </c>
      <c r="U711" s="130">
        <v>1100</v>
      </c>
      <c r="V711" s="130">
        <v>1100</v>
      </c>
      <c r="W711" s="130">
        <v>1100</v>
      </c>
      <c r="X711" s="175">
        <v>1100</v>
      </c>
      <c r="Y711" s="130">
        <v>1100</v>
      </c>
      <c r="Z711" s="130">
        <v>1100</v>
      </c>
      <c r="AA711" s="175">
        <v>1100</v>
      </c>
      <c r="AB711" s="130">
        <v>1100</v>
      </c>
      <c r="AC711" s="130">
        <v>1100</v>
      </c>
      <c r="AD711" s="130">
        <v>687</v>
      </c>
      <c r="AE711" s="175">
        <v>687</v>
      </c>
      <c r="AF711" s="130">
        <v>687</v>
      </c>
      <c r="AG711" s="130">
        <v>687</v>
      </c>
      <c r="AH711" s="175">
        <v>687</v>
      </c>
      <c r="AI711" s="130">
        <v>687</v>
      </c>
      <c r="AJ711" s="130">
        <v>687</v>
      </c>
      <c r="AK711" s="174" t="s">
        <v>18</v>
      </c>
      <c r="AL711" s="130" t="s">
        <v>18</v>
      </c>
      <c r="AM711" s="130" t="s">
        <v>18</v>
      </c>
      <c r="AN711" s="130" t="s">
        <v>18</v>
      </c>
      <c r="AO711" s="130" t="s">
        <v>18</v>
      </c>
      <c r="AP711" s="130" t="s">
        <v>18</v>
      </c>
      <c r="AQ711" s="130" t="s">
        <v>18</v>
      </c>
      <c r="AR711" s="130" t="s">
        <v>18</v>
      </c>
      <c r="AS711" s="130" t="s">
        <v>18</v>
      </c>
      <c r="AT711" s="130" t="s">
        <v>18</v>
      </c>
      <c r="AU711" s="130" t="s">
        <v>18</v>
      </c>
      <c r="AV711" s="130" t="s">
        <v>18</v>
      </c>
      <c r="AW711" s="130" t="s">
        <v>18</v>
      </c>
      <c r="AX711" s="130" t="s">
        <v>18</v>
      </c>
      <c r="AY711" s="130" t="s">
        <v>18</v>
      </c>
      <c r="AZ711" s="130" t="s">
        <v>18</v>
      </c>
      <c r="BA711" s="130" t="s">
        <v>18</v>
      </c>
      <c r="BB711" s="130" t="s">
        <v>18</v>
      </c>
      <c r="BC711" s="130" t="s">
        <v>18</v>
      </c>
    </row>
    <row r="712" spans="1:55" ht="15.75" customHeight="1" x14ac:dyDescent="0.2">
      <c r="A712" s="127" t="s">
        <v>9</v>
      </c>
      <c r="B712" s="132" t="s">
        <v>10</v>
      </c>
      <c r="C712" s="177" t="s">
        <v>90</v>
      </c>
      <c r="D712" s="134" t="s">
        <v>90</v>
      </c>
      <c r="E712" s="134" t="s">
        <v>90</v>
      </c>
      <c r="F712" s="178" t="s">
        <v>90</v>
      </c>
      <c r="G712" s="134" t="s">
        <v>90</v>
      </c>
      <c r="H712" s="134" t="s">
        <v>90</v>
      </c>
      <c r="I712" s="134" t="s">
        <v>90</v>
      </c>
      <c r="J712" s="178" t="s">
        <v>90</v>
      </c>
      <c r="K712" s="134" t="s">
        <v>90</v>
      </c>
      <c r="L712" s="134" t="s">
        <v>90</v>
      </c>
      <c r="M712" s="178" t="s">
        <v>90</v>
      </c>
      <c r="N712" s="134" t="s">
        <v>90</v>
      </c>
      <c r="O712" s="178" t="s">
        <v>90</v>
      </c>
      <c r="P712" s="134" t="s">
        <v>90</v>
      </c>
      <c r="Q712" s="178" t="s">
        <v>91</v>
      </c>
      <c r="R712" s="134" t="s">
        <v>91</v>
      </c>
      <c r="S712" s="134" t="s">
        <v>91</v>
      </c>
      <c r="T712" s="178" t="s">
        <v>91</v>
      </c>
      <c r="U712" s="134" t="s">
        <v>91</v>
      </c>
      <c r="V712" s="134" t="s">
        <v>91</v>
      </c>
      <c r="W712" s="134" t="s">
        <v>91</v>
      </c>
      <c r="X712" s="178" t="s">
        <v>91</v>
      </c>
      <c r="Y712" s="134" t="s">
        <v>91</v>
      </c>
      <c r="Z712" s="134" t="s">
        <v>91</v>
      </c>
      <c r="AA712" s="178" t="s">
        <v>92</v>
      </c>
      <c r="AB712" s="134" t="s">
        <v>92</v>
      </c>
      <c r="AC712" s="134" t="s">
        <v>92</v>
      </c>
      <c r="AD712" s="134" t="s">
        <v>92</v>
      </c>
      <c r="AE712" s="178" t="s">
        <v>33</v>
      </c>
      <c r="AF712" s="134" t="s">
        <v>33</v>
      </c>
      <c r="AG712" s="134" t="s">
        <v>33</v>
      </c>
      <c r="AH712" s="178" t="s">
        <v>33</v>
      </c>
      <c r="AI712" s="134" t="s">
        <v>33</v>
      </c>
      <c r="AJ712" s="134" t="s">
        <v>33</v>
      </c>
      <c r="AK712" s="177" t="s">
        <v>93</v>
      </c>
      <c r="AL712" s="134" t="s">
        <v>18</v>
      </c>
      <c r="AM712" s="134" t="s">
        <v>18</v>
      </c>
      <c r="AN712" s="134" t="s">
        <v>18</v>
      </c>
      <c r="AO712" s="134" t="s">
        <v>18</v>
      </c>
      <c r="AP712" s="134" t="s">
        <v>18</v>
      </c>
      <c r="AQ712" s="134" t="s">
        <v>18</v>
      </c>
      <c r="AR712" s="134" t="s">
        <v>18</v>
      </c>
      <c r="AS712" s="134" t="s">
        <v>18</v>
      </c>
      <c r="AT712" s="134" t="s">
        <v>18</v>
      </c>
      <c r="AU712" s="134" t="s">
        <v>18</v>
      </c>
      <c r="AV712" s="134" t="s">
        <v>18</v>
      </c>
      <c r="AW712" s="134" t="s">
        <v>18</v>
      </c>
      <c r="AX712" s="134" t="s">
        <v>18</v>
      </c>
      <c r="AY712" s="134" t="s">
        <v>18</v>
      </c>
      <c r="AZ712" s="134" t="s">
        <v>18</v>
      </c>
      <c r="BA712" s="134" t="s">
        <v>18</v>
      </c>
      <c r="BB712" s="134" t="s">
        <v>18</v>
      </c>
      <c r="BC712" s="134" t="s">
        <v>18</v>
      </c>
    </row>
    <row r="713" spans="1:55" ht="15.75" customHeight="1" x14ac:dyDescent="0.2">
      <c r="A713" s="128">
        <v>38911.764705882357</v>
      </c>
      <c r="B713" s="122" t="s">
        <v>12</v>
      </c>
      <c r="C713" s="171"/>
      <c r="D713" s="124"/>
      <c r="E713" s="124"/>
      <c r="F713" s="172"/>
      <c r="G713" s="124"/>
      <c r="H713" s="124"/>
      <c r="I713" s="124"/>
      <c r="J713" s="172"/>
      <c r="K713" s="124"/>
      <c r="L713" s="124"/>
      <c r="M713" s="172"/>
      <c r="N713" s="124"/>
      <c r="O713" s="172"/>
      <c r="P713" s="124"/>
      <c r="Q713" s="172" t="s">
        <v>94</v>
      </c>
      <c r="R713" s="124"/>
      <c r="S713" s="124"/>
      <c r="T713" s="172"/>
      <c r="U713" s="124"/>
      <c r="V713" s="124"/>
      <c r="W713" s="124"/>
      <c r="X713" s="172"/>
      <c r="Y713" s="124"/>
      <c r="Z713" s="124"/>
      <c r="AA713" s="172" t="s">
        <v>95</v>
      </c>
      <c r="AB713" s="124"/>
      <c r="AC713" s="124"/>
      <c r="AD713" s="124"/>
      <c r="AE713" s="172" t="s">
        <v>96</v>
      </c>
      <c r="AF713" s="124"/>
      <c r="AG713" s="124"/>
      <c r="AH713" s="172" t="s">
        <v>97</v>
      </c>
      <c r="AI713" s="124"/>
      <c r="AJ713" s="124"/>
      <c r="AK713" s="171" t="s">
        <v>98</v>
      </c>
      <c r="AL713" s="124"/>
      <c r="AM713" s="124"/>
      <c r="AN713" s="124"/>
      <c r="AO713" s="124"/>
      <c r="AP713" s="124"/>
      <c r="AQ713" s="124"/>
      <c r="AR713" s="124"/>
      <c r="AS713" s="124"/>
      <c r="AT713" s="124"/>
      <c r="AU713" s="124"/>
      <c r="AV713" s="124"/>
      <c r="AW713" s="124"/>
      <c r="AX713" s="124"/>
      <c r="AY713" s="124"/>
      <c r="AZ713" s="124"/>
      <c r="BA713" s="124"/>
      <c r="BB713" s="124"/>
      <c r="BC713" s="124"/>
    </row>
    <row r="714" spans="1:55" ht="15.75" customHeight="1" x14ac:dyDescent="0.2">
      <c r="A714" s="128">
        <v>441</v>
      </c>
      <c r="B714" s="136" t="s">
        <v>13</v>
      </c>
      <c r="C714" s="171">
        <v>0</v>
      </c>
      <c r="D714" s="137">
        <v>0</v>
      </c>
      <c r="E714" s="137">
        <v>33</v>
      </c>
      <c r="F714" s="172">
        <v>0</v>
      </c>
      <c r="G714" s="137">
        <v>0</v>
      </c>
      <c r="H714" s="137">
        <v>0</v>
      </c>
      <c r="I714" s="137">
        <v>25</v>
      </c>
      <c r="J714" s="172">
        <v>0</v>
      </c>
      <c r="K714" s="137">
        <v>0</v>
      </c>
      <c r="L714" s="137">
        <v>61</v>
      </c>
      <c r="M714" s="172">
        <v>0</v>
      </c>
      <c r="N714" s="137">
        <v>32</v>
      </c>
      <c r="O714" s="172">
        <v>0</v>
      </c>
      <c r="P714" s="137">
        <v>6</v>
      </c>
      <c r="Q714" s="172">
        <v>0</v>
      </c>
      <c r="R714" s="137">
        <v>0</v>
      </c>
      <c r="S714" s="137">
        <v>41</v>
      </c>
      <c r="T714" s="172">
        <v>0</v>
      </c>
      <c r="U714" s="137">
        <v>0</v>
      </c>
      <c r="V714" s="137">
        <v>0</v>
      </c>
      <c r="W714" s="137">
        <v>39</v>
      </c>
      <c r="X714" s="172">
        <v>0</v>
      </c>
      <c r="Y714" s="137">
        <v>0</v>
      </c>
      <c r="Z714" s="137">
        <v>11</v>
      </c>
      <c r="AA714" s="172">
        <v>0</v>
      </c>
      <c r="AB714" s="137">
        <v>0</v>
      </c>
      <c r="AC714" s="137">
        <v>0</v>
      </c>
      <c r="AD714" s="137">
        <v>66</v>
      </c>
      <c r="AE714" s="172">
        <v>0</v>
      </c>
      <c r="AF714" s="137">
        <v>0</v>
      </c>
      <c r="AG714" s="137">
        <v>43</v>
      </c>
      <c r="AH714" s="172">
        <v>0</v>
      </c>
      <c r="AI714" s="137">
        <v>0</v>
      </c>
      <c r="AJ714" s="137">
        <v>84</v>
      </c>
      <c r="AK714" s="171" t="s">
        <v>18</v>
      </c>
      <c r="AL714" s="137" t="s">
        <v>18</v>
      </c>
      <c r="AM714" s="137" t="s">
        <v>18</v>
      </c>
      <c r="AN714" s="137" t="s">
        <v>18</v>
      </c>
      <c r="AO714" s="137" t="s">
        <v>18</v>
      </c>
      <c r="AP714" s="137" t="s">
        <v>18</v>
      </c>
      <c r="AQ714" s="137" t="s">
        <v>18</v>
      </c>
      <c r="AR714" s="137" t="s">
        <v>18</v>
      </c>
      <c r="AS714" s="137" t="s">
        <v>18</v>
      </c>
      <c r="AT714" s="137" t="s">
        <v>18</v>
      </c>
      <c r="AU714" s="137" t="s">
        <v>18</v>
      </c>
      <c r="AV714" s="137" t="s">
        <v>18</v>
      </c>
      <c r="AW714" s="137" t="s">
        <v>18</v>
      </c>
      <c r="AX714" s="137" t="s">
        <v>18</v>
      </c>
      <c r="AY714" s="137" t="s">
        <v>18</v>
      </c>
      <c r="AZ714" s="137" t="s">
        <v>18</v>
      </c>
      <c r="BA714" s="137" t="s">
        <v>18</v>
      </c>
      <c r="BB714" s="137" t="s">
        <v>18</v>
      </c>
      <c r="BC714" s="137" t="s">
        <v>18</v>
      </c>
    </row>
    <row r="715" spans="1:55" ht="15.75" customHeight="1" x14ac:dyDescent="0.2">
      <c r="A715" s="128">
        <v>129</v>
      </c>
      <c r="B715" s="136" t="s">
        <v>14</v>
      </c>
      <c r="C715" s="171">
        <v>0</v>
      </c>
      <c r="D715" s="137">
        <v>0</v>
      </c>
      <c r="E715" s="137">
        <v>3</v>
      </c>
      <c r="F715" s="172">
        <v>0</v>
      </c>
      <c r="G715" s="137">
        <v>0</v>
      </c>
      <c r="H715" s="137">
        <v>0</v>
      </c>
      <c r="I715" s="137">
        <v>1</v>
      </c>
      <c r="J715" s="172">
        <v>0</v>
      </c>
      <c r="K715" s="137">
        <v>0</v>
      </c>
      <c r="L715" s="137">
        <v>21</v>
      </c>
      <c r="M715" s="172">
        <v>0</v>
      </c>
      <c r="N715" s="137">
        <v>0</v>
      </c>
      <c r="O715" s="172">
        <v>0</v>
      </c>
      <c r="P715" s="137">
        <v>0</v>
      </c>
      <c r="Q715" s="172">
        <v>0</v>
      </c>
      <c r="R715" s="137">
        <v>0</v>
      </c>
      <c r="S715" s="137">
        <v>11</v>
      </c>
      <c r="T715" s="172">
        <v>0</v>
      </c>
      <c r="U715" s="137">
        <v>0</v>
      </c>
      <c r="V715" s="137">
        <v>0</v>
      </c>
      <c r="W715" s="137">
        <v>16</v>
      </c>
      <c r="X715" s="172">
        <v>0</v>
      </c>
      <c r="Y715" s="137">
        <v>0</v>
      </c>
      <c r="Z715" s="137">
        <v>7</v>
      </c>
      <c r="AA715" s="172">
        <v>0</v>
      </c>
      <c r="AB715" s="137">
        <v>0</v>
      </c>
      <c r="AC715" s="137">
        <v>0</v>
      </c>
      <c r="AD715" s="137">
        <v>29</v>
      </c>
      <c r="AE715" s="172">
        <v>0</v>
      </c>
      <c r="AF715" s="137">
        <v>0</v>
      </c>
      <c r="AG715" s="137">
        <v>0</v>
      </c>
      <c r="AH715" s="172">
        <v>0</v>
      </c>
      <c r="AI715" s="137">
        <v>0</v>
      </c>
      <c r="AJ715" s="137">
        <v>41</v>
      </c>
      <c r="AK715" s="171" t="s">
        <v>18</v>
      </c>
      <c r="AL715" s="137" t="s">
        <v>18</v>
      </c>
      <c r="AM715" s="137" t="s">
        <v>18</v>
      </c>
      <c r="AN715" s="137" t="s">
        <v>18</v>
      </c>
      <c r="AO715" s="137" t="s">
        <v>18</v>
      </c>
      <c r="AP715" s="137" t="s">
        <v>18</v>
      </c>
      <c r="AQ715" s="137" t="s">
        <v>18</v>
      </c>
      <c r="AR715" s="137" t="s">
        <v>18</v>
      </c>
      <c r="AS715" s="137" t="s">
        <v>18</v>
      </c>
      <c r="AT715" s="137" t="s">
        <v>18</v>
      </c>
      <c r="AU715" s="137" t="s">
        <v>18</v>
      </c>
      <c r="AV715" s="137" t="s">
        <v>18</v>
      </c>
      <c r="AW715" s="137" t="s">
        <v>18</v>
      </c>
      <c r="AX715" s="137" t="s">
        <v>18</v>
      </c>
      <c r="AY715" s="137" t="s">
        <v>18</v>
      </c>
      <c r="AZ715" s="137" t="s">
        <v>18</v>
      </c>
      <c r="BA715" s="137" t="s">
        <v>18</v>
      </c>
      <c r="BB715" s="137" t="s">
        <v>18</v>
      </c>
      <c r="BC715" s="137" t="s">
        <v>18</v>
      </c>
    </row>
    <row r="716" spans="1:55" ht="15.75" customHeight="1" x14ac:dyDescent="0.2">
      <c r="A716" s="128">
        <v>7</v>
      </c>
      <c r="B716" s="136" t="s">
        <v>15</v>
      </c>
      <c r="C716" s="171">
        <v>0</v>
      </c>
      <c r="D716" s="137">
        <v>0</v>
      </c>
      <c r="E716" s="137">
        <v>0</v>
      </c>
      <c r="F716" s="172">
        <v>0</v>
      </c>
      <c r="G716" s="137">
        <v>0</v>
      </c>
      <c r="H716" s="137">
        <v>0</v>
      </c>
      <c r="I716" s="137">
        <v>0</v>
      </c>
      <c r="J716" s="172">
        <v>0</v>
      </c>
      <c r="K716" s="137">
        <v>0</v>
      </c>
      <c r="L716" s="137">
        <v>0</v>
      </c>
      <c r="M716" s="172">
        <v>0</v>
      </c>
      <c r="N716" s="137">
        <v>0</v>
      </c>
      <c r="O716" s="172">
        <v>0</v>
      </c>
      <c r="P716" s="137">
        <v>0</v>
      </c>
      <c r="Q716" s="172">
        <v>0</v>
      </c>
      <c r="R716" s="137">
        <v>0</v>
      </c>
      <c r="S716" s="137">
        <v>1</v>
      </c>
      <c r="T716" s="172">
        <v>0</v>
      </c>
      <c r="U716" s="137">
        <v>0</v>
      </c>
      <c r="V716" s="137">
        <v>0</v>
      </c>
      <c r="W716" s="137">
        <v>2</v>
      </c>
      <c r="X716" s="172">
        <v>0</v>
      </c>
      <c r="Y716" s="137">
        <v>0</v>
      </c>
      <c r="Z716" s="137">
        <v>0</v>
      </c>
      <c r="AA716" s="172">
        <v>0</v>
      </c>
      <c r="AB716" s="137">
        <v>0</v>
      </c>
      <c r="AC716" s="137">
        <v>0</v>
      </c>
      <c r="AD716" s="137">
        <v>0</v>
      </c>
      <c r="AE716" s="172">
        <v>0</v>
      </c>
      <c r="AF716" s="137">
        <v>0</v>
      </c>
      <c r="AG716" s="137">
        <v>4</v>
      </c>
      <c r="AH716" s="172">
        <v>0</v>
      </c>
      <c r="AI716" s="137">
        <v>0</v>
      </c>
      <c r="AJ716" s="137">
        <v>0</v>
      </c>
      <c r="AK716" s="171" t="s">
        <v>18</v>
      </c>
      <c r="AL716" s="137" t="s">
        <v>18</v>
      </c>
      <c r="AM716" s="137" t="s">
        <v>18</v>
      </c>
      <c r="AN716" s="137" t="s">
        <v>18</v>
      </c>
      <c r="AO716" s="137" t="s">
        <v>18</v>
      </c>
      <c r="AP716" s="137" t="s">
        <v>18</v>
      </c>
      <c r="AQ716" s="137" t="s">
        <v>18</v>
      </c>
      <c r="AR716" s="137" t="s">
        <v>18</v>
      </c>
      <c r="AS716" s="137" t="s">
        <v>18</v>
      </c>
      <c r="AT716" s="137" t="s">
        <v>18</v>
      </c>
      <c r="AU716" s="137" t="s">
        <v>18</v>
      </c>
      <c r="AV716" s="137" t="s">
        <v>18</v>
      </c>
      <c r="AW716" s="137" t="s">
        <v>18</v>
      </c>
      <c r="AX716" s="137" t="s">
        <v>18</v>
      </c>
      <c r="AY716" s="137" t="s">
        <v>18</v>
      </c>
      <c r="AZ716" s="137" t="s">
        <v>18</v>
      </c>
      <c r="BA716" s="137" t="s">
        <v>18</v>
      </c>
      <c r="BB716" s="137" t="s">
        <v>18</v>
      </c>
      <c r="BC716" s="137" t="s">
        <v>18</v>
      </c>
    </row>
    <row r="717" spans="1:55" ht="15.75" customHeight="1" x14ac:dyDescent="0.2">
      <c r="A717" s="128">
        <v>6048</v>
      </c>
      <c r="B717" s="136" t="s">
        <v>16</v>
      </c>
      <c r="C717" s="171">
        <v>0</v>
      </c>
      <c r="D717" s="137">
        <v>0</v>
      </c>
      <c r="E717" s="137">
        <v>0</v>
      </c>
      <c r="F717" s="172">
        <v>0</v>
      </c>
      <c r="G717" s="137">
        <v>0</v>
      </c>
      <c r="H717" s="137">
        <v>0</v>
      </c>
      <c r="I717" s="137">
        <v>0</v>
      </c>
      <c r="J717" s="172">
        <v>0</v>
      </c>
      <c r="K717" s="137">
        <v>0</v>
      </c>
      <c r="L717" s="137">
        <v>0</v>
      </c>
      <c r="M717" s="172">
        <v>0</v>
      </c>
      <c r="N717" s="137">
        <v>0</v>
      </c>
      <c r="O717" s="172">
        <v>0</v>
      </c>
      <c r="P717" s="137">
        <v>0</v>
      </c>
      <c r="Q717" s="172">
        <v>0</v>
      </c>
      <c r="R717" s="137">
        <v>0</v>
      </c>
      <c r="S717" s="137">
        <v>1100</v>
      </c>
      <c r="T717" s="172">
        <v>0</v>
      </c>
      <c r="U717" s="137">
        <v>0</v>
      </c>
      <c r="V717" s="137">
        <v>0</v>
      </c>
      <c r="W717" s="137">
        <v>2200</v>
      </c>
      <c r="X717" s="172">
        <v>0</v>
      </c>
      <c r="Y717" s="137">
        <v>0</v>
      </c>
      <c r="Z717" s="137">
        <v>0</v>
      </c>
      <c r="AA717" s="172">
        <v>0</v>
      </c>
      <c r="AB717" s="137">
        <v>0</v>
      </c>
      <c r="AC717" s="137">
        <v>0</v>
      </c>
      <c r="AD717" s="137">
        <v>0</v>
      </c>
      <c r="AE717" s="172">
        <v>0</v>
      </c>
      <c r="AF717" s="137">
        <v>0</v>
      </c>
      <c r="AG717" s="137">
        <v>2748</v>
      </c>
      <c r="AH717" s="172">
        <v>0</v>
      </c>
      <c r="AI717" s="137">
        <v>0</v>
      </c>
      <c r="AJ717" s="137">
        <v>0</v>
      </c>
      <c r="AK717" s="171" t="s">
        <v>18</v>
      </c>
      <c r="AL717" s="137" t="s">
        <v>18</v>
      </c>
      <c r="AM717" s="137" t="s">
        <v>18</v>
      </c>
      <c r="AN717" s="137" t="s">
        <v>18</v>
      </c>
      <c r="AO717" s="137" t="s">
        <v>18</v>
      </c>
      <c r="AP717" s="137" t="s">
        <v>18</v>
      </c>
      <c r="AQ717" s="137" t="s">
        <v>18</v>
      </c>
      <c r="AR717" s="137" t="s">
        <v>18</v>
      </c>
      <c r="AS717" s="137" t="s">
        <v>18</v>
      </c>
      <c r="AT717" s="137" t="s">
        <v>18</v>
      </c>
      <c r="AU717" s="137" t="s">
        <v>18</v>
      </c>
      <c r="AV717" s="137" t="s">
        <v>18</v>
      </c>
      <c r="AW717" s="137" t="s">
        <v>18</v>
      </c>
      <c r="AX717" s="137" t="s">
        <v>18</v>
      </c>
      <c r="AY717" s="137" t="s">
        <v>18</v>
      </c>
      <c r="AZ717" s="137" t="s">
        <v>18</v>
      </c>
      <c r="BA717" s="137" t="s">
        <v>18</v>
      </c>
      <c r="BB717" s="137" t="s">
        <v>18</v>
      </c>
      <c r="BC717" s="137" t="s">
        <v>18</v>
      </c>
    </row>
    <row r="718" spans="1:55" ht="15.75" customHeight="1" x14ac:dyDescent="0.2">
      <c r="A718" s="138">
        <v>0.13714285714285715</v>
      </c>
      <c r="B718" s="136" t="s">
        <v>17</v>
      </c>
      <c r="C718" s="183" t="s">
        <v>18</v>
      </c>
      <c r="D718" s="147" t="s">
        <v>18</v>
      </c>
      <c r="E718" s="147" t="s">
        <v>18</v>
      </c>
      <c r="F718" s="184" t="s">
        <v>18</v>
      </c>
      <c r="G718" s="147" t="s">
        <v>18</v>
      </c>
      <c r="H718" s="147" t="s">
        <v>18</v>
      </c>
      <c r="I718" s="147" t="s">
        <v>18</v>
      </c>
      <c r="J718" s="184" t="s">
        <v>18</v>
      </c>
      <c r="K718" s="147" t="s">
        <v>18</v>
      </c>
      <c r="L718" s="147" t="s">
        <v>18</v>
      </c>
      <c r="M718" s="184" t="s">
        <v>18</v>
      </c>
      <c r="N718" s="147" t="s">
        <v>18</v>
      </c>
      <c r="O718" s="184" t="s">
        <v>18</v>
      </c>
      <c r="P718" s="147" t="s">
        <v>18</v>
      </c>
      <c r="Q718" s="184" t="s">
        <v>18</v>
      </c>
      <c r="R718" s="147" t="s">
        <v>18</v>
      </c>
      <c r="S718" s="147">
        <v>0.26829268292682928</v>
      </c>
      <c r="T718" s="184" t="s">
        <v>18</v>
      </c>
      <c r="U718" s="147" t="s">
        <v>18</v>
      </c>
      <c r="V718" s="147" t="s">
        <v>18</v>
      </c>
      <c r="W718" s="147">
        <v>0.5641025641025641</v>
      </c>
      <c r="X718" s="184" t="s">
        <v>18</v>
      </c>
      <c r="Y718" s="147" t="s">
        <v>18</v>
      </c>
      <c r="Z718" s="147" t="s">
        <v>18</v>
      </c>
      <c r="AA718" s="184" t="s">
        <v>18</v>
      </c>
      <c r="AB718" s="147" t="s">
        <v>18</v>
      </c>
      <c r="AC718" s="147" t="s">
        <v>18</v>
      </c>
      <c r="AD718" s="147" t="s">
        <v>18</v>
      </c>
      <c r="AE718" s="184" t="s">
        <v>18</v>
      </c>
      <c r="AF718" s="147" t="s">
        <v>18</v>
      </c>
      <c r="AG718" s="147">
        <v>0.6390697674418605</v>
      </c>
      <c r="AH718" s="184" t="s">
        <v>18</v>
      </c>
      <c r="AI718" s="147" t="s">
        <v>18</v>
      </c>
      <c r="AJ718" s="147" t="s">
        <v>18</v>
      </c>
      <c r="AK718" s="183" t="s">
        <v>18</v>
      </c>
      <c r="AL718" s="147" t="s">
        <v>18</v>
      </c>
      <c r="AM718" s="147" t="s">
        <v>18</v>
      </c>
      <c r="AN718" s="147" t="s">
        <v>18</v>
      </c>
      <c r="AO718" s="147" t="s">
        <v>18</v>
      </c>
      <c r="AP718" s="147" t="s">
        <v>18</v>
      </c>
      <c r="AQ718" s="147" t="s">
        <v>18</v>
      </c>
      <c r="AR718" s="147" t="s">
        <v>18</v>
      </c>
      <c r="AS718" s="147" t="s">
        <v>18</v>
      </c>
      <c r="AT718" s="147" t="s">
        <v>18</v>
      </c>
      <c r="AU718" s="147" t="s">
        <v>18</v>
      </c>
      <c r="AV718" s="147" t="s">
        <v>18</v>
      </c>
      <c r="AW718" s="147" t="s">
        <v>18</v>
      </c>
      <c r="AX718" s="147" t="s">
        <v>18</v>
      </c>
      <c r="AY718" s="147" t="s">
        <v>18</v>
      </c>
      <c r="AZ718" s="147" t="s">
        <v>18</v>
      </c>
      <c r="BA718" s="147" t="s">
        <v>18</v>
      </c>
      <c r="BB718" s="147" t="s">
        <v>18</v>
      </c>
      <c r="BC718" s="147" t="s">
        <v>18</v>
      </c>
    </row>
    <row r="719" spans="1:55" ht="15.75" customHeight="1" x14ac:dyDescent="0.2">
      <c r="A719" s="149" t="s">
        <v>1</v>
      </c>
      <c r="B719" s="150" t="s">
        <v>2</v>
      </c>
      <c r="C719" s="174">
        <v>18693</v>
      </c>
      <c r="D719" s="130">
        <v>18693</v>
      </c>
      <c r="E719" s="130">
        <v>18770</v>
      </c>
      <c r="F719" s="175">
        <v>18770</v>
      </c>
      <c r="G719" s="130">
        <v>18770</v>
      </c>
      <c r="H719" s="130">
        <v>18770</v>
      </c>
      <c r="I719" s="130">
        <v>18772</v>
      </c>
      <c r="J719" s="175">
        <v>18772</v>
      </c>
      <c r="K719" s="130">
        <v>18772</v>
      </c>
      <c r="L719" s="130">
        <v>18842</v>
      </c>
      <c r="M719" s="175">
        <v>18842</v>
      </c>
      <c r="N719" s="130">
        <v>18857</v>
      </c>
      <c r="O719" s="175">
        <v>18857</v>
      </c>
      <c r="P719" s="130">
        <v>18859</v>
      </c>
      <c r="Q719" s="175">
        <v>18859</v>
      </c>
      <c r="R719" s="130">
        <v>18859</v>
      </c>
      <c r="S719" s="130">
        <v>18913</v>
      </c>
      <c r="T719" s="175">
        <v>18913</v>
      </c>
      <c r="U719" s="130">
        <v>18913</v>
      </c>
      <c r="V719" s="130">
        <v>18913</v>
      </c>
      <c r="W719" s="130">
        <v>18959</v>
      </c>
      <c r="X719" s="175">
        <v>18959</v>
      </c>
      <c r="Y719" s="130">
        <v>18959</v>
      </c>
      <c r="Z719" s="130">
        <v>18999</v>
      </c>
      <c r="AA719" s="175">
        <v>18999</v>
      </c>
      <c r="AB719" s="130">
        <v>18999</v>
      </c>
      <c r="AC719" s="130">
        <v>18999</v>
      </c>
      <c r="AD719" s="130">
        <v>19050</v>
      </c>
      <c r="AE719" s="175">
        <v>19050</v>
      </c>
      <c r="AF719" s="130">
        <v>19050</v>
      </c>
      <c r="AG719" s="130">
        <v>19153</v>
      </c>
      <c r="AH719" s="175">
        <v>19153</v>
      </c>
      <c r="AI719" s="130">
        <v>19153</v>
      </c>
      <c r="AJ719" s="130">
        <v>19184</v>
      </c>
      <c r="AK719" s="174" t="s">
        <v>18</v>
      </c>
      <c r="AL719" s="130" t="s">
        <v>18</v>
      </c>
      <c r="AM719" s="130" t="s">
        <v>18</v>
      </c>
      <c r="AN719" s="130" t="s">
        <v>18</v>
      </c>
      <c r="AO719" s="130" t="s">
        <v>18</v>
      </c>
      <c r="AP719" s="130" t="s">
        <v>18</v>
      </c>
      <c r="AQ719" s="130" t="s">
        <v>18</v>
      </c>
      <c r="AR719" s="130" t="s">
        <v>18</v>
      </c>
      <c r="AS719" s="130" t="s">
        <v>18</v>
      </c>
      <c r="AT719" s="130" t="s">
        <v>18</v>
      </c>
      <c r="AU719" s="130" t="s">
        <v>18</v>
      </c>
      <c r="AV719" s="130" t="s">
        <v>18</v>
      </c>
      <c r="AW719" s="130" t="s">
        <v>18</v>
      </c>
      <c r="AX719" s="130" t="s">
        <v>18</v>
      </c>
      <c r="AY719" s="130" t="s">
        <v>18</v>
      </c>
      <c r="AZ719" s="130" t="s">
        <v>18</v>
      </c>
      <c r="BA719" s="130" t="s">
        <v>18</v>
      </c>
      <c r="BB719" s="130" t="s">
        <v>18</v>
      </c>
      <c r="BC719" s="130" t="s">
        <v>18</v>
      </c>
    </row>
    <row r="720" spans="1:55" ht="15.75" customHeight="1" x14ac:dyDescent="0.2">
      <c r="A720" s="121" t="s">
        <v>29</v>
      </c>
      <c r="B720" s="122" t="s">
        <v>4</v>
      </c>
      <c r="C720" s="171">
        <v>1580</v>
      </c>
      <c r="D720" s="124">
        <v>1580</v>
      </c>
      <c r="E720" s="124">
        <v>1584</v>
      </c>
      <c r="F720" s="172">
        <v>1584</v>
      </c>
      <c r="G720" s="124">
        <v>1584</v>
      </c>
      <c r="H720" s="124">
        <v>1584</v>
      </c>
      <c r="I720" s="124">
        <v>1584</v>
      </c>
      <c r="J720" s="172">
        <v>1584</v>
      </c>
      <c r="K720" s="124">
        <v>1584</v>
      </c>
      <c r="L720" s="124">
        <v>1587</v>
      </c>
      <c r="M720" s="172">
        <v>1587</v>
      </c>
      <c r="N720" s="124">
        <v>1588</v>
      </c>
      <c r="O720" s="172">
        <v>1588</v>
      </c>
      <c r="P720" s="124">
        <v>1588</v>
      </c>
      <c r="Q720" s="172">
        <v>1588</v>
      </c>
      <c r="R720" s="124">
        <v>1588</v>
      </c>
      <c r="S720" s="124">
        <v>1591</v>
      </c>
      <c r="T720" s="172">
        <v>1591</v>
      </c>
      <c r="U720" s="124">
        <v>1591</v>
      </c>
      <c r="V720" s="124">
        <v>1591</v>
      </c>
      <c r="W720" s="124">
        <v>1596</v>
      </c>
      <c r="X720" s="172">
        <v>1596</v>
      </c>
      <c r="Y720" s="124">
        <v>1596</v>
      </c>
      <c r="Z720" s="124">
        <v>1598</v>
      </c>
      <c r="AA720" s="172">
        <v>1598</v>
      </c>
      <c r="AB720" s="124">
        <v>1598</v>
      </c>
      <c r="AC720" s="124">
        <v>1598</v>
      </c>
      <c r="AD720" s="124">
        <v>1600</v>
      </c>
      <c r="AE720" s="172">
        <v>1600</v>
      </c>
      <c r="AF720" s="124">
        <v>1600</v>
      </c>
      <c r="AG720" s="124">
        <v>1617</v>
      </c>
      <c r="AH720" s="172">
        <v>1617</v>
      </c>
      <c r="AI720" s="124">
        <v>1617</v>
      </c>
      <c r="AJ720" s="124">
        <v>1622</v>
      </c>
      <c r="AK720" s="171" t="s">
        <v>18</v>
      </c>
      <c r="AL720" s="124" t="s">
        <v>18</v>
      </c>
      <c r="AM720" s="124" t="s">
        <v>18</v>
      </c>
      <c r="AN720" s="124" t="s">
        <v>18</v>
      </c>
      <c r="AO720" s="124" t="s">
        <v>18</v>
      </c>
      <c r="AP720" s="124" t="s">
        <v>18</v>
      </c>
      <c r="AQ720" s="124" t="s">
        <v>18</v>
      </c>
      <c r="AR720" s="124" t="s">
        <v>18</v>
      </c>
      <c r="AS720" s="124" t="s">
        <v>18</v>
      </c>
      <c r="AT720" s="124" t="s">
        <v>18</v>
      </c>
      <c r="AU720" s="124" t="s">
        <v>18</v>
      </c>
      <c r="AV720" s="124" t="s">
        <v>18</v>
      </c>
      <c r="AW720" s="124" t="s">
        <v>18</v>
      </c>
      <c r="AX720" s="124" t="s">
        <v>18</v>
      </c>
      <c r="AY720" s="124" t="s">
        <v>18</v>
      </c>
      <c r="AZ720" s="124" t="s">
        <v>18</v>
      </c>
      <c r="BA720" s="124" t="s">
        <v>18</v>
      </c>
      <c r="BB720" s="124" t="s">
        <v>18</v>
      </c>
      <c r="BC720" s="124" t="s">
        <v>18</v>
      </c>
    </row>
    <row r="721" spans="1:55" ht="15.75" customHeight="1" x14ac:dyDescent="0.25">
      <c r="A721" s="143">
        <v>3</v>
      </c>
      <c r="B721" s="122" t="s">
        <v>5</v>
      </c>
      <c r="C721" s="171">
        <v>67</v>
      </c>
      <c r="D721" s="124">
        <v>67</v>
      </c>
      <c r="E721" s="124">
        <v>63</v>
      </c>
      <c r="F721" s="172">
        <v>93</v>
      </c>
      <c r="G721" s="124">
        <v>93</v>
      </c>
      <c r="H721" s="124">
        <v>93</v>
      </c>
      <c r="I721" s="124">
        <v>93</v>
      </c>
      <c r="J721" s="172">
        <v>23</v>
      </c>
      <c r="K721" s="124">
        <v>23</v>
      </c>
      <c r="L721" s="124">
        <v>20</v>
      </c>
      <c r="M721" s="172">
        <v>15</v>
      </c>
      <c r="N721" s="124">
        <v>14</v>
      </c>
      <c r="O721" s="172">
        <v>14</v>
      </c>
      <c r="P721" s="124">
        <v>14</v>
      </c>
      <c r="Q721" s="172">
        <v>14</v>
      </c>
      <c r="R721" s="124">
        <v>14</v>
      </c>
      <c r="S721" s="124">
        <v>11</v>
      </c>
      <c r="T721" s="172">
        <v>14</v>
      </c>
      <c r="U721" s="124">
        <v>14</v>
      </c>
      <c r="V721" s="124">
        <v>14</v>
      </c>
      <c r="W721" s="124">
        <v>9</v>
      </c>
      <c r="X721" s="172">
        <v>14</v>
      </c>
      <c r="Y721" s="124">
        <v>14</v>
      </c>
      <c r="Z721" s="124">
        <v>12</v>
      </c>
      <c r="AA721" s="172">
        <v>12</v>
      </c>
      <c r="AB721" s="124">
        <v>12</v>
      </c>
      <c r="AC721" s="124">
        <v>12</v>
      </c>
      <c r="AD721" s="124">
        <v>12</v>
      </c>
      <c r="AE721" s="172">
        <v>15</v>
      </c>
      <c r="AF721" s="124">
        <v>15</v>
      </c>
      <c r="AG721" s="124">
        <v>12</v>
      </c>
      <c r="AH721" s="172">
        <v>17</v>
      </c>
      <c r="AI721" s="124">
        <v>17</v>
      </c>
      <c r="AJ721" s="124">
        <v>16</v>
      </c>
      <c r="AK721" s="171" t="s">
        <v>18</v>
      </c>
      <c r="AL721" s="124" t="s">
        <v>18</v>
      </c>
      <c r="AM721" s="124" t="s">
        <v>18</v>
      </c>
      <c r="AN721" s="124" t="s">
        <v>18</v>
      </c>
      <c r="AO721" s="124" t="s">
        <v>18</v>
      </c>
      <c r="AP721" s="124" t="s">
        <v>18</v>
      </c>
      <c r="AQ721" s="124" t="s">
        <v>18</v>
      </c>
      <c r="AR721" s="124" t="s">
        <v>18</v>
      </c>
      <c r="AS721" s="124" t="s">
        <v>18</v>
      </c>
      <c r="AT721" s="124" t="s">
        <v>18</v>
      </c>
      <c r="AU721" s="124" t="s">
        <v>18</v>
      </c>
      <c r="AV721" s="124" t="s">
        <v>18</v>
      </c>
      <c r="AW721" s="124" t="s">
        <v>18</v>
      </c>
      <c r="AX721" s="124" t="s">
        <v>18</v>
      </c>
      <c r="AY721" s="124" t="s">
        <v>18</v>
      </c>
      <c r="AZ721" s="124" t="s">
        <v>18</v>
      </c>
      <c r="BA721" s="124" t="s">
        <v>18</v>
      </c>
      <c r="BB721" s="124" t="s">
        <v>18</v>
      </c>
      <c r="BC721" s="124" t="s">
        <v>18</v>
      </c>
    </row>
    <row r="722" spans="1:55" ht="15.75" customHeight="1" x14ac:dyDescent="0.2">
      <c r="A722" s="127"/>
      <c r="B722" s="122" t="s">
        <v>6</v>
      </c>
      <c r="C722" s="171"/>
      <c r="D722" s="124"/>
      <c r="E722" s="124">
        <v>30</v>
      </c>
      <c r="F722" s="172"/>
      <c r="G722" s="124"/>
      <c r="H722" s="124"/>
      <c r="I722" s="124">
        <v>-70</v>
      </c>
      <c r="J722" s="172"/>
      <c r="K722" s="124"/>
      <c r="L722" s="124">
        <v>-5</v>
      </c>
      <c r="M722" s="172"/>
      <c r="N722" s="124"/>
      <c r="O722" s="172"/>
      <c r="P722" s="124"/>
      <c r="Q722" s="172"/>
      <c r="R722" s="124"/>
      <c r="S722" s="124">
        <v>3</v>
      </c>
      <c r="T722" s="172"/>
      <c r="U722" s="124"/>
      <c r="V722" s="124"/>
      <c r="W722" s="124">
        <v>5</v>
      </c>
      <c r="X722" s="172"/>
      <c r="Y722" s="124"/>
      <c r="Z722" s="124"/>
      <c r="AA722" s="172"/>
      <c r="AB722" s="124"/>
      <c r="AC722" s="124"/>
      <c r="AD722" s="124">
        <v>3</v>
      </c>
      <c r="AE722" s="172"/>
      <c r="AF722" s="124"/>
      <c r="AG722" s="124">
        <v>5</v>
      </c>
      <c r="AH722" s="172"/>
      <c r="AI722" s="124"/>
      <c r="AJ722" s="124">
        <v>1</v>
      </c>
      <c r="AK722" s="171"/>
      <c r="AL722" s="124"/>
      <c r="AM722" s="124"/>
      <c r="AN722" s="124"/>
      <c r="AO722" s="124"/>
      <c r="AP722" s="124"/>
      <c r="AQ722" s="124"/>
      <c r="AR722" s="124"/>
      <c r="AS722" s="124"/>
      <c r="AT722" s="124"/>
      <c r="AU722" s="124"/>
      <c r="AV722" s="124"/>
      <c r="AW722" s="124"/>
      <c r="AX722" s="124"/>
      <c r="AY722" s="124"/>
      <c r="AZ722" s="124"/>
      <c r="BA722" s="124"/>
      <c r="BB722" s="124"/>
      <c r="BC722" s="124"/>
    </row>
    <row r="723" spans="1:55" ht="15.75" customHeight="1" x14ac:dyDescent="0.2">
      <c r="A723" s="128"/>
      <c r="B723" s="122" t="s">
        <v>8</v>
      </c>
      <c r="C723" s="174">
        <v>350</v>
      </c>
      <c r="D723" s="130">
        <v>350</v>
      </c>
      <c r="E723" s="130">
        <v>350</v>
      </c>
      <c r="F723" s="175">
        <v>350</v>
      </c>
      <c r="G723" s="130">
        <v>350</v>
      </c>
      <c r="H723" s="130">
        <v>350</v>
      </c>
      <c r="I723" s="130">
        <v>350</v>
      </c>
      <c r="J723" s="175">
        <v>350</v>
      </c>
      <c r="K723" s="130">
        <v>350</v>
      </c>
      <c r="L723" s="130">
        <v>350</v>
      </c>
      <c r="M723" s="175">
        <v>300</v>
      </c>
      <c r="N723" s="130">
        <v>300</v>
      </c>
      <c r="O723" s="175">
        <v>300</v>
      </c>
      <c r="P723" s="130">
        <v>300</v>
      </c>
      <c r="Q723" s="175">
        <v>300</v>
      </c>
      <c r="R723" s="130">
        <v>300</v>
      </c>
      <c r="S723" s="130">
        <v>300</v>
      </c>
      <c r="T723" s="175">
        <v>300</v>
      </c>
      <c r="U723" s="130">
        <v>300</v>
      </c>
      <c r="V723" s="130">
        <v>300</v>
      </c>
      <c r="W723" s="130">
        <v>300</v>
      </c>
      <c r="X723" s="175">
        <v>300</v>
      </c>
      <c r="Y723" s="130">
        <v>300</v>
      </c>
      <c r="Z723" s="130">
        <v>300</v>
      </c>
      <c r="AA723" s="175">
        <v>300</v>
      </c>
      <c r="AB723" s="130">
        <v>300</v>
      </c>
      <c r="AC723" s="130">
        <v>300</v>
      </c>
      <c r="AD723" s="130">
        <v>600</v>
      </c>
      <c r="AE723" s="175">
        <v>600</v>
      </c>
      <c r="AF723" s="130">
        <v>600</v>
      </c>
      <c r="AG723" s="130">
        <v>600</v>
      </c>
      <c r="AH723" s="175">
        <v>600</v>
      </c>
      <c r="AI723" s="130">
        <v>600</v>
      </c>
      <c r="AJ723" s="130">
        <v>600</v>
      </c>
      <c r="AK723" s="174" t="s">
        <v>18</v>
      </c>
      <c r="AL723" s="130" t="s">
        <v>18</v>
      </c>
      <c r="AM723" s="130" t="s">
        <v>18</v>
      </c>
      <c r="AN723" s="130" t="s">
        <v>18</v>
      </c>
      <c r="AO723" s="130" t="s">
        <v>18</v>
      </c>
      <c r="AP723" s="130" t="s">
        <v>18</v>
      </c>
      <c r="AQ723" s="130" t="s">
        <v>18</v>
      </c>
      <c r="AR723" s="130" t="s">
        <v>18</v>
      </c>
      <c r="AS723" s="130" t="s">
        <v>18</v>
      </c>
      <c r="AT723" s="130" t="s">
        <v>18</v>
      </c>
      <c r="AU723" s="130" t="s">
        <v>18</v>
      </c>
      <c r="AV723" s="130" t="s">
        <v>18</v>
      </c>
      <c r="AW723" s="130" t="s">
        <v>18</v>
      </c>
      <c r="AX723" s="130" t="s">
        <v>18</v>
      </c>
      <c r="AY723" s="130" t="s">
        <v>18</v>
      </c>
      <c r="AZ723" s="130" t="s">
        <v>18</v>
      </c>
      <c r="BA723" s="130" t="s">
        <v>18</v>
      </c>
      <c r="BB723" s="130" t="s">
        <v>18</v>
      </c>
      <c r="BC723" s="130" t="s">
        <v>18</v>
      </c>
    </row>
    <row r="724" spans="1:55" ht="15.75" customHeight="1" x14ac:dyDescent="0.2">
      <c r="A724" s="127" t="s">
        <v>9</v>
      </c>
      <c r="B724" s="132" t="s">
        <v>10</v>
      </c>
      <c r="C724" s="177" t="s">
        <v>99</v>
      </c>
      <c r="D724" s="134" t="s">
        <v>99</v>
      </c>
      <c r="E724" s="134" t="s">
        <v>99</v>
      </c>
      <c r="F724" s="178" t="s">
        <v>99</v>
      </c>
      <c r="G724" s="134" t="s">
        <v>99</v>
      </c>
      <c r="H724" s="134" t="s">
        <v>99</v>
      </c>
      <c r="I724" s="134" t="s">
        <v>99</v>
      </c>
      <c r="J724" s="178" t="s">
        <v>44</v>
      </c>
      <c r="K724" s="134" t="s">
        <v>44</v>
      </c>
      <c r="L724" s="134" t="s">
        <v>44</v>
      </c>
      <c r="M724" s="178" t="s">
        <v>41</v>
      </c>
      <c r="N724" s="134" t="s">
        <v>41</v>
      </c>
      <c r="O724" s="178" t="s">
        <v>41</v>
      </c>
      <c r="P724" s="134" t="s">
        <v>41</v>
      </c>
      <c r="Q724" s="178" t="s">
        <v>41</v>
      </c>
      <c r="R724" s="134" t="s">
        <v>41</v>
      </c>
      <c r="S724" s="134" t="s">
        <v>41</v>
      </c>
      <c r="T724" s="178" t="s">
        <v>41</v>
      </c>
      <c r="U724" s="134" t="s">
        <v>41</v>
      </c>
      <c r="V724" s="134" t="s">
        <v>41</v>
      </c>
      <c r="W724" s="134" t="s">
        <v>41</v>
      </c>
      <c r="X724" s="178" t="s">
        <v>41</v>
      </c>
      <c r="Y724" s="134" t="s">
        <v>41</v>
      </c>
      <c r="Z724" s="134" t="s">
        <v>41</v>
      </c>
      <c r="AA724" s="178" t="s">
        <v>41</v>
      </c>
      <c r="AB724" s="134" t="s">
        <v>41</v>
      </c>
      <c r="AC724" s="134" t="s">
        <v>41</v>
      </c>
      <c r="AD724" s="134" t="s">
        <v>41</v>
      </c>
      <c r="AE724" s="178" t="s">
        <v>37</v>
      </c>
      <c r="AF724" s="134" t="s">
        <v>37</v>
      </c>
      <c r="AG724" s="134" t="s">
        <v>37</v>
      </c>
      <c r="AH724" s="178" t="s">
        <v>37</v>
      </c>
      <c r="AI724" s="134" t="s">
        <v>37</v>
      </c>
      <c r="AJ724" s="134" t="s">
        <v>37</v>
      </c>
      <c r="AK724" s="177" t="s">
        <v>18</v>
      </c>
      <c r="AL724" s="134" t="s">
        <v>18</v>
      </c>
      <c r="AM724" s="134" t="s">
        <v>18</v>
      </c>
      <c r="AN724" s="134" t="s">
        <v>18</v>
      </c>
      <c r="AO724" s="134" t="s">
        <v>18</v>
      </c>
      <c r="AP724" s="134" t="s">
        <v>18</v>
      </c>
      <c r="AQ724" s="134" t="s">
        <v>18</v>
      </c>
      <c r="AR724" s="134" t="s">
        <v>18</v>
      </c>
      <c r="AS724" s="134" t="s">
        <v>18</v>
      </c>
      <c r="AT724" s="134" t="s">
        <v>18</v>
      </c>
      <c r="AU724" s="134" t="s">
        <v>18</v>
      </c>
      <c r="AV724" s="134" t="s">
        <v>18</v>
      </c>
      <c r="AW724" s="134" t="s">
        <v>18</v>
      </c>
      <c r="AX724" s="134" t="s">
        <v>18</v>
      </c>
      <c r="AY724" s="134" t="s">
        <v>18</v>
      </c>
      <c r="AZ724" s="134" t="s">
        <v>18</v>
      </c>
      <c r="BA724" s="134" t="s">
        <v>18</v>
      </c>
      <c r="BB724" s="134" t="s">
        <v>18</v>
      </c>
      <c r="BC724" s="134" t="s">
        <v>18</v>
      </c>
    </row>
    <row r="725" spans="1:55" ht="15.75" customHeight="1" x14ac:dyDescent="0.2">
      <c r="A725" s="128">
        <v>43323.529411764706</v>
      </c>
      <c r="B725" s="122" t="s">
        <v>12</v>
      </c>
      <c r="C725" s="171"/>
      <c r="D725" s="124"/>
      <c r="E725" s="124"/>
      <c r="F725" s="172"/>
      <c r="G725" s="124"/>
      <c r="H725" s="124"/>
      <c r="I725" s="124"/>
      <c r="J725" s="172"/>
      <c r="K725" s="124"/>
      <c r="L725" s="124"/>
      <c r="M725" s="172" t="s">
        <v>100</v>
      </c>
      <c r="N725" s="124"/>
      <c r="O725" s="172"/>
      <c r="P725" s="124"/>
      <c r="Q725" s="172"/>
      <c r="R725" s="124"/>
      <c r="S725" s="124"/>
      <c r="T725" s="172"/>
      <c r="U725" s="124"/>
      <c r="V725" s="124"/>
      <c r="W725" s="124"/>
      <c r="X725" s="172"/>
      <c r="Y725" s="124"/>
      <c r="Z725" s="124"/>
      <c r="AA725" s="172"/>
      <c r="AB725" s="124"/>
      <c r="AC725" s="124"/>
      <c r="AD725" s="124"/>
      <c r="AE725" s="172" t="s">
        <v>101</v>
      </c>
      <c r="AF725" s="124"/>
      <c r="AG725" s="124"/>
      <c r="AH725" s="172" t="s">
        <v>102</v>
      </c>
      <c r="AI725" s="124"/>
      <c r="AJ725" s="124"/>
      <c r="AK725" s="171"/>
      <c r="AL725" s="124"/>
      <c r="AM725" s="124"/>
      <c r="AN725" s="124"/>
      <c r="AO725" s="124"/>
      <c r="AP725" s="124"/>
      <c r="AQ725" s="124"/>
      <c r="AR725" s="124"/>
      <c r="AS725" s="124"/>
      <c r="AT725" s="124"/>
      <c r="AU725" s="124"/>
      <c r="AV725" s="124"/>
      <c r="AW725" s="124"/>
      <c r="AX725" s="124"/>
      <c r="AY725" s="124"/>
      <c r="AZ725" s="124"/>
      <c r="BA725" s="124"/>
      <c r="BB725" s="124"/>
      <c r="BC725" s="124"/>
    </row>
    <row r="726" spans="1:55" ht="15.75" customHeight="1" x14ac:dyDescent="0.2">
      <c r="A726" s="128">
        <v>491</v>
      </c>
      <c r="B726" s="136" t="s">
        <v>13</v>
      </c>
      <c r="C726" s="171">
        <v>0</v>
      </c>
      <c r="D726" s="137">
        <v>0</v>
      </c>
      <c r="E726" s="137">
        <v>77</v>
      </c>
      <c r="F726" s="172">
        <v>0</v>
      </c>
      <c r="G726" s="137">
        <v>0</v>
      </c>
      <c r="H726" s="137">
        <v>0</v>
      </c>
      <c r="I726" s="137">
        <v>2</v>
      </c>
      <c r="J726" s="172">
        <v>0</v>
      </c>
      <c r="K726" s="137">
        <v>0</v>
      </c>
      <c r="L726" s="137">
        <v>70</v>
      </c>
      <c r="M726" s="172">
        <v>0</v>
      </c>
      <c r="N726" s="137">
        <v>15</v>
      </c>
      <c r="O726" s="172">
        <v>0</v>
      </c>
      <c r="P726" s="137">
        <v>2</v>
      </c>
      <c r="Q726" s="172">
        <v>0</v>
      </c>
      <c r="R726" s="137">
        <v>0</v>
      </c>
      <c r="S726" s="137">
        <v>54</v>
      </c>
      <c r="T726" s="172">
        <v>0</v>
      </c>
      <c r="U726" s="137">
        <v>0</v>
      </c>
      <c r="V726" s="137">
        <v>0</v>
      </c>
      <c r="W726" s="137">
        <v>46</v>
      </c>
      <c r="X726" s="172">
        <v>0</v>
      </c>
      <c r="Y726" s="137">
        <v>0</v>
      </c>
      <c r="Z726" s="137">
        <v>40</v>
      </c>
      <c r="AA726" s="172">
        <v>0</v>
      </c>
      <c r="AB726" s="137">
        <v>0</v>
      </c>
      <c r="AC726" s="137">
        <v>0</v>
      </c>
      <c r="AD726" s="137">
        <v>51</v>
      </c>
      <c r="AE726" s="172">
        <v>0</v>
      </c>
      <c r="AF726" s="137">
        <v>0</v>
      </c>
      <c r="AG726" s="137">
        <v>103</v>
      </c>
      <c r="AH726" s="172">
        <v>0</v>
      </c>
      <c r="AI726" s="137">
        <v>0</v>
      </c>
      <c r="AJ726" s="137">
        <v>31</v>
      </c>
      <c r="AK726" s="171" t="s">
        <v>18</v>
      </c>
      <c r="AL726" s="137" t="s">
        <v>18</v>
      </c>
      <c r="AM726" s="137" t="s">
        <v>18</v>
      </c>
      <c r="AN726" s="137" t="s">
        <v>18</v>
      </c>
      <c r="AO726" s="137" t="s">
        <v>18</v>
      </c>
      <c r="AP726" s="137" t="s">
        <v>18</v>
      </c>
      <c r="AQ726" s="137" t="s">
        <v>18</v>
      </c>
      <c r="AR726" s="137" t="s">
        <v>18</v>
      </c>
      <c r="AS726" s="137" t="s">
        <v>18</v>
      </c>
      <c r="AT726" s="137" t="s">
        <v>18</v>
      </c>
      <c r="AU726" s="137" t="s">
        <v>18</v>
      </c>
      <c r="AV726" s="137" t="s">
        <v>18</v>
      </c>
      <c r="AW726" s="137" t="s">
        <v>18</v>
      </c>
      <c r="AX726" s="137" t="s">
        <v>18</v>
      </c>
      <c r="AY726" s="137" t="s">
        <v>18</v>
      </c>
      <c r="AZ726" s="137" t="s">
        <v>18</v>
      </c>
      <c r="BA726" s="137" t="s">
        <v>18</v>
      </c>
      <c r="BB726" s="137" t="s">
        <v>18</v>
      </c>
      <c r="BC726" s="137" t="s">
        <v>18</v>
      </c>
    </row>
    <row r="727" spans="1:55" ht="15.75" customHeight="1" x14ac:dyDescent="0.2">
      <c r="A727" s="128">
        <v>42</v>
      </c>
      <c r="B727" s="136" t="s">
        <v>14</v>
      </c>
      <c r="C727" s="171">
        <v>0</v>
      </c>
      <c r="D727" s="137">
        <v>0</v>
      </c>
      <c r="E727" s="137">
        <v>4</v>
      </c>
      <c r="F727" s="172">
        <v>0</v>
      </c>
      <c r="G727" s="137">
        <v>0</v>
      </c>
      <c r="H727" s="137">
        <v>0</v>
      </c>
      <c r="I727" s="137">
        <v>0</v>
      </c>
      <c r="J727" s="172">
        <v>0</v>
      </c>
      <c r="K727" s="137">
        <v>0</v>
      </c>
      <c r="L727" s="137">
        <v>3</v>
      </c>
      <c r="M727" s="172">
        <v>0</v>
      </c>
      <c r="N727" s="137">
        <v>1</v>
      </c>
      <c r="O727" s="172">
        <v>0</v>
      </c>
      <c r="P727" s="137">
        <v>0</v>
      </c>
      <c r="Q727" s="172">
        <v>0</v>
      </c>
      <c r="R727" s="137">
        <v>0</v>
      </c>
      <c r="S727" s="137">
        <v>3</v>
      </c>
      <c r="T727" s="172">
        <v>0</v>
      </c>
      <c r="U727" s="137">
        <v>0</v>
      </c>
      <c r="V727" s="137">
        <v>0</v>
      </c>
      <c r="W727" s="137">
        <v>5</v>
      </c>
      <c r="X727" s="172">
        <v>0</v>
      </c>
      <c r="Y727" s="137">
        <v>0</v>
      </c>
      <c r="Z727" s="137">
        <v>2</v>
      </c>
      <c r="AA727" s="172">
        <v>0</v>
      </c>
      <c r="AB727" s="137">
        <v>0</v>
      </c>
      <c r="AC727" s="137">
        <v>0</v>
      </c>
      <c r="AD727" s="137">
        <v>2</v>
      </c>
      <c r="AE727" s="172">
        <v>0</v>
      </c>
      <c r="AF727" s="137">
        <v>0</v>
      </c>
      <c r="AG727" s="137">
        <v>17</v>
      </c>
      <c r="AH727" s="172">
        <v>0</v>
      </c>
      <c r="AI727" s="137">
        <v>0</v>
      </c>
      <c r="AJ727" s="137">
        <v>5</v>
      </c>
      <c r="AK727" s="171" t="s">
        <v>18</v>
      </c>
      <c r="AL727" s="137" t="s">
        <v>18</v>
      </c>
      <c r="AM727" s="137" t="s">
        <v>18</v>
      </c>
      <c r="AN727" s="137" t="s">
        <v>18</v>
      </c>
      <c r="AO727" s="137" t="s">
        <v>18</v>
      </c>
      <c r="AP727" s="137" t="s">
        <v>18</v>
      </c>
      <c r="AQ727" s="137" t="s">
        <v>18</v>
      </c>
      <c r="AR727" s="137" t="s">
        <v>18</v>
      </c>
      <c r="AS727" s="137" t="s">
        <v>18</v>
      </c>
      <c r="AT727" s="137" t="s">
        <v>18</v>
      </c>
      <c r="AU727" s="137" t="s">
        <v>18</v>
      </c>
      <c r="AV727" s="137" t="s">
        <v>18</v>
      </c>
      <c r="AW727" s="137" t="s">
        <v>18</v>
      </c>
      <c r="AX727" s="137" t="s">
        <v>18</v>
      </c>
      <c r="AY727" s="137" t="s">
        <v>18</v>
      </c>
      <c r="AZ727" s="137" t="s">
        <v>18</v>
      </c>
      <c r="BA727" s="137" t="s">
        <v>18</v>
      </c>
      <c r="BB727" s="137" t="s">
        <v>18</v>
      </c>
      <c r="BC727" s="137" t="s">
        <v>18</v>
      </c>
    </row>
    <row r="728" spans="1:55" ht="15.75" customHeight="1" x14ac:dyDescent="0.2">
      <c r="A728" s="128">
        <v>22</v>
      </c>
      <c r="B728" s="136" t="s">
        <v>15</v>
      </c>
      <c r="C728" s="171">
        <v>0</v>
      </c>
      <c r="D728" s="137">
        <v>0</v>
      </c>
      <c r="E728" s="137">
        <v>4</v>
      </c>
      <c r="F728" s="172">
        <v>0</v>
      </c>
      <c r="G728" s="137">
        <v>0</v>
      </c>
      <c r="H728" s="137">
        <v>0</v>
      </c>
      <c r="I728" s="137">
        <v>0</v>
      </c>
      <c r="J728" s="172">
        <v>0</v>
      </c>
      <c r="K728" s="137">
        <v>0</v>
      </c>
      <c r="L728" s="137">
        <v>3</v>
      </c>
      <c r="M728" s="172">
        <v>0</v>
      </c>
      <c r="N728" s="137">
        <v>1</v>
      </c>
      <c r="O728" s="172">
        <v>0</v>
      </c>
      <c r="P728" s="137">
        <v>0</v>
      </c>
      <c r="Q728" s="172">
        <v>0</v>
      </c>
      <c r="R728" s="137">
        <v>0</v>
      </c>
      <c r="S728" s="137">
        <v>3</v>
      </c>
      <c r="T728" s="172">
        <v>0</v>
      </c>
      <c r="U728" s="137">
        <v>0</v>
      </c>
      <c r="V728" s="137">
        <v>0</v>
      </c>
      <c r="W728" s="137">
        <v>5</v>
      </c>
      <c r="X728" s="172">
        <v>0</v>
      </c>
      <c r="Y728" s="137">
        <v>0</v>
      </c>
      <c r="Z728" s="137">
        <v>2</v>
      </c>
      <c r="AA728" s="172">
        <v>0</v>
      </c>
      <c r="AB728" s="137">
        <v>0</v>
      </c>
      <c r="AC728" s="137">
        <v>0</v>
      </c>
      <c r="AD728" s="137">
        <v>0</v>
      </c>
      <c r="AE728" s="172">
        <v>0</v>
      </c>
      <c r="AF728" s="137">
        <v>0</v>
      </c>
      <c r="AG728" s="137">
        <v>3</v>
      </c>
      <c r="AH728" s="172">
        <v>0</v>
      </c>
      <c r="AI728" s="137">
        <v>0</v>
      </c>
      <c r="AJ728" s="137">
        <v>1</v>
      </c>
      <c r="AK728" s="171" t="s">
        <v>18</v>
      </c>
      <c r="AL728" s="137" t="s">
        <v>18</v>
      </c>
      <c r="AM728" s="137" t="s">
        <v>18</v>
      </c>
      <c r="AN728" s="137" t="s">
        <v>18</v>
      </c>
      <c r="AO728" s="137" t="s">
        <v>18</v>
      </c>
      <c r="AP728" s="137" t="s">
        <v>18</v>
      </c>
      <c r="AQ728" s="137" t="s">
        <v>18</v>
      </c>
      <c r="AR728" s="137" t="s">
        <v>18</v>
      </c>
      <c r="AS728" s="137" t="s">
        <v>18</v>
      </c>
      <c r="AT728" s="137" t="s">
        <v>18</v>
      </c>
      <c r="AU728" s="137" t="s">
        <v>18</v>
      </c>
      <c r="AV728" s="137" t="s">
        <v>18</v>
      </c>
      <c r="AW728" s="137" t="s">
        <v>18</v>
      </c>
      <c r="AX728" s="137" t="s">
        <v>18</v>
      </c>
      <c r="AY728" s="137" t="s">
        <v>18</v>
      </c>
      <c r="AZ728" s="137" t="s">
        <v>18</v>
      </c>
      <c r="BA728" s="137" t="s">
        <v>18</v>
      </c>
      <c r="BB728" s="137" t="s">
        <v>18</v>
      </c>
      <c r="BC728" s="137" t="s">
        <v>18</v>
      </c>
    </row>
    <row r="729" spans="1:55" ht="15.75" customHeight="1" x14ac:dyDescent="0.2">
      <c r="A729" s="128">
        <v>8150</v>
      </c>
      <c r="B729" s="136" t="s">
        <v>16</v>
      </c>
      <c r="C729" s="171">
        <v>0</v>
      </c>
      <c r="D729" s="137">
        <v>0</v>
      </c>
      <c r="E729" s="137">
        <v>1400</v>
      </c>
      <c r="F729" s="172">
        <v>0</v>
      </c>
      <c r="G729" s="137">
        <v>0</v>
      </c>
      <c r="H729" s="137">
        <v>0</v>
      </c>
      <c r="I729" s="137">
        <v>0</v>
      </c>
      <c r="J729" s="172">
        <v>0</v>
      </c>
      <c r="K729" s="137">
        <v>0</v>
      </c>
      <c r="L729" s="137">
        <v>1050</v>
      </c>
      <c r="M729" s="172">
        <v>0</v>
      </c>
      <c r="N729" s="137">
        <v>300</v>
      </c>
      <c r="O729" s="172">
        <v>0</v>
      </c>
      <c r="P729" s="137">
        <v>0</v>
      </c>
      <c r="Q729" s="172">
        <v>0</v>
      </c>
      <c r="R729" s="137">
        <v>0</v>
      </c>
      <c r="S729" s="137">
        <v>900</v>
      </c>
      <c r="T729" s="172">
        <v>0</v>
      </c>
      <c r="U729" s="137">
        <v>0</v>
      </c>
      <c r="V729" s="137">
        <v>0</v>
      </c>
      <c r="W729" s="137">
        <v>1500</v>
      </c>
      <c r="X729" s="172">
        <v>0</v>
      </c>
      <c r="Y729" s="137">
        <v>0</v>
      </c>
      <c r="Z729" s="137">
        <v>600</v>
      </c>
      <c r="AA729" s="172">
        <v>0</v>
      </c>
      <c r="AB729" s="137">
        <v>0</v>
      </c>
      <c r="AC729" s="137">
        <v>0</v>
      </c>
      <c r="AD729" s="137">
        <v>0</v>
      </c>
      <c r="AE729" s="172">
        <v>0</v>
      </c>
      <c r="AF729" s="137">
        <v>0</v>
      </c>
      <c r="AG729" s="137">
        <v>1800</v>
      </c>
      <c r="AH729" s="172">
        <v>0</v>
      </c>
      <c r="AI729" s="137">
        <v>0</v>
      </c>
      <c r="AJ729" s="137">
        <v>600</v>
      </c>
      <c r="AK729" s="171" t="s">
        <v>18</v>
      </c>
      <c r="AL729" s="137" t="s">
        <v>18</v>
      </c>
      <c r="AM729" s="137" t="s">
        <v>18</v>
      </c>
      <c r="AN729" s="137" t="s">
        <v>18</v>
      </c>
      <c r="AO729" s="137" t="s">
        <v>18</v>
      </c>
      <c r="AP729" s="137" t="s">
        <v>18</v>
      </c>
      <c r="AQ729" s="137" t="s">
        <v>18</v>
      </c>
      <c r="AR729" s="137" t="s">
        <v>18</v>
      </c>
      <c r="AS729" s="137" t="s">
        <v>18</v>
      </c>
      <c r="AT729" s="137" t="s">
        <v>18</v>
      </c>
      <c r="AU729" s="137" t="s">
        <v>18</v>
      </c>
      <c r="AV729" s="137" t="s">
        <v>18</v>
      </c>
      <c r="AW729" s="137" t="s">
        <v>18</v>
      </c>
      <c r="AX729" s="137" t="s">
        <v>18</v>
      </c>
      <c r="AY729" s="137" t="s">
        <v>18</v>
      </c>
      <c r="AZ729" s="137" t="s">
        <v>18</v>
      </c>
      <c r="BA729" s="137" t="s">
        <v>18</v>
      </c>
      <c r="BB729" s="137" t="s">
        <v>18</v>
      </c>
      <c r="BC729" s="137" t="s">
        <v>18</v>
      </c>
    </row>
    <row r="730" spans="1:55" ht="15.75" customHeight="1" x14ac:dyDescent="0.2">
      <c r="A730" s="138">
        <v>0.1659877800407332</v>
      </c>
      <c r="B730" s="136" t="s">
        <v>17</v>
      </c>
      <c r="C730" s="183" t="s">
        <v>18</v>
      </c>
      <c r="D730" s="147" t="s">
        <v>18</v>
      </c>
      <c r="E730" s="147">
        <v>0.18181818181818182</v>
      </c>
      <c r="F730" s="184" t="s">
        <v>18</v>
      </c>
      <c r="G730" s="147" t="s">
        <v>18</v>
      </c>
      <c r="H730" s="147" t="s">
        <v>18</v>
      </c>
      <c r="I730" s="147" t="s">
        <v>18</v>
      </c>
      <c r="J730" s="184" t="s">
        <v>18</v>
      </c>
      <c r="K730" s="147" t="s">
        <v>18</v>
      </c>
      <c r="L730" s="147">
        <v>0.15</v>
      </c>
      <c r="M730" s="184" t="s">
        <v>18</v>
      </c>
      <c r="N730" s="147">
        <v>0.2</v>
      </c>
      <c r="O730" s="184" t="s">
        <v>18</v>
      </c>
      <c r="P730" s="147" t="s">
        <v>18</v>
      </c>
      <c r="Q730" s="184" t="s">
        <v>18</v>
      </c>
      <c r="R730" s="147" t="s">
        <v>18</v>
      </c>
      <c r="S730" s="147">
        <v>0.16666666666666666</v>
      </c>
      <c r="T730" s="184" t="s">
        <v>18</v>
      </c>
      <c r="U730" s="147" t="s">
        <v>18</v>
      </c>
      <c r="V730" s="147" t="s">
        <v>18</v>
      </c>
      <c r="W730" s="147">
        <v>0.32608695652173914</v>
      </c>
      <c r="X730" s="184" t="s">
        <v>18</v>
      </c>
      <c r="Y730" s="147" t="s">
        <v>18</v>
      </c>
      <c r="Z730" s="147">
        <v>0.15</v>
      </c>
      <c r="AA730" s="184" t="s">
        <v>18</v>
      </c>
      <c r="AB730" s="147" t="s">
        <v>18</v>
      </c>
      <c r="AC730" s="147" t="s">
        <v>18</v>
      </c>
      <c r="AD730" s="147" t="s">
        <v>18</v>
      </c>
      <c r="AE730" s="184" t="s">
        <v>18</v>
      </c>
      <c r="AF730" s="147" t="s">
        <v>18</v>
      </c>
      <c r="AG730" s="147">
        <v>0.17475728155339806</v>
      </c>
      <c r="AH730" s="184" t="s">
        <v>18</v>
      </c>
      <c r="AI730" s="147" t="s">
        <v>18</v>
      </c>
      <c r="AJ730" s="147">
        <v>0.19354838709677419</v>
      </c>
      <c r="AK730" s="183" t="s">
        <v>18</v>
      </c>
      <c r="AL730" s="147" t="s">
        <v>18</v>
      </c>
      <c r="AM730" s="147" t="s">
        <v>18</v>
      </c>
      <c r="AN730" s="147" t="s">
        <v>18</v>
      </c>
      <c r="AO730" s="147" t="s">
        <v>18</v>
      </c>
      <c r="AP730" s="147" t="s">
        <v>18</v>
      </c>
      <c r="AQ730" s="147" t="s">
        <v>18</v>
      </c>
      <c r="AR730" s="147" t="s">
        <v>18</v>
      </c>
      <c r="AS730" s="147" t="s">
        <v>18</v>
      </c>
      <c r="AT730" s="147" t="s">
        <v>18</v>
      </c>
      <c r="AU730" s="147" t="s">
        <v>18</v>
      </c>
      <c r="AV730" s="147" t="s">
        <v>18</v>
      </c>
      <c r="AW730" s="147" t="s">
        <v>18</v>
      </c>
      <c r="AX730" s="147" t="s">
        <v>18</v>
      </c>
      <c r="AY730" s="147" t="s">
        <v>18</v>
      </c>
      <c r="AZ730" s="147" t="s">
        <v>18</v>
      </c>
      <c r="BA730" s="147" t="s">
        <v>18</v>
      </c>
      <c r="BB730" s="147" t="s">
        <v>18</v>
      </c>
      <c r="BC730" s="147" t="s">
        <v>18</v>
      </c>
    </row>
    <row r="731" spans="1:55" ht="15.75" customHeight="1" x14ac:dyDescent="0.2">
      <c r="A731" s="149" t="s">
        <v>1</v>
      </c>
      <c r="B731" s="150" t="s">
        <v>2</v>
      </c>
      <c r="C731" s="174">
        <v>15773</v>
      </c>
      <c r="D731" s="130">
        <v>15773</v>
      </c>
      <c r="E731" s="130">
        <v>15821</v>
      </c>
      <c r="F731" s="175">
        <v>15821</v>
      </c>
      <c r="G731" s="130">
        <v>15821</v>
      </c>
      <c r="H731" s="130">
        <v>15821</v>
      </c>
      <c r="I731" s="130">
        <v>15912</v>
      </c>
      <c r="J731" s="175">
        <v>15912</v>
      </c>
      <c r="K731" s="130">
        <v>15912</v>
      </c>
      <c r="L731" s="130">
        <v>16002</v>
      </c>
      <c r="M731" s="175">
        <v>16002</v>
      </c>
      <c r="N731" s="130">
        <v>16027</v>
      </c>
      <c r="O731" s="175">
        <v>16027</v>
      </c>
      <c r="P731" s="130">
        <v>16036</v>
      </c>
      <c r="Q731" s="175">
        <v>16036</v>
      </c>
      <c r="R731" s="130">
        <v>16036</v>
      </c>
      <c r="S731" s="130">
        <v>16071</v>
      </c>
      <c r="T731" s="175">
        <v>16071</v>
      </c>
      <c r="U731" s="130">
        <v>16071</v>
      </c>
      <c r="V731" s="130">
        <v>16071</v>
      </c>
      <c r="W731" s="130">
        <v>16134</v>
      </c>
      <c r="X731" s="175">
        <v>16134</v>
      </c>
      <c r="Y731" s="130">
        <v>16134</v>
      </c>
      <c r="Z731" s="130">
        <v>16156</v>
      </c>
      <c r="AA731" s="175">
        <v>16156</v>
      </c>
      <c r="AB731" s="130">
        <v>16156</v>
      </c>
      <c r="AC731" s="130">
        <v>16156</v>
      </c>
      <c r="AD731" s="130">
        <v>16243</v>
      </c>
      <c r="AE731" s="175">
        <v>16243</v>
      </c>
      <c r="AF731" s="130">
        <v>16243</v>
      </c>
      <c r="AG731" s="130">
        <v>16311</v>
      </c>
      <c r="AH731" s="175">
        <v>16311</v>
      </c>
      <c r="AI731" s="130">
        <v>16311</v>
      </c>
      <c r="AJ731" s="130">
        <v>16377</v>
      </c>
      <c r="AK731" s="174" t="s">
        <v>18</v>
      </c>
      <c r="AL731" s="130" t="s">
        <v>18</v>
      </c>
      <c r="AM731" s="130" t="s">
        <v>18</v>
      </c>
      <c r="AN731" s="130" t="s">
        <v>18</v>
      </c>
      <c r="AO731" s="130" t="s">
        <v>18</v>
      </c>
      <c r="AP731" s="130" t="s">
        <v>18</v>
      </c>
      <c r="AQ731" s="130" t="s">
        <v>18</v>
      </c>
      <c r="AR731" s="130" t="s">
        <v>18</v>
      </c>
      <c r="AS731" s="130" t="s">
        <v>18</v>
      </c>
      <c r="AT731" s="130" t="s">
        <v>18</v>
      </c>
      <c r="AU731" s="130" t="s">
        <v>18</v>
      </c>
      <c r="AV731" s="130" t="s">
        <v>18</v>
      </c>
      <c r="AW731" s="130" t="s">
        <v>18</v>
      </c>
      <c r="AX731" s="130" t="s">
        <v>18</v>
      </c>
      <c r="AY731" s="130" t="s">
        <v>18</v>
      </c>
      <c r="AZ731" s="130" t="s">
        <v>18</v>
      </c>
      <c r="BA731" s="130" t="s">
        <v>18</v>
      </c>
      <c r="BB731" s="130" t="s">
        <v>18</v>
      </c>
      <c r="BC731" s="130" t="s">
        <v>18</v>
      </c>
    </row>
    <row r="732" spans="1:55" ht="15.75" customHeight="1" x14ac:dyDescent="0.2">
      <c r="A732" s="121" t="s">
        <v>29</v>
      </c>
      <c r="B732" s="122" t="s">
        <v>4</v>
      </c>
      <c r="C732" s="171">
        <v>1750</v>
      </c>
      <c r="D732" s="124">
        <v>1750</v>
      </c>
      <c r="E732" s="124">
        <v>1754</v>
      </c>
      <c r="F732" s="172">
        <v>1754</v>
      </c>
      <c r="G732" s="124">
        <v>1754</v>
      </c>
      <c r="H732" s="124">
        <v>1754</v>
      </c>
      <c r="I732" s="124">
        <v>1755</v>
      </c>
      <c r="J732" s="172">
        <v>1755</v>
      </c>
      <c r="K732" s="124">
        <v>1755</v>
      </c>
      <c r="L732" s="124">
        <v>1764</v>
      </c>
      <c r="M732" s="172">
        <v>1764</v>
      </c>
      <c r="N732" s="124">
        <v>1768</v>
      </c>
      <c r="O732" s="172">
        <v>1768</v>
      </c>
      <c r="P732" s="124">
        <v>1769</v>
      </c>
      <c r="Q732" s="172">
        <v>1769</v>
      </c>
      <c r="R732" s="124">
        <v>1769</v>
      </c>
      <c r="S732" s="124">
        <v>1774</v>
      </c>
      <c r="T732" s="172">
        <v>1774</v>
      </c>
      <c r="U732" s="124">
        <v>1774</v>
      </c>
      <c r="V732" s="124">
        <v>1774</v>
      </c>
      <c r="W732" s="124">
        <v>1777</v>
      </c>
      <c r="X732" s="172">
        <v>1777</v>
      </c>
      <c r="Y732" s="124">
        <v>1777</v>
      </c>
      <c r="Z732" s="124">
        <v>1782</v>
      </c>
      <c r="AA732" s="172">
        <v>1782</v>
      </c>
      <c r="AB732" s="124">
        <v>1782</v>
      </c>
      <c r="AC732" s="124">
        <v>1782</v>
      </c>
      <c r="AD732" s="124">
        <v>1786</v>
      </c>
      <c r="AE732" s="172">
        <v>1786</v>
      </c>
      <c r="AF732" s="124">
        <v>1786</v>
      </c>
      <c r="AG732" s="124">
        <v>1792</v>
      </c>
      <c r="AH732" s="172">
        <v>1792</v>
      </c>
      <c r="AI732" s="124">
        <v>1792</v>
      </c>
      <c r="AJ732" s="124">
        <v>1796</v>
      </c>
      <c r="AK732" s="171" t="s">
        <v>18</v>
      </c>
      <c r="AL732" s="124" t="s">
        <v>18</v>
      </c>
      <c r="AM732" s="124" t="s">
        <v>18</v>
      </c>
      <c r="AN732" s="124" t="s">
        <v>18</v>
      </c>
      <c r="AO732" s="124" t="s">
        <v>18</v>
      </c>
      <c r="AP732" s="124" t="s">
        <v>18</v>
      </c>
      <c r="AQ732" s="124" t="s">
        <v>18</v>
      </c>
      <c r="AR732" s="124" t="s">
        <v>18</v>
      </c>
      <c r="AS732" s="124" t="s">
        <v>18</v>
      </c>
      <c r="AT732" s="124" t="s">
        <v>18</v>
      </c>
      <c r="AU732" s="124" t="s">
        <v>18</v>
      </c>
      <c r="AV732" s="124" t="s">
        <v>18</v>
      </c>
      <c r="AW732" s="124" t="s">
        <v>18</v>
      </c>
      <c r="AX732" s="124" t="s">
        <v>18</v>
      </c>
      <c r="AY732" s="124" t="s">
        <v>18</v>
      </c>
      <c r="AZ732" s="124" t="s">
        <v>18</v>
      </c>
      <c r="BA732" s="124" t="s">
        <v>18</v>
      </c>
      <c r="BB732" s="124" t="s">
        <v>18</v>
      </c>
      <c r="BC732" s="124" t="s">
        <v>18</v>
      </c>
    </row>
    <row r="733" spans="1:55" ht="15.75" customHeight="1" x14ac:dyDescent="0.25">
      <c r="A733" s="143">
        <v>4</v>
      </c>
      <c r="B733" s="122" t="s">
        <v>5</v>
      </c>
      <c r="C733" s="171">
        <v>17</v>
      </c>
      <c r="D733" s="124">
        <v>17</v>
      </c>
      <c r="E733" s="124">
        <v>13</v>
      </c>
      <c r="F733" s="172">
        <v>13</v>
      </c>
      <c r="G733" s="124">
        <v>13</v>
      </c>
      <c r="H733" s="124">
        <v>13</v>
      </c>
      <c r="I733" s="124">
        <v>12</v>
      </c>
      <c r="J733" s="172">
        <v>22</v>
      </c>
      <c r="K733" s="124">
        <v>22</v>
      </c>
      <c r="L733" s="124">
        <v>20</v>
      </c>
      <c r="M733" s="172">
        <v>22</v>
      </c>
      <c r="N733" s="124">
        <v>21</v>
      </c>
      <c r="O733" s="172">
        <v>21</v>
      </c>
      <c r="P733" s="124">
        <v>21</v>
      </c>
      <c r="Q733" s="172">
        <v>21</v>
      </c>
      <c r="R733" s="124">
        <v>21</v>
      </c>
      <c r="S733" s="124">
        <v>19</v>
      </c>
      <c r="T733" s="172">
        <v>21</v>
      </c>
      <c r="U733" s="124">
        <v>21</v>
      </c>
      <c r="V733" s="124">
        <v>21</v>
      </c>
      <c r="W733" s="124">
        <v>18</v>
      </c>
      <c r="X733" s="172">
        <v>18</v>
      </c>
      <c r="Y733" s="124">
        <v>18</v>
      </c>
      <c r="Z733" s="124">
        <v>18</v>
      </c>
      <c r="AA733" s="172">
        <v>9</v>
      </c>
      <c r="AB733" s="124">
        <v>9</v>
      </c>
      <c r="AC733" s="124">
        <v>9</v>
      </c>
      <c r="AD733" s="124">
        <v>5</v>
      </c>
      <c r="AE733" s="172">
        <v>5</v>
      </c>
      <c r="AF733" s="124">
        <v>5</v>
      </c>
      <c r="AG733" s="124">
        <v>3</v>
      </c>
      <c r="AH733" s="172">
        <v>6</v>
      </c>
      <c r="AI733" s="124">
        <v>6</v>
      </c>
      <c r="AJ733" s="124">
        <v>5</v>
      </c>
      <c r="AK733" s="171" t="s">
        <v>18</v>
      </c>
      <c r="AL733" s="124" t="s">
        <v>18</v>
      </c>
      <c r="AM733" s="124" t="s">
        <v>18</v>
      </c>
      <c r="AN733" s="124" t="s">
        <v>18</v>
      </c>
      <c r="AO733" s="124" t="s">
        <v>18</v>
      </c>
      <c r="AP733" s="124" t="s">
        <v>18</v>
      </c>
      <c r="AQ733" s="124" t="s">
        <v>18</v>
      </c>
      <c r="AR733" s="124" t="s">
        <v>18</v>
      </c>
      <c r="AS733" s="124" t="s">
        <v>18</v>
      </c>
      <c r="AT733" s="124" t="s">
        <v>18</v>
      </c>
      <c r="AU733" s="124" t="s">
        <v>18</v>
      </c>
      <c r="AV733" s="124" t="s">
        <v>18</v>
      </c>
      <c r="AW733" s="124" t="s">
        <v>18</v>
      </c>
      <c r="AX733" s="124" t="s">
        <v>18</v>
      </c>
      <c r="AY733" s="124" t="s">
        <v>18</v>
      </c>
      <c r="AZ733" s="124" t="s">
        <v>18</v>
      </c>
      <c r="BA733" s="124" t="s">
        <v>18</v>
      </c>
      <c r="BB733" s="124" t="s">
        <v>18</v>
      </c>
      <c r="BC733" s="124" t="s">
        <v>18</v>
      </c>
    </row>
    <row r="734" spans="1:55" ht="15.75" customHeight="1" x14ac:dyDescent="0.2">
      <c r="A734" s="127"/>
      <c r="B734" s="122" t="s">
        <v>6</v>
      </c>
      <c r="C734" s="171"/>
      <c r="D734" s="124"/>
      <c r="E734" s="124"/>
      <c r="F734" s="172"/>
      <c r="G734" s="124"/>
      <c r="H734" s="124"/>
      <c r="I734" s="124">
        <v>10</v>
      </c>
      <c r="J734" s="172"/>
      <c r="K734" s="124"/>
      <c r="L734" s="124">
        <v>2</v>
      </c>
      <c r="M734" s="172"/>
      <c r="N734" s="124"/>
      <c r="O734" s="172"/>
      <c r="P734" s="124"/>
      <c r="Q734" s="172"/>
      <c r="R734" s="124"/>
      <c r="S734" s="124">
        <v>2</v>
      </c>
      <c r="T734" s="172"/>
      <c r="U734" s="124"/>
      <c r="V734" s="124"/>
      <c r="W734" s="124"/>
      <c r="X734" s="172"/>
      <c r="Y734" s="124"/>
      <c r="Z734" s="124">
        <v>-9</v>
      </c>
      <c r="AA734" s="172"/>
      <c r="AB734" s="124"/>
      <c r="AC734" s="124"/>
      <c r="AD734" s="124"/>
      <c r="AE734" s="172"/>
      <c r="AF734" s="124"/>
      <c r="AG734" s="124">
        <v>3</v>
      </c>
      <c r="AH734" s="172"/>
      <c r="AI734" s="124"/>
      <c r="AJ734" s="124"/>
      <c r="AK734" s="171"/>
      <c r="AL734" s="124"/>
      <c r="AM734" s="124"/>
      <c r="AN734" s="124"/>
      <c r="AO734" s="124"/>
      <c r="AP734" s="124"/>
      <c r="AQ734" s="124"/>
      <c r="AR734" s="124"/>
      <c r="AS734" s="124"/>
      <c r="AT734" s="124"/>
      <c r="AU734" s="124"/>
      <c r="AV734" s="124"/>
      <c r="AW734" s="124"/>
      <c r="AX734" s="124"/>
      <c r="AY734" s="124"/>
      <c r="AZ734" s="124"/>
      <c r="BA734" s="124"/>
      <c r="BB734" s="124"/>
      <c r="BC734" s="124"/>
    </row>
    <row r="735" spans="1:55" ht="15.75" customHeight="1" x14ac:dyDescent="0.2">
      <c r="A735" s="128"/>
      <c r="B735" s="122" t="s">
        <v>8</v>
      </c>
      <c r="C735" s="174">
        <v>450</v>
      </c>
      <c r="D735" s="130">
        <v>450</v>
      </c>
      <c r="E735" s="130">
        <v>450</v>
      </c>
      <c r="F735" s="175">
        <v>450</v>
      </c>
      <c r="G735" s="130">
        <v>450</v>
      </c>
      <c r="H735" s="130">
        <v>450</v>
      </c>
      <c r="I735" s="130">
        <v>450</v>
      </c>
      <c r="J735" s="175">
        <v>450</v>
      </c>
      <c r="K735" s="130">
        <v>450</v>
      </c>
      <c r="L735" s="130">
        <v>450</v>
      </c>
      <c r="M735" s="175">
        <v>450</v>
      </c>
      <c r="N735" s="130">
        <v>450</v>
      </c>
      <c r="O735" s="175">
        <v>450</v>
      </c>
      <c r="P735" s="130">
        <v>450</v>
      </c>
      <c r="Q735" s="175">
        <v>450</v>
      </c>
      <c r="R735" s="130">
        <v>450</v>
      </c>
      <c r="S735" s="130">
        <v>450</v>
      </c>
      <c r="T735" s="175">
        <v>450</v>
      </c>
      <c r="U735" s="130">
        <v>450</v>
      </c>
      <c r="V735" s="130">
        <v>450</v>
      </c>
      <c r="W735" s="130">
        <v>450</v>
      </c>
      <c r="X735" s="175">
        <v>450</v>
      </c>
      <c r="Y735" s="130">
        <v>450</v>
      </c>
      <c r="Z735" s="130">
        <v>450</v>
      </c>
      <c r="AA735" s="175">
        <v>192</v>
      </c>
      <c r="AB735" s="130">
        <v>192</v>
      </c>
      <c r="AC735" s="130">
        <v>192</v>
      </c>
      <c r="AD735" s="130">
        <v>192</v>
      </c>
      <c r="AE735" s="175">
        <v>192</v>
      </c>
      <c r="AF735" s="130">
        <v>192</v>
      </c>
      <c r="AG735" s="130">
        <v>192</v>
      </c>
      <c r="AH735" s="175">
        <v>192</v>
      </c>
      <c r="AI735" s="130">
        <v>192</v>
      </c>
      <c r="AJ735" s="130">
        <v>192</v>
      </c>
      <c r="AK735" s="174" t="s">
        <v>18</v>
      </c>
      <c r="AL735" s="130" t="s">
        <v>18</v>
      </c>
      <c r="AM735" s="130" t="s">
        <v>18</v>
      </c>
      <c r="AN735" s="130" t="s">
        <v>18</v>
      </c>
      <c r="AO735" s="130" t="s">
        <v>18</v>
      </c>
      <c r="AP735" s="130" t="s">
        <v>18</v>
      </c>
      <c r="AQ735" s="130" t="s">
        <v>18</v>
      </c>
      <c r="AR735" s="130" t="s">
        <v>18</v>
      </c>
      <c r="AS735" s="130" t="s">
        <v>18</v>
      </c>
      <c r="AT735" s="130" t="s">
        <v>18</v>
      </c>
      <c r="AU735" s="130" t="s">
        <v>18</v>
      </c>
      <c r="AV735" s="130" t="s">
        <v>18</v>
      </c>
      <c r="AW735" s="130" t="s">
        <v>18</v>
      </c>
      <c r="AX735" s="130" t="s">
        <v>18</v>
      </c>
      <c r="AY735" s="130" t="s">
        <v>18</v>
      </c>
      <c r="AZ735" s="130" t="s">
        <v>18</v>
      </c>
      <c r="BA735" s="130" t="s">
        <v>18</v>
      </c>
      <c r="BB735" s="130" t="s">
        <v>18</v>
      </c>
      <c r="BC735" s="130" t="s">
        <v>18</v>
      </c>
    </row>
    <row r="736" spans="1:55" ht="15.75" customHeight="1" x14ac:dyDescent="0.2">
      <c r="A736" s="127" t="s">
        <v>9</v>
      </c>
      <c r="B736" s="132" t="s">
        <v>10</v>
      </c>
      <c r="C736" s="177" t="s">
        <v>103</v>
      </c>
      <c r="D736" s="134" t="s">
        <v>103</v>
      </c>
      <c r="E736" s="134" t="s">
        <v>103</v>
      </c>
      <c r="F736" s="178" t="s">
        <v>103</v>
      </c>
      <c r="G736" s="134" t="s">
        <v>103</v>
      </c>
      <c r="H736" s="134" t="s">
        <v>103</v>
      </c>
      <c r="I736" s="134" t="s">
        <v>103</v>
      </c>
      <c r="J736" s="178" t="s">
        <v>103</v>
      </c>
      <c r="K736" s="134" t="s">
        <v>103</v>
      </c>
      <c r="L736" s="134" t="s">
        <v>103</v>
      </c>
      <c r="M736" s="178" t="s">
        <v>103</v>
      </c>
      <c r="N736" s="134" t="s">
        <v>103</v>
      </c>
      <c r="O736" s="178" t="s">
        <v>103</v>
      </c>
      <c r="P736" s="134" t="s">
        <v>103</v>
      </c>
      <c r="Q736" s="178" t="s">
        <v>103</v>
      </c>
      <c r="R736" s="134" t="s">
        <v>103</v>
      </c>
      <c r="S736" s="134" t="s">
        <v>103</v>
      </c>
      <c r="T736" s="178" t="s">
        <v>103</v>
      </c>
      <c r="U736" s="134" t="s">
        <v>103</v>
      </c>
      <c r="V736" s="134" t="s">
        <v>103</v>
      </c>
      <c r="W736" s="134" t="s">
        <v>103</v>
      </c>
      <c r="X736" s="178" t="s">
        <v>103</v>
      </c>
      <c r="Y736" s="134" t="s">
        <v>103</v>
      </c>
      <c r="Z736" s="134" t="s">
        <v>103</v>
      </c>
      <c r="AA736" s="178" t="s">
        <v>39</v>
      </c>
      <c r="AB736" s="134" t="s">
        <v>39</v>
      </c>
      <c r="AC736" s="134" t="s">
        <v>39</v>
      </c>
      <c r="AD736" s="134" t="s">
        <v>39</v>
      </c>
      <c r="AE736" s="178" t="s">
        <v>39</v>
      </c>
      <c r="AF736" s="134" t="s">
        <v>39</v>
      </c>
      <c r="AG736" s="134" t="s">
        <v>39</v>
      </c>
      <c r="AH736" s="178" t="s">
        <v>39</v>
      </c>
      <c r="AI736" s="134" t="s">
        <v>39</v>
      </c>
      <c r="AJ736" s="134" t="s">
        <v>39</v>
      </c>
      <c r="AK736" s="177" t="s">
        <v>18</v>
      </c>
      <c r="AL736" s="134" t="s">
        <v>18</v>
      </c>
      <c r="AM736" s="134" t="s">
        <v>18</v>
      </c>
      <c r="AN736" s="134" t="s">
        <v>18</v>
      </c>
      <c r="AO736" s="134" t="s">
        <v>18</v>
      </c>
      <c r="AP736" s="134" t="s">
        <v>18</v>
      </c>
      <c r="AQ736" s="134" t="s">
        <v>18</v>
      </c>
      <c r="AR736" s="134" t="s">
        <v>18</v>
      </c>
      <c r="AS736" s="134" t="s">
        <v>18</v>
      </c>
      <c r="AT736" s="134" t="s">
        <v>18</v>
      </c>
      <c r="AU736" s="134" t="s">
        <v>18</v>
      </c>
      <c r="AV736" s="134" t="s">
        <v>18</v>
      </c>
      <c r="AW736" s="134" t="s">
        <v>18</v>
      </c>
      <c r="AX736" s="134" t="s">
        <v>18</v>
      </c>
      <c r="AY736" s="134" t="s">
        <v>18</v>
      </c>
      <c r="AZ736" s="134" t="s">
        <v>18</v>
      </c>
      <c r="BA736" s="134" t="s">
        <v>18</v>
      </c>
      <c r="BB736" s="134" t="s">
        <v>18</v>
      </c>
      <c r="BC736" s="134" t="s">
        <v>18</v>
      </c>
    </row>
    <row r="737" spans="1:55" ht="15.75" customHeight="1" x14ac:dyDescent="0.2">
      <c r="A737" s="128">
        <v>53294.117647058825</v>
      </c>
      <c r="B737" s="122" t="s">
        <v>12</v>
      </c>
      <c r="C737" s="171"/>
      <c r="D737" s="124"/>
      <c r="E737" s="124"/>
      <c r="F737" s="172"/>
      <c r="G737" s="124"/>
      <c r="H737" s="124"/>
      <c r="I737" s="124"/>
      <c r="J737" s="172"/>
      <c r="K737" s="124"/>
      <c r="L737" s="124"/>
      <c r="M737" s="172"/>
      <c r="N737" s="124"/>
      <c r="O737" s="172"/>
      <c r="P737" s="124"/>
      <c r="Q737" s="172"/>
      <c r="R737" s="124"/>
      <c r="S737" s="124"/>
      <c r="T737" s="172"/>
      <c r="U737" s="124"/>
      <c r="V737" s="124"/>
      <c r="W737" s="124"/>
      <c r="X737" s="172"/>
      <c r="Y737" s="124"/>
      <c r="Z737" s="124"/>
      <c r="AA737" s="172" t="s">
        <v>104</v>
      </c>
      <c r="AB737" s="124"/>
      <c r="AC737" s="124"/>
      <c r="AD737" s="124"/>
      <c r="AE737" s="172"/>
      <c r="AF737" s="124"/>
      <c r="AG737" s="124"/>
      <c r="AH737" s="172"/>
      <c r="AI737" s="124"/>
      <c r="AJ737" s="124"/>
      <c r="AK737" s="171"/>
      <c r="AL737" s="124"/>
      <c r="AM737" s="124"/>
      <c r="AN737" s="124"/>
      <c r="AO737" s="124"/>
      <c r="AP737" s="124"/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/>
      <c r="BB737" s="124"/>
      <c r="BC737" s="124"/>
    </row>
    <row r="738" spans="1:55" ht="15.75" customHeight="1" x14ac:dyDescent="0.2">
      <c r="A738" s="128">
        <v>604</v>
      </c>
      <c r="B738" s="136" t="s">
        <v>13</v>
      </c>
      <c r="C738" s="171">
        <v>0</v>
      </c>
      <c r="D738" s="137">
        <v>0</v>
      </c>
      <c r="E738" s="137">
        <v>48</v>
      </c>
      <c r="F738" s="172">
        <v>0</v>
      </c>
      <c r="G738" s="137">
        <v>0</v>
      </c>
      <c r="H738" s="137">
        <v>0</v>
      </c>
      <c r="I738" s="137">
        <v>91</v>
      </c>
      <c r="J738" s="172">
        <v>0</v>
      </c>
      <c r="K738" s="137">
        <v>0</v>
      </c>
      <c r="L738" s="137">
        <v>90</v>
      </c>
      <c r="M738" s="172">
        <v>0</v>
      </c>
      <c r="N738" s="137">
        <v>25</v>
      </c>
      <c r="O738" s="172">
        <v>0</v>
      </c>
      <c r="P738" s="137">
        <v>9</v>
      </c>
      <c r="Q738" s="172">
        <v>0</v>
      </c>
      <c r="R738" s="137">
        <v>0</v>
      </c>
      <c r="S738" s="137">
        <v>35</v>
      </c>
      <c r="T738" s="172">
        <v>0</v>
      </c>
      <c r="U738" s="137">
        <v>0</v>
      </c>
      <c r="V738" s="137">
        <v>0</v>
      </c>
      <c r="W738" s="137">
        <v>63</v>
      </c>
      <c r="X738" s="172">
        <v>0</v>
      </c>
      <c r="Y738" s="137">
        <v>0</v>
      </c>
      <c r="Z738" s="137">
        <v>22</v>
      </c>
      <c r="AA738" s="172">
        <v>0</v>
      </c>
      <c r="AB738" s="137">
        <v>0</v>
      </c>
      <c r="AC738" s="137">
        <v>0</v>
      </c>
      <c r="AD738" s="137">
        <v>87</v>
      </c>
      <c r="AE738" s="172">
        <v>0</v>
      </c>
      <c r="AF738" s="137">
        <v>0</v>
      </c>
      <c r="AG738" s="137">
        <v>68</v>
      </c>
      <c r="AH738" s="172">
        <v>0</v>
      </c>
      <c r="AI738" s="137">
        <v>0</v>
      </c>
      <c r="AJ738" s="137">
        <v>66</v>
      </c>
      <c r="AK738" s="171" t="s">
        <v>18</v>
      </c>
      <c r="AL738" s="137" t="s">
        <v>18</v>
      </c>
      <c r="AM738" s="137" t="s">
        <v>18</v>
      </c>
      <c r="AN738" s="137" t="s">
        <v>18</v>
      </c>
      <c r="AO738" s="137" t="s">
        <v>18</v>
      </c>
      <c r="AP738" s="137" t="s">
        <v>18</v>
      </c>
      <c r="AQ738" s="137" t="s">
        <v>18</v>
      </c>
      <c r="AR738" s="137" t="s">
        <v>18</v>
      </c>
      <c r="AS738" s="137" t="s">
        <v>18</v>
      </c>
      <c r="AT738" s="137" t="s">
        <v>18</v>
      </c>
      <c r="AU738" s="137" t="s">
        <v>18</v>
      </c>
      <c r="AV738" s="137" t="s">
        <v>18</v>
      </c>
      <c r="AW738" s="137" t="s">
        <v>18</v>
      </c>
      <c r="AX738" s="137" t="s">
        <v>18</v>
      </c>
      <c r="AY738" s="137" t="s">
        <v>18</v>
      </c>
      <c r="AZ738" s="137" t="s">
        <v>18</v>
      </c>
      <c r="BA738" s="137" t="s">
        <v>18</v>
      </c>
      <c r="BB738" s="137" t="s">
        <v>18</v>
      </c>
      <c r="BC738" s="137" t="s">
        <v>18</v>
      </c>
    </row>
    <row r="739" spans="1:55" ht="15.75" customHeight="1" x14ac:dyDescent="0.2">
      <c r="A739" s="128">
        <v>46</v>
      </c>
      <c r="B739" s="136" t="s">
        <v>14</v>
      </c>
      <c r="C739" s="171">
        <v>0</v>
      </c>
      <c r="D739" s="137">
        <v>0</v>
      </c>
      <c r="E739" s="137">
        <v>4</v>
      </c>
      <c r="F739" s="172">
        <v>0</v>
      </c>
      <c r="G739" s="137">
        <v>0</v>
      </c>
      <c r="H739" s="137">
        <v>0</v>
      </c>
      <c r="I739" s="137">
        <v>1</v>
      </c>
      <c r="J739" s="172">
        <v>0</v>
      </c>
      <c r="K739" s="137">
        <v>0</v>
      </c>
      <c r="L739" s="137">
        <v>9</v>
      </c>
      <c r="M739" s="172">
        <v>0</v>
      </c>
      <c r="N739" s="137">
        <v>4</v>
      </c>
      <c r="O739" s="172">
        <v>0</v>
      </c>
      <c r="P739" s="137">
        <v>1</v>
      </c>
      <c r="Q739" s="172">
        <v>0</v>
      </c>
      <c r="R739" s="137">
        <v>0</v>
      </c>
      <c r="S739" s="137">
        <v>5</v>
      </c>
      <c r="T739" s="172">
        <v>0</v>
      </c>
      <c r="U739" s="137">
        <v>0</v>
      </c>
      <c r="V739" s="137">
        <v>0</v>
      </c>
      <c r="W739" s="137">
        <v>3</v>
      </c>
      <c r="X739" s="172">
        <v>0</v>
      </c>
      <c r="Y739" s="137">
        <v>0</v>
      </c>
      <c r="Z739" s="137">
        <v>5</v>
      </c>
      <c r="AA739" s="172">
        <v>0</v>
      </c>
      <c r="AB739" s="137">
        <v>0</v>
      </c>
      <c r="AC739" s="137">
        <v>0</v>
      </c>
      <c r="AD739" s="137">
        <v>4</v>
      </c>
      <c r="AE739" s="172">
        <v>0</v>
      </c>
      <c r="AF739" s="137">
        <v>0</v>
      </c>
      <c r="AG739" s="137">
        <v>6</v>
      </c>
      <c r="AH739" s="172">
        <v>0</v>
      </c>
      <c r="AI739" s="137">
        <v>0</v>
      </c>
      <c r="AJ739" s="137">
        <v>4</v>
      </c>
      <c r="AK739" s="171" t="s">
        <v>18</v>
      </c>
      <c r="AL739" s="137" t="s">
        <v>18</v>
      </c>
      <c r="AM739" s="137" t="s">
        <v>18</v>
      </c>
      <c r="AN739" s="137" t="s">
        <v>18</v>
      </c>
      <c r="AO739" s="137" t="s">
        <v>18</v>
      </c>
      <c r="AP739" s="137" t="s">
        <v>18</v>
      </c>
      <c r="AQ739" s="137" t="s">
        <v>18</v>
      </c>
      <c r="AR739" s="137" t="s">
        <v>18</v>
      </c>
      <c r="AS739" s="137" t="s">
        <v>18</v>
      </c>
      <c r="AT739" s="137" t="s">
        <v>18</v>
      </c>
      <c r="AU739" s="137" t="s">
        <v>18</v>
      </c>
      <c r="AV739" s="137" t="s">
        <v>18</v>
      </c>
      <c r="AW739" s="137" t="s">
        <v>18</v>
      </c>
      <c r="AX739" s="137" t="s">
        <v>18</v>
      </c>
      <c r="AY739" s="137" t="s">
        <v>18</v>
      </c>
      <c r="AZ739" s="137" t="s">
        <v>18</v>
      </c>
      <c r="BA739" s="137" t="s">
        <v>18</v>
      </c>
      <c r="BB739" s="137" t="s">
        <v>18</v>
      </c>
      <c r="BC739" s="137" t="s">
        <v>18</v>
      </c>
    </row>
    <row r="740" spans="1:55" ht="15.75" customHeight="1" x14ac:dyDescent="0.2">
      <c r="A740" s="128">
        <v>20</v>
      </c>
      <c r="B740" s="136" t="s">
        <v>15</v>
      </c>
      <c r="C740" s="171">
        <v>0</v>
      </c>
      <c r="D740" s="137">
        <v>0</v>
      </c>
      <c r="E740" s="137">
        <v>4</v>
      </c>
      <c r="F740" s="172">
        <v>0</v>
      </c>
      <c r="G740" s="137">
        <v>0</v>
      </c>
      <c r="H740" s="137">
        <v>0</v>
      </c>
      <c r="I740" s="137">
        <v>1</v>
      </c>
      <c r="J740" s="172">
        <v>0</v>
      </c>
      <c r="K740" s="137">
        <v>0</v>
      </c>
      <c r="L740" s="137">
        <v>2</v>
      </c>
      <c r="M740" s="172">
        <v>0</v>
      </c>
      <c r="N740" s="137">
        <v>1</v>
      </c>
      <c r="O740" s="172">
        <v>0</v>
      </c>
      <c r="P740" s="137">
        <v>0</v>
      </c>
      <c r="Q740" s="172">
        <v>0</v>
      </c>
      <c r="R740" s="137">
        <v>0</v>
      </c>
      <c r="S740" s="137">
        <v>2</v>
      </c>
      <c r="T740" s="172">
        <v>0</v>
      </c>
      <c r="U740" s="137">
        <v>0</v>
      </c>
      <c r="V740" s="137">
        <v>0</v>
      </c>
      <c r="W740" s="137">
        <v>3</v>
      </c>
      <c r="X740" s="172">
        <v>0</v>
      </c>
      <c r="Y740" s="137">
        <v>0</v>
      </c>
      <c r="Z740" s="137">
        <v>0</v>
      </c>
      <c r="AA740" s="172">
        <v>0</v>
      </c>
      <c r="AB740" s="137">
        <v>0</v>
      </c>
      <c r="AC740" s="137">
        <v>0</v>
      </c>
      <c r="AD740" s="137">
        <v>4</v>
      </c>
      <c r="AE740" s="172">
        <v>0</v>
      </c>
      <c r="AF740" s="137">
        <v>0</v>
      </c>
      <c r="AG740" s="137">
        <v>2</v>
      </c>
      <c r="AH740" s="172">
        <v>0</v>
      </c>
      <c r="AI740" s="137">
        <v>0</v>
      </c>
      <c r="AJ740" s="137">
        <v>1</v>
      </c>
      <c r="AK740" s="171" t="s">
        <v>18</v>
      </c>
      <c r="AL740" s="137" t="s">
        <v>18</v>
      </c>
      <c r="AM740" s="137" t="s">
        <v>18</v>
      </c>
      <c r="AN740" s="137" t="s">
        <v>18</v>
      </c>
      <c r="AO740" s="137" t="s">
        <v>18</v>
      </c>
      <c r="AP740" s="137" t="s">
        <v>18</v>
      </c>
      <c r="AQ740" s="137" t="s">
        <v>18</v>
      </c>
      <c r="AR740" s="137" t="s">
        <v>18</v>
      </c>
      <c r="AS740" s="137" t="s">
        <v>18</v>
      </c>
      <c r="AT740" s="137" t="s">
        <v>18</v>
      </c>
      <c r="AU740" s="137" t="s">
        <v>18</v>
      </c>
      <c r="AV740" s="137" t="s">
        <v>18</v>
      </c>
      <c r="AW740" s="137" t="s">
        <v>18</v>
      </c>
      <c r="AX740" s="137" t="s">
        <v>18</v>
      </c>
      <c r="AY740" s="137" t="s">
        <v>18</v>
      </c>
      <c r="AZ740" s="137" t="s">
        <v>18</v>
      </c>
      <c r="BA740" s="137" t="s">
        <v>18</v>
      </c>
      <c r="BB740" s="137" t="s">
        <v>18</v>
      </c>
      <c r="BC740" s="137" t="s">
        <v>18</v>
      </c>
    </row>
    <row r="741" spans="1:55" ht="15.75" customHeight="1" x14ac:dyDescent="0.2">
      <c r="A741" s="128">
        <v>7194</v>
      </c>
      <c r="B741" s="136" t="s">
        <v>16</v>
      </c>
      <c r="C741" s="171">
        <v>0</v>
      </c>
      <c r="D741" s="137">
        <v>0</v>
      </c>
      <c r="E741" s="137">
        <v>1800</v>
      </c>
      <c r="F741" s="172">
        <v>0</v>
      </c>
      <c r="G741" s="137">
        <v>0</v>
      </c>
      <c r="H741" s="137">
        <v>0</v>
      </c>
      <c r="I741" s="137">
        <v>450</v>
      </c>
      <c r="J741" s="172">
        <v>0</v>
      </c>
      <c r="K741" s="137">
        <v>0</v>
      </c>
      <c r="L741" s="137">
        <v>900</v>
      </c>
      <c r="M741" s="172">
        <v>0</v>
      </c>
      <c r="N741" s="137">
        <v>450</v>
      </c>
      <c r="O741" s="172">
        <v>0</v>
      </c>
      <c r="P741" s="137">
        <v>0</v>
      </c>
      <c r="Q741" s="172">
        <v>0</v>
      </c>
      <c r="R741" s="137">
        <v>0</v>
      </c>
      <c r="S741" s="137">
        <v>900</v>
      </c>
      <c r="T741" s="172">
        <v>0</v>
      </c>
      <c r="U741" s="137">
        <v>0</v>
      </c>
      <c r="V741" s="137">
        <v>0</v>
      </c>
      <c r="W741" s="137">
        <v>1350</v>
      </c>
      <c r="X741" s="172">
        <v>0</v>
      </c>
      <c r="Y741" s="137">
        <v>0</v>
      </c>
      <c r="Z741" s="137">
        <v>0</v>
      </c>
      <c r="AA741" s="172">
        <v>0</v>
      </c>
      <c r="AB741" s="137">
        <v>0</v>
      </c>
      <c r="AC741" s="137">
        <v>0</v>
      </c>
      <c r="AD741" s="137">
        <v>768</v>
      </c>
      <c r="AE741" s="172">
        <v>0</v>
      </c>
      <c r="AF741" s="137">
        <v>0</v>
      </c>
      <c r="AG741" s="137">
        <v>384</v>
      </c>
      <c r="AH741" s="172">
        <v>0</v>
      </c>
      <c r="AI741" s="137">
        <v>0</v>
      </c>
      <c r="AJ741" s="137">
        <v>192</v>
      </c>
      <c r="AK741" s="171" t="s">
        <v>18</v>
      </c>
      <c r="AL741" s="137" t="s">
        <v>18</v>
      </c>
      <c r="AM741" s="137" t="s">
        <v>18</v>
      </c>
      <c r="AN741" s="137" t="s">
        <v>18</v>
      </c>
      <c r="AO741" s="137" t="s">
        <v>18</v>
      </c>
      <c r="AP741" s="137" t="s">
        <v>18</v>
      </c>
      <c r="AQ741" s="137" t="s">
        <v>18</v>
      </c>
      <c r="AR741" s="137" t="s">
        <v>18</v>
      </c>
      <c r="AS741" s="137" t="s">
        <v>18</v>
      </c>
      <c r="AT741" s="137" t="s">
        <v>18</v>
      </c>
      <c r="AU741" s="137" t="s">
        <v>18</v>
      </c>
      <c r="AV741" s="137" t="s">
        <v>18</v>
      </c>
      <c r="AW741" s="137" t="s">
        <v>18</v>
      </c>
      <c r="AX741" s="137" t="s">
        <v>18</v>
      </c>
      <c r="AY741" s="137" t="s">
        <v>18</v>
      </c>
      <c r="AZ741" s="137" t="s">
        <v>18</v>
      </c>
      <c r="BA741" s="137" t="s">
        <v>18</v>
      </c>
      <c r="BB741" s="137" t="s">
        <v>18</v>
      </c>
      <c r="BC741" s="137" t="s">
        <v>18</v>
      </c>
    </row>
    <row r="742" spans="1:55" ht="15.75" customHeight="1" x14ac:dyDescent="0.2">
      <c r="A742" s="138">
        <v>0.11910596026490067</v>
      </c>
      <c r="B742" s="139" t="s">
        <v>17</v>
      </c>
      <c r="C742" s="180" t="s">
        <v>18</v>
      </c>
      <c r="D742" s="141" t="s">
        <v>18</v>
      </c>
      <c r="E742" s="141">
        <v>0.375</v>
      </c>
      <c r="F742" s="181" t="s">
        <v>18</v>
      </c>
      <c r="G742" s="141" t="s">
        <v>18</v>
      </c>
      <c r="H742" s="141" t="s">
        <v>18</v>
      </c>
      <c r="I742" s="141">
        <v>4.9450549450549448E-2</v>
      </c>
      <c r="J742" s="181" t="s">
        <v>18</v>
      </c>
      <c r="K742" s="141" t="s">
        <v>18</v>
      </c>
      <c r="L742" s="141">
        <v>0.1</v>
      </c>
      <c r="M742" s="181" t="s">
        <v>18</v>
      </c>
      <c r="N742" s="141">
        <v>0.18</v>
      </c>
      <c r="O742" s="181" t="s">
        <v>18</v>
      </c>
      <c r="P742" s="141" t="s">
        <v>18</v>
      </c>
      <c r="Q742" s="181" t="s">
        <v>18</v>
      </c>
      <c r="R742" s="141" t="s">
        <v>18</v>
      </c>
      <c r="S742" s="141">
        <v>0.25714285714285712</v>
      </c>
      <c r="T742" s="181" t="s">
        <v>18</v>
      </c>
      <c r="U742" s="141" t="s">
        <v>18</v>
      </c>
      <c r="V742" s="141" t="s">
        <v>18</v>
      </c>
      <c r="W742" s="141">
        <v>0.21428571428571427</v>
      </c>
      <c r="X742" s="181" t="s">
        <v>18</v>
      </c>
      <c r="Y742" s="141" t="s">
        <v>18</v>
      </c>
      <c r="Z742" s="141" t="s">
        <v>18</v>
      </c>
      <c r="AA742" s="181" t="s">
        <v>18</v>
      </c>
      <c r="AB742" s="141" t="s">
        <v>18</v>
      </c>
      <c r="AC742" s="141" t="s">
        <v>18</v>
      </c>
      <c r="AD742" s="141">
        <v>8.827586206896551E-2</v>
      </c>
      <c r="AE742" s="181" t="s">
        <v>18</v>
      </c>
      <c r="AF742" s="141" t="s">
        <v>18</v>
      </c>
      <c r="AG742" s="141">
        <v>5.647058823529412E-2</v>
      </c>
      <c r="AH742" s="181" t="s">
        <v>18</v>
      </c>
      <c r="AI742" s="141" t="s">
        <v>18</v>
      </c>
      <c r="AJ742" s="141">
        <v>2.9090909090909091E-2</v>
      </c>
      <c r="AK742" s="180" t="s">
        <v>18</v>
      </c>
      <c r="AL742" s="141" t="s">
        <v>18</v>
      </c>
      <c r="AM742" s="141" t="s">
        <v>18</v>
      </c>
      <c r="AN742" s="141" t="s">
        <v>18</v>
      </c>
      <c r="AO742" s="141" t="s">
        <v>18</v>
      </c>
      <c r="AP742" s="141" t="s">
        <v>18</v>
      </c>
      <c r="AQ742" s="141" t="s">
        <v>18</v>
      </c>
      <c r="AR742" s="141" t="s">
        <v>18</v>
      </c>
      <c r="AS742" s="141" t="s">
        <v>18</v>
      </c>
      <c r="AT742" s="141" t="s">
        <v>18</v>
      </c>
      <c r="AU742" s="141" t="s">
        <v>18</v>
      </c>
      <c r="AV742" s="141" t="s">
        <v>18</v>
      </c>
      <c r="AW742" s="141" t="s">
        <v>18</v>
      </c>
      <c r="AX742" s="141" t="s">
        <v>18</v>
      </c>
      <c r="AY742" s="141" t="s">
        <v>18</v>
      </c>
      <c r="AZ742" s="141" t="s">
        <v>18</v>
      </c>
      <c r="BA742" s="141" t="s">
        <v>18</v>
      </c>
      <c r="BB742" s="141" t="s">
        <v>18</v>
      </c>
      <c r="BC742" s="141" t="s">
        <v>18</v>
      </c>
    </row>
    <row r="743" spans="1:55" ht="15.75" customHeight="1" x14ac:dyDescent="0.2">
      <c r="A743" s="116" t="s">
        <v>1</v>
      </c>
      <c r="B743" s="117" t="s">
        <v>2</v>
      </c>
      <c r="C743" s="168">
        <v>6203</v>
      </c>
      <c r="D743" s="119">
        <v>6203</v>
      </c>
      <c r="E743" s="119">
        <v>6307</v>
      </c>
      <c r="F743" s="169">
        <v>6307</v>
      </c>
      <c r="G743" s="119">
        <v>6307</v>
      </c>
      <c r="H743" s="119">
        <v>6307</v>
      </c>
      <c r="I743" s="119">
        <v>6330</v>
      </c>
      <c r="J743" s="169">
        <v>6330</v>
      </c>
      <c r="K743" s="119">
        <v>6330</v>
      </c>
      <c r="L743" s="119">
        <v>6400</v>
      </c>
      <c r="M743" s="169">
        <v>6400</v>
      </c>
      <c r="N743" s="119">
        <v>6425</v>
      </c>
      <c r="O743" s="169">
        <v>6425</v>
      </c>
      <c r="P743" s="119">
        <v>6431</v>
      </c>
      <c r="Q743" s="169">
        <v>6431</v>
      </c>
      <c r="R743" s="119">
        <v>6431</v>
      </c>
      <c r="S743" s="119">
        <v>6478</v>
      </c>
      <c r="T743" s="169">
        <v>6478</v>
      </c>
      <c r="U743" s="119">
        <v>6478</v>
      </c>
      <c r="V743" s="119">
        <v>6478</v>
      </c>
      <c r="W743" s="119">
        <v>6498</v>
      </c>
      <c r="X743" s="169">
        <v>6498</v>
      </c>
      <c r="Y743" s="119">
        <v>6498</v>
      </c>
      <c r="Z743" s="119">
        <v>6584</v>
      </c>
      <c r="AA743" s="169">
        <v>6584</v>
      </c>
      <c r="AB743" s="119">
        <v>6584</v>
      </c>
      <c r="AC743" s="119">
        <v>6584</v>
      </c>
      <c r="AD743" s="119">
        <v>6661</v>
      </c>
      <c r="AE743" s="169">
        <v>6661</v>
      </c>
      <c r="AF743" s="119">
        <v>6661</v>
      </c>
      <c r="AG743" s="119">
        <v>6687</v>
      </c>
      <c r="AH743" s="169">
        <v>6687</v>
      </c>
      <c r="AI743" s="119">
        <v>6687</v>
      </c>
      <c r="AJ743" s="119">
        <v>6702</v>
      </c>
      <c r="AK743" s="168" t="s">
        <v>18</v>
      </c>
      <c r="AL743" s="119" t="s">
        <v>18</v>
      </c>
      <c r="AM743" s="119" t="s">
        <v>18</v>
      </c>
      <c r="AN743" s="119" t="s">
        <v>18</v>
      </c>
      <c r="AO743" s="119" t="s">
        <v>18</v>
      </c>
      <c r="AP743" s="119" t="s">
        <v>18</v>
      </c>
      <c r="AQ743" s="119" t="s">
        <v>18</v>
      </c>
      <c r="AR743" s="119" t="s">
        <v>18</v>
      </c>
      <c r="AS743" s="119" t="s">
        <v>18</v>
      </c>
      <c r="AT743" s="119" t="s">
        <v>18</v>
      </c>
      <c r="AU743" s="119" t="s">
        <v>18</v>
      </c>
      <c r="AV743" s="119" t="s">
        <v>18</v>
      </c>
      <c r="AW743" s="119" t="s">
        <v>18</v>
      </c>
      <c r="AX743" s="119" t="s">
        <v>18</v>
      </c>
      <c r="AY743" s="119" t="s">
        <v>18</v>
      </c>
      <c r="AZ743" s="119" t="s">
        <v>18</v>
      </c>
      <c r="BA743" s="119" t="s">
        <v>18</v>
      </c>
      <c r="BB743" s="119" t="s">
        <v>18</v>
      </c>
      <c r="BC743" s="119" t="s">
        <v>18</v>
      </c>
    </row>
    <row r="744" spans="1:55" ht="15.75" customHeight="1" x14ac:dyDescent="0.2">
      <c r="A744" s="121" t="s">
        <v>40</v>
      </c>
      <c r="B744" s="122" t="s">
        <v>4</v>
      </c>
      <c r="C744" s="171">
        <v>165</v>
      </c>
      <c r="D744" s="124">
        <v>165</v>
      </c>
      <c r="E744" s="124">
        <v>170</v>
      </c>
      <c r="F744" s="172">
        <v>170</v>
      </c>
      <c r="G744" s="124">
        <v>170</v>
      </c>
      <c r="H744" s="124">
        <v>170</v>
      </c>
      <c r="I744" s="124">
        <v>170</v>
      </c>
      <c r="J744" s="172">
        <v>170</v>
      </c>
      <c r="K744" s="124">
        <v>170</v>
      </c>
      <c r="L744" s="124">
        <v>170</v>
      </c>
      <c r="M744" s="172">
        <v>170</v>
      </c>
      <c r="N744" s="124">
        <v>172</v>
      </c>
      <c r="O744" s="172">
        <v>172</v>
      </c>
      <c r="P744" s="124">
        <v>172</v>
      </c>
      <c r="Q744" s="172">
        <v>172</v>
      </c>
      <c r="R744" s="124">
        <v>172</v>
      </c>
      <c r="S744" s="124">
        <v>174</v>
      </c>
      <c r="T744" s="172">
        <v>174</v>
      </c>
      <c r="U744" s="124">
        <v>174</v>
      </c>
      <c r="V744" s="124">
        <v>174</v>
      </c>
      <c r="W744" s="124">
        <v>175</v>
      </c>
      <c r="X744" s="172">
        <v>175</v>
      </c>
      <c r="Y744" s="124">
        <v>175</v>
      </c>
      <c r="Z744" s="124">
        <v>175</v>
      </c>
      <c r="AA744" s="172">
        <v>175</v>
      </c>
      <c r="AB744" s="124">
        <v>175</v>
      </c>
      <c r="AC744" s="124">
        <v>175</v>
      </c>
      <c r="AD744" s="124">
        <v>183</v>
      </c>
      <c r="AE744" s="172">
        <v>183</v>
      </c>
      <c r="AF744" s="124">
        <v>183</v>
      </c>
      <c r="AG744" s="124">
        <v>183</v>
      </c>
      <c r="AH744" s="172">
        <v>183</v>
      </c>
      <c r="AI744" s="124">
        <v>183</v>
      </c>
      <c r="AJ744" s="124">
        <v>183</v>
      </c>
      <c r="AK744" s="171" t="s">
        <v>18</v>
      </c>
      <c r="AL744" s="124" t="s">
        <v>18</v>
      </c>
      <c r="AM744" s="124" t="s">
        <v>18</v>
      </c>
      <c r="AN744" s="124" t="s">
        <v>18</v>
      </c>
      <c r="AO744" s="124" t="s">
        <v>18</v>
      </c>
      <c r="AP744" s="124" t="s">
        <v>18</v>
      </c>
      <c r="AQ744" s="124" t="s">
        <v>18</v>
      </c>
      <c r="AR744" s="124" t="s">
        <v>18</v>
      </c>
      <c r="AS744" s="124" t="s">
        <v>18</v>
      </c>
      <c r="AT744" s="124" t="s">
        <v>18</v>
      </c>
      <c r="AU744" s="124" t="s">
        <v>18</v>
      </c>
      <c r="AV744" s="124" t="s">
        <v>18</v>
      </c>
      <c r="AW744" s="124" t="s">
        <v>18</v>
      </c>
      <c r="AX744" s="124" t="s">
        <v>18</v>
      </c>
      <c r="AY744" s="124" t="s">
        <v>18</v>
      </c>
      <c r="AZ744" s="124" t="s">
        <v>18</v>
      </c>
      <c r="BA744" s="124" t="s">
        <v>18</v>
      </c>
      <c r="BB744" s="124" t="s">
        <v>18</v>
      </c>
      <c r="BC744" s="124" t="s">
        <v>18</v>
      </c>
    </row>
    <row r="745" spans="1:55" ht="15.75" customHeight="1" x14ac:dyDescent="0.25">
      <c r="A745" s="143">
        <v>1</v>
      </c>
      <c r="B745" s="122" t="s">
        <v>5</v>
      </c>
      <c r="C745" s="171">
        <v>28</v>
      </c>
      <c r="D745" s="124">
        <v>28</v>
      </c>
      <c r="E745" s="124">
        <v>23</v>
      </c>
      <c r="F745" s="172">
        <v>23</v>
      </c>
      <c r="G745" s="124">
        <v>23</v>
      </c>
      <c r="H745" s="124">
        <v>23</v>
      </c>
      <c r="I745" s="124">
        <v>23</v>
      </c>
      <c r="J745" s="172">
        <v>18</v>
      </c>
      <c r="K745" s="124">
        <v>18</v>
      </c>
      <c r="L745" s="124">
        <v>18</v>
      </c>
      <c r="M745" s="172">
        <v>23</v>
      </c>
      <c r="N745" s="124">
        <v>21</v>
      </c>
      <c r="O745" s="172">
        <v>21</v>
      </c>
      <c r="P745" s="124">
        <v>21</v>
      </c>
      <c r="Q745" s="172">
        <v>21</v>
      </c>
      <c r="R745" s="124">
        <v>21</v>
      </c>
      <c r="S745" s="124">
        <v>19</v>
      </c>
      <c r="T745" s="172">
        <v>21</v>
      </c>
      <c r="U745" s="124">
        <v>21</v>
      </c>
      <c r="V745" s="124">
        <v>21</v>
      </c>
      <c r="W745" s="124">
        <v>20</v>
      </c>
      <c r="X745" s="172">
        <v>20</v>
      </c>
      <c r="Y745" s="124">
        <v>20</v>
      </c>
      <c r="Z745" s="124">
        <v>18</v>
      </c>
      <c r="AA745" s="172">
        <v>17</v>
      </c>
      <c r="AB745" s="124">
        <v>17</v>
      </c>
      <c r="AC745" s="124">
        <v>17</v>
      </c>
      <c r="AD745" s="124">
        <v>9</v>
      </c>
      <c r="AE745" s="172">
        <v>14</v>
      </c>
      <c r="AF745" s="124">
        <v>14</v>
      </c>
      <c r="AG745" s="124">
        <v>14</v>
      </c>
      <c r="AH745" s="172">
        <v>14</v>
      </c>
      <c r="AI745" s="124">
        <v>14</v>
      </c>
      <c r="AJ745" s="124">
        <v>14</v>
      </c>
      <c r="AK745" s="171" t="s">
        <v>18</v>
      </c>
      <c r="AL745" s="124" t="s">
        <v>18</v>
      </c>
      <c r="AM745" s="124" t="s">
        <v>18</v>
      </c>
      <c r="AN745" s="124" t="s">
        <v>18</v>
      </c>
      <c r="AO745" s="124" t="s">
        <v>18</v>
      </c>
      <c r="AP745" s="124" t="s">
        <v>18</v>
      </c>
      <c r="AQ745" s="124" t="s">
        <v>18</v>
      </c>
      <c r="AR745" s="124" t="s">
        <v>18</v>
      </c>
      <c r="AS745" s="124" t="s">
        <v>18</v>
      </c>
      <c r="AT745" s="124" t="s">
        <v>18</v>
      </c>
      <c r="AU745" s="124" t="s">
        <v>18</v>
      </c>
      <c r="AV745" s="124" t="s">
        <v>18</v>
      </c>
      <c r="AW745" s="124" t="s">
        <v>18</v>
      </c>
      <c r="AX745" s="124" t="s">
        <v>18</v>
      </c>
      <c r="AY745" s="124" t="s">
        <v>18</v>
      </c>
      <c r="AZ745" s="124" t="s">
        <v>18</v>
      </c>
      <c r="BA745" s="124" t="s">
        <v>18</v>
      </c>
      <c r="BB745" s="124" t="s">
        <v>18</v>
      </c>
      <c r="BC745" s="124" t="s">
        <v>18</v>
      </c>
    </row>
    <row r="746" spans="1:55" ht="15.75" customHeight="1" x14ac:dyDescent="0.25">
      <c r="A746" s="144" t="s">
        <v>20</v>
      </c>
      <c r="B746" s="122" t="s">
        <v>6</v>
      </c>
      <c r="C746" s="171"/>
      <c r="D746" s="124"/>
      <c r="E746" s="124"/>
      <c r="F746" s="172"/>
      <c r="G746" s="124"/>
      <c r="H746" s="124"/>
      <c r="I746" s="124">
        <v>-5</v>
      </c>
      <c r="J746" s="172"/>
      <c r="K746" s="124"/>
      <c r="L746" s="124">
        <v>5</v>
      </c>
      <c r="M746" s="172"/>
      <c r="N746" s="124"/>
      <c r="O746" s="172"/>
      <c r="P746" s="124"/>
      <c r="Q746" s="172"/>
      <c r="R746" s="124"/>
      <c r="S746" s="124">
        <v>2</v>
      </c>
      <c r="T746" s="172"/>
      <c r="U746" s="124"/>
      <c r="V746" s="124"/>
      <c r="W746" s="124"/>
      <c r="X746" s="172"/>
      <c r="Y746" s="124"/>
      <c r="Z746" s="124">
        <v>-1</v>
      </c>
      <c r="AA746" s="172"/>
      <c r="AB746" s="124"/>
      <c r="AC746" s="124"/>
      <c r="AD746" s="124">
        <v>5</v>
      </c>
      <c r="AE746" s="172"/>
      <c r="AF746" s="124"/>
      <c r="AG746" s="124"/>
      <c r="AH746" s="172"/>
      <c r="AI746" s="124"/>
      <c r="AJ746" s="124"/>
      <c r="AK746" s="171"/>
      <c r="AL746" s="124"/>
      <c r="AM746" s="124"/>
      <c r="AN746" s="124"/>
      <c r="AO746" s="124"/>
      <c r="AP746" s="124"/>
      <c r="AQ746" s="124"/>
      <c r="AR746" s="124"/>
      <c r="AS746" s="124"/>
      <c r="AT746" s="124"/>
      <c r="AU746" s="124"/>
      <c r="AV746" s="124"/>
      <c r="AW746" s="124"/>
      <c r="AX746" s="124"/>
      <c r="AY746" s="124"/>
      <c r="AZ746" s="124"/>
      <c r="BA746" s="124"/>
      <c r="BB746" s="124"/>
      <c r="BC746" s="124"/>
    </row>
    <row r="747" spans="1:55" ht="15.75" customHeight="1" x14ac:dyDescent="0.25">
      <c r="A747" s="145">
        <v>225300</v>
      </c>
      <c r="B747" s="122" t="s">
        <v>8</v>
      </c>
      <c r="C747" s="174">
        <v>280</v>
      </c>
      <c r="D747" s="130">
        <v>280</v>
      </c>
      <c r="E747" s="130">
        <v>280</v>
      </c>
      <c r="F747" s="175">
        <v>280</v>
      </c>
      <c r="G747" s="130">
        <v>280</v>
      </c>
      <c r="H747" s="130">
        <v>280</v>
      </c>
      <c r="I747" s="130">
        <v>280</v>
      </c>
      <c r="J747" s="175">
        <v>280</v>
      </c>
      <c r="K747" s="130">
        <v>280</v>
      </c>
      <c r="L747" s="130">
        <v>280</v>
      </c>
      <c r="M747" s="175">
        <v>280</v>
      </c>
      <c r="N747" s="130">
        <v>280</v>
      </c>
      <c r="O747" s="175">
        <v>280</v>
      </c>
      <c r="P747" s="130">
        <v>280</v>
      </c>
      <c r="Q747" s="175">
        <v>280</v>
      </c>
      <c r="R747" s="130">
        <v>280</v>
      </c>
      <c r="S747" s="130">
        <v>280</v>
      </c>
      <c r="T747" s="175">
        <v>280</v>
      </c>
      <c r="U747" s="130">
        <v>280</v>
      </c>
      <c r="V747" s="130">
        <v>280</v>
      </c>
      <c r="W747" s="130">
        <v>280</v>
      </c>
      <c r="X747" s="175">
        <v>280</v>
      </c>
      <c r="Y747" s="130">
        <v>280</v>
      </c>
      <c r="Z747" s="130">
        <v>280</v>
      </c>
      <c r="AA747" s="175">
        <v>280</v>
      </c>
      <c r="AB747" s="130">
        <v>280</v>
      </c>
      <c r="AC747" s="130">
        <v>280</v>
      </c>
      <c r="AD747" s="130">
        <v>280</v>
      </c>
      <c r="AE747" s="175">
        <v>280</v>
      </c>
      <c r="AF747" s="130">
        <v>280</v>
      </c>
      <c r="AG747" s="130">
        <v>280</v>
      </c>
      <c r="AH747" s="175">
        <v>280</v>
      </c>
      <c r="AI747" s="130">
        <v>280</v>
      </c>
      <c r="AJ747" s="130">
        <v>280</v>
      </c>
      <c r="AK747" s="174" t="s">
        <v>18</v>
      </c>
      <c r="AL747" s="130" t="s">
        <v>18</v>
      </c>
      <c r="AM747" s="130" t="s">
        <v>18</v>
      </c>
      <c r="AN747" s="130" t="s">
        <v>18</v>
      </c>
      <c r="AO747" s="130" t="s">
        <v>18</v>
      </c>
      <c r="AP747" s="130" t="s">
        <v>18</v>
      </c>
      <c r="AQ747" s="130" t="s">
        <v>18</v>
      </c>
      <c r="AR747" s="130" t="s">
        <v>18</v>
      </c>
      <c r="AS747" s="130" t="s">
        <v>18</v>
      </c>
      <c r="AT747" s="130" t="s">
        <v>18</v>
      </c>
      <c r="AU747" s="130" t="s">
        <v>18</v>
      </c>
      <c r="AV747" s="130" t="s">
        <v>18</v>
      </c>
      <c r="AW747" s="130" t="s">
        <v>18</v>
      </c>
      <c r="AX747" s="130" t="s">
        <v>18</v>
      </c>
      <c r="AY747" s="130" t="s">
        <v>18</v>
      </c>
      <c r="AZ747" s="130" t="s">
        <v>18</v>
      </c>
      <c r="BA747" s="130" t="s">
        <v>18</v>
      </c>
      <c r="BB747" s="130" t="s">
        <v>18</v>
      </c>
      <c r="BC747" s="130" t="s">
        <v>18</v>
      </c>
    </row>
    <row r="748" spans="1:55" ht="15.75" customHeight="1" x14ac:dyDescent="0.2">
      <c r="A748" s="127" t="s">
        <v>9</v>
      </c>
      <c r="B748" s="132" t="s">
        <v>10</v>
      </c>
      <c r="C748" s="177" t="s">
        <v>41</v>
      </c>
      <c r="D748" s="134" t="s">
        <v>41</v>
      </c>
      <c r="E748" s="134" t="s">
        <v>41</v>
      </c>
      <c r="F748" s="178" t="s">
        <v>41</v>
      </c>
      <c r="G748" s="134" t="s">
        <v>41</v>
      </c>
      <c r="H748" s="134" t="s">
        <v>41</v>
      </c>
      <c r="I748" s="134" t="s">
        <v>41</v>
      </c>
      <c r="J748" s="178" t="s">
        <v>41</v>
      </c>
      <c r="K748" s="134" t="s">
        <v>41</v>
      </c>
      <c r="L748" s="134" t="s">
        <v>41</v>
      </c>
      <c r="M748" s="178" t="s">
        <v>41</v>
      </c>
      <c r="N748" s="134" t="s">
        <v>41</v>
      </c>
      <c r="O748" s="178" t="s">
        <v>41</v>
      </c>
      <c r="P748" s="134" t="s">
        <v>41</v>
      </c>
      <c r="Q748" s="178" t="s">
        <v>41</v>
      </c>
      <c r="R748" s="134" t="s">
        <v>41</v>
      </c>
      <c r="S748" s="134" t="s">
        <v>41</v>
      </c>
      <c r="T748" s="178" t="s">
        <v>41</v>
      </c>
      <c r="U748" s="134" t="s">
        <v>41</v>
      </c>
      <c r="V748" s="134" t="s">
        <v>41</v>
      </c>
      <c r="W748" s="134" t="s">
        <v>41</v>
      </c>
      <c r="X748" s="178" t="s">
        <v>41</v>
      </c>
      <c r="Y748" s="134" t="s">
        <v>41</v>
      </c>
      <c r="Z748" s="134" t="s">
        <v>41</v>
      </c>
      <c r="AA748" s="178" t="s">
        <v>41</v>
      </c>
      <c r="AB748" s="134" t="s">
        <v>41</v>
      </c>
      <c r="AC748" s="134" t="s">
        <v>41</v>
      </c>
      <c r="AD748" s="134" t="s">
        <v>41</v>
      </c>
      <c r="AE748" s="178" t="s">
        <v>41</v>
      </c>
      <c r="AF748" s="134" t="s">
        <v>41</v>
      </c>
      <c r="AG748" s="134" t="s">
        <v>41</v>
      </c>
      <c r="AH748" s="178" t="s">
        <v>41</v>
      </c>
      <c r="AI748" s="134" t="s">
        <v>41</v>
      </c>
      <c r="AJ748" s="134" t="s">
        <v>41</v>
      </c>
      <c r="AK748" s="177" t="s">
        <v>18</v>
      </c>
      <c r="AL748" s="134" t="s">
        <v>18</v>
      </c>
      <c r="AM748" s="134" t="s">
        <v>18</v>
      </c>
      <c r="AN748" s="134" t="s">
        <v>18</v>
      </c>
      <c r="AO748" s="134" t="s">
        <v>18</v>
      </c>
      <c r="AP748" s="134" t="s">
        <v>18</v>
      </c>
      <c r="AQ748" s="134" t="s">
        <v>18</v>
      </c>
      <c r="AR748" s="134" t="s">
        <v>18</v>
      </c>
      <c r="AS748" s="134" t="s">
        <v>18</v>
      </c>
      <c r="AT748" s="134" t="s">
        <v>18</v>
      </c>
      <c r="AU748" s="134" t="s">
        <v>18</v>
      </c>
      <c r="AV748" s="134" t="s">
        <v>18</v>
      </c>
      <c r="AW748" s="134" t="s">
        <v>18</v>
      </c>
      <c r="AX748" s="134" t="s">
        <v>18</v>
      </c>
      <c r="AY748" s="134" t="s">
        <v>18</v>
      </c>
      <c r="AZ748" s="134" t="s">
        <v>18</v>
      </c>
      <c r="BA748" s="134" t="s">
        <v>18</v>
      </c>
      <c r="BB748" s="134" t="s">
        <v>18</v>
      </c>
      <c r="BC748" s="134" t="s">
        <v>18</v>
      </c>
    </row>
    <row r="749" spans="1:55" ht="15.75" customHeight="1" x14ac:dyDescent="0.2">
      <c r="A749" s="128">
        <v>44029.411764705881</v>
      </c>
      <c r="B749" s="122" t="s">
        <v>12</v>
      </c>
      <c r="C749" s="171"/>
      <c r="D749" s="124"/>
      <c r="E749" s="124"/>
      <c r="F749" s="172"/>
      <c r="G749" s="124"/>
      <c r="H749" s="124"/>
      <c r="I749" s="124"/>
      <c r="J749" s="172"/>
      <c r="K749" s="124"/>
      <c r="L749" s="124"/>
      <c r="M749" s="172"/>
      <c r="N749" s="124"/>
      <c r="O749" s="172"/>
      <c r="P749" s="124"/>
      <c r="Q749" s="172"/>
      <c r="R749" s="124"/>
      <c r="S749" s="124"/>
      <c r="T749" s="172"/>
      <c r="U749" s="124"/>
      <c r="V749" s="124"/>
      <c r="W749" s="124"/>
      <c r="X749" s="172"/>
      <c r="Y749" s="124"/>
      <c r="Z749" s="124"/>
      <c r="AA749" s="172"/>
      <c r="AB749" s="124"/>
      <c r="AC749" s="124"/>
      <c r="AD749" s="124"/>
      <c r="AE749" s="172"/>
      <c r="AF749" s="124"/>
      <c r="AG749" s="124"/>
      <c r="AH749" s="172"/>
      <c r="AI749" s="124"/>
      <c r="AJ749" s="124"/>
      <c r="AK749" s="171"/>
      <c r="AL749" s="124"/>
      <c r="AM749" s="124"/>
      <c r="AN749" s="124"/>
      <c r="AO749" s="124"/>
      <c r="AP749" s="124"/>
      <c r="AQ749" s="124"/>
      <c r="AR749" s="124"/>
      <c r="AS749" s="124"/>
      <c r="AT749" s="124"/>
      <c r="AU749" s="124"/>
      <c r="AV749" s="124"/>
      <c r="AW749" s="124"/>
      <c r="AX749" s="124"/>
      <c r="AY749" s="124"/>
      <c r="AZ749" s="124"/>
      <c r="BA749" s="124"/>
      <c r="BB749" s="124"/>
      <c r="BC749" s="124"/>
    </row>
    <row r="750" spans="1:55" ht="15.75" customHeight="1" x14ac:dyDescent="0.2">
      <c r="A750" s="128">
        <v>499</v>
      </c>
      <c r="B750" s="136" t="s">
        <v>13</v>
      </c>
      <c r="C750" s="171">
        <v>0</v>
      </c>
      <c r="D750" s="137">
        <v>0</v>
      </c>
      <c r="E750" s="137">
        <v>104</v>
      </c>
      <c r="F750" s="172">
        <v>0</v>
      </c>
      <c r="G750" s="137">
        <v>0</v>
      </c>
      <c r="H750" s="137">
        <v>0</v>
      </c>
      <c r="I750" s="137">
        <v>23</v>
      </c>
      <c r="J750" s="172">
        <v>0</v>
      </c>
      <c r="K750" s="137">
        <v>0</v>
      </c>
      <c r="L750" s="137">
        <v>70</v>
      </c>
      <c r="M750" s="172">
        <v>0</v>
      </c>
      <c r="N750" s="137">
        <v>25</v>
      </c>
      <c r="O750" s="172">
        <v>0</v>
      </c>
      <c r="P750" s="137">
        <v>6</v>
      </c>
      <c r="Q750" s="172">
        <v>0</v>
      </c>
      <c r="R750" s="137">
        <v>0</v>
      </c>
      <c r="S750" s="137">
        <v>47</v>
      </c>
      <c r="T750" s="172">
        <v>0</v>
      </c>
      <c r="U750" s="137">
        <v>0</v>
      </c>
      <c r="V750" s="137">
        <v>0</v>
      </c>
      <c r="W750" s="137">
        <v>20</v>
      </c>
      <c r="X750" s="172">
        <v>0</v>
      </c>
      <c r="Y750" s="137">
        <v>0</v>
      </c>
      <c r="Z750" s="137">
        <v>86</v>
      </c>
      <c r="AA750" s="172">
        <v>0</v>
      </c>
      <c r="AB750" s="137">
        <v>0</v>
      </c>
      <c r="AC750" s="137">
        <v>0</v>
      </c>
      <c r="AD750" s="137">
        <v>77</v>
      </c>
      <c r="AE750" s="172">
        <v>0</v>
      </c>
      <c r="AF750" s="137">
        <v>0</v>
      </c>
      <c r="AG750" s="137">
        <v>26</v>
      </c>
      <c r="AH750" s="172">
        <v>0</v>
      </c>
      <c r="AI750" s="137">
        <v>0</v>
      </c>
      <c r="AJ750" s="137">
        <v>15</v>
      </c>
      <c r="AK750" s="171" t="s">
        <v>18</v>
      </c>
      <c r="AL750" s="137" t="s">
        <v>18</v>
      </c>
      <c r="AM750" s="137" t="s">
        <v>18</v>
      </c>
      <c r="AN750" s="137" t="s">
        <v>18</v>
      </c>
      <c r="AO750" s="137" t="s">
        <v>18</v>
      </c>
      <c r="AP750" s="137" t="s">
        <v>18</v>
      </c>
      <c r="AQ750" s="137" t="s">
        <v>18</v>
      </c>
      <c r="AR750" s="137" t="s">
        <v>18</v>
      </c>
      <c r="AS750" s="137" t="s">
        <v>18</v>
      </c>
      <c r="AT750" s="137" t="s">
        <v>18</v>
      </c>
      <c r="AU750" s="137" t="s">
        <v>18</v>
      </c>
      <c r="AV750" s="137" t="s">
        <v>18</v>
      </c>
      <c r="AW750" s="137" t="s">
        <v>18</v>
      </c>
      <c r="AX750" s="137" t="s">
        <v>18</v>
      </c>
      <c r="AY750" s="137" t="s">
        <v>18</v>
      </c>
      <c r="AZ750" s="137" t="s">
        <v>18</v>
      </c>
      <c r="BA750" s="137" t="s">
        <v>18</v>
      </c>
      <c r="BB750" s="137" t="s">
        <v>18</v>
      </c>
      <c r="BC750" s="137" t="s">
        <v>18</v>
      </c>
    </row>
    <row r="751" spans="1:55" ht="15.75" customHeight="1" x14ac:dyDescent="0.2">
      <c r="A751" s="128">
        <v>18</v>
      </c>
      <c r="B751" s="136" t="s">
        <v>14</v>
      </c>
      <c r="C751" s="171">
        <v>0</v>
      </c>
      <c r="D751" s="137">
        <v>0</v>
      </c>
      <c r="E751" s="137">
        <v>5</v>
      </c>
      <c r="F751" s="172">
        <v>0</v>
      </c>
      <c r="G751" s="137">
        <v>0</v>
      </c>
      <c r="H751" s="137">
        <v>0</v>
      </c>
      <c r="I751" s="137">
        <v>0</v>
      </c>
      <c r="J751" s="172">
        <v>0</v>
      </c>
      <c r="K751" s="137">
        <v>0</v>
      </c>
      <c r="L751" s="137">
        <v>0</v>
      </c>
      <c r="M751" s="172">
        <v>0</v>
      </c>
      <c r="N751" s="137">
        <v>2</v>
      </c>
      <c r="O751" s="172">
        <v>0</v>
      </c>
      <c r="P751" s="137">
        <v>0</v>
      </c>
      <c r="Q751" s="172">
        <v>0</v>
      </c>
      <c r="R751" s="137">
        <v>0</v>
      </c>
      <c r="S751" s="137">
        <v>2</v>
      </c>
      <c r="T751" s="172">
        <v>0</v>
      </c>
      <c r="U751" s="137">
        <v>0</v>
      </c>
      <c r="V751" s="137">
        <v>0</v>
      </c>
      <c r="W751" s="137">
        <v>1</v>
      </c>
      <c r="X751" s="172">
        <v>0</v>
      </c>
      <c r="Y751" s="137">
        <v>0</v>
      </c>
      <c r="Z751" s="137">
        <v>0</v>
      </c>
      <c r="AA751" s="172">
        <v>0</v>
      </c>
      <c r="AB751" s="137">
        <v>0</v>
      </c>
      <c r="AC751" s="137">
        <v>0</v>
      </c>
      <c r="AD751" s="137">
        <v>8</v>
      </c>
      <c r="AE751" s="172">
        <v>0</v>
      </c>
      <c r="AF751" s="137">
        <v>0</v>
      </c>
      <c r="AG751" s="137">
        <v>0</v>
      </c>
      <c r="AH751" s="172">
        <v>0</v>
      </c>
      <c r="AI751" s="137">
        <v>0</v>
      </c>
      <c r="AJ751" s="137">
        <v>0</v>
      </c>
      <c r="AK751" s="171" t="s">
        <v>18</v>
      </c>
      <c r="AL751" s="137" t="s">
        <v>18</v>
      </c>
      <c r="AM751" s="137" t="s">
        <v>18</v>
      </c>
      <c r="AN751" s="137" t="s">
        <v>18</v>
      </c>
      <c r="AO751" s="137" t="s">
        <v>18</v>
      </c>
      <c r="AP751" s="137" t="s">
        <v>18</v>
      </c>
      <c r="AQ751" s="137" t="s">
        <v>18</v>
      </c>
      <c r="AR751" s="137" t="s">
        <v>18</v>
      </c>
      <c r="AS751" s="137" t="s">
        <v>18</v>
      </c>
      <c r="AT751" s="137" t="s">
        <v>18</v>
      </c>
      <c r="AU751" s="137" t="s">
        <v>18</v>
      </c>
      <c r="AV751" s="137" t="s">
        <v>18</v>
      </c>
      <c r="AW751" s="137" t="s">
        <v>18</v>
      </c>
      <c r="AX751" s="137" t="s">
        <v>18</v>
      </c>
      <c r="AY751" s="137" t="s">
        <v>18</v>
      </c>
      <c r="AZ751" s="137" t="s">
        <v>18</v>
      </c>
      <c r="BA751" s="137" t="s">
        <v>18</v>
      </c>
      <c r="BB751" s="137" t="s">
        <v>18</v>
      </c>
      <c r="BC751" s="137" t="s">
        <v>18</v>
      </c>
    </row>
    <row r="752" spans="1:55" ht="15.75" customHeight="1" x14ac:dyDescent="0.2">
      <c r="A752" s="128">
        <v>20</v>
      </c>
      <c r="B752" s="136" t="s">
        <v>15</v>
      </c>
      <c r="C752" s="171">
        <v>0</v>
      </c>
      <c r="D752" s="137">
        <v>0</v>
      </c>
      <c r="E752" s="137">
        <v>5</v>
      </c>
      <c r="F752" s="172">
        <v>0</v>
      </c>
      <c r="G752" s="137">
        <v>0</v>
      </c>
      <c r="H752" s="137">
        <v>0</v>
      </c>
      <c r="I752" s="137">
        <v>0</v>
      </c>
      <c r="J752" s="172">
        <v>0</v>
      </c>
      <c r="K752" s="137">
        <v>0</v>
      </c>
      <c r="L752" s="137">
        <v>0</v>
      </c>
      <c r="M752" s="172">
        <v>0</v>
      </c>
      <c r="N752" s="137">
        <v>2</v>
      </c>
      <c r="O752" s="172">
        <v>0</v>
      </c>
      <c r="P752" s="137">
        <v>0</v>
      </c>
      <c r="Q752" s="172">
        <v>0</v>
      </c>
      <c r="R752" s="137">
        <v>0</v>
      </c>
      <c r="S752" s="137">
        <v>2</v>
      </c>
      <c r="T752" s="172">
        <v>0</v>
      </c>
      <c r="U752" s="137">
        <v>0</v>
      </c>
      <c r="V752" s="137">
        <v>0</v>
      </c>
      <c r="W752" s="137">
        <v>1</v>
      </c>
      <c r="X752" s="172">
        <v>0</v>
      </c>
      <c r="Y752" s="137">
        <v>0</v>
      </c>
      <c r="Z752" s="137">
        <v>2</v>
      </c>
      <c r="AA752" s="172">
        <v>0</v>
      </c>
      <c r="AB752" s="137">
        <v>0</v>
      </c>
      <c r="AC752" s="137">
        <v>0</v>
      </c>
      <c r="AD752" s="137">
        <v>8</v>
      </c>
      <c r="AE752" s="172">
        <v>0</v>
      </c>
      <c r="AF752" s="137">
        <v>0</v>
      </c>
      <c r="AG752" s="137">
        <v>0</v>
      </c>
      <c r="AH752" s="172">
        <v>0</v>
      </c>
      <c r="AI752" s="137">
        <v>0</v>
      </c>
      <c r="AJ752" s="137">
        <v>0</v>
      </c>
      <c r="AK752" s="171" t="s">
        <v>18</v>
      </c>
      <c r="AL752" s="137" t="s">
        <v>18</v>
      </c>
      <c r="AM752" s="137" t="s">
        <v>18</v>
      </c>
      <c r="AN752" s="137" t="s">
        <v>18</v>
      </c>
      <c r="AO752" s="137" t="s">
        <v>18</v>
      </c>
      <c r="AP752" s="137" t="s">
        <v>18</v>
      </c>
      <c r="AQ752" s="137" t="s">
        <v>18</v>
      </c>
      <c r="AR752" s="137" t="s">
        <v>18</v>
      </c>
      <c r="AS752" s="137" t="s">
        <v>18</v>
      </c>
      <c r="AT752" s="137" t="s">
        <v>18</v>
      </c>
      <c r="AU752" s="137" t="s">
        <v>18</v>
      </c>
      <c r="AV752" s="137" t="s">
        <v>18</v>
      </c>
      <c r="AW752" s="137" t="s">
        <v>18</v>
      </c>
      <c r="AX752" s="137" t="s">
        <v>18</v>
      </c>
      <c r="AY752" s="137" t="s">
        <v>18</v>
      </c>
      <c r="AZ752" s="137" t="s">
        <v>18</v>
      </c>
      <c r="BA752" s="137" t="s">
        <v>18</v>
      </c>
      <c r="BB752" s="137" t="s">
        <v>18</v>
      </c>
      <c r="BC752" s="137" t="s">
        <v>18</v>
      </c>
    </row>
    <row r="753" spans="1:55" ht="15.75" customHeight="1" x14ac:dyDescent="0.2">
      <c r="A753" s="128">
        <v>5600</v>
      </c>
      <c r="B753" s="136" t="s">
        <v>16</v>
      </c>
      <c r="C753" s="171">
        <v>0</v>
      </c>
      <c r="D753" s="137">
        <v>0</v>
      </c>
      <c r="E753" s="137">
        <v>1400</v>
      </c>
      <c r="F753" s="172">
        <v>0</v>
      </c>
      <c r="G753" s="137">
        <v>0</v>
      </c>
      <c r="H753" s="137">
        <v>0</v>
      </c>
      <c r="I753" s="137">
        <v>0</v>
      </c>
      <c r="J753" s="172">
        <v>0</v>
      </c>
      <c r="K753" s="137">
        <v>0</v>
      </c>
      <c r="L753" s="137">
        <v>0</v>
      </c>
      <c r="M753" s="172">
        <v>0</v>
      </c>
      <c r="N753" s="137">
        <v>560</v>
      </c>
      <c r="O753" s="172">
        <v>0</v>
      </c>
      <c r="P753" s="137">
        <v>0</v>
      </c>
      <c r="Q753" s="172">
        <v>0</v>
      </c>
      <c r="R753" s="137">
        <v>0</v>
      </c>
      <c r="S753" s="137">
        <v>560</v>
      </c>
      <c r="T753" s="172">
        <v>0</v>
      </c>
      <c r="U753" s="137">
        <v>0</v>
      </c>
      <c r="V753" s="137">
        <v>0</v>
      </c>
      <c r="W753" s="137">
        <v>280</v>
      </c>
      <c r="X753" s="172">
        <v>0</v>
      </c>
      <c r="Y753" s="137">
        <v>0</v>
      </c>
      <c r="Z753" s="137">
        <v>560</v>
      </c>
      <c r="AA753" s="172">
        <v>0</v>
      </c>
      <c r="AB753" s="137">
        <v>0</v>
      </c>
      <c r="AC753" s="137">
        <v>0</v>
      </c>
      <c r="AD753" s="137">
        <v>2240</v>
      </c>
      <c r="AE753" s="172">
        <v>0</v>
      </c>
      <c r="AF753" s="137">
        <v>0</v>
      </c>
      <c r="AG753" s="137">
        <v>0</v>
      </c>
      <c r="AH753" s="172">
        <v>0</v>
      </c>
      <c r="AI753" s="137">
        <v>0</v>
      </c>
      <c r="AJ753" s="137">
        <v>0</v>
      </c>
      <c r="AK753" s="171" t="s">
        <v>18</v>
      </c>
      <c r="AL753" s="137" t="s">
        <v>18</v>
      </c>
      <c r="AM753" s="137" t="s">
        <v>18</v>
      </c>
      <c r="AN753" s="137" t="s">
        <v>18</v>
      </c>
      <c r="AO753" s="137" t="s">
        <v>18</v>
      </c>
      <c r="AP753" s="137" t="s">
        <v>18</v>
      </c>
      <c r="AQ753" s="137" t="s">
        <v>18</v>
      </c>
      <c r="AR753" s="137" t="s">
        <v>18</v>
      </c>
      <c r="AS753" s="137" t="s">
        <v>18</v>
      </c>
      <c r="AT753" s="137" t="s">
        <v>18</v>
      </c>
      <c r="AU753" s="137" t="s">
        <v>18</v>
      </c>
      <c r="AV753" s="137" t="s">
        <v>18</v>
      </c>
      <c r="AW753" s="137" t="s">
        <v>18</v>
      </c>
      <c r="AX753" s="137" t="s">
        <v>18</v>
      </c>
      <c r="AY753" s="137" t="s">
        <v>18</v>
      </c>
      <c r="AZ753" s="137" t="s">
        <v>18</v>
      </c>
      <c r="BA753" s="137" t="s">
        <v>18</v>
      </c>
      <c r="BB753" s="137" t="s">
        <v>18</v>
      </c>
      <c r="BC753" s="137" t="s">
        <v>18</v>
      </c>
    </row>
    <row r="754" spans="1:55" ht="15.75" customHeight="1" x14ac:dyDescent="0.2">
      <c r="A754" s="138">
        <v>0.11222444889779559</v>
      </c>
      <c r="B754" s="136" t="s">
        <v>17</v>
      </c>
      <c r="C754" s="183" t="s">
        <v>18</v>
      </c>
      <c r="D754" s="147" t="s">
        <v>18</v>
      </c>
      <c r="E754" s="147">
        <v>0.13461538461538461</v>
      </c>
      <c r="F754" s="184" t="s">
        <v>18</v>
      </c>
      <c r="G754" s="147" t="s">
        <v>18</v>
      </c>
      <c r="H754" s="147" t="s">
        <v>18</v>
      </c>
      <c r="I754" s="147" t="s">
        <v>18</v>
      </c>
      <c r="J754" s="184" t="s">
        <v>18</v>
      </c>
      <c r="K754" s="147" t="s">
        <v>18</v>
      </c>
      <c r="L754" s="147" t="s">
        <v>18</v>
      </c>
      <c r="M754" s="184" t="s">
        <v>18</v>
      </c>
      <c r="N754" s="147">
        <v>0.224</v>
      </c>
      <c r="O754" s="184" t="s">
        <v>18</v>
      </c>
      <c r="P754" s="147" t="s">
        <v>18</v>
      </c>
      <c r="Q754" s="184" t="s">
        <v>18</v>
      </c>
      <c r="R754" s="147" t="s">
        <v>18</v>
      </c>
      <c r="S754" s="147">
        <v>0.11914893617021277</v>
      </c>
      <c r="T754" s="184" t="s">
        <v>18</v>
      </c>
      <c r="U754" s="147" t="s">
        <v>18</v>
      </c>
      <c r="V754" s="147" t="s">
        <v>18</v>
      </c>
      <c r="W754" s="147">
        <v>0.14000000000000001</v>
      </c>
      <c r="X754" s="184" t="s">
        <v>18</v>
      </c>
      <c r="Y754" s="147" t="s">
        <v>18</v>
      </c>
      <c r="Z754" s="147">
        <v>6.5116279069767441E-2</v>
      </c>
      <c r="AA754" s="184" t="s">
        <v>18</v>
      </c>
      <c r="AB754" s="147" t="s">
        <v>18</v>
      </c>
      <c r="AC754" s="147" t="s">
        <v>18</v>
      </c>
      <c r="AD754" s="147">
        <v>0.29090909090909089</v>
      </c>
      <c r="AE754" s="184" t="s">
        <v>18</v>
      </c>
      <c r="AF754" s="147" t="s">
        <v>18</v>
      </c>
      <c r="AG754" s="147" t="s">
        <v>18</v>
      </c>
      <c r="AH754" s="184" t="s">
        <v>18</v>
      </c>
      <c r="AI754" s="147" t="s">
        <v>18</v>
      </c>
      <c r="AJ754" s="147" t="s">
        <v>18</v>
      </c>
      <c r="AK754" s="183" t="s">
        <v>18</v>
      </c>
      <c r="AL754" s="147" t="s">
        <v>18</v>
      </c>
      <c r="AM754" s="147" t="s">
        <v>18</v>
      </c>
      <c r="AN754" s="147" t="s">
        <v>18</v>
      </c>
      <c r="AO754" s="147" t="s">
        <v>18</v>
      </c>
      <c r="AP754" s="147" t="s">
        <v>18</v>
      </c>
      <c r="AQ754" s="147" t="s">
        <v>18</v>
      </c>
      <c r="AR754" s="147" t="s">
        <v>18</v>
      </c>
      <c r="AS754" s="147" t="s">
        <v>18</v>
      </c>
      <c r="AT754" s="147" t="s">
        <v>18</v>
      </c>
      <c r="AU754" s="147" t="s">
        <v>18</v>
      </c>
      <c r="AV754" s="147" t="s">
        <v>18</v>
      </c>
      <c r="AW754" s="147" t="s">
        <v>18</v>
      </c>
      <c r="AX754" s="147" t="s">
        <v>18</v>
      </c>
      <c r="AY754" s="147" t="s">
        <v>18</v>
      </c>
      <c r="AZ754" s="147" t="s">
        <v>18</v>
      </c>
      <c r="BA754" s="147" t="s">
        <v>18</v>
      </c>
      <c r="BB754" s="147" t="s">
        <v>18</v>
      </c>
      <c r="BC754" s="147" t="s">
        <v>18</v>
      </c>
    </row>
    <row r="755" spans="1:55" ht="15.75" customHeight="1" x14ac:dyDescent="0.2">
      <c r="A755" s="149" t="s">
        <v>1</v>
      </c>
      <c r="B755" s="150" t="s">
        <v>2</v>
      </c>
      <c r="C755" s="174">
        <v>9662</v>
      </c>
      <c r="D755" s="130">
        <v>9662</v>
      </c>
      <c r="E755" s="130">
        <v>9689</v>
      </c>
      <c r="F755" s="175">
        <v>9689</v>
      </c>
      <c r="G755" s="130">
        <v>9689</v>
      </c>
      <c r="H755" s="130">
        <v>9689</v>
      </c>
      <c r="I755" s="130">
        <v>9709</v>
      </c>
      <c r="J755" s="175">
        <v>9709</v>
      </c>
      <c r="K755" s="130">
        <v>9709</v>
      </c>
      <c r="L755" s="130">
        <v>9731</v>
      </c>
      <c r="M755" s="175">
        <v>9731</v>
      </c>
      <c r="N755" s="130">
        <v>9737</v>
      </c>
      <c r="O755" s="175">
        <v>9737</v>
      </c>
      <c r="P755" s="130">
        <v>9741</v>
      </c>
      <c r="Q755" s="175">
        <v>9741</v>
      </c>
      <c r="R755" s="130">
        <v>9741</v>
      </c>
      <c r="S755" s="130">
        <v>9789</v>
      </c>
      <c r="T755" s="175">
        <v>9789</v>
      </c>
      <c r="U755" s="130">
        <v>9789</v>
      </c>
      <c r="V755" s="130">
        <v>9789</v>
      </c>
      <c r="W755" s="130">
        <v>9801</v>
      </c>
      <c r="X755" s="175">
        <v>9801</v>
      </c>
      <c r="Y755" s="130">
        <v>9801</v>
      </c>
      <c r="Z755" s="130">
        <v>9891</v>
      </c>
      <c r="AA755" s="175">
        <v>9891</v>
      </c>
      <c r="AB755" s="130">
        <v>9891</v>
      </c>
      <c r="AC755" s="130">
        <v>9891</v>
      </c>
      <c r="AD755" s="130">
        <v>9946</v>
      </c>
      <c r="AE755" s="175">
        <v>9946</v>
      </c>
      <c r="AF755" s="130">
        <v>9946</v>
      </c>
      <c r="AG755" s="130">
        <v>10007</v>
      </c>
      <c r="AH755" s="175">
        <v>10007</v>
      </c>
      <c r="AI755" s="130">
        <v>10007</v>
      </c>
      <c r="AJ755" s="130">
        <v>10044</v>
      </c>
      <c r="AK755" s="174" t="s">
        <v>18</v>
      </c>
      <c r="AL755" s="130" t="s">
        <v>18</v>
      </c>
      <c r="AM755" s="130" t="s">
        <v>18</v>
      </c>
      <c r="AN755" s="130" t="s">
        <v>18</v>
      </c>
      <c r="AO755" s="130" t="s">
        <v>18</v>
      </c>
      <c r="AP755" s="130" t="s">
        <v>18</v>
      </c>
      <c r="AQ755" s="130" t="s">
        <v>18</v>
      </c>
      <c r="AR755" s="130" t="s">
        <v>18</v>
      </c>
      <c r="AS755" s="130" t="s">
        <v>18</v>
      </c>
      <c r="AT755" s="130" t="s">
        <v>18</v>
      </c>
      <c r="AU755" s="130" t="s">
        <v>18</v>
      </c>
      <c r="AV755" s="130" t="s">
        <v>18</v>
      </c>
      <c r="AW755" s="130" t="s">
        <v>18</v>
      </c>
      <c r="AX755" s="130" t="s">
        <v>18</v>
      </c>
      <c r="AY755" s="130" t="s">
        <v>18</v>
      </c>
      <c r="AZ755" s="130" t="s">
        <v>18</v>
      </c>
      <c r="BA755" s="130" t="s">
        <v>18</v>
      </c>
      <c r="BB755" s="130" t="s">
        <v>18</v>
      </c>
      <c r="BC755" s="130" t="s">
        <v>18</v>
      </c>
    </row>
    <row r="756" spans="1:55" ht="15.75" customHeight="1" x14ac:dyDescent="0.2">
      <c r="A756" s="121" t="s">
        <v>40</v>
      </c>
      <c r="B756" s="122" t="s">
        <v>4</v>
      </c>
      <c r="C756" s="171">
        <v>117</v>
      </c>
      <c r="D756" s="124">
        <v>117</v>
      </c>
      <c r="E756" s="124">
        <v>117</v>
      </c>
      <c r="F756" s="172">
        <v>117</v>
      </c>
      <c r="G756" s="124">
        <v>117</v>
      </c>
      <c r="H756" s="124">
        <v>117</v>
      </c>
      <c r="I756" s="124">
        <v>118</v>
      </c>
      <c r="J756" s="172">
        <v>118</v>
      </c>
      <c r="K756" s="124">
        <v>118</v>
      </c>
      <c r="L756" s="124">
        <v>119</v>
      </c>
      <c r="M756" s="172">
        <v>119</v>
      </c>
      <c r="N756" s="124">
        <v>119</v>
      </c>
      <c r="O756" s="172">
        <v>119</v>
      </c>
      <c r="P756" s="124">
        <v>120</v>
      </c>
      <c r="Q756" s="172">
        <v>120</v>
      </c>
      <c r="R756" s="124">
        <v>120</v>
      </c>
      <c r="S756" s="124">
        <v>121</v>
      </c>
      <c r="T756" s="172">
        <v>121</v>
      </c>
      <c r="U756" s="124">
        <v>121</v>
      </c>
      <c r="V756" s="124">
        <v>121</v>
      </c>
      <c r="W756" s="124">
        <v>122</v>
      </c>
      <c r="X756" s="172">
        <v>122</v>
      </c>
      <c r="Y756" s="124">
        <v>122</v>
      </c>
      <c r="Z756" s="124">
        <v>124</v>
      </c>
      <c r="AA756" s="172">
        <v>124</v>
      </c>
      <c r="AB756" s="124">
        <v>124</v>
      </c>
      <c r="AC756" s="124">
        <v>124</v>
      </c>
      <c r="AD756" s="124">
        <v>125</v>
      </c>
      <c r="AE756" s="172">
        <v>125</v>
      </c>
      <c r="AF756" s="124">
        <v>125</v>
      </c>
      <c r="AG756" s="124">
        <v>127</v>
      </c>
      <c r="AH756" s="172">
        <v>127</v>
      </c>
      <c r="AI756" s="124">
        <v>127</v>
      </c>
      <c r="AJ756" s="124">
        <v>127</v>
      </c>
      <c r="AK756" s="171" t="s">
        <v>18</v>
      </c>
      <c r="AL756" s="124" t="s">
        <v>18</v>
      </c>
      <c r="AM756" s="124" t="s">
        <v>18</v>
      </c>
      <c r="AN756" s="124" t="s">
        <v>18</v>
      </c>
      <c r="AO756" s="124" t="s">
        <v>18</v>
      </c>
      <c r="AP756" s="124" t="s">
        <v>18</v>
      </c>
      <c r="AQ756" s="124" t="s">
        <v>18</v>
      </c>
      <c r="AR756" s="124" t="s">
        <v>18</v>
      </c>
      <c r="AS756" s="124" t="s">
        <v>18</v>
      </c>
      <c r="AT756" s="124" t="s">
        <v>18</v>
      </c>
      <c r="AU756" s="124" t="s">
        <v>18</v>
      </c>
      <c r="AV756" s="124" t="s">
        <v>18</v>
      </c>
      <c r="AW756" s="124" t="s">
        <v>18</v>
      </c>
      <c r="AX756" s="124" t="s">
        <v>18</v>
      </c>
      <c r="AY756" s="124" t="s">
        <v>18</v>
      </c>
      <c r="AZ756" s="124" t="s">
        <v>18</v>
      </c>
      <c r="BA756" s="124" t="s">
        <v>18</v>
      </c>
      <c r="BB756" s="124" t="s">
        <v>18</v>
      </c>
      <c r="BC756" s="124" t="s">
        <v>18</v>
      </c>
    </row>
    <row r="757" spans="1:55" ht="15.75" customHeight="1" x14ac:dyDescent="0.25">
      <c r="A757" s="143">
        <v>2</v>
      </c>
      <c r="B757" s="122" t="s">
        <v>5</v>
      </c>
      <c r="C757" s="171">
        <v>10</v>
      </c>
      <c r="D757" s="124">
        <v>10</v>
      </c>
      <c r="E757" s="124">
        <v>10</v>
      </c>
      <c r="F757" s="172">
        <v>10</v>
      </c>
      <c r="G757" s="124">
        <v>10</v>
      </c>
      <c r="H757" s="124">
        <v>10</v>
      </c>
      <c r="I757" s="124">
        <v>10</v>
      </c>
      <c r="J757" s="172">
        <v>10</v>
      </c>
      <c r="K757" s="124">
        <v>10</v>
      </c>
      <c r="L757" s="124">
        <v>10</v>
      </c>
      <c r="M757" s="172">
        <v>15</v>
      </c>
      <c r="N757" s="124">
        <v>15</v>
      </c>
      <c r="O757" s="172">
        <v>15</v>
      </c>
      <c r="P757" s="124">
        <v>15</v>
      </c>
      <c r="Q757" s="172">
        <v>15</v>
      </c>
      <c r="R757" s="124">
        <v>15</v>
      </c>
      <c r="S757" s="124">
        <v>13</v>
      </c>
      <c r="T757" s="172">
        <v>13</v>
      </c>
      <c r="U757" s="124">
        <v>13</v>
      </c>
      <c r="V757" s="124">
        <v>13</v>
      </c>
      <c r="W757" s="124">
        <v>12</v>
      </c>
      <c r="X757" s="172">
        <v>18</v>
      </c>
      <c r="Y757" s="124">
        <v>18</v>
      </c>
      <c r="Z757" s="124">
        <v>17</v>
      </c>
      <c r="AA757" s="172">
        <v>17</v>
      </c>
      <c r="AB757" s="124">
        <v>17</v>
      </c>
      <c r="AC757" s="124">
        <v>17</v>
      </c>
      <c r="AD757" s="124">
        <v>16</v>
      </c>
      <c r="AE757" s="172">
        <v>16</v>
      </c>
      <c r="AF757" s="124">
        <v>16</v>
      </c>
      <c r="AG757" s="124">
        <v>14</v>
      </c>
      <c r="AH757" s="172">
        <v>16</v>
      </c>
      <c r="AI757" s="124">
        <v>16</v>
      </c>
      <c r="AJ757" s="124">
        <v>16</v>
      </c>
      <c r="AK757" s="171" t="s">
        <v>18</v>
      </c>
      <c r="AL757" s="124" t="s">
        <v>18</v>
      </c>
      <c r="AM757" s="124" t="s">
        <v>18</v>
      </c>
      <c r="AN757" s="124" t="s">
        <v>18</v>
      </c>
      <c r="AO757" s="124" t="s">
        <v>18</v>
      </c>
      <c r="AP757" s="124" t="s">
        <v>18</v>
      </c>
      <c r="AQ757" s="124" t="s">
        <v>18</v>
      </c>
      <c r="AR757" s="124" t="s">
        <v>18</v>
      </c>
      <c r="AS757" s="124" t="s">
        <v>18</v>
      </c>
      <c r="AT757" s="124" t="s">
        <v>18</v>
      </c>
      <c r="AU757" s="124" t="s">
        <v>18</v>
      </c>
      <c r="AV757" s="124" t="s">
        <v>18</v>
      </c>
      <c r="AW757" s="124" t="s">
        <v>18</v>
      </c>
      <c r="AX757" s="124" t="s">
        <v>18</v>
      </c>
      <c r="AY757" s="124" t="s">
        <v>18</v>
      </c>
      <c r="AZ757" s="124" t="s">
        <v>18</v>
      </c>
      <c r="BA757" s="124" t="s">
        <v>18</v>
      </c>
      <c r="BB757" s="124" t="s">
        <v>18</v>
      </c>
      <c r="BC757" s="124" t="s">
        <v>18</v>
      </c>
    </row>
    <row r="758" spans="1:55" ht="15.75" customHeight="1" x14ac:dyDescent="0.2">
      <c r="A758" s="127"/>
      <c r="B758" s="122" t="s">
        <v>6</v>
      </c>
      <c r="C758" s="171"/>
      <c r="D758" s="124"/>
      <c r="E758" s="124"/>
      <c r="F758" s="172"/>
      <c r="G758" s="124"/>
      <c r="H758" s="124"/>
      <c r="I758" s="124"/>
      <c r="J758" s="172"/>
      <c r="K758" s="124"/>
      <c r="L758" s="124">
        <v>5</v>
      </c>
      <c r="M758" s="172"/>
      <c r="N758" s="124"/>
      <c r="O758" s="172"/>
      <c r="P758" s="124"/>
      <c r="Q758" s="172"/>
      <c r="R758" s="124"/>
      <c r="S758" s="124"/>
      <c r="T758" s="172"/>
      <c r="U758" s="124"/>
      <c r="V758" s="124"/>
      <c r="W758" s="124">
        <v>6</v>
      </c>
      <c r="X758" s="172"/>
      <c r="Y758" s="124"/>
      <c r="Z758" s="124"/>
      <c r="AA758" s="172"/>
      <c r="AB758" s="124"/>
      <c r="AC758" s="124"/>
      <c r="AD758" s="124"/>
      <c r="AE758" s="172"/>
      <c r="AF758" s="124"/>
      <c r="AG758" s="124">
        <v>2</v>
      </c>
      <c r="AH758" s="172"/>
      <c r="AI758" s="124"/>
      <c r="AJ758" s="124"/>
      <c r="AK758" s="171"/>
      <c r="AL758" s="124"/>
      <c r="AM758" s="124"/>
      <c r="AN758" s="124"/>
      <c r="AO758" s="124"/>
      <c r="AP758" s="124"/>
      <c r="AQ758" s="124"/>
      <c r="AR758" s="124"/>
      <c r="AS758" s="124"/>
      <c r="AT758" s="124"/>
      <c r="AU758" s="124"/>
      <c r="AV758" s="124"/>
      <c r="AW758" s="124"/>
      <c r="AX758" s="124"/>
      <c r="AY758" s="124"/>
      <c r="AZ758" s="124"/>
      <c r="BA758" s="124"/>
      <c r="BB758" s="124"/>
      <c r="BC758" s="124"/>
    </row>
    <row r="759" spans="1:55" ht="15.75" customHeight="1" x14ac:dyDescent="0.2">
      <c r="A759" s="128"/>
      <c r="B759" s="122" t="s">
        <v>8</v>
      </c>
      <c r="C759" s="174">
        <v>800</v>
      </c>
      <c r="D759" s="130">
        <v>800</v>
      </c>
      <c r="E759" s="130">
        <v>800</v>
      </c>
      <c r="F759" s="175">
        <v>800</v>
      </c>
      <c r="G759" s="130">
        <v>800</v>
      </c>
      <c r="H759" s="130">
        <v>800</v>
      </c>
      <c r="I759" s="130">
        <v>800</v>
      </c>
      <c r="J759" s="175">
        <v>800</v>
      </c>
      <c r="K759" s="130">
        <v>800</v>
      </c>
      <c r="L759" s="130">
        <v>800</v>
      </c>
      <c r="M759" s="175">
        <v>800</v>
      </c>
      <c r="N759" s="130">
        <v>800</v>
      </c>
      <c r="O759" s="175">
        <v>800</v>
      </c>
      <c r="P759" s="130">
        <v>800</v>
      </c>
      <c r="Q759" s="175">
        <v>800</v>
      </c>
      <c r="R759" s="130">
        <v>800</v>
      </c>
      <c r="S759" s="130">
        <v>800</v>
      </c>
      <c r="T759" s="175">
        <v>800</v>
      </c>
      <c r="U759" s="130">
        <v>800</v>
      </c>
      <c r="V759" s="130">
        <v>800</v>
      </c>
      <c r="W759" s="130">
        <v>800</v>
      </c>
      <c r="X759" s="175">
        <v>800</v>
      </c>
      <c r="Y759" s="130">
        <v>800</v>
      </c>
      <c r="Z759" s="130">
        <v>800</v>
      </c>
      <c r="AA759" s="175">
        <v>800</v>
      </c>
      <c r="AB759" s="130">
        <v>800</v>
      </c>
      <c r="AC759" s="130">
        <v>800</v>
      </c>
      <c r="AD759" s="130">
        <v>800</v>
      </c>
      <c r="AE759" s="175">
        <v>800</v>
      </c>
      <c r="AF759" s="130">
        <v>800</v>
      </c>
      <c r="AG759" s="130">
        <v>800</v>
      </c>
      <c r="AH759" s="175">
        <v>800</v>
      </c>
      <c r="AI759" s="130">
        <v>800</v>
      </c>
      <c r="AJ759" s="130">
        <v>800</v>
      </c>
      <c r="AK759" s="174" t="s">
        <v>18</v>
      </c>
      <c r="AL759" s="130" t="s">
        <v>18</v>
      </c>
      <c r="AM759" s="130" t="s">
        <v>18</v>
      </c>
      <c r="AN759" s="130" t="s">
        <v>18</v>
      </c>
      <c r="AO759" s="130" t="s">
        <v>18</v>
      </c>
      <c r="AP759" s="130" t="s">
        <v>18</v>
      </c>
      <c r="AQ759" s="130" t="s">
        <v>18</v>
      </c>
      <c r="AR759" s="130" t="s">
        <v>18</v>
      </c>
      <c r="AS759" s="130" t="s">
        <v>18</v>
      </c>
      <c r="AT759" s="130" t="s">
        <v>18</v>
      </c>
      <c r="AU759" s="130" t="s">
        <v>18</v>
      </c>
      <c r="AV759" s="130" t="s">
        <v>18</v>
      </c>
      <c r="AW759" s="130" t="s">
        <v>18</v>
      </c>
      <c r="AX759" s="130" t="s">
        <v>18</v>
      </c>
      <c r="AY759" s="130" t="s">
        <v>18</v>
      </c>
      <c r="AZ759" s="130" t="s">
        <v>18</v>
      </c>
      <c r="BA759" s="130" t="s">
        <v>18</v>
      </c>
      <c r="BB759" s="130" t="s">
        <v>18</v>
      </c>
      <c r="BC759" s="130" t="s">
        <v>18</v>
      </c>
    </row>
    <row r="760" spans="1:55" ht="15.75" customHeight="1" x14ac:dyDescent="0.2">
      <c r="A760" s="127" t="s">
        <v>9</v>
      </c>
      <c r="B760" s="132" t="s">
        <v>10</v>
      </c>
      <c r="C760" s="177" t="s">
        <v>105</v>
      </c>
      <c r="D760" s="134" t="s">
        <v>105</v>
      </c>
      <c r="E760" s="134" t="s">
        <v>105</v>
      </c>
      <c r="F760" s="178" t="s">
        <v>105</v>
      </c>
      <c r="G760" s="134" t="s">
        <v>105</v>
      </c>
      <c r="H760" s="134" t="s">
        <v>105</v>
      </c>
      <c r="I760" s="134" t="s">
        <v>105</v>
      </c>
      <c r="J760" s="178" t="s">
        <v>105</v>
      </c>
      <c r="K760" s="134" t="s">
        <v>105</v>
      </c>
      <c r="L760" s="134" t="s">
        <v>105</v>
      </c>
      <c r="M760" s="178" t="s">
        <v>105</v>
      </c>
      <c r="N760" s="134" t="s">
        <v>105</v>
      </c>
      <c r="O760" s="178" t="s">
        <v>105</v>
      </c>
      <c r="P760" s="134" t="s">
        <v>105</v>
      </c>
      <c r="Q760" s="178" t="s">
        <v>105</v>
      </c>
      <c r="R760" s="134" t="s">
        <v>105</v>
      </c>
      <c r="S760" s="134" t="s">
        <v>105</v>
      </c>
      <c r="T760" s="178" t="s">
        <v>105</v>
      </c>
      <c r="U760" s="134" t="s">
        <v>105</v>
      </c>
      <c r="V760" s="134" t="s">
        <v>105</v>
      </c>
      <c r="W760" s="134" t="s">
        <v>105</v>
      </c>
      <c r="X760" s="178" t="s">
        <v>42</v>
      </c>
      <c r="Y760" s="134" t="s">
        <v>42</v>
      </c>
      <c r="Z760" s="134" t="s">
        <v>42</v>
      </c>
      <c r="AA760" s="178" t="s">
        <v>42</v>
      </c>
      <c r="AB760" s="134" t="s">
        <v>42</v>
      </c>
      <c r="AC760" s="134" t="s">
        <v>42</v>
      </c>
      <c r="AD760" s="134" t="s">
        <v>42</v>
      </c>
      <c r="AE760" s="178" t="s">
        <v>42</v>
      </c>
      <c r="AF760" s="134" t="s">
        <v>42</v>
      </c>
      <c r="AG760" s="134" t="s">
        <v>42</v>
      </c>
      <c r="AH760" s="178" t="s">
        <v>42</v>
      </c>
      <c r="AI760" s="134" t="s">
        <v>42</v>
      </c>
      <c r="AJ760" s="134" t="s">
        <v>42</v>
      </c>
      <c r="AK760" s="177" t="s">
        <v>18</v>
      </c>
      <c r="AL760" s="134" t="s">
        <v>18</v>
      </c>
      <c r="AM760" s="134" t="s">
        <v>18</v>
      </c>
      <c r="AN760" s="134" t="s">
        <v>18</v>
      </c>
      <c r="AO760" s="134" t="s">
        <v>18</v>
      </c>
      <c r="AP760" s="134" t="s">
        <v>18</v>
      </c>
      <c r="AQ760" s="134" t="s">
        <v>18</v>
      </c>
      <c r="AR760" s="134" t="s">
        <v>18</v>
      </c>
      <c r="AS760" s="134" t="s">
        <v>18</v>
      </c>
      <c r="AT760" s="134" t="s">
        <v>18</v>
      </c>
      <c r="AU760" s="134" t="s">
        <v>18</v>
      </c>
      <c r="AV760" s="134" t="s">
        <v>18</v>
      </c>
      <c r="AW760" s="134" t="s">
        <v>18</v>
      </c>
      <c r="AX760" s="134" t="s">
        <v>18</v>
      </c>
      <c r="AY760" s="134" t="s">
        <v>18</v>
      </c>
      <c r="AZ760" s="134" t="s">
        <v>18</v>
      </c>
      <c r="BA760" s="134" t="s">
        <v>18</v>
      </c>
      <c r="BB760" s="134" t="s">
        <v>18</v>
      </c>
      <c r="BC760" s="134" t="s">
        <v>18</v>
      </c>
    </row>
    <row r="761" spans="1:55" ht="15.75" customHeight="1" x14ac:dyDescent="0.2">
      <c r="A761" s="128">
        <v>33705.882352941175</v>
      </c>
      <c r="B761" s="122" t="s">
        <v>12</v>
      </c>
      <c r="C761" s="171"/>
      <c r="D761" s="124"/>
      <c r="E761" s="124"/>
      <c r="F761" s="172" t="s">
        <v>106</v>
      </c>
      <c r="G761" s="124"/>
      <c r="H761" s="124"/>
      <c r="I761" s="124"/>
      <c r="J761" s="172"/>
      <c r="K761" s="124"/>
      <c r="L761" s="124"/>
      <c r="M761" s="172"/>
      <c r="N761" s="124"/>
      <c r="O761" s="172"/>
      <c r="P761" s="124"/>
      <c r="Q761" s="172"/>
      <c r="R761" s="124"/>
      <c r="S761" s="124"/>
      <c r="T761" s="172"/>
      <c r="U761" s="124"/>
      <c r="V761" s="124"/>
      <c r="W761" s="124"/>
      <c r="X761" s="172" t="s">
        <v>107</v>
      </c>
      <c r="Y761" s="124"/>
      <c r="Z761" s="124"/>
      <c r="AA761" s="172"/>
      <c r="AB761" s="124"/>
      <c r="AC761" s="124"/>
      <c r="AD761" s="124"/>
      <c r="AE761" s="172"/>
      <c r="AF761" s="124"/>
      <c r="AG761" s="124"/>
      <c r="AH761" s="172"/>
      <c r="AI761" s="124"/>
      <c r="AJ761" s="124"/>
      <c r="AK761" s="171"/>
      <c r="AL761" s="124"/>
      <c r="AM761" s="124"/>
      <c r="AN761" s="124"/>
      <c r="AO761" s="124"/>
      <c r="AP761" s="124"/>
      <c r="AQ761" s="124"/>
      <c r="AR761" s="124"/>
      <c r="AS761" s="124"/>
      <c r="AT761" s="124"/>
      <c r="AU761" s="124"/>
      <c r="AV761" s="124"/>
      <c r="AW761" s="124"/>
      <c r="AX761" s="124"/>
      <c r="AY761" s="124"/>
      <c r="AZ761" s="124"/>
      <c r="BA761" s="124"/>
      <c r="BB761" s="124"/>
      <c r="BC761" s="124"/>
    </row>
    <row r="762" spans="1:55" ht="15.75" customHeight="1" x14ac:dyDescent="0.2">
      <c r="A762" s="128">
        <v>382</v>
      </c>
      <c r="B762" s="136" t="s">
        <v>13</v>
      </c>
      <c r="C762" s="171">
        <v>0</v>
      </c>
      <c r="D762" s="137">
        <v>0</v>
      </c>
      <c r="E762" s="137">
        <v>27</v>
      </c>
      <c r="F762" s="172">
        <v>0</v>
      </c>
      <c r="G762" s="137">
        <v>0</v>
      </c>
      <c r="H762" s="137">
        <v>0</v>
      </c>
      <c r="I762" s="137">
        <v>20</v>
      </c>
      <c r="J762" s="172">
        <v>0</v>
      </c>
      <c r="K762" s="137">
        <v>0</v>
      </c>
      <c r="L762" s="137">
        <v>22</v>
      </c>
      <c r="M762" s="172">
        <v>0</v>
      </c>
      <c r="N762" s="137">
        <v>6</v>
      </c>
      <c r="O762" s="172">
        <v>0</v>
      </c>
      <c r="P762" s="137">
        <v>4</v>
      </c>
      <c r="Q762" s="172">
        <v>0</v>
      </c>
      <c r="R762" s="137">
        <v>0</v>
      </c>
      <c r="S762" s="137">
        <v>48</v>
      </c>
      <c r="T762" s="172">
        <v>0</v>
      </c>
      <c r="U762" s="137">
        <v>0</v>
      </c>
      <c r="V762" s="137">
        <v>0</v>
      </c>
      <c r="W762" s="137">
        <v>12</v>
      </c>
      <c r="X762" s="172">
        <v>0</v>
      </c>
      <c r="Y762" s="137">
        <v>0</v>
      </c>
      <c r="Z762" s="137">
        <v>90</v>
      </c>
      <c r="AA762" s="172">
        <v>0</v>
      </c>
      <c r="AB762" s="137">
        <v>0</v>
      </c>
      <c r="AC762" s="137">
        <v>0</v>
      </c>
      <c r="AD762" s="137">
        <v>55</v>
      </c>
      <c r="AE762" s="172">
        <v>0</v>
      </c>
      <c r="AF762" s="137">
        <v>0</v>
      </c>
      <c r="AG762" s="137">
        <v>61</v>
      </c>
      <c r="AH762" s="172">
        <v>0</v>
      </c>
      <c r="AI762" s="137">
        <v>0</v>
      </c>
      <c r="AJ762" s="137">
        <v>37</v>
      </c>
      <c r="AK762" s="171" t="s">
        <v>18</v>
      </c>
      <c r="AL762" s="137" t="s">
        <v>18</v>
      </c>
      <c r="AM762" s="137" t="s">
        <v>18</v>
      </c>
      <c r="AN762" s="137" t="s">
        <v>18</v>
      </c>
      <c r="AO762" s="137" t="s">
        <v>18</v>
      </c>
      <c r="AP762" s="137" t="s">
        <v>18</v>
      </c>
      <c r="AQ762" s="137" t="s">
        <v>18</v>
      </c>
      <c r="AR762" s="137" t="s">
        <v>18</v>
      </c>
      <c r="AS762" s="137" t="s">
        <v>18</v>
      </c>
      <c r="AT762" s="137" t="s">
        <v>18</v>
      </c>
      <c r="AU762" s="137" t="s">
        <v>18</v>
      </c>
      <c r="AV762" s="137" t="s">
        <v>18</v>
      </c>
      <c r="AW762" s="137" t="s">
        <v>18</v>
      </c>
      <c r="AX762" s="137" t="s">
        <v>18</v>
      </c>
      <c r="AY762" s="137" t="s">
        <v>18</v>
      </c>
      <c r="AZ762" s="137" t="s">
        <v>18</v>
      </c>
      <c r="BA762" s="137" t="s">
        <v>18</v>
      </c>
      <c r="BB762" s="137" t="s">
        <v>18</v>
      </c>
      <c r="BC762" s="137" t="s">
        <v>18</v>
      </c>
    </row>
    <row r="763" spans="1:55" ht="15.75" customHeight="1" x14ac:dyDescent="0.2">
      <c r="A763" s="128">
        <v>10</v>
      </c>
      <c r="B763" s="136" t="s">
        <v>14</v>
      </c>
      <c r="C763" s="171">
        <v>0</v>
      </c>
      <c r="D763" s="137">
        <v>0</v>
      </c>
      <c r="E763" s="137">
        <v>0</v>
      </c>
      <c r="F763" s="172">
        <v>0</v>
      </c>
      <c r="G763" s="137">
        <v>0</v>
      </c>
      <c r="H763" s="137">
        <v>0</v>
      </c>
      <c r="I763" s="137">
        <v>1</v>
      </c>
      <c r="J763" s="172">
        <v>0</v>
      </c>
      <c r="K763" s="137">
        <v>0</v>
      </c>
      <c r="L763" s="137">
        <v>1</v>
      </c>
      <c r="M763" s="172">
        <v>0</v>
      </c>
      <c r="N763" s="137">
        <v>0</v>
      </c>
      <c r="O763" s="172">
        <v>0</v>
      </c>
      <c r="P763" s="137">
        <v>1</v>
      </c>
      <c r="Q763" s="172">
        <v>0</v>
      </c>
      <c r="R763" s="137">
        <v>0</v>
      </c>
      <c r="S763" s="137">
        <v>1</v>
      </c>
      <c r="T763" s="172">
        <v>0</v>
      </c>
      <c r="U763" s="137">
        <v>0</v>
      </c>
      <c r="V763" s="137">
        <v>0</v>
      </c>
      <c r="W763" s="137">
        <v>1</v>
      </c>
      <c r="X763" s="172">
        <v>0</v>
      </c>
      <c r="Y763" s="137">
        <v>0</v>
      </c>
      <c r="Z763" s="137">
        <v>2</v>
      </c>
      <c r="AA763" s="172">
        <v>0</v>
      </c>
      <c r="AB763" s="137">
        <v>0</v>
      </c>
      <c r="AC763" s="137">
        <v>0</v>
      </c>
      <c r="AD763" s="137">
        <v>1</v>
      </c>
      <c r="AE763" s="172">
        <v>0</v>
      </c>
      <c r="AF763" s="137">
        <v>0</v>
      </c>
      <c r="AG763" s="137">
        <v>2</v>
      </c>
      <c r="AH763" s="172">
        <v>0</v>
      </c>
      <c r="AI763" s="137">
        <v>0</v>
      </c>
      <c r="AJ763" s="137">
        <v>0</v>
      </c>
      <c r="AK763" s="171" t="s">
        <v>18</v>
      </c>
      <c r="AL763" s="137" t="s">
        <v>18</v>
      </c>
      <c r="AM763" s="137" t="s">
        <v>18</v>
      </c>
      <c r="AN763" s="137" t="s">
        <v>18</v>
      </c>
      <c r="AO763" s="137" t="s">
        <v>18</v>
      </c>
      <c r="AP763" s="137" t="s">
        <v>18</v>
      </c>
      <c r="AQ763" s="137" t="s">
        <v>18</v>
      </c>
      <c r="AR763" s="137" t="s">
        <v>18</v>
      </c>
      <c r="AS763" s="137" t="s">
        <v>18</v>
      </c>
      <c r="AT763" s="137" t="s">
        <v>18</v>
      </c>
      <c r="AU763" s="137" t="s">
        <v>18</v>
      </c>
      <c r="AV763" s="137" t="s">
        <v>18</v>
      </c>
      <c r="AW763" s="137" t="s">
        <v>18</v>
      </c>
      <c r="AX763" s="137" t="s">
        <v>18</v>
      </c>
      <c r="AY763" s="137" t="s">
        <v>18</v>
      </c>
      <c r="AZ763" s="137" t="s">
        <v>18</v>
      </c>
      <c r="BA763" s="137" t="s">
        <v>18</v>
      </c>
      <c r="BB763" s="137" t="s">
        <v>18</v>
      </c>
      <c r="BC763" s="137" t="s">
        <v>18</v>
      </c>
    </row>
    <row r="764" spans="1:55" ht="15.75" customHeight="1" x14ac:dyDescent="0.2">
      <c r="A764" s="128">
        <v>7</v>
      </c>
      <c r="B764" s="136" t="s">
        <v>15</v>
      </c>
      <c r="C764" s="171">
        <v>0</v>
      </c>
      <c r="D764" s="137">
        <v>0</v>
      </c>
      <c r="E764" s="137">
        <v>0</v>
      </c>
      <c r="F764" s="172">
        <v>0</v>
      </c>
      <c r="G764" s="137">
        <v>0</v>
      </c>
      <c r="H764" s="137">
        <v>0</v>
      </c>
      <c r="I764" s="137">
        <v>0</v>
      </c>
      <c r="J764" s="172">
        <v>0</v>
      </c>
      <c r="K764" s="137">
        <v>0</v>
      </c>
      <c r="L764" s="137">
        <v>0</v>
      </c>
      <c r="M764" s="172">
        <v>0</v>
      </c>
      <c r="N764" s="137">
        <v>0</v>
      </c>
      <c r="O764" s="172">
        <v>0</v>
      </c>
      <c r="P764" s="137">
        <v>0</v>
      </c>
      <c r="Q764" s="172">
        <v>0</v>
      </c>
      <c r="R764" s="137">
        <v>0</v>
      </c>
      <c r="S764" s="137">
        <v>2</v>
      </c>
      <c r="T764" s="172">
        <v>0</v>
      </c>
      <c r="U764" s="137">
        <v>0</v>
      </c>
      <c r="V764" s="137">
        <v>0</v>
      </c>
      <c r="W764" s="137">
        <v>1</v>
      </c>
      <c r="X764" s="172">
        <v>0</v>
      </c>
      <c r="Y764" s="137">
        <v>0</v>
      </c>
      <c r="Z764" s="137">
        <v>1</v>
      </c>
      <c r="AA764" s="172">
        <v>0</v>
      </c>
      <c r="AB764" s="137">
        <v>0</v>
      </c>
      <c r="AC764" s="137">
        <v>0</v>
      </c>
      <c r="AD764" s="137">
        <v>1</v>
      </c>
      <c r="AE764" s="172">
        <v>0</v>
      </c>
      <c r="AF764" s="137">
        <v>0</v>
      </c>
      <c r="AG764" s="137">
        <v>2</v>
      </c>
      <c r="AH764" s="172">
        <v>0</v>
      </c>
      <c r="AI764" s="137">
        <v>0</v>
      </c>
      <c r="AJ764" s="137">
        <v>0</v>
      </c>
      <c r="AK764" s="171" t="s">
        <v>18</v>
      </c>
      <c r="AL764" s="137" t="s">
        <v>18</v>
      </c>
      <c r="AM764" s="137" t="s">
        <v>18</v>
      </c>
      <c r="AN764" s="137" t="s">
        <v>18</v>
      </c>
      <c r="AO764" s="137" t="s">
        <v>18</v>
      </c>
      <c r="AP764" s="137" t="s">
        <v>18</v>
      </c>
      <c r="AQ764" s="137" t="s">
        <v>18</v>
      </c>
      <c r="AR764" s="137" t="s">
        <v>18</v>
      </c>
      <c r="AS764" s="137" t="s">
        <v>18</v>
      </c>
      <c r="AT764" s="137" t="s">
        <v>18</v>
      </c>
      <c r="AU764" s="137" t="s">
        <v>18</v>
      </c>
      <c r="AV764" s="137" t="s">
        <v>18</v>
      </c>
      <c r="AW764" s="137" t="s">
        <v>18</v>
      </c>
      <c r="AX764" s="137" t="s">
        <v>18</v>
      </c>
      <c r="AY764" s="137" t="s">
        <v>18</v>
      </c>
      <c r="AZ764" s="137" t="s">
        <v>18</v>
      </c>
      <c r="BA764" s="137" t="s">
        <v>18</v>
      </c>
      <c r="BB764" s="137" t="s">
        <v>18</v>
      </c>
      <c r="BC764" s="137" t="s">
        <v>18</v>
      </c>
    </row>
    <row r="765" spans="1:55" ht="15.75" customHeight="1" x14ac:dyDescent="0.2">
      <c r="A765" s="128">
        <v>5600</v>
      </c>
      <c r="B765" s="136" t="s">
        <v>16</v>
      </c>
      <c r="C765" s="171">
        <v>0</v>
      </c>
      <c r="D765" s="137">
        <v>0</v>
      </c>
      <c r="E765" s="137">
        <v>0</v>
      </c>
      <c r="F765" s="172">
        <v>0</v>
      </c>
      <c r="G765" s="137">
        <v>0</v>
      </c>
      <c r="H765" s="137">
        <v>0</v>
      </c>
      <c r="I765" s="137">
        <v>0</v>
      </c>
      <c r="J765" s="172">
        <v>0</v>
      </c>
      <c r="K765" s="137">
        <v>0</v>
      </c>
      <c r="L765" s="137">
        <v>0</v>
      </c>
      <c r="M765" s="172">
        <v>0</v>
      </c>
      <c r="N765" s="137">
        <v>0</v>
      </c>
      <c r="O765" s="172">
        <v>0</v>
      </c>
      <c r="P765" s="137">
        <v>0</v>
      </c>
      <c r="Q765" s="172">
        <v>0</v>
      </c>
      <c r="R765" s="137">
        <v>0</v>
      </c>
      <c r="S765" s="137">
        <v>1600</v>
      </c>
      <c r="T765" s="172">
        <v>0</v>
      </c>
      <c r="U765" s="137">
        <v>0</v>
      </c>
      <c r="V765" s="137">
        <v>0</v>
      </c>
      <c r="W765" s="137">
        <v>800</v>
      </c>
      <c r="X765" s="172">
        <v>0</v>
      </c>
      <c r="Y765" s="137">
        <v>0</v>
      </c>
      <c r="Z765" s="137">
        <v>800</v>
      </c>
      <c r="AA765" s="172">
        <v>0</v>
      </c>
      <c r="AB765" s="137">
        <v>0</v>
      </c>
      <c r="AC765" s="137">
        <v>0</v>
      </c>
      <c r="AD765" s="137">
        <v>800</v>
      </c>
      <c r="AE765" s="172">
        <v>0</v>
      </c>
      <c r="AF765" s="137">
        <v>0</v>
      </c>
      <c r="AG765" s="137">
        <v>1600</v>
      </c>
      <c r="AH765" s="172">
        <v>0</v>
      </c>
      <c r="AI765" s="137">
        <v>0</v>
      </c>
      <c r="AJ765" s="137">
        <v>0</v>
      </c>
      <c r="AK765" s="171" t="s">
        <v>18</v>
      </c>
      <c r="AL765" s="137" t="s">
        <v>18</v>
      </c>
      <c r="AM765" s="137" t="s">
        <v>18</v>
      </c>
      <c r="AN765" s="137" t="s">
        <v>18</v>
      </c>
      <c r="AO765" s="137" t="s">
        <v>18</v>
      </c>
      <c r="AP765" s="137" t="s">
        <v>18</v>
      </c>
      <c r="AQ765" s="137" t="s">
        <v>18</v>
      </c>
      <c r="AR765" s="137" t="s">
        <v>18</v>
      </c>
      <c r="AS765" s="137" t="s">
        <v>18</v>
      </c>
      <c r="AT765" s="137" t="s">
        <v>18</v>
      </c>
      <c r="AU765" s="137" t="s">
        <v>18</v>
      </c>
      <c r="AV765" s="137" t="s">
        <v>18</v>
      </c>
      <c r="AW765" s="137" t="s">
        <v>18</v>
      </c>
      <c r="AX765" s="137" t="s">
        <v>18</v>
      </c>
      <c r="AY765" s="137" t="s">
        <v>18</v>
      </c>
      <c r="AZ765" s="137" t="s">
        <v>18</v>
      </c>
      <c r="BA765" s="137" t="s">
        <v>18</v>
      </c>
      <c r="BB765" s="137" t="s">
        <v>18</v>
      </c>
      <c r="BC765" s="137" t="s">
        <v>18</v>
      </c>
    </row>
    <row r="766" spans="1:55" ht="15.75" customHeight="1" x14ac:dyDescent="0.2">
      <c r="A766" s="138">
        <v>0.14659685863874344</v>
      </c>
      <c r="B766" s="136" t="s">
        <v>17</v>
      </c>
      <c r="C766" s="183" t="s">
        <v>18</v>
      </c>
      <c r="D766" s="147" t="s">
        <v>18</v>
      </c>
      <c r="E766" s="147" t="s">
        <v>18</v>
      </c>
      <c r="F766" s="184" t="s">
        <v>18</v>
      </c>
      <c r="G766" s="147" t="s">
        <v>18</v>
      </c>
      <c r="H766" s="147" t="s">
        <v>18</v>
      </c>
      <c r="I766" s="147" t="s">
        <v>18</v>
      </c>
      <c r="J766" s="184" t="s">
        <v>18</v>
      </c>
      <c r="K766" s="147" t="s">
        <v>18</v>
      </c>
      <c r="L766" s="147" t="s">
        <v>18</v>
      </c>
      <c r="M766" s="184" t="s">
        <v>18</v>
      </c>
      <c r="N766" s="147" t="s">
        <v>18</v>
      </c>
      <c r="O766" s="184" t="s">
        <v>18</v>
      </c>
      <c r="P766" s="147" t="s">
        <v>18</v>
      </c>
      <c r="Q766" s="184" t="s">
        <v>18</v>
      </c>
      <c r="R766" s="147" t="s">
        <v>18</v>
      </c>
      <c r="S766" s="147">
        <v>0.33333333333333331</v>
      </c>
      <c r="T766" s="184" t="s">
        <v>18</v>
      </c>
      <c r="U766" s="147" t="s">
        <v>18</v>
      </c>
      <c r="V766" s="147" t="s">
        <v>18</v>
      </c>
      <c r="W766" s="147">
        <v>0.66666666666666663</v>
      </c>
      <c r="X766" s="184" t="s">
        <v>18</v>
      </c>
      <c r="Y766" s="147" t="s">
        <v>18</v>
      </c>
      <c r="Z766" s="147">
        <v>8.8888888888888892E-2</v>
      </c>
      <c r="AA766" s="184" t="s">
        <v>18</v>
      </c>
      <c r="AB766" s="147" t="s">
        <v>18</v>
      </c>
      <c r="AC766" s="147" t="s">
        <v>18</v>
      </c>
      <c r="AD766" s="147">
        <v>0.14545454545454545</v>
      </c>
      <c r="AE766" s="184" t="s">
        <v>18</v>
      </c>
      <c r="AF766" s="147" t="s">
        <v>18</v>
      </c>
      <c r="AG766" s="147">
        <v>0.26229508196721313</v>
      </c>
      <c r="AH766" s="184" t="s">
        <v>18</v>
      </c>
      <c r="AI766" s="147" t="s">
        <v>18</v>
      </c>
      <c r="AJ766" s="147" t="s">
        <v>18</v>
      </c>
      <c r="AK766" s="183" t="s">
        <v>18</v>
      </c>
      <c r="AL766" s="147" t="s">
        <v>18</v>
      </c>
      <c r="AM766" s="147" t="s">
        <v>18</v>
      </c>
      <c r="AN766" s="147" t="s">
        <v>18</v>
      </c>
      <c r="AO766" s="147" t="s">
        <v>18</v>
      </c>
      <c r="AP766" s="147" t="s">
        <v>18</v>
      </c>
      <c r="AQ766" s="147" t="s">
        <v>18</v>
      </c>
      <c r="AR766" s="147" t="s">
        <v>18</v>
      </c>
      <c r="AS766" s="147" t="s">
        <v>18</v>
      </c>
      <c r="AT766" s="147" t="s">
        <v>18</v>
      </c>
      <c r="AU766" s="147" t="s">
        <v>18</v>
      </c>
      <c r="AV766" s="147" t="s">
        <v>18</v>
      </c>
      <c r="AW766" s="147" t="s">
        <v>18</v>
      </c>
      <c r="AX766" s="147" t="s">
        <v>18</v>
      </c>
      <c r="AY766" s="147" t="s">
        <v>18</v>
      </c>
      <c r="AZ766" s="147" t="s">
        <v>18</v>
      </c>
      <c r="BA766" s="147" t="s">
        <v>18</v>
      </c>
      <c r="BB766" s="147" t="s">
        <v>18</v>
      </c>
      <c r="BC766" s="147" t="s">
        <v>18</v>
      </c>
    </row>
    <row r="767" spans="1:55" ht="15.75" customHeight="1" x14ac:dyDescent="0.2">
      <c r="A767" s="149" t="s">
        <v>1</v>
      </c>
      <c r="B767" s="150" t="s">
        <v>2</v>
      </c>
      <c r="C767" s="174">
        <v>5857</v>
      </c>
      <c r="D767" s="130">
        <v>5857</v>
      </c>
      <c r="E767" s="130">
        <v>5919</v>
      </c>
      <c r="F767" s="175">
        <v>5919</v>
      </c>
      <c r="G767" s="130">
        <v>5919</v>
      </c>
      <c r="H767" s="130">
        <v>5919</v>
      </c>
      <c r="I767" s="130">
        <v>6001</v>
      </c>
      <c r="J767" s="175">
        <v>6001</v>
      </c>
      <c r="K767" s="130">
        <v>6001</v>
      </c>
      <c r="L767" s="130">
        <v>6076</v>
      </c>
      <c r="M767" s="175">
        <v>6076</v>
      </c>
      <c r="N767" s="130">
        <v>6110</v>
      </c>
      <c r="O767" s="175">
        <v>6110</v>
      </c>
      <c r="P767" s="130">
        <v>6152</v>
      </c>
      <c r="Q767" s="175">
        <v>6152</v>
      </c>
      <c r="R767" s="130">
        <v>6152</v>
      </c>
      <c r="S767" s="130">
        <v>6233</v>
      </c>
      <c r="T767" s="175">
        <v>6233</v>
      </c>
      <c r="U767" s="130">
        <v>6233</v>
      </c>
      <c r="V767" s="130">
        <v>6233</v>
      </c>
      <c r="W767" s="130">
        <v>6363</v>
      </c>
      <c r="X767" s="175">
        <v>6363</v>
      </c>
      <c r="Y767" s="130">
        <v>6363</v>
      </c>
      <c r="Z767" s="130">
        <v>6393</v>
      </c>
      <c r="AA767" s="175">
        <v>6393</v>
      </c>
      <c r="AB767" s="130">
        <v>6393</v>
      </c>
      <c r="AC767" s="130">
        <v>6393</v>
      </c>
      <c r="AD767" s="130">
        <v>6479</v>
      </c>
      <c r="AE767" s="175">
        <v>6479</v>
      </c>
      <c r="AF767" s="130">
        <v>6479</v>
      </c>
      <c r="AG767" s="130">
        <v>6558</v>
      </c>
      <c r="AH767" s="175">
        <v>6558</v>
      </c>
      <c r="AI767" s="130">
        <v>6558</v>
      </c>
      <c r="AJ767" s="130">
        <v>6586</v>
      </c>
      <c r="AK767" s="174" t="s">
        <v>18</v>
      </c>
      <c r="AL767" s="130" t="s">
        <v>18</v>
      </c>
      <c r="AM767" s="130" t="s">
        <v>18</v>
      </c>
      <c r="AN767" s="130" t="s">
        <v>18</v>
      </c>
      <c r="AO767" s="130" t="s">
        <v>18</v>
      </c>
      <c r="AP767" s="130" t="s">
        <v>18</v>
      </c>
      <c r="AQ767" s="130" t="s">
        <v>18</v>
      </c>
      <c r="AR767" s="130" t="s">
        <v>18</v>
      </c>
      <c r="AS767" s="130" t="s">
        <v>18</v>
      </c>
      <c r="AT767" s="130" t="s">
        <v>18</v>
      </c>
      <c r="AU767" s="130" t="s">
        <v>18</v>
      </c>
      <c r="AV767" s="130" t="s">
        <v>18</v>
      </c>
      <c r="AW767" s="130" t="s">
        <v>18</v>
      </c>
      <c r="AX767" s="130" t="s">
        <v>18</v>
      </c>
      <c r="AY767" s="130" t="s">
        <v>18</v>
      </c>
      <c r="AZ767" s="130" t="s">
        <v>18</v>
      </c>
      <c r="BA767" s="130" t="s">
        <v>18</v>
      </c>
      <c r="BB767" s="130" t="s">
        <v>18</v>
      </c>
      <c r="BC767" s="130" t="s">
        <v>18</v>
      </c>
    </row>
    <row r="768" spans="1:55" ht="15.75" customHeight="1" x14ac:dyDescent="0.2">
      <c r="A768" s="121" t="s">
        <v>40</v>
      </c>
      <c r="B768" s="122" t="s">
        <v>4</v>
      </c>
      <c r="C768" s="171">
        <v>305</v>
      </c>
      <c r="D768" s="124">
        <v>305</v>
      </c>
      <c r="E768" s="124">
        <v>311</v>
      </c>
      <c r="F768" s="172">
        <v>311</v>
      </c>
      <c r="G768" s="124">
        <v>311</v>
      </c>
      <c r="H768" s="124">
        <v>311</v>
      </c>
      <c r="I768" s="124">
        <v>313</v>
      </c>
      <c r="J768" s="172">
        <v>313</v>
      </c>
      <c r="K768" s="124">
        <v>313</v>
      </c>
      <c r="L768" s="124">
        <v>322</v>
      </c>
      <c r="M768" s="172">
        <v>322</v>
      </c>
      <c r="N768" s="124">
        <v>325</v>
      </c>
      <c r="O768" s="172">
        <v>325</v>
      </c>
      <c r="P768" s="124">
        <v>329</v>
      </c>
      <c r="Q768" s="172">
        <v>329</v>
      </c>
      <c r="R768" s="124">
        <v>329</v>
      </c>
      <c r="S768" s="124">
        <v>332</v>
      </c>
      <c r="T768" s="172">
        <v>332</v>
      </c>
      <c r="U768" s="124">
        <v>332</v>
      </c>
      <c r="V768" s="124">
        <v>332</v>
      </c>
      <c r="W768" s="124">
        <v>336</v>
      </c>
      <c r="X768" s="172">
        <v>336</v>
      </c>
      <c r="Y768" s="124">
        <v>336</v>
      </c>
      <c r="Z768" s="124">
        <v>338</v>
      </c>
      <c r="AA768" s="172">
        <v>338</v>
      </c>
      <c r="AB768" s="124">
        <v>338</v>
      </c>
      <c r="AC768" s="124">
        <v>338</v>
      </c>
      <c r="AD768" s="124">
        <v>344</v>
      </c>
      <c r="AE768" s="172">
        <v>344</v>
      </c>
      <c r="AF768" s="124">
        <v>344</v>
      </c>
      <c r="AG768" s="124">
        <v>347</v>
      </c>
      <c r="AH768" s="172">
        <v>347</v>
      </c>
      <c r="AI768" s="124">
        <v>347</v>
      </c>
      <c r="AJ768" s="124">
        <v>353</v>
      </c>
      <c r="AK768" s="171" t="s">
        <v>18</v>
      </c>
      <c r="AL768" s="124" t="s">
        <v>18</v>
      </c>
      <c r="AM768" s="124" t="s">
        <v>18</v>
      </c>
      <c r="AN768" s="124" t="s">
        <v>18</v>
      </c>
      <c r="AO768" s="124" t="s">
        <v>18</v>
      </c>
      <c r="AP768" s="124" t="s">
        <v>18</v>
      </c>
      <c r="AQ768" s="124" t="s">
        <v>18</v>
      </c>
      <c r="AR768" s="124" t="s">
        <v>18</v>
      </c>
      <c r="AS768" s="124" t="s">
        <v>18</v>
      </c>
      <c r="AT768" s="124" t="s">
        <v>18</v>
      </c>
      <c r="AU768" s="124" t="s">
        <v>18</v>
      </c>
      <c r="AV768" s="124" t="s">
        <v>18</v>
      </c>
      <c r="AW768" s="124" t="s">
        <v>18</v>
      </c>
      <c r="AX768" s="124" t="s">
        <v>18</v>
      </c>
      <c r="AY768" s="124" t="s">
        <v>18</v>
      </c>
      <c r="AZ768" s="124" t="s">
        <v>18</v>
      </c>
      <c r="BA768" s="124" t="s">
        <v>18</v>
      </c>
      <c r="BB768" s="124" t="s">
        <v>18</v>
      </c>
      <c r="BC768" s="124" t="s">
        <v>18</v>
      </c>
    </row>
    <row r="769" spans="1:55" ht="15.75" customHeight="1" x14ac:dyDescent="0.25">
      <c r="A769" s="143">
        <v>3</v>
      </c>
      <c r="B769" s="122" t="s">
        <v>5</v>
      </c>
      <c r="C769" s="171">
        <v>35</v>
      </c>
      <c r="D769" s="124">
        <v>35</v>
      </c>
      <c r="E769" s="124">
        <v>31</v>
      </c>
      <c r="F769" s="172">
        <v>31</v>
      </c>
      <c r="G769" s="124">
        <v>31</v>
      </c>
      <c r="H769" s="124">
        <v>31</v>
      </c>
      <c r="I769" s="124">
        <v>29</v>
      </c>
      <c r="J769" s="172">
        <v>29</v>
      </c>
      <c r="K769" s="124">
        <v>29</v>
      </c>
      <c r="L769" s="124">
        <v>24</v>
      </c>
      <c r="M769" s="172">
        <v>30</v>
      </c>
      <c r="N769" s="124">
        <v>27</v>
      </c>
      <c r="O769" s="172">
        <v>27</v>
      </c>
      <c r="P769" s="124">
        <v>27</v>
      </c>
      <c r="Q769" s="172">
        <v>27</v>
      </c>
      <c r="R769" s="124">
        <v>27</v>
      </c>
      <c r="S769" s="124">
        <v>24</v>
      </c>
      <c r="T769" s="172">
        <v>24</v>
      </c>
      <c r="U769" s="124">
        <v>24</v>
      </c>
      <c r="V769" s="124">
        <v>24</v>
      </c>
      <c r="W769" s="124">
        <v>20</v>
      </c>
      <c r="X769" s="172">
        <v>40</v>
      </c>
      <c r="Y769" s="124">
        <v>40</v>
      </c>
      <c r="Z769" s="124">
        <v>40</v>
      </c>
      <c r="AA769" s="172">
        <v>40</v>
      </c>
      <c r="AB769" s="124">
        <v>40</v>
      </c>
      <c r="AC769" s="124">
        <v>40</v>
      </c>
      <c r="AD769" s="124">
        <v>35</v>
      </c>
      <c r="AE769" s="172">
        <v>40</v>
      </c>
      <c r="AF769" s="124">
        <v>40</v>
      </c>
      <c r="AG769" s="124">
        <v>37</v>
      </c>
      <c r="AH769" s="172">
        <v>37</v>
      </c>
      <c r="AI769" s="124">
        <v>37</v>
      </c>
      <c r="AJ769" s="124">
        <v>31</v>
      </c>
      <c r="AK769" s="171" t="s">
        <v>18</v>
      </c>
      <c r="AL769" s="124" t="s">
        <v>18</v>
      </c>
      <c r="AM769" s="124" t="s">
        <v>18</v>
      </c>
      <c r="AN769" s="124" t="s">
        <v>18</v>
      </c>
      <c r="AO769" s="124" t="s">
        <v>18</v>
      </c>
      <c r="AP769" s="124" t="s">
        <v>18</v>
      </c>
      <c r="AQ769" s="124" t="s">
        <v>18</v>
      </c>
      <c r="AR769" s="124" t="s">
        <v>18</v>
      </c>
      <c r="AS769" s="124" t="s">
        <v>18</v>
      </c>
      <c r="AT769" s="124" t="s">
        <v>18</v>
      </c>
      <c r="AU769" s="124" t="s">
        <v>18</v>
      </c>
      <c r="AV769" s="124" t="s">
        <v>18</v>
      </c>
      <c r="AW769" s="124" t="s">
        <v>18</v>
      </c>
      <c r="AX769" s="124" t="s">
        <v>18</v>
      </c>
      <c r="AY769" s="124" t="s">
        <v>18</v>
      </c>
      <c r="AZ769" s="124" t="s">
        <v>18</v>
      </c>
      <c r="BA769" s="124" t="s">
        <v>18</v>
      </c>
      <c r="BB769" s="124" t="s">
        <v>18</v>
      </c>
      <c r="BC769" s="124" t="s">
        <v>18</v>
      </c>
    </row>
    <row r="770" spans="1:55" ht="15.75" customHeight="1" x14ac:dyDescent="0.2">
      <c r="A770" s="127"/>
      <c r="B770" s="122" t="s">
        <v>6</v>
      </c>
      <c r="C770" s="171"/>
      <c r="D770" s="124"/>
      <c r="E770" s="124"/>
      <c r="F770" s="172"/>
      <c r="G770" s="124"/>
      <c r="H770" s="124"/>
      <c r="I770" s="124"/>
      <c r="J770" s="172"/>
      <c r="K770" s="124"/>
      <c r="L770" s="124">
        <v>6</v>
      </c>
      <c r="M770" s="172"/>
      <c r="N770" s="124"/>
      <c r="O770" s="172"/>
      <c r="P770" s="124"/>
      <c r="Q770" s="172"/>
      <c r="R770" s="124"/>
      <c r="S770" s="124"/>
      <c r="T770" s="172"/>
      <c r="U770" s="124"/>
      <c r="V770" s="124"/>
      <c r="W770" s="124">
        <v>20</v>
      </c>
      <c r="X770" s="172"/>
      <c r="Y770" s="124"/>
      <c r="Z770" s="124"/>
      <c r="AA770" s="172"/>
      <c r="AB770" s="124"/>
      <c r="AC770" s="124"/>
      <c r="AD770" s="124">
        <v>5</v>
      </c>
      <c r="AE770" s="172"/>
      <c r="AF770" s="124"/>
      <c r="AG770" s="124"/>
      <c r="AH770" s="172"/>
      <c r="AI770" s="124"/>
      <c r="AJ770" s="124">
        <v>9</v>
      </c>
      <c r="AK770" s="171"/>
      <c r="AL770" s="124"/>
      <c r="AM770" s="124"/>
      <c r="AN770" s="124"/>
      <c r="AO770" s="124"/>
      <c r="AP770" s="124"/>
      <c r="AQ770" s="124"/>
      <c r="AR770" s="124"/>
      <c r="AS770" s="124"/>
      <c r="AT770" s="124"/>
      <c r="AU770" s="124"/>
      <c r="AV770" s="124"/>
      <c r="AW770" s="124"/>
      <c r="AX770" s="124"/>
      <c r="AY770" s="124"/>
      <c r="AZ770" s="124"/>
      <c r="BA770" s="124"/>
      <c r="BB770" s="124"/>
      <c r="BC770" s="124"/>
    </row>
    <row r="771" spans="1:55" ht="15.75" customHeight="1" x14ac:dyDescent="0.2">
      <c r="A771" s="128"/>
      <c r="B771" s="122" t="s">
        <v>8</v>
      </c>
      <c r="C771" s="174">
        <v>400</v>
      </c>
      <c r="D771" s="130">
        <v>400</v>
      </c>
      <c r="E771" s="130">
        <v>400</v>
      </c>
      <c r="F771" s="175">
        <v>400</v>
      </c>
      <c r="G771" s="130">
        <v>400</v>
      </c>
      <c r="H771" s="130">
        <v>400</v>
      </c>
      <c r="I771" s="130">
        <v>400</v>
      </c>
      <c r="J771" s="175">
        <v>400</v>
      </c>
      <c r="K771" s="130">
        <v>400</v>
      </c>
      <c r="L771" s="130">
        <v>400</v>
      </c>
      <c r="M771" s="175">
        <v>400</v>
      </c>
      <c r="N771" s="130">
        <v>400</v>
      </c>
      <c r="O771" s="175">
        <v>400</v>
      </c>
      <c r="P771" s="130">
        <v>400</v>
      </c>
      <c r="Q771" s="175">
        <v>400</v>
      </c>
      <c r="R771" s="130">
        <v>400</v>
      </c>
      <c r="S771" s="130">
        <v>400</v>
      </c>
      <c r="T771" s="175">
        <v>400</v>
      </c>
      <c r="U771" s="130">
        <v>400</v>
      </c>
      <c r="V771" s="130">
        <v>400</v>
      </c>
      <c r="W771" s="130">
        <v>400</v>
      </c>
      <c r="X771" s="175">
        <v>400</v>
      </c>
      <c r="Y771" s="130">
        <v>400</v>
      </c>
      <c r="Z771" s="130">
        <v>400</v>
      </c>
      <c r="AA771" s="175">
        <v>400</v>
      </c>
      <c r="AB771" s="130">
        <v>400</v>
      </c>
      <c r="AC771" s="130">
        <v>400</v>
      </c>
      <c r="AD771" s="130">
        <v>400</v>
      </c>
      <c r="AE771" s="175">
        <v>400</v>
      </c>
      <c r="AF771" s="130">
        <v>400</v>
      </c>
      <c r="AG771" s="130">
        <v>400</v>
      </c>
      <c r="AH771" s="175">
        <v>400</v>
      </c>
      <c r="AI771" s="130">
        <v>400</v>
      </c>
      <c r="AJ771" s="130">
        <v>400</v>
      </c>
      <c r="AK771" s="174" t="s">
        <v>18</v>
      </c>
      <c r="AL771" s="130" t="s">
        <v>18</v>
      </c>
      <c r="AM771" s="130" t="s">
        <v>18</v>
      </c>
      <c r="AN771" s="130" t="s">
        <v>18</v>
      </c>
      <c r="AO771" s="130" t="s">
        <v>18</v>
      </c>
      <c r="AP771" s="130" t="s">
        <v>18</v>
      </c>
      <c r="AQ771" s="130" t="s">
        <v>18</v>
      </c>
      <c r="AR771" s="130" t="s">
        <v>18</v>
      </c>
      <c r="AS771" s="130" t="s">
        <v>18</v>
      </c>
      <c r="AT771" s="130" t="s">
        <v>18</v>
      </c>
      <c r="AU771" s="130" t="s">
        <v>18</v>
      </c>
      <c r="AV771" s="130" t="s">
        <v>18</v>
      </c>
      <c r="AW771" s="130" t="s">
        <v>18</v>
      </c>
      <c r="AX771" s="130" t="s">
        <v>18</v>
      </c>
      <c r="AY771" s="130" t="s">
        <v>18</v>
      </c>
      <c r="AZ771" s="130" t="s">
        <v>18</v>
      </c>
      <c r="BA771" s="130" t="s">
        <v>18</v>
      </c>
      <c r="BB771" s="130" t="s">
        <v>18</v>
      </c>
      <c r="BC771" s="130" t="s">
        <v>18</v>
      </c>
    </row>
    <row r="772" spans="1:55" ht="15.75" customHeight="1" x14ac:dyDescent="0.2">
      <c r="A772" s="127" t="s">
        <v>9</v>
      </c>
      <c r="B772" s="132" t="s">
        <v>10</v>
      </c>
      <c r="C772" s="177" t="s">
        <v>43</v>
      </c>
      <c r="D772" s="134" t="s">
        <v>43</v>
      </c>
      <c r="E772" s="134" t="s">
        <v>43</v>
      </c>
      <c r="F772" s="178" t="s">
        <v>43</v>
      </c>
      <c r="G772" s="134" t="s">
        <v>43</v>
      </c>
      <c r="H772" s="134" t="s">
        <v>43</v>
      </c>
      <c r="I772" s="134" t="s">
        <v>43</v>
      </c>
      <c r="J772" s="178" t="s">
        <v>43</v>
      </c>
      <c r="K772" s="134" t="s">
        <v>43</v>
      </c>
      <c r="L772" s="134" t="s">
        <v>43</v>
      </c>
      <c r="M772" s="178" t="s">
        <v>43</v>
      </c>
      <c r="N772" s="134" t="s">
        <v>43</v>
      </c>
      <c r="O772" s="178" t="s">
        <v>43</v>
      </c>
      <c r="P772" s="134" t="s">
        <v>43</v>
      </c>
      <c r="Q772" s="178" t="s">
        <v>43</v>
      </c>
      <c r="R772" s="134" t="s">
        <v>43</v>
      </c>
      <c r="S772" s="134" t="s">
        <v>43</v>
      </c>
      <c r="T772" s="178" t="s">
        <v>43</v>
      </c>
      <c r="U772" s="134" t="s">
        <v>43</v>
      </c>
      <c r="V772" s="134" t="s">
        <v>43</v>
      </c>
      <c r="W772" s="134" t="s">
        <v>43</v>
      </c>
      <c r="X772" s="178" t="s">
        <v>43</v>
      </c>
      <c r="Y772" s="134" t="s">
        <v>43</v>
      </c>
      <c r="Z772" s="134" t="s">
        <v>43</v>
      </c>
      <c r="AA772" s="178" t="s">
        <v>43</v>
      </c>
      <c r="AB772" s="134" t="s">
        <v>43</v>
      </c>
      <c r="AC772" s="134" t="s">
        <v>43</v>
      </c>
      <c r="AD772" s="134" t="s">
        <v>43</v>
      </c>
      <c r="AE772" s="178" t="s">
        <v>43</v>
      </c>
      <c r="AF772" s="134" t="s">
        <v>43</v>
      </c>
      <c r="AG772" s="134" t="s">
        <v>43</v>
      </c>
      <c r="AH772" s="178" t="s">
        <v>43</v>
      </c>
      <c r="AI772" s="134" t="s">
        <v>43</v>
      </c>
      <c r="AJ772" s="134" t="s">
        <v>43</v>
      </c>
      <c r="AK772" s="177" t="s">
        <v>18</v>
      </c>
      <c r="AL772" s="134" t="s">
        <v>18</v>
      </c>
      <c r="AM772" s="134" t="s">
        <v>18</v>
      </c>
      <c r="AN772" s="134" t="s">
        <v>18</v>
      </c>
      <c r="AO772" s="134" t="s">
        <v>18</v>
      </c>
      <c r="AP772" s="134" t="s">
        <v>18</v>
      </c>
      <c r="AQ772" s="134" t="s">
        <v>18</v>
      </c>
      <c r="AR772" s="134" t="s">
        <v>18</v>
      </c>
      <c r="AS772" s="134" t="s">
        <v>18</v>
      </c>
      <c r="AT772" s="134" t="s">
        <v>18</v>
      </c>
      <c r="AU772" s="134" t="s">
        <v>18</v>
      </c>
      <c r="AV772" s="134" t="s">
        <v>18</v>
      </c>
      <c r="AW772" s="134" t="s">
        <v>18</v>
      </c>
      <c r="AX772" s="134" t="s">
        <v>18</v>
      </c>
      <c r="AY772" s="134" t="s">
        <v>18</v>
      </c>
      <c r="AZ772" s="134" t="s">
        <v>18</v>
      </c>
      <c r="BA772" s="134" t="s">
        <v>18</v>
      </c>
      <c r="BB772" s="134" t="s">
        <v>18</v>
      </c>
      <c r="BC772" s="134" t="s">
        <v>18</v>
      </c>
    </row>
    <row r="773" spans="1:55" ht="15.75" customHeight="1" x14ac:dyDescent="0.2">
      <c r="A773" s="128">
        <v>64323.529411764706</v>
      </c>
      <c r="B773" s="122" t="s">
        <v>12</v>
      </c>
      <c r="C773" s="171"/>
      <c r="D773" s="124"/>
      <c r="E773" s="124"/>
      <c r="F773" s="172"/>
      <c r="G773" s="124"/>
      <c r="H773" s="124"/>
      <c r="I773" s="124"/>
      <c r="J773" s="172"/>
      <c r="K773" s="124"/>
      <c r="L773" s="124"/>
      <c r="M773" s="172"/>
      <c r="N773" s="124"/>
      <c r="O773" s="172"/>
      <c r="P773" s="124"/>
      <c r="Q773" s="172"/>
      <c r="R773" s="124"/>
      <c r="S773" s="124"/>
      <c r="T773" s="172"/>
      <c r="U773" s="124"/>
      <c r="V773" s="124"/>
      <c r="W773" s="124"/>
      <c r="X773" s="172"/>
      <c r="Y773" s="124"/>
      <c r="Z773" s="124"/>
      <c r="AA773" s="172"/>
      <c r="AB773" s="124"/>
      <c r="AC773" s="124"/>
      <c r="AD773" s="124"/>
      <c r="AE773" s="172"/>
      <c r="AF773" s="124"/>
      <c r="AG773" s="124"/>
      <c r="AH773" s="172"/>
      <c r="AI773" s="124"/>
      <c r="AJ773" s="124"/>
      <c r="AK773" s="171" t="s">
        <v>108</v>
      </c>
      <c r="AL773" s="124"/>
      <c r="AM773" s="124"/>
      <c r="AN773" s="124"/>
      <c r="AO773" s="124"/>
      <c r="AP773" s="124"/>
      <c r="AQ773" s="124"/>
      <c r="AR773" s="124"/>
      <c r="AS773" s="124"/>
      <c r="AT773" s="124"/>
      <c r="AU773" s="124"/>
      <c r="AV773" s="124"/>
      <c r="AW773" s="124"/>
      <c r="AX773" s="124"/>
      <c r="AY773" s="124"/>
      <c r="AZ773" s="124"/>
      <c r="BA773" s="124"/>
      <c r="BB773" s="124"/>
      <c r="BC773" s="124"/>
    </row>
    <row r="774" spans="1:55" ht="15.75" customHeight="1" x14ac:dyDescent="0.2">
      <c r="A774" s="128">
        <v>729</v>
      </c>
      <c r="B774" s="136" t="s">
        <v>13</v>
      </c>
      <c r="C774" s="171">
        <v>0</v>
      </c>
      <c r="D774" s="137">
        <v>0</v>
      </c>
      <c r="E774" s="137">
        <v>62</v>
      </c>
      <c r="F774" s="172">
        <v>0</v>
      </c>
      <c r="G774" s="137">
        <v>0</v>
      </c>
      <c r="H774" s="137">
        <v>0</v>
      </c>
      <c r="I774" s="137">
        <v>82</v>
      </c>
      <c r="J774" s="172">
        <v>0</v>
      </c>
      <c r="K774" s="137">
        <v>0</v>
      </c>
      <c r="L774" s="137">
        <v>75</v>
      </c>
      <c r="M774" s="172">
        <v>0</v>
      </c>
      <c r="N774" s="137">
        <v>34</v>
      </c>
      <c r="O774" s="172">
        <v>0</v>
      </c>
      <c r="P774" s="137">
        <v>42</v>
      </c>
      <c r="Q774" s="172">
        <v>0</v>
      </c>
      <c r="R774" s="137">
        <v>0</v>
      </c>
      <c r="S774" s="137">
        <v>81</v>
      </c>
      <c r="T774" s="172">
        <v>0</v>
      </c>
      <c r="U774" s="137">
        <v>0</v>
      </c>
      <c r="V774" s="137">
        <v>0</v>
      </c>
      <c r="W774" s="137">
        <v>130</v>
      </c>
      <c r="X774" s="172">
        <v>0</v>
      </c>
      <c r="Y774" s="137">
        <v>0</v>
      </c>
      <c r="Z774" s="137">
        <v>30</v>
      </c>
      <c r="AA774" s="172">
        <v>0</v>
      </c>
      <c r="AB774" s="137">
        <v>0</v>
      </c>
      <c r="AC774" s="137">
        <v>0</v>
      </c>
      <c r="AD774" s="137">
        <v>86</v>
      </c>
      <c r="AE774" s="172">
        <v>0</v>
      </c>
      <c r="AF774" s="137">
        <v>0</v>
      </c>
      <c r="AG774" s="137">
        <v>79</v>
      </c>
      <c r="AH774" s="172">
        <v>0</v>
      </c>
      <c r="AI774" s="137">
        <v>0</v>
      </c>
      <c r="AJ774" s="137">
        <v>28</v>
      </c>
      <c r="AK774" s="171" t="s">
        <v>18</v>
      </c>
      <c r="AL774" s="137" t="s">
        <v>18</v>
      </c>
      <c r="AM774" s="137" t="s">
        <v>18</v>
      </c>
      <c r="AN774" s="137" t="s">
        <v>18</v>
      </c>
      <c r="AO774" s="137" t="s">
        <v>18</v>
      </c>
      <c r="AP774" s="137" t="s">
        <v>18</v>
      </c>
      <c r="AQ774" s="137" t="s">
        <v>18</v>
      </c>
      <c r="AR774" s="137" t="s">
        <v>18</v>
      </c>
      <c r="AS774" s="137" t="s">
        <v>18</v>
      </c>
      <c r="AT774" s="137" t="s">
        <v>18</v>
      </c>
      <c r="AU774" s="137" t="s">
        <v>18</v>
      </c>
      <c r="AV774" s="137" t="s">
        <v>18</v>
      </c>
      <c r="AW774" s="137" t="s">
        <v>18</v>
      </c>
      <c r="AX774" s="137" t="s">
        <v>18</v>
      </c>
      <c r="AY774" s="137" t="s">
        <v>18</v>
      </c>
      <c r="AZ774" s="137" t="s">
        <v>18</v>
      </c>
      <c r="BA774" s="137" t="s">
        <v>18</v>
      </c>
      <c r="BB774" s="137" t="s">
        <v>18</v>
      </c>
      <c r="BC774" s="137" t="s">
        <v>18</v>
      </c>
    </row>
    <row r="775" spans="1:55" ht="15.75" customHeight="1" x14ac:dyDescent="0.2">
      <c r="A775" s="128">
        <v>48</v>
      </c>
      <c r="B775" s="136" t="s">
        <v>14</v>
      </c>
      <c r="C775" s="171">
        <v>0</v>
      </c>
      <c r="D775" s="137">
        <v>0</v>
      </c>
      <c r="E775" s="137">
        <v>6</v>
      </c>
      <c r="F775" s="172">
        <v>0</v>
      </c>
      <c r="G775" s="137">
        <v>0</v>
      </c>
      <c r="H775" s="137">
        <v>0</v>
      </c>
      <c r="I775" s="137">
        <v>2</v>
      </c>
      <c r="J775" s="172">
        <v>0</v>
      </c>
      <c r="K775" s="137">
        <v>0</v>
      </c>
      <c r="L775" s="137">
        <v>9</v>
      </c>
      <c r="M775" s="172">
        <v>0</v>
      </c>
      <c r="N775" s="137">
        <v>3</v>
      </c>
      <c r="O775" s="172">
        <v>0</v>
      </c>
      <c r="P775" s="137">
        <v>4</v>
      </c>
      <c r="Q775" s="172">
        <v>0</v>
      </c>
      <c r="R775" s="137">
        <v>0</v>
      </c>
      <c r="S775" s="137">
        <v>3</v>
      </c>
      <c r="T775" s="172">
        <v>0</v>
      </c>
      <c r="U775" s="137">
        <v>0</v>
      </c>
      <c r="V775" s="137">
        <v>0</v>
      </c>
      <c r="W775" s="137">
        <v>4</v>
      </c>
      <c r="X775" s="172">
        <v>0</v>
      </c>
      <c r="Y775" s="137">
        <v>0</v>
      </c>
      <c r="Z775" s="137">
        <v>2</v>
      </c>
      <c r="AA775" s="172">
        <v>0</v>
      </c>
      <c r="AB775" s="137">
        <v>0</v>
      </c>
      <c r="AC775" s="137">
        <v>0</v>
      </c>
      <c r="AD775" s="137">
        <v>6</v>
      </c>
      <c r="AE775" s="172">
        <v>0</v>
      </c>
      <c r="AF775" s="137">
        <v>0</v>
      </c>
      <c r="AG775" s="137">
        <v>3</v>
      </c>
      <c r="AH775" s="172">
        <v>0</v>
      </c>
      <c r="AI775" s="137">
        <v>0</v>
      </c>
      <c r="AJ775" s="137">
        <v>6</v>
      </c>
      <c r="AK775" s="171" t="s">
        <v>18</v>
      </c>
      <c r="AL775" s="137" t="s">
        <v>18</v>
      </c>
      <c r="AM775" s="137" t="s">
        <v>18</v>
      </c>
      <c r="AN775" s="137" t="s">
        <v>18</v>
      </c>
      <c r="AO775" s="137" t="s">
        <v>18</v>
      </c>
      <c r="AP775" s="137" t="s">
        <v>18</v>
      </c>
      <c r="AQ775" s="137" t="s">
        <v>18</v>
      </c>
      <c r="AR775" s="137" t="s">
        <v>18</v>
      </c>
      <c r="AS775" s="137" t="s">
        <v>18</v>
      </c>
      <c r="AT775" s="137" t="s">
        <v>18</v>
      </c>
      <c r="AU775" s="137" t="s">
        <v>18</v>
      </c>
      <c r="AV775" s="137" t="s">
        <v>18</v>
      </c>
      <c r="AW775" s="137" t="s">
        <v>18</v>
      </c>
      <c r="AX775" s="137" t="s">
        <v>18</v>
      </c>
      <c r="AY775" s="137" t="s">
        <v>18</v>
      </c>
      <c r="AZ775" s="137" t="s">
        <v>18</v>
      </c>
      <c r="BA775" s="137" t="s">
        <v>18</v>
      </c>
      <c r="BB775" s="137" t="s">
        <v>18</v>
      </c>
      <c r="BC775" s="137" t="s">
        <v>18</v>
      </c>
    </row>
    <row r="776" spans="1:55" ht="15.75" customHeight="1" x14ac:dyDescent="0.2">
      <c r="A776" s="128">
        <v>35</v>
      </c>
      <c r="B776" s="136" t="s">
        <v>15</v>
      </c>
      <c r="C776" s="171">
        <v>0</v>
      </c>
      <c r="D776" s="137">
        <v>0</v>
      </c>
      <c r="E776" s="137">
        <v>4</v>
      </c>
      <c r="F776" s="172">
        <v>0</v>
      </c>
      <c r="G776" s="137">
        <v>0</v>
      </c>
      <c r="H776" s="137">
        <v>0</v>
      </c>
      <c r="I776" s="137">
        <v>2</v>
      </c>
      <c r="J776" s="172">
        <v>0</v>
      </c>
      <c r="K776" s="137">
        <v>0</v>
      </c>
      <c r="L776" s="137">
        <v>5</v>
      </c>
      <c r="M776" s="172">
        <v>0</v>
      </c>
      <c r="N776" s="137">
        <v>3</v>
      </c>
      <c r="O776" s="172">
        <v>0</v>
      </c>
      <c r="P776" s="137">
        <v>0</v>
      </c>
      <c r="Q776" s="172">
        <v>0</v>
      </c>
      <c r="R776" s="137">
        <v>0</v>
      </c>
      <c r="S776" s="137">
        <v>3</v>
      </c>
      <c r="T776" s="172">
        <v>0</v>
      </c>
      <c r="U776" s="137">
        <v>0</v>
      </c>
      <c r="V776" s="137">
        <v>0</v>
      </c>
      <c r="W776" s="137">
        <v>4</v>
      </c>
      <c r="X776" s="172">
        <v>0</v>
      </c>
      <c r="Y776" s="137">
        <v>0</v>
      </c>
      <c r="Z776" s="137">
        <v>0</v>
      </c>
      <c r="AA776" s="172">
        <v>0</v>
      </c>
      <c r="AB776" s="137">
        <v>0</v>
      </c>
      <c r="AC776" s="137">
        <v>0</v>
      </c>
      <c r="AD776" s="137">
        <v>5</v>
      </c>
      <c r="AE776" s="172">
        <v>0</v>
      </c>
      <c r="AF776" s="137">
        <v>0</v>
      </c>
      <c r="AG776" s="137">
        <v>3</v>
      </c>
      <c r="AH776" s="172">
        <v>0</v>
      </c>
      <c r="AI776" s="137">
        <v>0</v>
      </c>
      <c r="AJ776" s="137">
        <v>6</v>
      </c>
      <c r="AK776" s="171" t="s">
        <v>18</v>
      </c>
      <c r="AL776" s="137" t="s">
        <v>18</v>
      </c>
      <c r="AM776" s="137" t="s">
        <v>18</v>
      </c>
      <c r="AN776" s="137" t="s">
        <v>18</v>
      </c>
      <c r="AO776" s="137" t="s">
        <v>18</v>
      </c>
      <c r="AP776" s="137" t="s">
        <v>18</v>
      </c>
      <c r="AQ776" s="137" t="s">
        <v>18</v>
      </c>
      <c r="AR776" s="137" t="s">
        <v>18</v>
      </c>
      <c r="AS776" s="137" t="s">
        <v>18</v>
      </c>
      <c r="AT776" s="137" t="s">
        <v>18</v>
      </c>
      <c r="AU776" s="137" t="s">
        <v>18</v>
      </c>
      <c r="AV776" s="137" t="s">
        <v>18</v>
      </c>
      <c r="AW776" s="137" t="s">
        <v>18</v>
      </c>
      <c r="AX776" s="137" t="s">
        <v>18</v>
      </c>
      <c r="AY776" s="137" t="s">
        <v>18</v>
      </c>
      <c r="AZ776" s="137" t="s">
        <v>18</v>
      </c>
      <c r="BA776" s="137" t="s">
        <v>18</v>
      </c>
      <c r="BB776" s="137" t="s">
        <v>18</v>
      </c>
      <c r="BC776" s="137" t="s">
        <v>18</v>
      </c>
    </row>
    <row r="777" spans="1:55" ht="15.75" customHeight="1" x14ac:dyDescent="0.2">
      <c r="A777" s="128">
        <v>14000</v>
      </c>
      <c r="B777" s="136" t="s">
        <v>16</v>
      </c>
      <c r="C777" s="171">
        <v>0</v>
      </c>
      <c r="D777" s="137">
        <v>0</v>
      </c>
      <c r="E777" s="137">
        <v>1600</v>
      </c>
      <c r="F777" s="172">
        <v>0</v>
      </c>
      <c r="G777" s="137">
        <v>0</v>
      </c>
      <c r="H777" s="137">
        <v>0</v>
      </c>
      <c r="I777" s="137">
        <v>800</v>
      </c>
      <c r="J777" s="172">
        <v>0</v>
      </c>
      <c r="K777" s="137">
        <v>0</v>
      </c>
      <c r="L777" s="137">
        <v>2000</v>
      </c>
      <c r="M777" s="172">
        <v>0</v>
      </c>
      <c r="N777" s="137">
        <v>1200</v>
      </c>
      <c r="O777" s="172">
        <v>0</v>
      </c>
      <c r="P777" s="137">
        <v>0</v>
      </c>
      <c r="Q777" s="172">
        <v>0</v>
      </c>
      <c r="R777" s="137">
        <v>0</v>
      </c>
      <c r="S777" s="137">
        <v>1200</v>
      </c>
      <c r="T777" s="172">
        <v>0</v>
      </c>
      <c r="U777" s="137">
        <v>0</v>
      </c>
      <c r="V777" s="137">
        <v>0</v>
      </c>
      <c r="W777" s="137">
        <v>1600</v>
      </c>
      <c r="X777" s="172">
        <v>0</v>
      </c>
      <c r="Y777" s="137">
        <v>0</v>
      </c>
      <c r="Z777" s="137">
        <v>0</v>
      </c>
      <c r="AA777" s="172">
        <v>0</v>
      </c>
      <c r="AB777" s="137">
        <v>0</v>
      </c>
      <c r="AC777" s="137">
        <v>0</v>
      </c>
      <c r="AD777" s="137">
        <v>2000</v>
      </c>
      <c r="AE777" s="172">
        <v>0</v>
      </c>
      <c r="AF777" s="137">
        <v>0</v>
      </c>
      <c r="AG777" s="137">
        <v>1200</v>
      </c>
      <c r="AH777" s="172">
        <v>0</v>
      </c>
      <c r="AI777" s="137">
        <v>0</v>
      </c>
      <c r="AJ777" s="137">
        <v>2400</v>
      </c>
      <c r="AK777" s="171" t="s">
        <v>18</v>
      </c>
      <c r="AL777" s="137" t="s">
        <v>18</v>
      </c>
      <c r="AM777" s="137" t="s">
        <v>18</v>
      </c>
      <c r="AN777" s="137" t="s">
        <v>18</v>
      </c>
      <c r="AO777" s="137" t="s">
        <v>18</v>
      </c>
      <c r="AP777" s="137" t="s">
        <v>18</v>
      </c>
      <c r="AQ777" s="137" t="s">
        <v>18</v>
      </c>
      <c r="AR777" s="137" t="s">
        <v>18</v>
      </c>
      <c r="AS777" s="137" t="s">
        <v>18</v>
      </c>
      <c r="AT777" s="137" t="s">
        <v>18</v>
      </c>
      <c r="AU777" s="137" t="s">
        <v>18</v>
      </c>
      <c r="AV777" s="137" t="s">
        <v>18</v>
      </c>
      <c r="AW777" s="137" t="s">
        <v>18</v>
      </c>
      <c r="AX777" s="137" t="s">
        <v>18</v>
      </c>
      <c r="AY777" s="137" t="s">
        <v>18</v>
      </c>
      <c r="AZ777" s="137" t="s">
        <v>18</v>
      </c>
      <c r="BA777" s="137" t="s">
        <v>18</v>
      </c>
      <c r="BB777" s="137" t="s">
        <v>18</v>
      </c>
      <c r="BC777" s="137" t="s">
        <v>18</v>
      </c>
    </row>
    <row r="778" spans="1:55" ht="15.75" customHeight="1" x14ac:dyDescent="0.2">
      <c r="A778" s="138">
        <v>0.19204389574759945</v>
      </c>
      <c r="B778" s="136" t="s">
        <v>17</v>
      </c>
      <c r="C778" s="183" t="s">
        <v>18</v>
      </c>
      <c r="D778" s="147" t="s">
        <v>18</v>
      </c>
      <c r="E778" s="147">
        <v>0.25806451612903225</v>
      </c>
      <c r="F778" s="184" t="s">
        <v>18</v>
      </c>
      <c r="G778" s="147" t="s">
        <v>18</v>
      </c>
      <c r="H778" s="147" t="s">
        <v>18</v>
      </c>
      <c r="I778" s="147">
        <v>9.7560975609756101E-2</v>
      </c>
      <c r="J778" s="184" t="s">
        <v>18</v>
      </c>
      <c r="K778" s="147" t="s">
        <v>18</v>
      </c>
      <c r="L778" s="147">
        <v>0.26666666666666666</v>
      </c>
      <c r="M778" s="184" t="s">
        <v>18</v>
      </c>
      <c r="N778" s="147">
        <v>0.35294117647058826</v>
      </c>
      <c r="O778" s="184" t="s">
        <v>18</v>
      </c>
      <c r="P778" s="147" t="s">
        <v>18</v>
      </c>
      <c r="Q778" s="184" t="s">
        <v>18</v>
      </c>
      <c r="R778" s="147" t="s">
        <v>18</v>
      </c>
      <c r="S778" s="147">
        <v>0.14814814814814814</v>
      </c>
      <c r="T778" s="184" t="s">
        <v>18</v>
      </c>
      <c r="U778" s="147" t="s">
        <v>18</v>
      </c>
      <c r="V778" s="147" t="s">
        <v>18</v>
      </c>
      <c r="W778" s="147">
        <v>0.12307692307692308</v>
      </c>
      <c r="X778" s="184" t="s">
        <v>18</v>
      </c>
      <c r="Y778" s="147" t="s">
        <v>18</v>
      </c>
      <c r="Z778" s="147" t="s">
        <v>18</v>
      </c>
      <c r="AA778" s="184" t="s">
        <v>18</v>
      </c>
      <c r="AB778" s="147" t="s">
        <v>18</v>
      </c>
      <c r="AC778" s="147" t="s">
        <v>18</v>
      </c>
      <c r="AD778" s="147">
        <v>0.23255813953488372</v>
      </c>
      <c r="AE778" s="184" t="s">
        <v>18</v>
      </c>
      <c r="AF778" s="147" t="s">
        <v>18</v>
      </c>
      <c r="AG778" s="147">
        <v>0.15189873417721519</v>
      </c>
      <c r="AH778" s="184" t="s">
        <v>18</v>
      </c>
      <c r="AI778" s="147" t="s">
        <v>18</v>
      </c>
      <c r="AJ778" s="147">
        <v>0.8571428571428571</v>
      </c>
      <c r="AK778" s="183" t="s">
        <v>18</v>
      </c>
      <c r="AL778" s="147" t="s">
        <v>18</v>
      </c>
      <c r="AM778" s="147" t="s">
        <v>18</v>
      </c>
      <c r="AN778" s="147" t="s">
        <v>18</v>
      </c>
      <c r="AO778" s="147" t="s">
        <v>18</v>
      </c>
      <c r="AP778" s="147" t="s">
        <v>18</v>
      </c>
      <c r="AQ778" s="147" t="s">
        <v>18</v>
      </c>
      <c r="AR778" s="147" t="s">
        <v>18</v>
      </c>
      <c r="AS778" s="147" t="s">
        <v>18</v>
      </c>
      <c r="AT778" s="147" t="s">
        <v>18</v>
      </c>
      <c r="AU778" s="147" t="s">
        <v>18</v>
      </c>
      <c r="AV778" s="147" t="s">
        <v>18</v>
      </c>
      <c r="AW778" s="147" t="s">
        <v>18</v>
      </c>
      <c r="AX778" s="147" t="s">
        <v>18</v>
      </c>
      <c r="AY778" s="147" t="s">
        <v>18</v>
      </c>
      <c r="AZ778" s="147" t="s">
        <v>18</v>
      </c>
      <c r="BA778" s="147" t="s">
        <v>18</v>
      </c>
      <c r="BB778" s="147" t="s">
        <v>18</v>
      </c>
      <c r="BC778" s="147" t="s">
        <v>18</v>
      </c>
    </row>
    <row r="779" spans="1:55" ht="15.75" customHeight="1" x14ac:dyDescent="0.2">
      <c r="A779" s="149" t="s">
        <v>1</v>
      </c>
      <c r="B779" s="150" t="s">
        <v>2</v>
      </c>
      <c r="C779" s="174">
        <v>6234</v>
      </c>
      <c r="D779" s="130">
        <v>6234</v>
      </c>
      <c r="E779" s="130">
        <v>6279</v>
      </c>
      <c r="F779" s="175">
        <v>6279</v>
      </c>
      <c r="G779" s="130">
        <v>6279</v>
      </c>
      <c r="H779" s="130">
        <v>6279</v>
      </c>
      <c r="I779" s="130">
        <v>6355</v>
      </c>
      <c r="J779" s="175">
        <v>6355</v>
      </c>
      <c r="K779" s="130">
        <v>6355</v>
      </c>
      <c r="L779" s="130">
        <v>6464</v>
      </c>
      <c r="M779" s="175">
        <v>6464</v>
      </c>
      <c r="N779" s="130">
        <v>6499</v>
      </c>
      <c r="O779" s="175">
        <v>6499</v>
      </c>
      <c r="P779" s="130">
        <v>6512</v>
      </c>
      <c r="Q779" s="175">
        <v>6512</v>
      </c>
      <c r="R779" s="130">
        <v>6512</v>
      </c>
      <c r="S779" s="130">
        <v>6642</v>
      </c>
      <c r="T779" s="175">
        <v>6642</v>
      </c>
      <c r="U779" s="130">
        <v>6642</v>
      </c>
      <c r="V779" s="130">
        <v>6642</v>
      </c>
      <c r="W779" s="130">
        <v>6660</v>
      </c>
      <c r="X779" s="175">
        <v>6660</v>
      </c>
      <c r="Y779" s="130">
        <v>6660</v>
      </c>
      <c r="Z779" s="130">
        <v>6755</v>
      </c>
      <c r="AA779" s="175">
        <v>6755</v>
      </c>
      <c r="AB779" s="130">
        <v>6755</v>
      </c>
      <c r="AC779" s="130">
        <v>6755</v>
      </c>
      <c r="AD779" s="130">
        <v>6801</v>
      </c>
      <c r="AE779" s="175">
        <v>6801</v>
      </c>
      <c r="AF779" s="130">
        <v>6801</v>
      </c>
      <c r="AG779" s="130">
        <v>6857</v>
      </c>
      <c r="AH779" s="175">
        <v>6857</v>
      </c>
      <c r="AI779" s="130">
        <v>6857</v>
      </c>
      <c r="AJ779" s="130">
        <v>6877</v>
      </c>
      <c r="AK779" s="174" t="s">
        <v>18</v>
      </c>
      <c r="AL779" s="130" t="s">
        <v>18</v>
      </c>
      <c r="AM779" s="130" t="s">
        <v>18</v>
      </c>
      <c r="AN779" s="130" t="s">
        <v>18</v>
      </c>
      <c r="AO779" s="130" t="s">
        <v>18</v>
      </c>
      <c r="AP779" s="130" t="s">
        <v>18</v>
      </c>
      <c r="AQ779" s="130" t="s">
        <v>18</v>
      </c>
      <c r="AR779" s="130" t="s">
        <v>18</v>
      </c>
      <c r="AS779" s="130" t="s">
        <v>18</v>
      </c>
      <c r="AT779" s="130" t="s">
        <v>18</v>
      </c>
      <c r="AU779" s="130" t="s">
        <v>18</v>
      </c>
      <c r="AV779" s="130" t="s">
        <v>18</v>
      </c>
      <c r="AW779" s="130" t="s">
        <v>18</v>
      </c>
      <c r="AX779" s="130" t="s">
        <v>18</v>
      </c>
      <c r="AY779" s="130" t="s">
        <v>18</v>
      </c>
      <c r="AZ779" s="130" t="s">
        <v>18</v>
      </c>
      <c r="BA779" s="130" t="s">
        <v>18</v>
      </c>
      <c r="BB779" s="130" t="s">
        <v>18</v>
      </c>
      <c r="BC779" s="130" t="s">
        <v>18</v>
      </c>
    </row>
    <row r="780" spans="1:55" ht="15.75" customHeight="1" x14ac:dyDescent="0.2">
      <c r="A780" s="121" t="s">
        <v>40</v>
      </c>
      <c r="B780" s="122" t="s">
        <v>4</v>
      </c>
      <c r="C780" s="171">
        <v>548</v>
      </c>
      <c r="D780" s="124">
        <v>548</v>
      </c>
      <c r="E780" s="124">
        <v>553</v>
      </c>
      <c r="F780" s="172">
        <v>553</v>
      </c>
      <c r="G780" s="124">
        <v>553</v>
      </c>
      <c r="H780" s="124">
        <v>553</v>
      </c>
      <c r="I780" s="124">
        <v>560</v>
      </c>
      <c r="J780" s="172">
        <v>560</v>
      </c>
      <c r="K780" s="124">
        <v>560</v>
      </c>
      <c r="L780" s="124">
        <v>569</v>
      </c>
      <c r="M780" s="172">
        <v>569</v>
      </c>
      <c r="N780" s="124">
        <v>572</v>
      </c>
      <c r="O780" s="172">
        <v>572</v>
      </c>
      <c r="P780" s="124">
        <v>574</v>
      </c>
      <c r="Q780" s="172">
        <v>574</v>
      </c>
      <c r="R780" s="124">
        <v>574</v>
      </c>
      <c r="S780" s="124">
        <v>579</v>
      </c>
      <c r="T780" s="172">
        <v>579</v>
      </c>
      <c r="U780" s="124">
        <v>579</v>
      </c>
      <c r="V780" s="124">
        <v>579</v>
      </c>
      <c r="W780" s="124">
        <v>581</v>
      </c>
      <c r="X780" s="172">
        <v>581</v>
      </c>
      <c r="Y780" s="124">
        <v>581</v>
      </c>
      <c r="Z780" s="124">
        <v>586</v>
      </c>
      <c r="AA780" s="172">
        <v>586</v>
      </c>
      <c r="AB780" s="124">
        <v>586</v>
      </c>
      <c r="AC780" s="124">
        <v>586</v>
      </c>
      <c r="AD780" s="124">
        <v>592</v>
      </c>
      <c r="AE780" s="172">
        <v>592</v>
      </c>
      <c r="AF780" s="124">
        <v>592</v>
      </c>
      <c r="AG780" s="124">
        <v>600</v>
      </c>
      <c r="AH780" s="172">
        <v>600</v>
      </c>
      <c r="AI780" s="124">
        <v>600</v>
      </c>
      <c r="AJ780" s="124">
        <v>604</v>
      </c>
      <c r="AK780" s="171" t="s">
        <v>18</v>
      </c>
      <c r="AL780" s="124" t="s">
        <v>18</v>
      </c>
      <c r="AM780" s="124" t="s">
        <v>18</v>
      </c>
      <c r="AN780" s="124" t="s">
        <v>18</v>
      </c>
      <c r="AO780" s="124" t="s">
        <v>18</v>
      </c>
      <c r="AP780" s="124" t="s">
        <v>18</v>
      </c>
      <c r="AQ780" s="124" t="s">
        <v>18</v>
      </c>
      <c r="AR780" s="124" t="s">
        <v>18</v>
      </c>
      <c r="AS780" s="124" t="s">
        <v>18</v>
      </c>
      <c r="AT780" s="124" t="s">
        <v>18</v>
      </c>
      <c r="AU780" s="124" t="s">
        <v>18</v>
      </c>
      <c r="AV780" s="124" t="s">
        <v>18</v>
      </c>
      <c r="AW780" s="124" t="s">
        <v>18</v>
      </c>
      <c r="AX780" s="124" t="s">
        <v>18</v>
      </c>
      <c r="AY780" s="124" t="s">
        <v>18</v>
      </c>
      <c r="AZ780" s="124" t="s">
        <v>18</v>
      </c>
      <c r="BA780" s="124" t="s">
        <v>18</v>
      </c>
      <c r="BB780" s="124" t="s">
        <v>18</v>
      </c>
      <c r="BC780" s="124" t="s">
        <v>18</v>
      </c>
    </row>
    <row r="781" spans="1:55" ht="15.75" customHeight="1" x14ac:dyDescent="0.25">
      <c r="A781" s="143">
        <v>4</v>
      </c>
      <c r="B781" s="122" t="s">
        <v>5</v>
      </c>
      <c r="C781" s="171">
        <v>56</v>
      </c>
      <c r="D781" s="124">
        <v>56</v>
      </c>
      <c r="E781" s="124">
        <v>56</v>
      </c>
      <c r="F781" s="172">
        <v>20</v>
      </c>
      <c r="G781" s="124">
        <v>20</v>
      </c>
      <c r="H781" s="124">
        <v>20</v>
      </c>
      <c r="I781" s="124">
        <v>15</v>
      </c>
      <c r="J781" s="172">
        <v>15</v>
      </c>
      <c r="K781" s="124">
        <v>15</v>
      </c>
      <c r="L781" s="124">
        <v>9</v>
      </c>
      <c r="M781" s="172">
        <v>9</v>
      </c>
      <c r="N781" s="124">
        <v>9</v>
      </c>
      <c r="O781" s="172">
        <v>9</v>
      </c>
      <c r="P781" s="124">
        <v>9</v>
      </c>
      <c r="Q781" s="172">
        <v>29</v>
      </c>
      <c r="R781" s="124">
        <v>29</v>
      </c>
      <c r="S781" s="124">
        <v>29</v>
      </c>
      <c r="T781" s="172">
        <v>29</v>
      </c>
      <c r="U781" s="124">
        <v>29</v>
      </c>
      <c r="V781" s="124">
        <v>29</v>
      </c>
      <c r="W781" s="124">
        <v>27</v>
      </c>
      <c r="X781" s="172">
        <v>27</v>
      </c>
      <c r="Y781" s="124">
        <v>27</v>
      </c>
      <c r="Z781" s="124">
        <v>22</v>
      </c>
      <c r="AA781" s="172">
        <v>22</v>
      </c>
      <c r="AB781" s="124">
        <v>22</v>
      </c>
      <c r="AC781" s="124">
        <v>22</v>
      </c>
      <c r="AD781" s="124">
        <v>17</v>
      </c>
      <c r="AE781" s="172">
        <v>22</v>
      </c>
      <c r="AF781" s="124">
        <v>22</v>
      </c>
      <c r="AG781" s="124">
        <v>22</v>
      </c>
      <c r="AH781" s="172">
        <v>22</v>
      </c>
      <c r="AI781" s="124">
        <v>22</v>
      </c>
      <c r="AJ781" s="124">
        <v>18</v>
      </c>
      <c r="AK781" s="171" t="s">
        <v>18</v>
      </c>
      <c r="AL781" s="124" t="s">
        <v>18</v>
      </c>
      <c r="AM781" s="124" t="s">
        <v>18</v>
      </c>
      <c r="AN781" s="124" t="s">
        <v>18</v>
      </c>
      <c r="AO781" s="124" t="s">
        <v>18</v>
      </c>
      <c r="AP781" s="124" t="s">
        <v>18</v>
      </c>
      <c r="AQ781" s="124" t="s">
        <v>18</v>
      </c>
      <c r="AR781" s="124" t="s">
        <v>18</v>
      </c>
      <c r="AS781" s="124" t="s">
        <v>18</v>
      </c>
      <c r="AT781" s="124" t="s">
        <v>18</v>
      </c>
      <c r="AU781" s="124" t="s">
        <v>18</v>
      </c>
      <c r="AV781" s="124" t="s">
        <v>18</v>
      </c>
      <c r="AW781" s="124" t="s">
        <v>18</v>
      </c>
      <c r="AX781" s="124" t="s">
        <v>18</v>
      </c>
      <c r="AY781" s="124" t="s">
        <v>18</v>
      </c>
      <c r="AZ781" s="124" t="s">
        <v>18</v>
      </c>
      <c r="BA781" s="124" t="s">
        <v>18</v>
      </c>
      <c r="BB781" s="124" t="s">
        <v>18</v>
      </c>
      <c r="BC781" s="124" t="s">
        <v>18</v>
      </c>
    </row>
    <row r="782" spans="1:55" ht="15.75" customHeight="1" x14ac:dyDescent="0.2">
      <c r="A782" s="127"/>
      <c r="B782" s="122" t="s">
        <v>6</v>
      </c>
      <c r="C782" s="171"/>
      <c r="D782" s="124"/>
      <c r="E782" s="124">
        <v>-36</v>
      </c>
      <c r="F782" s="172"/>
      <c r="G782" s="124"/>
      <c r="H782" s="124"/>
      <c r="I782" s="124"/>
      <c r="J782" s="172"/>
      <c r="K782" s="124"/>
      <c r="L782" s="124"/>
      <c r="M782" s="172"/>
      <c r="N782" s="124"/>
      <c r="O782" s="172"/>
      <c r="P782" s="124">
        <v>20</v>
      </c>
      <c r="Q782" s="172"/>
      <c r="R782" s="124"/>
      <c r="S782" s="124"/>
      <c r="T782" s="172"/>
      <c r="U782" s="124"/>
      <c r="V782" s="124"/>
      <c r="W782" s="124"/>
      <c r="X782" s="172"/>
      <c r="Y782" s="124"/>
      <c r="Z782" s="124"/>
      <c r="AA782" s="172"/>
      <c r="AB782" s="124"/>
      <c r="AC782" s="124"/>
      <c r="AD782" s="124">
        <v>5</v>
      </c>
      <c r="AE782" s="172"/>
      <c r="AF782" s="124"/>
      <c r="AG782" s="124"/>
      <c r="AH782" s="172"/>
      <c r="AI782" s="124"/>
      <c r="AJ782" s="124">
        <v>4</v>
      </c>
      <c r="AK782" s="171"/>
      <c r="AL782" s="124"/>
      <c r="AM782" s="124"/>
      <c r="AN782" s="124"/>
      <c r="AO782" s="124"/>
      <c r="AP782" s="124"/>
      <c r="AQ782" s="124"/>
      <c r="AR782" s="124"/>
      <c r="AS782" s="124"/>
      <c r="AT782" s="124"/>
      <c r="AU782" s="124"/>
      <c r="AV782" s="124"/>
      <c r="AW782" s="124"/>
      <c r="AX782" s="124"/>
      <c r="AY782" s="124"/>
      <c r="AZ782" s="124"/>
      <c r="BA782" s="124"/>
      <c r="BB782" s="124"/>
      <c r="BC782" s="124"/>
    </row>
    <row r="783" spans="1:55" ht="15.75" customHeight="1" x14ac:dyDescent="0.2">
      <c r="A783" s="128"/>
      <c r="B783" s="122" t="s">
        <v>8</v>
      </c>
      <c r="C783" s="174">
        <v>350</v>
      </c>
      <c r="D783" s="130">
        <v>350</v>
      </c>
      <c r="E783" s="130">
        <v>350</v>
      </c>
      <c r="F783" s="175">
        <v>350</v>
      </c>
      <c r="G783" s="130">
        <v>350</v>
      </c>
      <c r="H783" s="130">
        <v>350</v>
      </c>
      <c r="I783" s="130">
        <v>350</v>
      </c>
      <c r="J783" s="175">
        <v>350</v>
      </c>
      <c r="K783" s="130">
        <v>350</v>
      </c>
      <c r="L783" s="130">
        <v>350</v>
      </c>
      <c r="M783" s="175">
        <v>350</v>
      </c>
      <c r="N783" s="130">
        <v>350</v>
      </c>
      <c r="O783" s="175">
        <v>350</v>
      </c>
      <c r="P783" s="130">
        <v>350</v>
      </c>
      <c r="Q783" s="175">
        <v>350</v>
      </c>
      <c r="R783" s="130">
        <v>350</v>
      </c>
      <c r="S783" s="130">
        <v>350</v>
      </c>
      <c r="T783" s="175">
        <v>350</v>
      </c>
      <c r="U783" s="130">
        <v>350</v>
      </c>
      <c r="V783" s="130">
        <v>350</v>
      </c>
      <c r="W783" s="130">
        <v>350</v>
      </c>
      <c r="X783" s="175">
        <v>350</v>
      </c>
      <c r="Y783" s="130">
        <v>350</v>
      </c>
      <c r="Z783" s="130">
        <v>350</v>
      </c>
      <c r="AA783" s="175">
        <v>350</v>
      </c>
      <c r="AB783" s="130">
        <v>350</v>
      </c>
      <c r="AC783" s="130">
        <v>350</v>
      </c>
      <c r="AD783" s="130">
        <v>350</v>
      </c>
      <c r="AE783" s="175">
        <v>350</v>
      </c>
      <c r="AF783" s="130">
        <v>350</v>
      </c>
      <c r="AG783" s="130">
        <v>350</v>
      </c>
      <c r="AH783" s="175">
        <v>350</v>
      </c>
      <c r="AI783" s="130">
        <v>350</v>
      </c>
      <c r="AJ783" s="130">
        <v>350</v>
      </c>
      <c r="AK783" s="174" t="s">
        <v>18</v>
      </c>
      <c r="AL783" s="130" t="s">
        <v>18</v>
      </c>
      <c r="AM783" s="130" t="s">
        <v>18</v>
      </c>
      <c r="AN783" s="130" t="s">
        <v>18</v>
      </c>
      <c r="AO783" s="130" t="s">
        <v>18</v>
      </c>
      <c r="AP783" s="130" t="s">
        <v>18</v>
      </c>
      <c r="AQ783" s="130" t="s">
        <v>18</v>
      </c>
      <c r="AR783" s="130" t="s">
        <v>18</v>
      </c>
      <c r="AS783" s="130" t="s">
        <v>18</v>
      </c>
      <c r="AT783" s="130" t="s">
        <v>18</v>
      </c>
      <c r="AU783" s="130" t="s">
        <v>18</v>
      </c>
      <c r="AV783" s="130" t="s">
        <v>18</v>
      </c>
      <c r="AW783" s="130" t="s">
        <v>18</v>
      </c>
      <c r="AX783" s="130" t="s">
        <v>18</v>
      </c>
      <c r="AY783" s="130" t="s">
        <v>18</v>
      </c>
      <c r="AZ783" s="130" t="s">
        <v>18</v>
      </c>
      <c r="BA783" s="130" t="s">
        <v>18</v>
      </c>
      <c r="BB783" s="130" t="s">
        <v>18</v>
      </c>
      <c r="BC783" s="130" t="s">
        <v>18</v>
      </c>
    </row>
    <row r="784" spans="1:55" ht="15.75" customHeight="1" x14ac:dyDescent="0.2">
      <c r="A784" s="127" t="s">
        <v>9</v>
      </c>
      <c r="B784" s="132" t="s">
        <v>10</v>
      </c>
      <c r="C784" s="177" t="s">
        <v>99</v>
      </c>
      <c r="D784" s="134" t="s">
        <v>99</v>
      </c>
      <c r="E784" s="134" t="s">
        <v>99</v>
      </c>
      <c r="F784" s="178" t="s">
        <v>44</v>
      </c>
      <c r="G784" s="134" t="s">
        <v>44</v>
      </c>
      <c r="H784" s="134" t="s">
        <v>44</v>
      </c>
      <c r="I784" s="134" t="s">
        <v>44</v>
      </c>
      <c r="J784" s="178" t="s">
        <v>44</v>
      </c>
      <c r="K784" s="134" t="s">
        <v>44</v>
      </c>
      <c r="L784" s="134" t="s">
        <v>44</v>
      </c>
      <c r="M784" s="178" t="s">
        <v>44</v>
      </c>
      <c r="N784" s="134" t="s">
        <v>44</v>
      </c>
      <c r="O784" s="178" t="s">
        <v>44</v>
      </c>
      <c r="P784" s="134" t="s">
        <v>44</v>
      </c>
      <c r="Q784" s="178" t="s">
        <v>44</v>
      </c>
      <c r="R784" s="134" t="s">
        <v>44</v>
      </c>
      <c r="S784" s="134" t="s">
        <v>44</v>
      </c>
      <c r="T784" s="178" t="s">
        <v>44</v>
      </c>
      <c r="U784" s="134" t="s">
        <v>44</v>
      </c>
      <c r="V784" s="134" t="s">
        <v>44</v>
      </c>
      <c r="W784" s="134" t="s">
        <v>44</v>
      </c>
      <c r="X784" s="178" t="s">
        <v>44</v>
      </c>
      <c r="Y784" s="134" t="s">
        <v>44</v>
      </c>
      <c r="Z784" s="134" t="s">
        <v>44</v>
      </c>
      <c r="AA784" s="178" t="s">
        <v>44</v>
      </c>
      <c r="AB784" s="134" t="s">
        <v>44</v>
      </c>
      <c r="AC784" s="134" t="s">
        <v>44</v>
      </c>
      <c r="AD784" s="134" t="s">
        <v>44</v>
      </c>
      <c r="AE784" s="178" t="s">
        <v>44</v>
      </c>
      <c r="AF784" s="134" t="s">
        <v>44</v>
      </c>
      <c r="AG784" s="134" t="s">
        <v>44</v>
      </c>
      <c r="AH784" s="178" t="s">
        <v>44</v>
      </c>
      <c r="AI784" s="134" t="s">
        <v>44</v>
      </c>
      <c r="AJ784" s="134" t="s">
        <v>44</v>
      </c>
      <c r="AK784" s="177" t="s">
        <v>18</v>
      </c>
      <c r="AL784" s="134" t="s">
        <v>18</v>
      </c>
      <c r="AM784" s="134" t="s">
        <v>18</v>
      </c>
      <c r="AN784" s="134" t="s">
        <v>18</v>
      </c>
      <c r="AO784" s="134" t="s">
        <v>18</v>
      </c>
      <c r="AP784" s="134" t="s">
        <v>18</v>
      </c>
      <c r="AQ784" s="134" t="s">
        <v>18</v>
      </c>
      <c r="AR784" s="134" t="s">
        <v>18</v>
      </c>
      <c r="AS784" s="134" t="s">
        <v>18</v>
      </c>
      <c r="AT784" s="134" t="s">
        <v>18</v>
      </c>
      <c r="AU784" s="134" t="s">
        <v>18</v>
      </c>
      <c r="AV784" s="134" t="s">
        <v>18</v>
      </c>
      <c r="AW784" s="134" t="s">
        <v>18</v>
      </c>
      <c r="AX784" s="134" t="s">
        <v>18</v>
      </c>
      <c r="AY784" s="134" t="s">
        <v>18</v>
      </c>
      <c r="AZ784" s="134" t="s">
        <v>18</v>
      </c>
      <c r="BA784" s="134" t="s">
        <v>18</v>
      </c>
      <c r="BB784" s="134" t="s">
        <v>18</v>
      </c>
      <c r="BC784" s="134" t="s">
        <v>18</v>
      </c>
    </row>
    <row r="785" spans="1:55" ht="15.75" customHeight="1" x14ac:dyDescent="0.2">
      <c r="A785" s="128">
        <v>56735.294117647049</v>
      </c>
      <c r="B785" s="122" t="s">
        <v>12</v>
      </c>
      <c r="C785" s="171"/>
      <c r="D785" s="124"/>
      <c r="E785" s="124"/>
      <c r="F785" s="172" t="s">
        <v>109</v>
      </c>
      <c r="G785" s="124"/>
      <c r="H785" s="124"/>
      <c r="I785" s="124"/>
      <c r="J785" s="172"/>
      <c r="K785" s="124"/>
      <c r="L785" s="124"/>
      <c r="M785" s="172"/>
      <c r="N785" s="124"/>
      <c r="O785" s="172"/>
      <c r="P785" s="124"/>
      <c r="Q785" s="172"/>
      <c r="R785" s="124"/>
      <c r="S785" s="124"/>
      <c r="T785" s="172"/>
      <c r="U785" s="124"/>
      <c r="V785" s="124"/>
      <c r="W785" s="124"/>
      <c r="X785" s="172"/>
      <c r="Y785" s="124"/>
      <c r="Z785" s="124"/>
      <c r="AA785" s="172"/>
      <c r="AB785" s="124"/>
      <c r="AC785" s="124"/>
      <c r="AD785" s="124"/>
      <c r="AE785" s="172"/>
      <c r="AF785" s="124"/>
      <c r="AG785" s="124"/>
      <c r="AH785" s="172"/>
      <c r="AI785" s="124"/>
      <c r="AJ785" s="124"/>
      <c r="AK785" s="171"/>
      <c r="AL785" s="124"/>
      <c r="AM785" s="124"/>
      <c r="AN785" s="124"/>
      <c r="AO785" s="124"/>
      <c r="AP785" s="124"/>
      <c r="AQ785" s="124"/>
      <c r="AR785" s="124"/>
      <c r="AS785" s="124"/>
      <c r="AT785" s="124"/>
      <c r="AU785" s="124"/>
      <c r="AV785" s="124"/>
      <c r="AW785" s="124"/>
      <c r="AX785" s="124"/>
      <c r="AY785" s="124"/>
      <c r="AZ785" s="124"/>
      <c r="BA785" s="124"/>
      <c r="BB785" s="124"/>
      <c r="BC785" s="124"/>
    </row>
    <row r="786" spans="1:55" ht="15.75" customHeight="1" x14ac:dyDescent="0.2">
      <c r="A786" s="128">
        <v>643</v>
      </c>
      <c r="B786" s="136" t="s">
        <v>13</v>
      </c>
      <c r="C786" s="171">
        <v>0</v>
      </c>
      <c r="D786" s="137">
        <v>0</v>
      </c>
      <c r="E786" s="137">
        <v>45</v>
      </c>
      <c r="F786" s="172">
        <v>0</v>
      </c>
      <c r="G786" s="137">
        <v>0</v>
      </c>
      <c r="H786" s="137">
        <v>0</v>
      </c>
      <c r="I786" s="137">
        <v>76</v>
      </c>
      <c r="J786" s="172">
        <v>0</v>
      </c>
      <c r="K786" s="137">
        <v>0</v>
      </c>
      <c r="L786" s="137">
        <v>109</v>
      </c>
      <c r="M786" s="172">
        <v>0</v>
      </c>
      <c r="N786" s="137">
        <v>35</v>
      </c>
      <c r="O786" s="172">
        <v>0</v>
      </c>
      <c r="P786" s="137">
        <v>13</v>
      </c>
      <c r="Q786" s="172">
        <v>0</v>
      </c>
      <c r="R786" s="137">
        <v>0</v>
      </c>
      <c r="S786" s="137">
        <v>130</v>
      </c>
      <c r="T786" s="172">
        <v>0</v>
      </c>
      <c r="U786" s="137">
        <v>0</v>
      </c>
      <c r="V786" s="137">
        <v>0</v>
      </c>
      <c r="W786" s="137">
        <v>18</v>
      </c>
      <c r="X786" s="172">
        <v>0</v>
      </c>
      <c r="Y786" s="137">
        <v>0</v>
      </c>
      <c r="Z786" s="137">
        <v>95</v>
      </c>
      <c r="AA786" s="172">
        <v>0</v>
      </c>
      <c r="AB786" s="137">
        <v>0</v>
      </c>
      <c r="AC786" s="137">
        <v>0</v>
      </c>
      <c r="AD786" s="137">
        <v>46</v>
      </c>
      <c r="AE786" s="172">
        <v>0</v>
      </c>
      <c r="AF786" s="137">
        <v>0</v>
      </c>
      <c r="AG786" s="137">
        <v>56</v>
      </c>
      <c r="AH786" s="172">
        <v>0</v>
      </c>
      <c r="AI786" s="137">
        <v>0</v>
      </c>
      <c r="AJ786" s="137">
        <v>20</v>
      </c>
      <c r="AK786" s="171" t="s">
        <v>18</v>
      </c>
      <c r="AL786" s="137" t="s">
        <v>18</v>
      </c>
      <c r="AM786" s="137" t="s">
        <v>18</v>
      </c>
      <c r="AN786" s="137" t="s">
        <v>18</v>
      </c>
      <c r="AO786" s="137" t="s">
        <v>18</v>
      </c>
      <c r="AP786" s="137" t="s">
        <v>18</v>
      </c>
      <c r="AQ786" s="137" t="s">
        <v>18</v>
      </c>
      <c r="AR786" s="137" t="s">
        <v>18</v>
      </c>
      <c r="AS786" s="137" t="s">
        <v>18</v>
      </c>
      <c r="AT786" s="137" t="s">
        <v>18</v>
      </c>
      <c r="AU786" s="137" t="s">
        <v>18</v>
      </c>
      <c r="AV786" s="137" t="s">
        <v>18</v>
      </c>
      <c r="AW786" s="137" t="s">
        <v>18</v>
      </c>
      <c r="AX786" s="137" t="s">
        <v>18</v>
      </c>
      <c r="AY786" s="137" t="s">
        <v>18</v>
      </c>
      <c r="AZ786" s="137" t="s">
        <v>18</v>
      </c>
      <c r="BA786" s="137" t="s">
        <v>18</v>
      </c>
      <c r="BB786" s="137" t="s">
        <v>18</v>
      </c>
      <c r="BC786" s="137" t="s">
        <v>18</v>
      </c>
    </row>
    <row r="787" spans="1:55" ht="15.75" customHeight="1" x14ac:dyDescent="0.2">
      <c r="A787" s="128">
        <v>56</v>
      </c>
      <c r="B787" s="136" t="s">
        <v>14</v>
      </c>
      <c r="C787" s="171">
        <v>0</v>
      </c>
      <c r="D787" s="137">
        <v>0</v>
      </c>
      <c r="E787" s="137">
        <v>5</v>
      </c>
      <c r="F787" s="172">
        <v>0</v>
      </c>
      <c r="G787" s="137">
        <v>0</v>
      </c>
      <c r="H787" s="137">
        <v>0</v>
      </c>
      <c r="I787" s="137">
        <v>7</v>
      </c>
      <c r="J787" s="172">
        <v>0</v>
      </c>
      <c r="K787" s="137">
        <v>0</v>
      </c>
      <c r="L787" s="137">
        <v>9</v>
      </c>
      <c r="M787" s="172">
        <v>0</v>
      </c>
      <c r="N787" s="137">
        <v>3</v>
      </c>
      <c r="O787" s="172">
        <v>0</v>
      </c>
      <c r="P787" s="137">
        <v>2</v>
      </c>
      <c r="Q787" s="172">
        <v>0</v>
      </c>
      <c r="R787" s="137">
        <v>0</v>
      </c>
      <c r="S787" s="137">
        <v>5</v>
      </c>
      <c r="T787" s="172">
        <v>0</v>
      </c>
      <c r="U787" s="137">
        <v>0</v>
      </c>
      <c r="V787" s="137">
        <v>0</v>
      </c>
      <c r="W787" s="137">
        <v>2</v>
      </c>
      <c r="X787" s="172">
        <v>0</v>
      </c>
      <c r="Y787" s="137">
        <v>0</v>
      </c>
      <c r="Z787" s="137">
        <v>5</v>
      </c>
      <c r="AA787" s="172">
        <v>0</v>
      </c>
      <c r="AB787" s="137">
        <v>0</v>
      </c>
      <c r="AC787" s="137">
        <v>0</v>
      </c>
      <c r="AD787" s="137">
        <v>6</v>
      </c>
      <c r="AE787" s="172">
        <v>0</v>
      </c>
      <c r="AF787" s="137">
        <v>0</v>
      </c>
      <c r="AG787" s="137">
        <v>8</v>
      </c>
      <c r="AH787" s="172">
        <v>0</v>
      </c>
      <c r="AI787" s="137">
        <v>0</v>
      </c>
      <c r="AJ787" s="137">
        <v>4</v>
      </c>
      <c r="AK787" s="171" t="s">
        <v>18</v>
      </c>
      <c r="AL787" s="137" t="s">
        <v>18</v>
      </c>
      <c r="AM787" s="137" t="s">
        <v>18</v>
      </c>
      <c r="AN787" s="137" t="s">
        <v>18</v>
      </c>
      <c r="AO787" s="137" t="s">
        <v>18</v>
      </c>
      <c r="AP787" s="137" t="s">
        <v>18</v>
      </c>
      <c r="AQ787" s="137" t="s">
        <v>18</v>
      </c>
      <c r="AR787" s="137" t="s">
        <v>18</v>
      </c>
      <c r="AS787" s="137" t="s">
        <v>18</v>
      </c>
      <c r="AT787" s="137" t="s">
        <v>18</v>
      </c>
      <c r="AU787" s="137" t="s">
        <v>18</v>
      </c>
      <c r="AV787" s="137" t="s">
        <v>18</v>
      </c>
      <c r="AW787" s="137" t="s">
        <v>18</v>
      </c>
      <c r="AX787" s="137" t="s">
        <v>18</v>
      </c>
      <c r="AY787" s="137" t="s">
        <v>18</v>
      </c>
      <c r="AZ787" s="137" t="s">
        <v>18</v>
      </c>
      <c r="BA787" s="137" t="s">
        <v>18</v>
      </c>
      <c r="BB787" s="137" t="s">
        <v>18</v>
      </c>
      <c r="BC787" s="137" t="s">
        <v>18</v>
      </c>
    </row>
    <row r="788" spans="1:55" ht="15.75" customHeight="1" x14ac:dyDescent="0.2">
      <c r="A788" s="128">
        <v>27</v>
      </c>
      <c r="B788" s="136" t="s">
        <v>15</v>
      </c>
      <c r="C788" s="171">
        <v>0</v>
      </c>
      <c r="D788" s="137">
        <v>0</v>
      </c>
      <c r="E788" s="137">
        <v>0</v>
      </c>
      <c r="F788" s="172">
        <v>0</v>
      </c>
      <c r="G788" s="137">
        <v>0</v>
      </c>
      <c r="H788" s="137">
        <v>0</v>
      </c>
      <c r="I788" s="137">
        <v>5</v>
      </c>
      <c r="J788" s="172">
        <v>0</v>
      </c>
      <c r="K788" s="137">
        <v>0</v>
      </c>
      <c r="L788" s="137">
        <v>6</v>
      </c>
      <c r="M788" s="172">
        <v>0</v>
      </c>
      <c r="N788" s="137">
        <v>0</v>
      </c>
      <c r="O788" s="172">
        <v>0</v>
      </c>
      <c r="P788" s="137">
        <v>0</v>
      </c>
      <c r="Q788" s="172">
        <v>0</v>
      </c>
      <c r="R788" s="137">
        <v>0</v>
      </c>
      <c r="S788" s="137">
        <v>0</v>
      </c>
      <c r="T788" s="172">
        <v>0</v>
      </c>
      <c r="U788" s="137">
        <v>0</v>
      </c>
      <c r="V788" s="137">
        <v>0</v>
      </c>
      <c r="W788" s="137">
        <v>2</v>
      </c>
      <c r="X788" s="172">
        <v>0</v>
      </c>
      <c r="Y788" s="137">
        <v>0</v>
      </c>
      <c r="Z788" s="137">
        <v>5</v>
      </c>
      <c r="AA788" s="172">
        <v>0</v>
      </c>
      <c r="AB788" s="137">
        <v>0</v>
      </c>
      <c r="AC788" s="137">
        <v>0</v>
      </c>
      <c r="AD788" s="137">
        <v>5</v>
      </c>
      <c r="AE788" s="172">
        <v>0</v>
      </c>
      <c r="AF788" s="137">
        <v>0</v>
      </c>
      <c r="AG788" s="137">
        <v>0</v>
      </c>
      <c r="AH788" s="172">
        <v>0</v>
      </c>
      <c r="AI788" s="137">
        <v>0</v>
      </c>
      <c r="AJ788" s="137">
        <v>4</v>
      </c>
      <c r="AK788" s="171" t="s">
        <v>18</v>
      </c>
      <c r="AL788" s="137" t="s">
        <v>18</v>
      </c>
      <c r="AM788" s="137" t="s">
        <v>18</v>
      </c>
      <c r="AN788" s="137" t="s">
        <v>18</v>
      </c>
      <c r="AO788" s="137" t="s">
        <v>18</v>
      </c>
      <c r="AP788" s="137" t="s">
        <v>18</v>
      </c>
      <c r="AQ788" s="137" t="s">
        <v>18</v>
      </c>
      <c r="AR788" s="137" t="s">
        <v>18</v>
      </c>
      <c r="AS788" s="137" t="s">
        <v>18</v>
      </c>
      <c r="AT788" s="137" t="s">
        <v>18</v>
      </c>
      <c r="AU788" s="137" t="s">
        <v>18</v>
      </c>
      <c r="AV788" s="137" t="s">
        <v>18</v>
      </c>
      <c r="AW788" s="137" t="s">
        <v>18</v>
      </c>
      <c r="AX788" s="137" t="s">
        <v>18</v>
      </c>
      <c r="AY788" s="137" t="s">
        <v>18</v>
      </c>
      <c r="AZ788" s="137" t="s">
        <v>18</v>
      </c>
      <c r="BA788" s="137" t="s">
        <v>18</v>
      </c>
      <c r="BB788" s="137" t="s">
        <v>18</v>
      </c>
      <c r="BC788" s="137" t="s">
        <v>18</v>
      </c>
    </row>
    <row r="789" spans="1:55" ht="15.75" customHeight="1" x14ac:dyDescent="0.2">
      <c r="A789" s="128">
        <v>9450</v>
      </c>
      <c r="B789" s="136" t="s">
        <v>16</v>
      </c>
      <c r="C789" s="171">
        <v>0</v>
      </c>
      <c r="D789" s="137">
        <v>0</v>
      </c>
      <c r="E789" s="137">
        <v>0</v>
      </c>
      <c r="F789" s="172">
        <v>0</v>
      </c>
      <c r="G789" s="137">
        <v>0</v>
      </c>
      <c r="H789" s="137">
        <v>0</v>
      </c>
      <c r="I789" s="137">
        <v>1750</v>
      </c>
      <c r="J789" s="172">
        <v>0</v>
      </c>
      <c r="K789" s="137">
        <v>0</v>
      </c>
      <c r="L789" s="137">
        <v>2100</v>
      </c>
      <c r="M789" s="172">
        <v>0</v>
      </c>
      <c r="N789" s="137">
        <v>0</v>
      </c>
      <c r="O789" s="172">
        <v>0</v>
      </c>
      <c r="P789" s="137">
        <v>0</v>
      </c>
      <c r="Q789" s="172">
        <v>0</v>
      </c>
      <c r="R789" s="137">
        <v>0</v>
      </c>
      <c r="S789" s="137">
        <v>0</v>
      </c>
      <c r="T789" s="172">
        <v>0</v>
      </c>
      <c r="U789" s="137">
        <v>0</v>
      </c>
      <c r="V789" s="137">
        <v>0</v>
      </c>
      <c r="W789" s="137">
        <v>700</v>
      </c>
      <c r="X789" s="172">
        <v>0</v>
      </c>
      <c r="Y789" s="137">
        <v>0</v>
      </c>
      <c r="Z789" s="137">
        <v>1750</v>
      </c>
      <c r="AA789" s="172">
        <v>0</v>
      </c>
      <c r="AB789" s="137">
        <v>0</v>
      </c>
      <c r="AC789" s="137">
        <v>0</v>
      </c>
      <c r="AD789" s="137">
        <v>1750</v>
      </c>
      <c r="AE789" s="172">
        <v>0</v>
      </c>
      <c r="AF789" s="137">
        <v>0</v>
      </c>
      <c r="AG789" s="137">
        <v>0</v>
      </c>
      <c r="AH789" s="172">
        <v>0</v>
      </c>
      <c r="AI789" s="137">
        <v>0</v>
      </c>
      <c r="AJ789" s="137">
        <v>1400</v>
      </c>
      <c r="AK789" s="171" t="s">
        <v>18</v>
      </c>
      <c r="AL789" s="137" t="s">
        <v>18</v>
      </c>
      <c r="AM789" s="137" t="s">
        <v>18</v>
      </c>
      <c r="AN789" s="137" t="s">
        <v>18</v>
      </c>
      <c r="AO789" s="137" t="s">
        <v>18</v>
      </c>
      <c r="AP789" s="137" t="s">
        <v>18</v>
      </c>
      <c r="AQ789" s="137" t="s">
        <v>18</v>
      </c>
      <c r="AR789" s="137" t="s">
        <v>18</v>
      </c>
      <c r="AS789" s="137" t="s">
        <v>18</v>
      </c>
      <c r="AT789" s="137" t="s">
        <v>18</v>
      </c>
      <c r="AU789" s="137" t="s">
        <v>18</v>
      </c>
      <c r="AV789" s="137" t="s">
        <v>18</v>
      </c>
      <c r="AW789" s="137" t="s">
        <v>18</v>
      </c>
      <c r="AX789" s="137" t="s">
        <v>18</v>
      </c>
      <c r="AY789" s="137" t="s">
        <v>18</v>
      </c>
      <c r="AZ789" s="137" t="s">
        <v>18</v>
      </c>
      <c r="BA789" s="137" t="s">
        <v>18</v>
      </c>
      <c r="BB789" s="137" t="s">
        <v>18</v>
      </c>
      <c r="BC789" s="137" t="s">
        <v>18</v>
      </c>
    </row>
    <row r="790" spans="1:55" ht="15.75" customHeight="1" x14ac:dyDescent="0.2">
      <c r="A790" s="138">
        <v>0.14696734059097979</v>
      </c>
      <c r="B790" s="139" t="s">
        <v>17</v>
      </c>
      <c r="C790" s="180" t="s">
        <v>18</v>
      </c>
      <c r="D790" s="141" t="s">
        <v>18</v>
      </c>
      <c r="E790" s="141" t="s">
        <v>18</v>
      </c>
      <c r="F790" s="181" t="s">
        <v>18</v>
      </c>
      <c r="G790" s="141" t="s">
        <v>18</v>
      </c>
      <c r="H790" s="141" t="s">
        <v>18</v>
      </c>
      <c r="I790" s="141">
        <v>0.23026315789473684</v>
      </c>
      <c r="J790" s="181" t="s">
        <v>18</v>
      </c>
      <c r="K790" s="141" t="s">
        <v>18</v>
      </c>
      <c r="L790" s="141">
        <v>0.19266055045871561</v>
      </c>
      <c r="M790" s="181" t="s">
        <v>18</v>
      </c>
      <c r="N790" s="141" t="s">
        <v>18</v>
      </c>
      <c r="O790" s="181" t="s">
        <v>18</v>
      </c>
      <c r="P790" s="141" t="s">
        <v>18</v>
      </c>
      <c r="Q790" s="181" t="s">
        <v>18</v>
      </c>
      <c r="R790" s="141" t="s">
        <v>18</v>
      </c>
      <c r="S790" s="141" t="s">
        <v>18</v>
      </c>
      <c r="T790" s="181" t="s">
        <v>18</v>
      </c>
      <c r="U790" s="141" t="s">
        <v>18</v>
      </c>
      <c r="V790" s="141" t="s">
        <v>18</v>
      </c>
      <c r="W790" s="141">
        <v>0.3888888888888889</v>
      </c>
      <c r="X790" s="181" t="s">
        <v>18</v>
      </c>
      <c r="Y790" s="141" t="s">
        <v>18</v>
      </c>
      <c r="Z790" s="141">
        <v>0.18421052631578946</v>
      </c>
      <c r="AA790" s="181" t="s">
        <v>18</v>
      </c>
      <c r="AB790" s="141" t="s">
        <v>18</v>
      </c>
      <c r="AC790" s="141" t="s">
        <v>18</v>
      </c>
      <c r="AD790" s="141">
        <v>0.38043478260869568</v>
      </c>
      <c r="AE790" s="181" t="s">
        <v>18</v>
      </c>
      <c r="AF790" s="141" t="s">
        <v>18</v>
      </c>
      <c r="AG790" s="141" t="s">
        <v>18</v>
      </c>
      <c r="AH790" s="181" t="s">
        <v>18</v>
      </c>
      <c r="AI790" s="141" t="s">
        <v>18</v>
      </c>
      <c r="AJ790" s="141">
        <v>0.7</v>
      </c>
      <c r="AK790" s="180" t="s">
        <v>18</v>
      </c>
      <c r="AL790" s="141" t="s">
        <v>18</v>
      </c>
      <c r="AM790" s="141" t="s">
        <v>18</v>
      </c>
      <c r="AN790" s="141" t="s">
        <v>18</v>
      </c>
      <c r="AO790" s="141" t="s">
        <v>18</v>
      </c>
      <c r="AP790" s="141" t="s">
        <v>18</v>
      </c>
      <c r="AQ790" s="141" t="s">
        <v>18</v>
      </c>
      <c r="AR790" s="141" t="s">
        <v>18</v>
      </c>
      <c r="AS790" s="141" t="s">
        <v>18</v>
      </c>
      <c r="AT790" s="141" t="s">
        <v>18</v>
      </c>
      <c r="AU790" s="141" t="s">
        <v>18</v>
      </c>
      <c r="AV790" s="141" t="s">
        <v>18</v>
      </c>
      <c r="AW790" s="141" t="s">
        <v>18</v>
      </c>
      <c r="AX790" s="141" t="s">
        <v>18</v>
      </c>
      <c r="AY790" s="141" t="s">
        <v>18</v>
      </c>
      <c r="AZ790" s="141" t="s">
        <v>18</v>
      </c>
      <c r="BA790" s="141" t="s">
        <v>18</v>
      </c>
      <c r="BB790" s="141" t="s">
        <v>18</v>
      </c>
      <c r="BC790" s="141" t="s">
        <v>18</v>
      </c>
    </row>
    <row r="791" spans="1:55" ht="15.75" customHeight="1" x14ac:dyDescent="0.2">
      <c r="A791" s="116" t="s">
        <v>1</v>
      </c>
      <c r="B791" s="117" t="s">
        <v>2</v>
      </c>
      <c r="C791" s="168">
        <v>17165</v>
      </c>
      <c r="D791" s="119">
        <v>17165</v>
      </c>
      <c r="E791" s="119">
        <v>17489</v>
      </c>
      <c r="F791" s="169">
        <v>17489</v>
      </c>
      <c r="G791" s="119">
        <v>17489</v>
      </c>
      <c r="H791" s="119">
        <v>17489</v>
      </c>
      <c r="I791" s="119">
        <v>17637</v>
      </c>
      <c r="J791" s="169">
        <v>17637</v>
      </c>
      <c r="K791" s="119">
        <v>17637</v>
      </c>
      <c r="L791" s="119">
        <v>17868</v>
      </c>
      <c r="M791" s="169">
        <v>17868</v>
      </c>
      <c r="N791" s="119">
        <v>17923</v>
      </c>
      <c r="O791" s="169">
        <v>17923</v>
      </c>
      <c r="P791" s="119">
        <v>17973</v>
      </c>
      <c r="Q791" s="169">
        <v>17973</v>
      </c>
      <c r="R791" s="119">
        <v>17973</v>
      </c>
      <c r="S791" s="119">
        <v>18154</v>
      </c>
      <c r="T791" s="169">
        <v>18154</v>
      </c>
      <c r="U791" s="119">
        <v>18154</v>
      </c>
      <c r="V791" s="119">
        <v>18154</v>
      </c>
      <c r="W791" s="119">
        <v>18317</v>
      </c>
      <c r="X791" s="169">
        <v>18317</v>
      </c>
      <c r="Y791" s="119">
        <v>18317</v>
      </c>
      <c r="Z791" s="119">
        <v>18553</v>
      </c>
      <c r="AA791" s="169">
        <v>18553</v>
      </c>
      <c r="AB791" s="119">
        <v>18553</v>
      </c>
      <c r="AC791" s="119">
        <v>18553</v>
      </c>
      <c r="AD791" s="119">
        <v>18643</v>
      </c>
      <c r="AE791" s="169">
        <v>18643</v>
      </c>
      <c r="AF791" s="119">
        <v>18643</v>
      </c>
      <c r="AG791" s="119">
        <v>18775</v>
      </c>
      <c r="AH791" s="169">
        <v>18775</v>
      </c>
      <c r="AI791" s="119">
        <v>18775</v>
      </c>
      <c r="AJ791" s="119">
        <v>18875</v>
      </c>
      <c r="AK791" s="168" t="s">
        <v>18</v>
      </c>
      <c r="AL791" s="119" t="s">
        <v>18</v>
      </c>
      <c r="AM791" s="119" t="s">
        <v>18</v>
      </c>
      <c r="AN791" s="119" t="s">
        <v>18</v>
      </c>
      <c r="AO791" s="119" t="s">
        <v>18</v>
      </c>
      <c r="AP791" s="119" t="s">
        <v>18</v>
      </c>
      <c r="AQ791" s="119" t="s">
        <v>18</v>
      </c>
      <c r="AR791" s="119" t="s">
        <v>18</v>
      </c>
      <c r="AS791" s="119" t="s">
        <v>18</v>
      </c>
      <c r="AT791" s="119" t="s">
        <v>18</v>
      </c>
      <c r="AU791" s="119" t="s">
        <v>18</v>
      </c>
      <c r="AV791" s="119" t="s">
        <v>18</v>
      </c>
      <c r="AW791" s="119" t="s">
        <v>18</v>
      </c>
      <c r="AX791" s="119" t="s">
        <v>18</v>
      </c>
      <c r="AY791" s="119" t="s">
        <v>18</v>
      </c>
      <c r="AZ791" s="119" t="s">
        <v>18</v>
      </c>
      <c r="BA791" s="119" t="s">
        <v>18</v>
      </c>
      <c r="BB791" s="119" t="s">
        <v>18</v>
      </c>
      <c r="BC791" s="119" t="s">
        <v>18</v>
      </c>
    </row>
    <row r="792" spans="1:55" ht="15.75" customHeight="1" x14ac:dyDescent="0.2">
      <c r="A792" s="121" t="s">
        <v>46</v>
      </c>
      <c r="B792" s="122" t="s">
        <v>4</v>
      </c>
      <c r="C792" s="171">
        <v>293</v>
      </c>
      <c r="D792" s="124">
        <v>293</v>
      </c>
      <c r="E792" s="124">
        <v>301</v>
      </c>
      <c r="F792" s="172">
        <v>301</v>
      </c>
      <c r="G792" s="124">
        <v>301</v>
      </c>
      <c r="H792" s="124">
        <v>301</v>
      </c>
      <c r="I792" s="124">
        <v>306</v>
      </c>
      <c r="J792" s="172">
        <v>306</v>
      </c>
      <c r="K792" s="124">
        <v>306</v>
      </c>
      <c r="L792" s="124">
        <v>311</v>
      </c>
      <c r="M792" s="172">
        <v>311</v>
      </c>
      <c r="N792" s="124">
        <v>312</v>
      </c>
      <c r="O792" s="172">
        <v>312</v>
      </c>
      <c r="P792" s="124">
        <v>313</v>
      </c>
      <c r="Q792" s="172">
        <v>313</v>
      </c>
      <c r="R792" s="124">
        <v>313</v>
      </c>
      <c r="S792" s="124">
        <v>320</v>
      </c>
      <c r="T792" s="172">
        <v>320</v>
      </c>
      <c r="U792" s="124">
        <v>320</v>
      </c>
      <c r="V792" s="124">
        <v>320</v>
      </c>
      <c r="W792" s="124">
        <v>326</v>
      </c>
      <c r="X792" s="172">
        <v>326</v>
      </c>
      <c r="Y792" s="124">
        <v>326</v>
      </c>
      <c r="Z792" s="124">
        <v>331</v>
      </c>
      <c r="AA792" s="172">
        <v>331</v>
      </c>
      <c r="AB792" s="124">
        <v>331</v>
      </c>
      <c r="AC792" s="124">
        <v>331</v>
      </c>
      <c r="AD792" s="124">
        <v>335</v>
      </c>
      <c r="AE792" s="172">
        <v>335</v>
      </c>
      <c r="AF792" s="124">
        <v>335</v>
      </c>
      <c r="AG792" s="124">
        <v>336</v>
      </c>
      <c r="AH792" s="172">
        <v>336</v>
      </c>
      <c r="AI792" s="124">
        <v>336</v>
      </c>
      <c r="AJ792" s="124">
        <v>341</v>
      </c>
      <c r="AK792" s="171" t="s">
        <v>18</v>
      </c>
      <c r="AL792" s="124" t="s">
        <v>18</v>
      </c>
      <c r="AM792" s="124" t="s">
        <v>18</v>
      </c>
      <c r="AN792" s="124" t="s">
        <v>18</v>
      </c>
      <c r="AO792" s="124" t="s">
        <v>18</v>
      </c>
      <c r="AP792" s="124" t="s">
        <v>18</v>
      </c>
      <c r="AQ792" s="124" t="s">
        <v>18</v>
      </c>
      <c r="AR792" s="124" t="s">
        <v>18</v>
      </c>
      <c r="AS792" s="124" t="s">
        <v>18</v>
      </c>
      <c r="AT792" s="124" t="s">
        <v>18</v>
      </c>
      <c r="AU792" s="124" t="s">
        <v>18</v>
      </c>
      <c r="AV792" s="124" t="s">
        <v>18</v>
      </c>
      <c r="AW792" s="124" t="s">
        <v>18</v>
      </c>
      <c r="AX792" s="124" t="s">
        <v>18</v>
      </c>
      <c r="AY792" s="124" t="s">
        <v>18</v>
      </c>
      <c r="AZ792" s="124" t="s">
        <v>18</v>
      </c>
      <c r="BA792" s="124" t="s">
        <v>18</v>
      </c>
      <c r="BB792" s="124" t="s">
        <v>18</v>
      </c>
      <c r="BC792" s="124" t="s">
        <v>18</v>
      </c>
    </row>
    <row r="793" spans="1:55" ht="15.75" customHeight="1" x14ac:dyDescent="0.25">
      <c r="A793" s="126"/>
      <c r="B793" s="122" t="s">
        <v>5</v>
      </c>
      <c r="C793" s="171">
        <v>27</v>
      </c>
      <c r="D793" s="124">
        <v>27</v>
      </c>
      <c r="E793" s="124">
        <v>19</v>
      </c>
      <c r="F793" s="172">
        <v>30</v>
      </c>
      <c r="G793" s="124">
        <v>30</v>
      </c>
      <c r="H793" s="124">
        <v>30</v>
      </c>
      <c r="I793" s="124">
        <v>25</v>
      </c>
      <c r="J793" s="172">
        <v>28</v>
      </c>
      <c r="K793" s="124">
        <v>28</v>
      </c>
      <c r="L793" s="124">
        <v>23</v>
      </c>
      <c r="M793" s="172">
        <v>28</v>
      </c>
      <c r="N793" s="124">
        <v>27</v>
      </c>
      <c r="O793" s="172">
        <v>27</v>
      </c>
      <c r="P793" s="124">
        <v>26</v>
      </c>
      <c r="Q793" s="172">
        <v>26</v>
      </c>
      <c r="R793" s="124">
        <v>26</v>
      </c>
      <c r="S793" s="124">
        <v>19</v>
      </c>
      <c r="T793" s="172">
        <v>24</v>
      </c>
      <c r="U793" s="124">
        <v>24</v>
      </c>
      <c r="V793" s="124">
        <v>24</v>
      </c>
      <c r="W793" s="124">
        <v>24</v>
      </c>
      <c r="X793" s="172">
        <v>24</v>
      </c>
      <c r="Y793" s="124">
        <v>24</v>
      </c>
      <c r="Z793" s="124">
        <v>19</v>
      </c>
      <c r="AA793" s="172">
        <v>27</v>
      </c>
      <c r="AB793" s="124">
        <v>27</v>
      </c>
      <c r="AC793" s="124">
        <v>27</v>
      </c>
      <c r="AD793" s="124">
        <v>24</v>
      </c>
      <c r="AE793" s="172">
        <v>27</v>
      </c>
      <c r="AF793" s="124">
        <v>27</v>
      </c>
      <c r="AG793" s="124">
        <v>26</v>
      </c>
      <c r="AH793" s="172">
        <v>26</v>
      </c>
      <c r="AI793" s="124">
        <v>26</v>
      </c>
      <c r="AJ793" s="124">
        <v>21</v>
      </c>
      <c r="AK793" s="171" t="s">
        <v>18</v>
      </c>
      <c r="AL793" s="124" t="s">
        <v>18</v>
      </c>
      <c r="AM793" s="124" t="s">
        <v>18</v>
      </c>
      <c r="AN793" s="124" t="s">
        <v>18</v>
      </c>
      <c r="AO793" s="124" t="s">
        <v>18</v>
      </c>
      <c r="AP793" s="124" t="s">
        <v>18</v>
      </c>
      <c r="AQ793" s="124" t="s">
        <v>18</v>
      </c>
      <c r="AR793" s="124" t="s">
        <v>18</v>
      </c>
      <c r="AS793" s="124" t="s">
        <v>18</v>
      </c>
      <c r="AT793" s="124" t="s">
        <v>18</v>
      </c>
      <c r="AU793" s="124" t="s">
        <v>18</v>
      </c>
      <c r="AV793" s="124" t="s">
        <v>18</v>
      </c>
      <c r="AW793" s="124" t="s">
        <v>18</v>
      </c>
      <c r="AX793" s="124" t="s">
        <v>18</v>
      </c>
      <c r="AY793" s="124" t="s">
        <v>18</v>
      </c>
      <c r="AZ793" s="124" t="s">
        <v>18</v>
      </c>
      <c r="BA793" s="124" t="s">
        <v>18</v>
      </c>
      <c r="BB793" s="124" t="s">
        <v>18</v>
      </c>
      <c r="BC793" s="124" t="s">
        <v>18</v>
      </c>
    </row>
    <row r="794" spans="1:55" ht="15.75" customHeight="1" x14ac:dyDescent="0.2">
      <c r="A794" s="127"/>
      <c r="B794" s="122" t="s">
        <v>6</v>
      </c>
      <c r="C794" s="171"/>
      <c r="D794" s="124"/>
      <c r="E794" s="124">
        <v>11</v>
      </c>
      <c r="F794" s="172"/>
      <c r="G794" s="124"/>
      <c r="H794" s="124"/>
      <c r="I794" s="124">
        <v>3</v>
      </c>
      <c r="J794" s="172"/>
      <c r="K794" s="124"/>
      <c r="L794" s="124">
        <v>5</v>
      </c>
      <c r="M794" s="172"/>
      <c r="N794" s="124"/>
      <c r="O794" s="172"/>
      <c r="P794" s="124"/>
      <c r="Q794" s="172"/>
      <c r="R794" s="124"/>
      <c r="S794" s="124">
        <v>5</v>
      </c>
      <c r="T794" s="172"/>
      <c r="U794" s="124"/>
      <c r="V794" s="124"/>
      <c r="W794" s="124"/>
      <c r="X794" s="172"/>
      <c r="Y794" s="124"/>
      <c r="Z794" s="124">
        <v>8</v>
      </c>
      <c r="AA794" s="172"/>
      <c r="AB794" s="124"/>
      <c r="AC794" s="124"/>
      <c r="AD794" s="124">
        <v>3</v>
      </c>
      <c r="AE794" s="172"/>
      <c r="AF794" s="124"/>
      <c r="AG794" s="124"/>
      <c r="AH794" s="172"/>
      <c r="AI794" s="124"/>
      <c r="AJ794" s="124"/>
      <c r="AK794" s="171"/>
      <c r="AL794" s="124"/>
      <c r="AM794" s="124"/>
      <c r="AN794" s="124"/>
      <c r="AO794" s="124"/>
      <c r="AP794" s="124"/>
      <c r="AQ794" s="124"/>
      <c r="AR794" s="124"/>
      <c r="AS794" s="124"/>
      <c r="AT794" s="124"/>
      <c r="AU794" s="124"/>
      <c r="AV794" s="124"/>
      <c r="AW794" s="124"/>
      <c r="AX794" s="124"/>
      <c r="AY794" s="124"/>
      <c r="AZ794" s="124"/>
      <c r="BA794" s="124"/>
      <c r="BB794" s="124"/>
      <c r="BC794" s="124"/>
    </row>
    <row r="795" spans="1:55" ht="15.75" customHeight="1" x14ac:dyDescent="0.2">
      <c r="A795" s="128"/>
      <c r="B795" s="122" t="s">
        <v>8</v>
      </c>
      <c r="C795" s="174">
        <v>750</v>
      </c>
      <c r="D795" s="130">
        <v>750</v>
      </c>
      <c r="E795" s="130">
        <v>750</v>
      </c>
      <c r="F795" s="175">
        <v>750</v>
      </c>
      <c r="G795" s="130">
        <v>750</v>
      </c>
      <c r="H795" s="130">
        <v>750</v>
      </c>
      <c r="I795" s="130">
        <v>750</v>
      </c>
      <c r="J795" s="175">
        <v>750</v>
      </c>
      <c r="K795" s="130">
        <v>750</v>
      </c>
      <c r="L795" s="130">
        <v>750</v>
      </c>
      <c r="M795" s="175">
        <v>750</v>
      </c>
      <c r="N795" s="130">
        <v>750</v>
      </c>
      <c r="O795" s="175">
        <v>750</v>
      </c>
      <c r="P795" s="130">
        <v>750</v>
      </c>
      <c r="Q795" s="175">
        <v>750</v>
      </c>
      <c r="R795" s="130">
        <v>750</v>
      </c>
      <c r="S795" s="130">
        <v>750</v>
      </c>
      <c r="T795" s="175">
        <v>750</v>
      </c>
      <c r="U795" s="130">
        <v>750</v>
      </c>
      <c r="V795" s="130">
        <v>750</v>
      </c>
      <c r="W795" s="130">
        <v>750</v>
      </c>
      <c r="X795" s="175">
        <v>750</v>
      </c>
      <c r="Y795" s="130">
        <v>750</v>
      </c>
      <c r="Z795" s="130">
        <v>750</v>
      </c>
      <c r="AA795" s="175">
        <v>750</v>
      </c>
      <c r="AB795" s="130">
        <v>750</v>
      </c>
      <c r="AC795" s="130">
        <v>750</v>
      </c>
      <c r="AD795" s="130">
        <v>750</v>
      </c>
      <c r="AE795" s="175">
        <v>750</v>
      </c>
      <c r="AF795" s="130">
        <v>750</v>
      </c>
      <c r="AG795" s="130">
        <v>750</v>
      </c>
      <c r="AH795" s="175">
        <v>750</v>
      </c>
      <c r="AI795" s="130">
        <v>750</v>
      </c>
      <c r="AJ795" s="130">
        <v>750</v>
      </c>
      <c r="AK795" s="174" t="s">
        <v>18</v>
      </c>
      <c r="AL795" s="130" t="s">
        <v>18</v>
      </c>
      <c r="AM795" s="130" t="s">
        <v>18</v>
      </c>
      <c r="AN795" s="130" t="s">
        <v>18</v>
      </c>
      <c r="AO795" s="130" t="s">
        <v>18</v>
      </c>
      <c r="AP795" s="130" t="s">
        <v>18</v>
      </c>
      <c r="AQ795" s="130" t="s">
        <v>18</v>
      </c>
      <c r="AR795" s="130" t="s">
        <v>18</v>
      </c>
      <c r="AS795" s="130" t="s">
        <v>18</v>
      </c>
      <c r="AT795" s="130" t="s">
        <v>18</v>
      </c>
      <c r="AU795" s="130" t="s">
        <v>18</v>
      </c>
      <c r="AV795" s="130" t="s">
        <v>18</v>
      </c>
      <c r="AW795" s="130" t="s">
        <v>18</v>
      </c>
      <c r="AX795" s="130" t="s">
        <v>18</v>
      </c>
      <c r="AY795" s="130" t="s">
        <v>18</v>
      </c>
      <c r="AZ795" s="130" t="s">
        <v>18</v>
      </c>
      <c r="BA795" s="130" t="s">
        <v>18</v>
      </c>
      <c r="BB795" s="130" t="s">
        <v>18</v>
      </c>
      <c r="BC795" s="130" t="s">
        <v>18</v>
      </c>
    </row>
    <row r="796" spans="1:55" ht="15.75" customHeight="1" x14ac:dyDescent="0.2">
      <c r="A796" s="127" t="s">
        <v>9</v>
      </c>
      <c r="B796" s="132" t="s">
        <v>10</v>
      </c>
      <c r="C796" s="177" t="s">
        <v>25</v>
      </c>
      <c r="D796" s="134" t="s">
        <v>25</v>
      </c>
      <c r="E796" s="134" t="s">
        <v>25</v>
      </c>
      <c r="F796" s="178" t="s">
        <v>25</v>
      </c>
      <c r="G796" s="134" t="s">
        <v>25</v>
      </c>
      <c r="H796" s="134" t="s">
        <v>25</v>
      </c>
      <c r="I796" s="134" t="s">
        <v>25</v>
      </c>
      <c r="J796" s="178" t="s">
        <v>25</v>
      </c>
      <c r="K796" s="134" t="s">
        <v>25</v>
      </c>
      <c r="L796" s="134" t="s">
        <v>25</v>
      </c>
      <c r="M796" s="178" t="s">
        <v>25</v>
      </c>
      <c r="N796" s="134" t="s">
        <v>25</v>
      </c>
      <c r="O796" s="178" t="s">
        <v>25</v>
      </c>
      <c r="P796" s="134" t="s">
        <v>25</v>
      </c>
      <c r="Q796" s="178" t="s">
        <v>25</v>
      </c>
      <c r="R796" s="134" t="s">
        <v>25</v>
      </c>
      <c r="S796" s="134" t="s">
        <v>25</v>
      </c>
      <c r="T796" s="178" t="s">
        <v>25</v>
      </c>
      <c r="U796" s="134" t="s">
        <v>25</v>
      </c>
      <c r="V796" s="134" t="s">
        <v>25</v>
      </c>
      <c r="W796" s="134" t="s">
        <v>25</v>
      </c>
      <c r="X796" s="178" t="s">
        <v>25</v>
      </c>
      <c r="Y796" s="134" t="s">
        <v>25</v>
      </c>
      <c r="Z796" s="134" t="s">
        <v>25</v>
      </c>
      <c r="AA796" s="178" t="s">
        <v>25</v>
      </c>
      <c r="AB796" s="134" t="s">
        <v>25</v>
      </c>
      <c r="AC796" s="134" t="s">
        <v>25</v>
      </c>
      <c r="AD796" s="134" t="s">
        <v>25</v>
      </c>
      <c r="AE796" s="178" t="s">
        <v>25</v>
      </c>
      <c r="AF796" s="134" t="s">
        <v>25</v>
      </c>
      <c r="AG796" s="134" t="s">
        <v>25</v>
      </c>
      <c r="AH796" s="178" t="s">
        <v>25</v>
      </c>
      <c r="AI796" s="134" t="s">
        <v>25</v>
      </c>
      <c r="AJ796" s="134" t="s">
        <v>25</v>
      </c>
      <c r="AK796" s="177" t="s">
        <v>18</v>
      </c>
      <c r="AL796" s="134" t="s">
        <v>18</v>
      </c>
      <c r="AM796" s="134" t="s">
        <v>18</v>
      </c>
      <c r="AN796" s="134" t="s">
        <v>18</v>
      </c>
      <c r="AO796" s="134" t="s">
        <v>18</v>
      </c>
      <c r="AP796" s="134" t="s">
        <v>18</v>
      </c>
      <c r="AQ796" s="134" t="s">
        <v>18</v>
      </c>
      <c r="AR796" s="134" t="s">
        <v>18</v>
      </c>
      <c r="AS796" s="134" t="s">
        <v>18</v>
      </c>
      <c r="AT796" s="134" t="s">
        <v>18</v>
      </c>
      <c r="AU796" s="134" t="s">
        <v>18</v>
      </c>
      <c r="AV796" s="134" t="s">
        <v>18</v>
      </c>
      <c r="AW796" s="134" t="s">
        <v>18</v>
      </c>
      <c r="AX796" s="134" t="s">
        <v>18</v>
      </c>
      <c r="AY796" s="134" t="s">
        <v>18</v>
      </c>
      <c r="AZ796" s="134" t="s">
        <v>18</v>
      </c>
      <c r="BA796" s="134" t="s">
        <v>18</v>
      </c>
      <c r="BB796" s="134" t="s">
        <v>18</v>
      </c>
      <c r="BC796" s="134" t="s">
        <v>18</v>
      </c>
    </row>
    <row r="797" spans="1:55" ht="15.75" customHeight="1" x14ac:dyDescent="0.2">
      <c r="A797" s="128">
        <v>150882.35294117648</v>
      </c>
      <c r="B797" s="122" t="s">
        <v>12</v>
      </c>
      <c r="C797" s="171"/>
      <c r="D797" s="124"/>
      <c r="E797" s="124"/>
      <c r="F797" s="172"/>
      <c r="G797" s="124"/>
      <c r="H797" s="124"/>
      <c r="I797" s="124"/>
      <c r="J797" s="172"/>
      <c r="K797" s="124"/>
      <c r="L797" s="124"/>
      <c r="M797" s="172"/>
      <c r="N797" s="124"/>
      <c r="O797" s="172"/>
      <c r="P797" s="124"/>
      <c r="Q797" s="172"/>
      <c r="R797" s="124"/>
      <c r="S797" s="124"/>
      <c r="T797" s="172"/>
      <c r="U797" s="124"/>
      <c r="V797" s="124"/>
      <c r="W797" s="124"/>
      <c r="X797" s="172"/>
      <c r="Y797" s="124"/>
      <c r="Z797" s="124"/>
      <c r="AA797" s="172"/>
      <c r="AB797" s="124"/>
      <c r="AC797" s="124"/>
      <c r="AD797" s="124"/>
      <c r="AE797" s="172"/>
      <c r="AF797" s="124"/>
      <c r="AG797" s="124"/>
      <c r="AH797" s="172"/>
      <c r="AI797" s="124"/>
      <c r="AJ797" s="124"/>
      <c r="AK797" s="171"/>
      <c r="AL797" s="124"/>
      <c r="AM797" s="124"/>
      <c r="AN797" s="124"/>
      <c r="AO797" s="124"/>
      <c r="AP797" s="124"/>
      <c r="AQ797" s="124"/>
      <c r="AR797" s="124"/>
      <c r="AS797" s="124"/>
      <c r="AT797" s="124"/>
      <c r="AU797" s="124"/>
      <c r="AV797" s="124"/>
      <c r="AW797" s="124"/>
      <c r="AX797" s="124"/>
      <c r="AY797" s="124"/>
      <c r="AZ797" s="124"/>
      <c r="BA797" s="124"/>
      <c r="BB797" s="124"/>
      <c r="BC797" s="124"/>
    </row>
    <row r="798" spans="1:55" ht="15.75" customHeight="1" x14ac:dyDescent="0.2">
      <c r="A798" s="128">
        <v>1710</v>
      </c>
      <c r="B798" s="136" t="s">
        <v>13</v>
      </c>
      <c r="C798" s="171">
        <v>0</v>
      </c>
      <c r="D798" s="137">
        <v>0</v>
      </c>
      <c r="E798" s="137">
        <v>324</v>
      </c>
      <c r="F798" s="172">
        <v>0</v>
      </c>
      <c r="G798" s="137">
        <v>0</v>
      </c>
      <c r="H798" s="137">
        <v>0</v>
      </c>
      <c r="I798" s="137">
        <v>148</v>
      </c>
      <c r="J798" s="172">
        <v>0</v>
      </c>
      <c r="K798" s="137">
        <v>0</v>
      </c>
      <c r="L798" s="137">
        <v>231</v>
      </c>
      <c r="M798" s="172">
        <v>0</v>
      </c>
      <c r="N798" s="137">
        <v>55</v>
      </c>
      <c r="O798" s="172">
        <v>0</v>
      </c>
      <c r="P798" s="137">
        <v>50</v>
      </c>
      <c r="Q798" s="172">
        <v>0</v>
      </c>
      <c r="R798" s="137">
        <v>0</v>
      </c>
      <c r="S798" s="137">
        <v>181</v>
      </c>
      <c r="T798" s="172">
        <v>0</v>
      </c>
      <c r="U798" s="137">
        <v>0</v>
      </c>
      <c r="V798" s="137">
        <v>0</v>
      </c>
      <c r="W798" s="137">
        <v>163</v>
      </c>
      <c r="X798" s="172">
        <v>0</v>
      </c>
      <c r="Y798" s="137">
        <v>0</v>
      </c>
      <c r="Z798" s="137">
        <v>236</v>
      </c>
      <c r="AA798" s="172">
        <v>0</v>
      </c>
      <c r="AB798" s="137">
        <v>0</v>
      </c>
      <c r="AC798" s="137">
        <v>0</v>
      </c>
      <c r="AD798" s="137">
        <v>90</v>
      </c>
      <c r="AE798" s="172">
        <v>0</v>
      </c>
      <c r="AF798" s="137">
        <v>0</v>
      </c>
      <c r="AG798" s="137">
        <v>132</v>
      </c>
      <c r="AH798" s="172">
        <v>0</v>
      </c>
      <c r="AI798" s="137">
        <v>0</v>
      </c>
      <c r="AJ798" s="137">
        <v>100</v>
      </c>
      <c r="AK798" s="171" t="s">
        <v>18</v>
      </c>
      <c r="AL798" s="137" t="s">
        <v>18</v>
      </c>
      <c r="AM798" s="137" t="s">
        <v>18</v>
      </c>
      <c r="AN798" s="137" t="s">
        <v>18</v>
      </c>
      <c r="AO798" s="137" t="s">
        <v>18</v>
      </c>
      <c r="AP798" s="137" t="s">
        <v>18</v>
      </c>
      <c r="AQ798" s="137" t="s">
        <v>18</v>
      </c>
      <c r="AR798" s="137" t="s">
        <v>18</v>
      </c>
      <c r="AS798" s="137" t="s">
        <v>18</v>
      </c>
      <c r="AT798" s="137" t="s">
        <v>18</v>
      </c>
      <c r="AU798" s="137" t="s">
        <v>18</v>
      </c>
      <c r="AV798" s="137" t="s">
        <v>18</v>
      </c>
      <c r="AW798" s="137" t="s">
        <v>18</v>
      </c>
      <c r="AX798" s="137" t="s">
        <v>18</v>
      </c>
      <c r="AY798" s="137" t="s">
        <v>18</v>
      </c>
      <c r="AZ798" s="137" t="s">
        <v>18</v>
      </c>
      <c r="BA798" s="137" t="s">
        <v>18</v>
      </c>
      <c r="BB798" s="137" t="s">
        <v>18</v>
      </c>
      <c r="BC798" s="137" t="s">
        <v>18</v>
      </c>
    </row>
    <row r="799" spans="1:55" ht="15.75" customHeight="1" x14ac:dyDescent="0.2">
      <c r="A799" s="128">
        <v>48</v>
      </c>
      <c r="B799" s="136" t="s">
        <v>14</v>
      </c>
      <c r="C799" s="171">
        <v>0</v>
      </c>
      <c r="D799" s="137">
        <v>0</v>
      </c>
      <c r="E799" s="137">
        <v>8</v>
      </c>
      <c r="F799" s="172">
        <v>0</v>
      </c>
      <c r="G799" s="137">
        <v>0</v>
      </c>
      <c r="H799" s="137">
        <v>0</v>
      </c>
      <c r="I799" s="137">
        <v>5</v>
      </c>
      <c r="J799" s="172">
        <v>0</v>
      </c>
      <c r="K799" s="137">
        <v>0</v>
      </c>
      <c r="L799" s="137">
        <v>5</v>
      </c>
      <c r="M799" s="172">
        <v>0</v>
      </c>
      <c r="N799" s="137">
        <v>1</v>
      </c>
      <c r="O799" s="172">
        <v>0</v>
      </c>
      <c r="P799" s="137">
        <v>1</v>
      </c>
      <c r="Q799" s="172">
        <v>0</v>
      </c>
      <c r="R799" s="137">
        <v>0</v>
      </c>
      <c r="S799" s="137">
        <v>7</v>
      </c>
      <c r="T799" s="172">
        <v>0</v>
      </c>
      <c r="U799" s="137">
        <v>0</v>
      </c>
      <c r="V799" s="137">
        <v>0</v>
      </c>
      <c r="W799" s="137">
        <v>6</v>
      </c>
      <c r="X799" s="172">
        <v>0</v>
      </c>
      <c r="Y799" s="137">
        <v>0</v>
      </c>
      <c r="Z799" s="137">
        <v>5</v>
      </c>
      <c r="AA799" s="172">
        <v>0</v>
      </c>
      <c r="AB799" s="137">
        <v>0</v>
      </c>
      <c r="AC799" s="137">
        <v>0</v>
      </c>
      <c r="AD799" s="137">
        <v>4</v>
      </c>
      <c r="AE799" s="172">
        <v>0</v>
      </c>
      <c r="AF799" s="137">
        <v>0</v>
      </c>
      <c r="AG799" s="137">
        <v>1</v>
      </c>
      <c r="AH799" s="172">
        <v>0</v>
      </c>
      <c r="AI799" s="137">
        <v>0</v>
      </c>
      <c r="AJ799" s="137">
        <v>5</v>
      </c>
      <c r="AK799" s="171" t="s">
        <v>18</v>
      </c>
      <c r="AL799" s="137" t="s">
        <v>18</v>
      </c>
      <c r="AM799" s="137" t="s">
        <v>18</v>
      </c>
      <c r="AN799" s="137" t="s">
        <v>18</v>
      </c>
      <c r="AO799" s="137" t="s">
        <v>18</v>
      </c>
      <c r="AP799" s="137" t="s">
        <v>18</v>
      </c>
      <c r="AQ799" s="137" t="s">
        <v>18</v>
      </c>
      <c r="AR799" s="137" t="s">
        <v>18</v>
      </c>
      <c r="AS799" s="137" t="s">
        <v>18</v>
      </c>
      <c r="AT799" s="137" t="s">
        <v>18</v>
      </c>
      <c r="AU799" s="137" t="s">
        <v>18</v>
      </c>
      <c r="AV799" s="137" t="s">
        <v>18</v>
      </c>
      <c r="AW799" s="137" t="s">
        <v>18</v>
      </c>
      <c r="AX799" s="137" t="s">
        <v>18</v>
      </c>
      <c r="AY799" s="137" t="s">
        <v>18</v>
      </c>
      <c r="AZ799" s="137" t="s">
        <v>18</v>
      </c>
      <c r="BA799" s="137" t="s">
        <v>18</v>
      </c>
      <c r="BB799" s="137" t="s">
        <v>18</v>
      </c>
      <c r="BC799" s="137" t="s">
        <v>18</v>
      </c>
    </row>
    <row r="800" spans="1:55" ht="15.75" customHeight="1" x14ac:dyDescent="0.2">
      <c r="A800" s="128">
        <v>41</v>
      </c>
      <c r="B800" s="136" t="s">
        <v>15</v>
      </c>
      <c r="C800" s="171">
        <v>0</v>
      </c>
      <c r="D800" s="137">
        <v>0</v>
      </c>
      <c r="E800" s="137">
        <v>8</v>
      </c>
      <c r="F800" s="172">
        <v>0</v>
      </c>
      <c r="G800" s="137">
        <v>0</v>
      </c>
      <c r="H800" s="137">
        <v>0</v>
      </c>
      <c r="I800" s="137">
        <v>5</v>
      </c>
      <c r="J800" s="172">
        <v>0</v>
      </c>
      <c r="K800" s="137">
        <v>0</v>
      </c>
      <c r="L800" s="137">
        <v>5</v>
      </c>
      <c r="M800" s="172">
        <v>0</v>
      </c>
      <c r="N800" s="137">
        <v>1</v>
      </c>
      <c r="O800" s="172">
        <v>0</v>
      </c>
      <c r="P800" s="137">
        <v>1</v>
      </c>
      <c r="Q800" s="172">
        <v>0</v>
      </c>
      <c r="R800" s="137">
        <v>0</v>
      </c>
      <c r="S800" s="137">
        <v>7</v>
      </c>
      <c r="T800" s="172">
        <v>0</v>
      </c>
      <c r="U800" s="137">
        <v>0</v>
      </c>
      <c r="V800" s="137">
        <v>0</v>
      </c>
      <c r="W800" s="137">
        <v>0</v>
      </c>
      <c r="X800" s="172">
        <v>0</v>
      </c>
      <c r="Y800" s="137">
        <v>0</v>
      </c>
      <c r="Z800" s="137">
        <v>5</v>
      </c>
      <c r="AA800" s="172">
        <v>0</v>
      </c>
      <c r="AB800" s="137">
        <v>0</v>
      </c>
      <c r="AC800" s="137">
        <v>0</v>
      </c>
      <c r="AD800" s="137">
        <v>3</v>
      </c>
      <c r="AE800" s="172">
        <v>0</v>
      </c>
      <c r="AF800" s="137">
        <v>0</v>
      </c>
      <c r="AG800" s="137">
        <v>1</v>
      </c>
      <c r="AH800" s="172">
        <v>0</v>
      </c>
      <c r="AI800" s="137">
        <v>0</v>
      </c>
      <c r="AJ800" s="137">
        <v>5</v>
      </c>
      <c r="AK800" s="171" t="s">
        <v>18</v>
      </c>
      <c r="AL800" s="137" t="s">
        <v>18</v>
      </c>
      <c r="AM800" s="137" t="s">
        <v>18</v>
      </c>
      <c r="AN800" s="137" t="s">
        <v>18</v>
      </c>
      <c r="AO800" s="137" t="s">
        <v>18</v>
      </c>
      <c r="AP800" s="137" t="s">
        <v>18</v>
      </c>
      <c r="AQ800" s="137" t="s">
        <v>18</v>
      </c>
      <c r="AR800" s="137" t="s">
        <v>18</v>
      </c>
      <c r="AS800" s="137" t="s">
        <v>18</v>
      </c>
      <c r="AT800" s="137" t="s">
        <v>18</v>
      </c>
      <c r="AU800" s="137" t="s">
        <v>18</v>
      </c>
      <c r="AV800" s="137" t="s">
        <v>18</v>
      </c>
      <c r="AW800" s="137" t="s">
        <v>18</v>
      </c>
      <c r="AX800" s="137" t="s">
        <v>18</v>
      </c>
      <c r="AY800" s="137" t="s">
        <v>18</v>
      </c>
      <c r="AZ800" s="137" t="s">
        <v>18</v>
      </c>
      <c r="BA800" s="137" t="s">
        <v>18</v>
      </c>
      <c r="BB800" s="137" t="s">
        <v>18</v>
      </c>
      <c r="BC800" s="137" t="s">
        <v>18</v>
      </c>
    </row>
    <row r="801" spans="1:55" ht="15.75" customHeight="1" x14ac:dyDescent="0.2">
      <c r="A801" s="128">
        <v>30750</v>
      </c>
      <c r="B801" s="136" t="s">
        <v>16</v>
      </c>
      <c r="C801" s="171">
        <v>0</v>
      </c>
      <c r="D801" s="137">
        <v>0</v>
      </c>
      <c r="E801" s="137">
        <v>6000</v>
      </c>
      <c r="F801" s="172">
        <v>0</v>
      </c>
      <c r="G801" s="137">
        <v>0</v>
      </c>
      <c r="H801" s="137">
        <v>0</v>
      </c>
      <c r="I801" s="137">
        <v>3750</v>
      </c>
      <c r="J801" s="172">
        <v>0</v>
      </c>
      <c r="K801" s="137">
        <v>0</v>
      </c>
      <c r="L801" s="137">
        <v>3750</v>
      </c>
      <c r="M801" s="172">
        <v>0</v>
      </c>
      <c r="N801" s="137">
        <v>750</v>
      </c>
      <c r="O801" s="172">
        <v>0</v>
      </c>
      <c r="P801" s="137">
        <v>750</v>
      </c>
      <c r="Q801" s="172">
        <v>0</v>
      </c>
      <c r="R801" s="137">
        <v>0</v>
      </c>
      <c r="S801" s="137">
        <v>5250</v>
      </c>
      <c r="T801" s="172">
        <v>0</v>
      </c>
      <c r="U801" s="137">
        <v>0</v>
      </c>
      <c r="V801" s="137">
        <v>0</v>
      </c>
      <c r="W801" s="137">
        <v>0</v>
      </c>
      <c r="X801" s="172">
        <v>0</v>
      </c>
      <c r="Y801" s="137">
        <v>0</v>
      </c>
      <c r="Z801" s="137">
        <v>3750</v>
      </c>
      <c r="AA801" s="172">
        <v>0</v>
      </c>
      <c r="AB801" s="137">
        <v>0</v>
      </c>
      <c r="AC801" s="137">
        <v>0</v>
      </c>
      <c r="AD801" s="137">
        <v>2250</v>
      </c>
      <c r="AE801" s="172">
        <v>0</v>
      </c>
      <c r="AF801" s="137">
        <v>0</v>
      </c>
      <c r="AG801" s="137">
        <v>750</v>
      </c>
      <c r="AH801" s="172">
        <v>0</v>
      </c>
      <c r="AI801" s="137">
        <v>0</v>
      </c>
      <c r="AJ801" s="137">
        <v>3750</v>
      </c>
      <c r="AK801" s="171" t="s">
        <v>18</v>
      </c>
      <c r="AL801" s="137" t="s">
        <v>18</v>
      </c>
      <c r="AM801" s="137" t="s">
        <v>18</v>
      </c>
      <c r="AN801" s="137" t="s">
        <v>18</v>
      </c>
      <c r="AO801" s="137" t="s">
        <v>18</v>
      </c>
      <c r="AP801" s="137" t="s">
        <v>18</v>
      </c>
      <c r="AQ801" s="137" t="s">
        <v>18</v>
      </c>
      <c r="AR801" s="137" t="s">
        <v>18</v>
      </c>
      <c r="AS801" s="137" t="s">
        <v>18</v>
      </c>
      <c r="AT801" s="137" t="s">
        <v>18</v>
      </c>
      <c r="AU801" s="137" t="s">
        <v>18</v>
      </c>
      <c r="AV801" s="137" t="s">
        <v>18</v>
      </c>
      <c r="AW801" s="137" t="s">
        <v>18</v>
      </c>
      <c r="AX801" s="137" t="s">
        <v>18</v>
      </c>
      <c r="AY801" s="137" t="s">
        <v>18</v>
      </c>
      <c r="AZ801" s="137" t="s">
        <v>18</v>
      </c>
      <c r="BA801" s="137" t="s">
        <v>18</v>
      </c>
      <c r="BB801" s="137" t="s">
        <v>18</v>
      </c>
      <c r="BC801" s="137" t="s">
        <v>18</v>
      </c>
    </row>
    <row r="802" spans="1:55" ht="15.75" customHeight="1" x14ac:dyDescent="0.2">
      <c r="A802" s="138">
        <v>0.17982456140350878</v>
      </c>
      <c r="B802" s="139" t="s">
        <v>17</v>
      </c>
      <c r="C802" s="180" t="s">
        <v>18</v>
      </c>
      <c r="D802" s="141" t="s">
        <v>18</v>
      </c>
      <c r="E802" s="141">
        <v>0.18518518518518517</v>
      </c>
      <c r="F802" s="181" t="s">
        <v>18</v>
      </c>
      <c r="G802" s="141" t="s">
        <v>18</v>
      </c>
      <c r="H802" s="141" t="s">
        <v>18</v>
      </c>
      <c r="I802" s="141">
        <v>0.2533783783783784</v>
      </c>
      <c r="J802" s="181" t="s">
        <v>18</v>
      </c>
      <c r="K802" s="141" t="s">
        <v>18</v>
      </c>
      <c r="L802" s="141">
        <v>0.16233766233766234</v>
      </c>
      <c r="M802" s="181" t="s">
        <v>18</v>
      </c>
      <c r="N802" s="141">
        <v>0.13636363636363635</v>
      </c>
      <c r="O802" s="181" t="s">
        <v>18</v>
      </c>
      <c r="P802" s="141">
        <v>0.15</v>
      </c>
      <c r="Q802" s="181" t="s">
        <v>18</v>
      </c>
      <c r="R802" s="141" t="s">
        <v>18</v>
      </c>
      <c r="S802" s="141">
        <v>0.29005524861878451</v>
      </c>
      <c r="T802" s="181" t="s">
        <v>18</v>
      </c>
      <c r="U802" s="141" t="s">
        <v>18</v>
      </c>
      <c r="V802" s="141" t="s">
        <v>18</v>
      </c>
      <c r="W802" s="141" t="s">
        <v>18</v>
      </c>
      <c r="X802" s="181" t="s">
        <v>18</v>
      </c>
      <c r="Y802" s="141" t="s">
        <v>18</v>
      </c>
      <c r="Z802" s="141">
        <v>0.15889830508474576</v>
      </c>
      <c r="AA802" s="181" t="s">
        <v>18</v>
      </c>
      <c r="AB802" s="141" t="s">
        <v>18</v>
      </c>
      <c r="AC802" s="141" t="s">
        <v>18</v>
      </c>
      <c r="AD802" s="141">
        <v>0.25</v>
      </c>
      <c r="AE802" s="181" t="s">
        <v>18</v>
      </c>
      <c r="AF802" s="141" t="s">
        <v>18</v>
      </c>
      <c r="AG802" s="141">
        <v>5.6818181818181816E-2</v>
      </c>
      <c r="AH802" s="181" t="s">
        <v>18</v>
      </c>
      <c r="AI802" s="141" t="s">
        <v>18</v>
      </c>
      <c r="AJ802" s="141">
        <v>0.375</v>
      </c>
      <c r="AK802" s="180" t="s">
        <v>18</v>
      </c>
      <c r="AL802" s="141" t="s">
        <v>18</v>
      </c>
      <c r="AM802" s="141" t="s">
        <v>18</v>
      </c>
      <c r="AN802" s="141" t="s">
        <v>18</v>
      </c>
      <c r="AO802" s="141" t="s">
        <v>18</v>
      </c>
      <c r="AP802" s="141" t="s">
        <v>18</v>
      </c>
      <c r="AQ802" s="141" t="s">
        <v>18</v>
      </c>
      <c r="AR802" s="141" t="s">
        <v>18</v>
      </c>
      <c r="AS802" s="141" t="s">
        <v>18</v>
      </c>
      <c r="AT802" s="141" t="s">
        <v>18</v>
      </c>
      <c r="AU802" s="141" t="s">
        <v>18</v>
      </c>
      <c r="AV802" s="141" t="s">
        <v>18</v>
      </c>
      <c r="AW802" s="141" t="s">
        <v>18</v>
      </c>
      <c r="AX802" s="141" t="s">
        <v>18</v>
      </c>
      <c r="AY802" s="141" t="s">
        <v>18</v>
      </c>
      <c r="AZ802" s="141" t="s">
        <v>18</v>
      </c>
      <c r="BA802" s="141" t="s">
        <v>18</v>
      </c>
      <c r="BB802" s="141" t="s">
        <v>18</v>
      </c>
      <c r="BC802" s="141" t="s">
        <v>18</v>
      </c>
    </row>
    <row r="803" spans="1:55" ht="15.75" customHeight="1" x14ac:dyDescent="0.2">
      <c r="A803" s="116" t="s">
        <v>1</v>
      </c>
      <c r="B803" s="117" t="s">
        <v>2</v>
      </c>
      <c r="C803" s="168">
        <v>12169</v>
      </c>
      <c r="D803" s="119">
        <v>12169</v>
      </c>
      <c r="E803" s="119">
        <v>12297</v>
      </c>
      <c r="F803" s="169">
        <v>12297</v>
      </c>
      <c r="G803" s="119">
        <v>12297</v>
      </c>
      <c r="H803" s="119">
        <v>12297</v>
      </c>
      <c r="I803" s="119">
        <v>12346</v>
      </c>
      <c r="J803" s="169">
        <v>12346</v>
      </c>
      <c r="K803" s="119">
        <v>12346</v>
      </c>
      <c r="L803" s="119">
        <v>12487</v>
      </c>
      <c r="M803" s="169">
        <v>12487</v>
      </c>
      <c r="N803" s="119">
        <v>12519</v>
      </c>
      <c r="O803" s="169">
        <v>12519</v>
      </c>
      <c r="P803" s="119">
        <v>12550</v>
      </c>
      <c r="Q803" s="169">
        <v>12550</v>
      </c>
      <c r="R803" s="119">
        <v>12550</v>
      </c>
      <c r="S803" s="119">
        <v>12610</v>
      </c>
      <c r="T803" s="169">
        <v>12610</v>
      </c>
      <c r="U803" s="119">
        <v>12610</v>
      </c>
      <c r="V803" s="119">
        <v>12610</v>
      </c>
      <c r="W803" s="119">
        <v>12692</v>
      </c>
      <c r="X803" s="169">
        <v>12692</v>
      </c>
      <c r="Y803" s="119">
        <v>12692</v>
      </c>
      <c r="Z803" s="119">
        <v>12752</v>
      </c>
      <c r="AA803" s="169">
        <v>12752</v>
      </c>
      <c r="AB803" s="119">
        <v>12752</v>
      </c>
      <c r="AC803" s="119">
        <v>12752</v>
      </c>
      <c r="AD803" s="119">
        <v>12818</v>
      </c>
      <c r="AE803" s="169">
        <v>12818</v>
      </c>
      <c r="AF803" s="119">
        <v>12818</v>
      </c>
      <c r="AG803" s="119">
        <v>12859</v>
      </c>
      <c r="AH803" s="169">
        <v>12859</v>
      </c>
      <c r="AI803" s="119">
        <v>12859</v>
      </c>
      <c r="AJ803" s="119">
        <v>12956</v>
      </c>
      <c r="AK803" s="168" t="s">
        <v>18</v>
      </c>
      <c r="AL803" s="119" t="s">
        <v>18</v>
      </c>
      <c r="AM803" s="119" t="s">
        <v>18</v>
      </c>
      <c r="AN803" s="119" t="s">
        <v>18</v>
      </c>
      <c r="AO803" s="119" t="s">
        <v>18</v>
      </c>
      <c r="AP803" s="119" t="s">
        <v>18</v>
      </c>
      <c r="AQ803" s="119" t="s">
        <v>18</v>
      </c>
      <c r="AR803" s="119" t="s">
        <v>18</v>
      </c>
      <c r="AS803" s="119" t="s">
        <v>18</v>
      </c>
      <c r="AT803" s="119" t="s">
        <v>18</v>
      </c>
      <c r="AU803" s="119" t="s">
        <v>18</v>
      </c>
      <c r="AV803" s="119" t="s">
        <v>18</v>
      </c>
      <c r="AW803" s="119" t="s">
        <v>18</v>
      </c>
      <c r="AX803" s="119" t="s">
        <v>18</v>
      </c>
      <c r="AY803" s="119" t="s">
        <v>18</v>
      </c>
      <c r="AZ803" s="119" t="s">
        <v>18</v>
      </c>
      <c r="BA803" s="119" t="s">
        <v>18</v>
      </c>
      <c r="BB803" s="119" t="s">
        <v>18</v>
      </c>
      <c r="BC803" s="119" t="s">
        <v>18</v>
      </c>
    </row>
    <row r="804" spans="1:55" ht="15.75" customHeight="1" x14ac:dyDescent="0.2">
      <c r="A804" s="121" t="s">
        <v>47</v>
      </c>
      <c r="B804" s="122" t="s">
        <v>4</v>
      </c>
      <c r="C804" s="171">
        <v>354</v>
      </c>
      <c r="D804" s="124">
        <v>354</v>
      </c>
      <c r="E804" s="124">
        <v>362</v>
      </c>
      <c r="F804" s="172">
        <v>362</v>
      </c>
      <c r="G804" s="124">
        <v>362</v>
      </c>
      <c r="H804" s="124">
        <v>362</v>
      </c>
      <c r="I804" s="124">
        <v>365</v>
      </c>
      <c r="J804" s="172">
        <v>365</v>
      </c>
      <c r="K804" s="124">
        <v>365</v>
      </c>
      <c r="L804" s="124">
        <v>369</v>
      </c>
      <c r="M804" s="172">
        <v>369</v>
      </c>
      <c r="N804" s="124">
        <v>371</v>
      </c>
      <c r="O804" s="172">
        <v>371</v>
      </c>
      <c r="P804" s="124">
        <v>373</v>
      </c>
      <c r="Q804" s="172">
        <v>373</v>
      </c>
      <c r="R804" s="124">
        <v>373</v>
      </c>
      <c r="S804" s="124">
        <v>381</v>
      </c>
      <c r="T804" s="172">
        <v>381</v>
      </c>
      <c r="U804" s="124">
        <v>381</v>
      </c>
      <c r="V804" s="124">
        <v>381</v>
      </c>
      <c r="W804" s="124">
        <v>396</v>
      </c>
      <c r="X804" s="172">
        <v>396</v>
      </c>
      <c r="Y804" s="124">
        <v>396</v>
      </c>
      <c r="Z804" s="124">
        <v>402</v>
      </c>
      <c r="AA804" s="172">
        <v>402</v>
      </c>
      <c r="AB804" s="124">
        <v>402</v>
      </c>
      <c r="AC804" s="124">
        <v>402</v>
      </c>
      <c r="AD804" s="124">
        <v>409</v>
      </c>
      <c r="AE804" s="172">
        <v>409</v>
      </c>
      <c r="AF804" s="124">
        <v>409</v>
      </c>
      <c r="AG804" s="124">
        <v>412</v>
      </c>
      <c r="AH804" s="172">
        <v>412</v>
      </c>
      <c r="AI804" s="124">
        <v>412</v>
      </c>
      <c r="AJ804" s="124">
        <v>415</v>
      </c>
      <c r="AK804" s="171" t="s">
        <v>18</v>
      </c>
      <c r="AL804" s="124" t="s">
        <v>18</v>
      </c>
      <c r="AM804" s="124" t="s">
        <v>18</v>
      </c>
      <c r="AN804" s="124" t="s">
        <v>18</v>
      </c>
      <c r="AO804" s="124" t="s">
        <v>18</v>
      </c>
      <c r="AP804" s="124" t="s">
        <v>18</v>
      </c>
      <c r="AQ804" s="124" t="s">
        <v>18</v>
      </c>
      <c r="AR804" s="124" t="s">
        <v>18</v>
      </c>
      <c r="AS804" s="124" t="s">
        <v>18</v>
      </c>
      <c r="AT804" s="124" t="s">
        <v>18</v>
      </c>
      <c r="AU804" s="124" t="s">
        <v>18</v>
      </c>
      <c r="AV804" s="124" t="s">
        <v>18</v>
      </c>
      <c r="AW804" s="124" t="s">
        <v>18</v>
      </c>
      <c r="AX804" s="124" t="s">
        <v>18</v>
      </c>
      <c r="AY804" s="124" t="s">
        <v>18</v>
      </c>
      <c r="AZ804" s="124" t="s">
        <v>18</v>
      </c>
      <c r="BA804" s="124" t="s">
        <v>18</v>
      </c>
      <c r="BB804" s="124" t="s">
        <v>18</v>
      </c>
      <c r="BC804" s="124" t="s">
        <v>18</v>
      </c>
    </row>
    <row r="805" spans="1:55" ht="15.75" customHeight="1" x14ac:dyDescent="0.25">
      <c r="A805" s="126"/>
      <c r="B805" s="122" t="s">
        <v>5</v>
      </c>
      <c r="C805" s="171">
        <v>36</v>
      </c>
      <c r="D805" s="124">
        <v>36</v>
      </c>
      <c r="E805" s="124">
        <v>32</v>
      </c>
      <c r="F805" s="172">
        <v>32</v>
      </c>
      <c r="G805" s="124">
        <v>32</v>
      </c>
      <c r="H805" s="124">
        <v>32</v>
      </c>
      <c r="I805" s="124">
        <v>31</v>
      </c>
      <c r="J805" s="172">
        <v>31</v>
      </c>
      <c r="K805" s="124">
        <v>31</v>
      </c>
      <c r="L805" s="124">
        <v>27</v>
      </c>
      <c r="M805" s="172">
        <v>27</v>
      </c>
      <c r="N805" s="124">
        <v>25</v>
      </c>
      <c r="O805" s="172">
        <v>25</v>
      </c>
      <c r="P805" s="124">
        <v>25</v>
      </c>
      <c r="Q805" s="172">
        <v>25</v>
      </c>
      <c r="R805" s="124">
        <v>25</v>
      </c>
      <c r="S805" s="124">
        <v>25</v>
      </c>
      <c r="T805" s="172">
        <v>45</v>
      </c>
      <c r="U805" s="124">
        <v>45</v>
      </c>
      <c r="V805" s="124">
        <v>45</v>
      </c>
      <c r="W805" s="124">
        <v>40</v>
      </c>
      <c r="X805" s="172">
        <v>40</v>
      </c>
      <c r="Y805" s="124">
        <v>40</v>
      </c>
      <c r="Z805" s="124">
        <v>34</v>
      </c>
      <c r="AA805" s="172">
        <v>52</v>
      </c>
      <c r="AB805" s="124">
        <v>52</v>
      </c>
      <c r="AC805" s="124">
        <v>52</v>
      </c>
      <c r="AD805" s="124">
        <v>45</v>
      </c>
      <c r="AE805" s="172">
        <v>45</v>
      </c>
      <c r="AF805" s="124">
        <v>45</v>
      </c>
      <c r="AG805" s="124">
        <v>42</v>
      </c>
      <c r="AH805" s="172">
        <v>42</v>
      </c>
      <c r="AI805" s="124">
        <v>42</v>
      </c>
      <c r="AJ805" s="124">
        <v>39</v>
      </c>
      <c r="AK805" s="171" t="s">
        <v>18</v>
      </c>
      <c r="AL805" s="124" t="s">
        <v>18</v>
      </c>
      <c r="AM805" s="124" t="s">
        <v>18</v>
      </c>
      <c r="AN805" s="124" t="s">
        <v>18</v>
      </c>
      <c r="AO805" s="124" t="s">
        <v>18</v>
      </c>
      <c r="AP805" s="124" t="s">
        <v>18</v>
      </c>
      <c r="AQ805" s="124" t="s">
        <v>18</v>
      </c>
      <c r="AR805" s="124" t="s">
        <v>18</v>
      </c>
      <c r="AS805" s="124" t="s">
        <v>18</v>
      </c>
      <c r="AT805" s="124" t="s">
        <v>18</v>
      </c>
      <c r="AU805" s="124" t="s">
        <v>18</v>
      </c>
      <c r="AV805" s="124" t="s">
        <v>18</v>
      </c>
      <c r="AW805" s="124" t="s">
        <v>18</v>
      </c>
      <c r="AX805" s="124" t="s">
        <v>18</v>
      </c>
      <c r="AY805" s="124" t="s">
        <v>18</v>
      </c>
      <c r="AZ805" s="124" t="s">
        <v>18</v>
      </c>
      <c r="BA805" s="124" t="s">
        <v>18</v>
      </c>
      <c r="BB805" s="124" t="s">
        <v>18</v>
      </c>
      <c r="BC805" s="124" t="s">
        <v>18</v>
      </c>
    </row>
    <row r="806" spans="1:55" ht="15.75" customHeight="1" x14ac:dyDescent="0.2">
      <c r="A806" s="127"/>
      <c r="B806" s="122" t="s">
        <v>6</v>
      </c>
      <c r="C806" s="171"/>
      <c r="D806" s="124"/>
      <c r="E806" s="124"/>
      <c r="F806" s="172"/>
      <c r="G806" s="124"/>
      <c r="H806" s="124"/>
      <c r="I806" s="124"/>
      <c r="J806" s="172"/>
      <c r="K806" s="124"/>
      <c r="L806" s="124"/>
      <c r="M806" s="172"/>
      <c r="N806" s="124"/>
      <c r="O806" s="172"/>
      <c r="P806" s="124"/>
      <c r="Q806" s="172"/>
      <c r="R806" s="124"/>
      <c r="S806" s="124">
        <v>20</v>
      </c>
      <c r="T806" s="172"/>
      <c r="U806" s="124"/>
      <c r="V806" s="124"/>
      <c r="W806" s="124"/>
      <c r="X806" s="172"/>
      <c r="Y806" s="124"/>
      <c r="Z806" s="124">
        <v>18</v>
      </c>
      <c r="AA806" s="172"/>
      <c r="AB806" s="124"/>
      <c r="AC806" s="124"/>
      <c r="AD806" s="124"/>
      <c r="AE806" s="172"/>
      <c r="AF806" s="124"/>
      <c r="AG806" s="124"/>
      <c r="AH806" s="172"/>
      <c r="AI806" s="124"/>
      <c r="AJ806" s="124">
        <v>7</v>
      </c>
      <c r="AK806" s="171"/>
      <c r="AL806" s="124"/>
      <c r="AM806" s="124"/>
      <c r="AN806" s="124"/>
      <c r="AO806" s="124"/>
      <c r="AP806" s="124"/>
      <c r="AQ806" s="124"/>
      <c r="AR806" s="124"/>
      <c r="AS806" s="124"/>
      <c r="AT806" s="124"/>
      <c r="AU806" s="124"/>
      <c r="AV806" s="124"/>
      <c r="AW806" s="124"/>
      <c r="AX806" s="124"/>
      <c r="AY806" s="124"/>
      <c r="AZ806" s="124"/>
      <c r="BA806" s="124"/>
      <c r="BB806" s="124"/>
      <c r="BC806" s="124"/>
    </row>
    <row r="807" spans="1:55" ht="15.75" customHeight="1" x14ac:dyDescent="0.2">
      <c r="A807" s="128"/>
      <c r="B807" s="122" t="s">
        <v>8</v>
      </c>
      <c r="C807" s="174">
        <v>1100</v>
      </c>
      <c r="D807" s="130">
        <v>1100</v>
      </c>
      <c r="E807" s="130">
        <v>1100</v>
      </c>
      <c r="F807" s="175">
        <v>1100</v>
      </c>
      <c r="G807" s="130">
        <v>1100</v>
      </c>
      <c r="H807" s="130">
        <v>1100</v>
      </c>
      <c r="I807" s="130">
        <v>1100</v>
      </c>
      <c r="J807" s="175">
        <v>1100</v>
      </c>
      <c r="K807" s="130">
        <v>1100</v>
      </c>
      <c r="L807" s="130">
        <v>1100</v>
      </c>
      <c r="M807" s="175">
        <v>1100</v>
      </c>
      <c r="N807" s="130">
        <v>1100</v>
      </c>
      <c r="O807" s="175">
        <v>1100</v>
      </c>
      <c r="P807" s="130">
        <v>700</v>
      </c>
      <c r="Q807" s="175">
        <v>700</v>
      </c>
      <c r="R807" s="130">
        <v>700</v>
      </c>
      <c r="S807" s="130">
        <v>700</v>
      </c>
      <c r="T807" s="175">
        <v>700</v>
      </c>
      <c r="U807" s="130">
        <v>700</v>
      </c>
      <c r="V807" s="130">
        <v>700</v>
      </c>
      <c r="W807" s="130">
        <v>700</v>
      </c>
      <c r="X807" s="175">
        <v>700</v>
      </c>
      <c r="Y807" s="130">
        <v>700</v>
      </c>
      <c r="Z807" s="130">
        <v>700</v>
      </c>
      <c r="AA807" s="175">
        <v>700</v>
      </c>
      <c r="AB807" s="130">
        <v>700</v>
      </c>
      <c r="AC807" s="130">
        <v>700</v>
      </c>
      <c r="AD807" s="130">
        <v>700</v>
      </c>
      <c r="AE807" s="175">
        <v>700</v>
      </c>
      <c r="AF807" s="130">
        <v>700</v>
      </c>
      <c r="AG807" s="130">
        <v>700</v>
      </c>
      <c r="AH807" s="175">
        <v>700</v>
      </c>
      <c r="AI807" s="130">
        <v>700</v>
      </c>
      <c r="AJ807" s="130">
        <v>700</v>
      </c>
      <c r="AK807" s="174" t="s">
        <v>18</v>
      </c>
      <c r="AL807" s="130" t="s">
        <v>18</v>
      </c>
      <c r="AM807" s="130" t="s">
        <v>18</v>
      </c>
      <c r="AN807" s="130" t="s">
        <v>18</v>
      </c>
      <c r="AO807" s="130" t="s">
        <v>18</v>
      </c>
      <c r="AP807" s="130" t="s">
        <v>18</v>
      </c>
      <c r="AQ807" s="130" t="s">
        <v>18</v>
      </c>
      <c r="AR807" s="130" t="s">
        <v>18</v>
      </c>
      <c r="AS807" s="130" t="s">
        <v>18</v>
      </c>
      <c r="AT807" s="130" t="s">
        <v>18</v>
      </c>
      <c r="AU807" s="130" t="s">
        <v>18</v>
      </c>
      <c r="AV807" s="130" t="s">
        <v>18</v>
      </c>
      <c r="AW807" s="130" t="s">
        <v>18</v>
      </c>
      <c r="AX807" s="130" t="s">
        <v>18</v>
      </c>
      <c r="AY807" s="130" t="s">
        <v>18</v>
      </c>
      <c r="AZ807" s="130" t="s">
        <v>18</v>
      </c>
      <c r="BA807" s="130" t="s">
        <v>18</v>
      </c>
      <c r="BB807" s="130" t="s">
        <v>18</v>
      </c>
      <c r="BC807" s="130" t="s">
        <v>18</v>
      </c>
    </row>
    <row r="808" spans="1:55" ht="15.75" customHeight="1" x14ac:dyDescent="0.2">
      <c r="A808" s="127" t="s">
        <v>9</v>
      </c>
      <c r="B808" s="132" t="s">
        <v>10</v>
      </c>
      <c r="C808" s="177" t="s">
        <v>110</v>
      </c>
      <c r="D808" s="134" t="s">
        <v>110</v>
      </c>
      <c r="E808" s="134" t="s">
        <v>110</v>
      </c>
      <c r="F808" s="178" t="s">
        <v>110</v>
      </c>
      <c r="G808" s="134" t="s">
        <v>110</v>
      </c>
      <c r="H808" s="134" t="s">
        <v>110</v>
      </c>
      <c r="I808" s="134" t="s">
        <v>110</v>
      </c>
      <c r="J808" s="178" t="s">
        <v>110</v>
      </c>
      <c r="K808" s="134" t="s">
        <v>110</v>
      </c>
      <c r="L808" s="134" t="s">
        <v>110</v>
      </c>
      <c r="M808" s="178" t="s">
        <v>110</v>
      </c>
      <c r="N808" s="134" t="s">
        <v>110</v>
      </c>
      <c r="O808" s="178" t="s">
        <v>110</v>
      </c>
      <c r="P808" s="134" t="s">
        <v>48</v>
      </c>
      <c r="Q808" s="178" t="s">
        <v>48</v>
      </c>
      <c r="R808" s="134" t="s">
        <v>48</v>
      </c>
      <c r="S808" s="134" t="s">
        <v>48</v>
      </c>
      <c r="T808" s="178" t="s">
        <v>48</v>
      </c>
      <c r="U808" s="134" t="s">
        <v>48</v>
      </c>
      <c r="V808" s="134" t="s">
        <v>48</v>
      </c>
      <c r="W808" s="134" t="s">
        <v>48</v>
      </c>
      <c r="X808" s="178" t="s">
        <v>48</v>
      </c>
      <c r="Y808" s="134" t="s">
        <v>48</v>
      </c>
      <c r="Z808" s="134" t="s">
        <v>48</v>
      </c>
      <c r="AA808" s="178" t="s">
        <v>48</v>
      </c>
      <c r="AB808" s="134" t="s">
        <v>48</v>
      </c>
      <c r="AC808" s="134" t="s">
        <v>48</v>
      </c>
      <c r="AD808" s="134" t="s">
        <v>48</v>
      </c>
      <c r="AE808" s="178" t="s">
        <v>48</v>
      </c>
      <c r="AF808" s="134" t="s">
        <v>48</v>
      </c>
      <c r="AG808" s="134" t="s">
        <v>48</v>
      </c>
      <c r="AH808" s="178" t="s">
        <v>48</v>
      </c>
      <c r="AI808" s="134" t="s">
        <v>48</v>
      </c>
      <c r="AJ808" s="134" t="s">
        <v>48</v>
      </c>
      <c r="AK808" s="177" t="s">
        <v>18</v>
      </c>
      <c r="AL808" s="134" t="s">
        <v>18</v>
      </c>
      <c r="AM808" s="134" t="s">
        <v>18</v>
      </c>
      <c r="AN808" s="134" t="s">
        <v>18</v>
      </c>
      <c r="AO808" s="134" t="s">
        <v>18</v>
      </c>
      <c r="AP808" s="134" t="s">
        <v>18</v>
      </c>
      <c r="AQ808" s="134" t="s">
        <v>18</v>
      </c>
      <c r="AR808" s="134" t="s">
        <v>18</v>
      </c>
      <c r="AS808" s="134" t="s">
        <v>18</v>
      </c>
      <c r="AT808" s="134" t="s">
        <v>18</v>
      </c>
      <c r="AU808" s="134" t="s">
        <v>18</v>
      </c>
      <c r="AV808" s="134" t="s">
        <v>18</v>
      </c>
      <c r="AW808" s="134" t="s">
        <v>18</v>
      </c>
      <c r="AX808" s="134" t="s">
        <v>18</v>
      </c>
      <c r="AY808" s="134" t="s">
        <v>18</v>
      </c>
      <c r="AZ808" s="134" t="s">
        <v>18</v>
      </c>
      <c r="BA808" s="134" t="s">
        <v>18</v>
      </c>
      <c r="BB808" s="134" t="s">
        <v>18</v>
      </c>
      <c r="BC808" s="134" t="s">
        <v>18</v>
      </c>
    </row>
    <row r="809" spans="1:55" ht="15.75" customHeight="1" x14ac:dyDescent="0.2">
      <c r="A809" s="128">
        <v>69441.176470588238</v>
      </c>
      <c r="B809" s="122" t="s">
        <v>12</v>
      </c>
      <c r="C809" s="171"/>
      <c r="D809" s="124"/>
      <c r="E809" s="124"/>
      <c r="F809" s="172"/>
      <c r="G809" s="124"/>
      <c r="H809" s="124"/>
      <c r="I809" s="124"/>
      <c r="J809" s="172"/>
      <c r="K809" s="124"/>
      <c r="L809" s="124"/>
      <c r="M809" s="172"/>
      <c r="N809" s="124"/>
      <c r="O809" s="172"/>
      <c r="P809" s="124"/>
      <c r="Q809" s="172"/>
      <c r="R809" s="124"/>
      <c r="S809" s="124"/>
      <c r="T809" s="172"/>
      <c r="U809" s="124"/>
      <c r="V809" s="124"/>
      <c r="W809" s="124"/>
      <c r="X809" s="172"/>
      <c r="Y809" s="124"/>
      <c r="Z809" s="124"/>
      <c r="AA809" s="172"/>
      <c r="AB809" s="124"/>
      <c r="AC809" s="124"/>
      <c r="AD809" s="124"/>
      <c r="AE809" s="172"/>
      <c r="AF809" s="124"/>
      <c r="AG809" s="124"/>
      <c r="AH809" s="172"/>
      <c r="AI809" s="124"/>
      <c r="AJ809" s="124"/>
      <c r="AK809" s="171"/>
      <c r="AL809" s="124"/>
      <c r="AM809" s="124"/>
      <c r="AN809" s="124"/>
      <c r="AO809" s="124"/>
      <c r="AP809" s="124"/>
      <c r="AQ809" s="124"/>
      <c r="AR809" s="124"/>
      <c r="AS809" s="124"/>
      <c r="AT809" s="124"/>
      <c r="AU809" s="124"/>
      <c r="AV809" s="124"/>
      <c r="AW809" s="124"/>
      <c r="AX809" s="124"/>
      <c r="AY809" s="124"/>
      <c r="AZ809" s="124"/>
      <c r="BA809" s="124"/>
      <c r="BB809" s="124"/>
      <c r="BC809" s="124"/>
    </row>
    <row r="810" spans="1:55" ht="15.75" customHeight="1" x14ac:dyDescent="0.2">
      <c r="A810" s="128">
        <v>787</v>
      </c>
      <c r="B810" s="136" t="s">
        <v>13</v>
      </c>
      <c r="C810" s="171">
        <v>0</v>
      </c>
      <c r="D810" s="137">
        <v>0</v>
      </c>
      <c r="E810" s="137">
        <v>128</v>
      </c>
      <c r="F810" s="172">
        <v>0</v>
      </c>
      <c r="G810" s="137">
        <v>0</v>
      </c>
      <c r="H810" s="137">
        <v>0</v>
      </c>
      <c r="I810" s="137">
        <v>49</v>
      </c>
      <c r="J810" s="172">
        <v>0</v>
      </c>
      <c r="K810" s="137">
        <v>0</v>
      </c>
      <c r="L810" s="137">
        <v>141</v>
      </c>
      <c r="M810" s="172">
        <v>0</v>
      </c>
      <c r="N810" s="137">
        <v>32</v>
      </c>
      <c r="O810" s="172">
        <v>0</v>
      </c>
      <c r="P810" s="137">
        <v>31</v>
      </c>
      <c r="Q810" s="172">
        <v>0</v>
      </c>
      <c r="R810" s="137">
        <v>0</v>
      </c>
      <c r="S810" s="137">
        <v>60</v>
      </c>
      <c r="T810" s="172">
        <v>0</v>
      </c>
      <c r="U810" s="137">
        <v>0</v>
      </c>
      <c r="V810" s="137">
        <v>0</v>
      </c>
      <c r="W810" s="137">
        <v>82</v>
      </c>
      <c r="X810" s="172">
        <v>0</v>
      </c>
      <c r="Y810" s="137">
        <v>0</v>
      </c>
      <c r="Z810" s="137">
        <v>60</v>
      </c>
      <c r="AA810" s="172">
        <v>0</v>
      </c>
      <c r="AB810" s="137">
        <v>0</v>
      </c>
      <c r="AC810" s="137">
        <v>0</v>
      </c>
      <c r="AD810" s="137">
        <v>66</v>
      </c>
      <c r="AE810" s="172">
        <v>0</v>
      </c>
      <c r="AF810" s="137">
        <v>0</v>
      </c>
      <c r="AG810" s="137">
        <v>41</v>
      </c>
      <c r="AH810" s="172">
        <v>0</v>
      </c>
      <c r="AI810" s="137">
        <v>0</v>
      </c>
      <c r="AJ810" s="137">
        <v>97</v>
      </c>
      <c r="AK810" s="171" t="s">
        <v>18</v>
      </c>
      <c r="AL810" s="137" t="s">
        <v>18</v>
      </c>
      <c r="AM810" s="137" t="s">
        <v>18</v>
      </c>
      <c r="AN810" s="137" t="s">
        <v>18</v>
      </c>
      <c r="AO810" s="137" t="s">
        <v>18</v>
      </c>
      <c r="AP810" s="137" t="s">
        <v>18</v>
      </c>
      <c r="AQ810" s="137" t="s">
        <v>18</v>
      </c>
      <c r="AR810" s="137" t="s">
        <v>18</v>
      </c>
      <c r="AS810" s="137" t="s">
        <v>18</v>
      </c>
      <c r="AT810" s="137" t="s">
        <v>18</v>
      </c>
      <c r="AU810" s="137" t="s">
        <v>18</v>
      </c>
      <c r="AV810" s="137" t="s">
        <v>18</v>
      </c>
      <c r="AW810" s="137" t="s">
        <v>18</v>
      </c>
      <c r="AX810" s="137" t="s">
        <v>18</v>
      </c>
      <c r="AY810" s="137" t="s">
        <v>18</v>
      </c>
      <c r="AZ810" s="137" t="s">
        <v>18</v>
      </c>
      <c r="BA810" s="137" t="s">
        <v>18</v>
      </c>
      <c r="BB810" s="137" t="s">
        <v>18</v>
      </c>
      <c r="BC810" s="137" t="s">
        <v>18</v>
      </c>
    </row>
    <row r="811" spans="1:55" ht="15.75" customHeight="1" x14ac:dyDescent="0.2">
      <c r="A811" s="128">
        <v>61</v>
      </c>
      <c r="B811" s="136" t="s">
        <v>14</v>
      </c>
      <c r="C811" s="171">
        <v>0</v>
      </c>
      <c r="D811" s="137">
        <v>0</v>
      </c>
      <c r="E811" s="137">
        <v>8</v>
      </c>
      <c r="F811" s="172">
        <v>0</v>
      </c>
      <c r="G811" s="137">
        <v>0</v>
      </c>
      <c r="H811" s="137">
        <v>0</v>
      </c>
      <c r="I811" s="137">
        <v>3</v>
      </c>
      <c r="J811" s="172">
        <v>0</v>
      </c>
      <c r="K811" s="137">
        <v>0</v>
      </c>
      <c r="L811" s="137">
        <v>4</v>
      </c>
      <c r="M811" s="172">
        <v>0</v>
      </c>
      <c r="N811" s="137">
        <v>2</v>
      </c>
      <c r="O811" s="172">
        <v>0</v>
      </c>
      <c r="P811" s="137">
        <v>2</v>
      </c>
      <c r="Q811" s="172">
        <v>0</v>
      </c>
      <c r="R811" s="137">
        <v>0</v>
      </c>
      <c r="S811" s="137">
        <v>8</v>
      </c>
      <c r="T811" s="172">
        <v>0</v>
      </c>
      <c r="U811" s="137">
        <v>0</v>
      </c>
      <c r="V811" s="137">
        <v>0</v>
      </c>
      <c r="W811" s="137">
        <v>15</v>
      </c>
      <c r="X811" s="172">
        <v>0</v>
      </c>
      <c r="Y811" s="137">
        <v>0</v>
      </c>
      <c r="Z811" s="137">
        <v>6</v>
      </c>
      <c r="AA811" s="172">
        <v>0</v>
      </c>
      <c r="AB811" s="137">
        <v>0</v>
      </c>
      <c r="AC811" s="137">
        <v>0</v>
      </c>
      <c r="AD811" s="137">
        <v>7</v>
      </c>
      <c r="AE811" s="172">
        <v>0</v>
      </c>
      <c r="AF811" s="137">
        <v>0</v>
      </c>
      <c r="AG811" s="137">
        <v>3</v>
      </c>
      <c r="AH811" s="172">
        <v>0</v>
      </c>
      <c r="AI811" s="137">
        <v>0</v>
      </c>
      <c r="AJ811" s="137">
        <v>3</v>
      </c>
      <c r="AK811" s="171" t="s">
        <v>18</v>
      </c>
      <c r="AL811" s="137" t="s">
        <v>18</v>
      </c>
      <c r="AM811" s="137" t="s">
        <v>18</v>
      </c>
      <c r="AN811" s="137" t="s">
        <v>18</v>
      </c>
      <c r="AO811" s="137" t="s">
        <v>18</v>
      </c>
      <c r="AP811" s="137" t="s">
        <v>18</v>
      </c>
      <c r="AQ811" s="137" t="s">
        <v>18</v>
      </c>
      <c r="AR811" s="137" t="s">
        <v>18</v>
      </c>
      <c r="AS811" s="137" t="s">
        <v>18</v>
      </c>
      <c r="AT811" s="137" t="s">
        <v>18</v>
      </c>
      <c r="AU811" s="137" t="s">
        <v>18</v>
      </c>
      <c r="AV811" s="137" t="s">
        <v>18</v>
      </c>
      <c r="AW811" s="137" t="s">
        <v>18</v>
      </c>
      <c r="AX811" s="137" t="s">
        <v>18</v>
      </c>
      <c r="AY811" s="137" t="s">
        <v>18</v>
      </c>
      <c r="AZ811" s="137" t="s">
        <v>18</v>
      </c>
      <c r="BA811" s="137" t="s">
        <v>18</v>
      </c>
      <c r="BB811" s="137" t="s">
        <v>18</v>
      </c>
      <c r="BC811" s="137" t="s">
        <v>18</v>
      </c>
    </row>
    <row r="812" spans="1:55" ht="15.75" customHeight="1" x14ac:dyDescent="0.2">
      <c r="A812" s="128">
        <v>35</v>
      </c>
      <c r="B812" s="136" t="s">
        <v>15</v>
      </c>
      <c r="C812" s="171">
        <v>0</v>
      </c>
      <c r="D812" s="137">
        <v>0</v>
      </c>
      <c r="E812" s="137">
        <v>4</v>
      </c>
      <c r="F812" s="172">
        <v>0</v>
      </c>
      <c r="G812" s="137">
        <v>0</v>
      </c>
      <c r="H812" s="137">
        <v>0</v>
      </c>
      <c r="I812" s="137">
        <v>1</v>
      </c>
      <c r="J812" s="172">
        <v>0</v>
      </c>
      <c r="K812" s="137">
        <v>0</v>
      </c>
      <c r="L812" s="137">
        <v>4</v>
      </c>
      <c r="M812" s="172">
        <v>0</v>
      </c>
      <c r="N812" s="137">
        <v>2</v>
      </c>
      <c r="O812" s="172">
        <v>0</v>
      </c>
      <c r="P812" s="137">
        <v>0</v>
      </c>
      <c r="Q812" s="172">
        <v>0</v>
      </c>
      <c r="R812" s="137">
        <v>0</v>
      </c>
      <c r="S812" s="137">
        <v>0</v>
      </c>
      <c r="T812" s="172">
        <v>0</v>
      </c>
      <c r="U812" s="137">
        <v>0</v>
      </c>
      <c r="V812" s="137">
        <v>0</v>
      </c>
      <c r="W812" s="137">
        <v>5</v>
      </c>
      <c r="X812" s="172">
        <v>0</v>
      </c>
      <c r="Y812" s="137">
        <v>0</v>
      </c>
      <c r="Z812" s="137">
        <v>6</v>
      </c>
      <c r="AA812" s="172">
        <v>0</v>
      </c>
      <c r="AB812" s="137">
        <v>0</v>
      </c>
      <c r="AC812" s="137">
        <v>0</v>
      </c>
      <c r="AD812" s="137">
        <v>7</v>
      </c>
      <c r="AE812" s="172">
        <v>0</v>
      </c>
      <c r="AF812" s="137">
        <v>0</v>
      </c>
      <c r="AG812" s="137">
        <v>3</v>
      </c>
      <c r="AH812" s="172">
        <v>0</v>
      </c>
      <c r="AI812" s="137">
        <v>0</v>
      </c>
      <c r="AJ812" s="137">
        <v>3</v>
      </c>
      <c r="AK812" s="171" t="s">
        <v>18</v>
      </c>
      <c r="AL812" s="137" t="s">
        <v>18</v>
      </c>
      <c r="AM812" s="137" t="s">
        <v>18</v>
      </c>
      <c r="AN812" s="137" t="s">
        <v>18</v>
      </c>
      <c r="AO812" s="137" t="s">
        <v>18</v>
      </c>
      <c r="AP812" s="137" t="s">
        <v>18</v>
      </c>
      <c r="AQ812" s="137" t="s">
        <v>18</v>
      </c>
      <c r="AR812" s="137" t="s">
        <v>18</v>
      </c>
      <c r="AS812" s="137" t="s">
        <v>18</v>
      </c>
      <c r="AT812" s="137" t="s">
        <v>18</v>
      </c>
      <c r="AU812" s="137" t="s">
        <v>18</v>
      </c>
      <c r="AV812" s="137" t="s">
        <v>18</v>
      </c>
      <c r="AW812" s="137" t="s">
        <v>18</v>
      </c>
      <c r="AX812" s="137" t="s">
        <v>18</v>
      </c>
      <c r="AY812" s="137" t="s">
        <v>18</v>
      </c>
      <c r="AZ812" s="137" t="s">
        <v>18</v>
      </c>
      <c r="BA812" s="137" t="s">
        <v>18</v>
      </c>
      <c r="BB812" s="137" t="s">
        <v>18</v>
      </c>
      <c r="BC812" s="137" t="s">
        <v>18</v>
      </c>
    </row>
    <row r="813" spans="1:55" ht="15.75" customHeight="1" x14ac:dyDescent="0.2">
      <c r="A813" s="128">
        <v>28900</v>
      </c>
      <c r="B813" s="136" t="s">
        <v>16</v>
      </c>
      <c r="C813" s="171">
        <v>0</v>
      </c>
      <c r="D813" s="137">
        <v>0</v>
      </c>
      <c r="E813" s="137">
        <v>4400</v>
      </c>
      <c r="F813" s="172">
        <v>0</v>
      </c>
      <c r="G813" s="137">
        <v>0</v>
      </c>
      <c r="H813" s="137">
        <v>0</v>
      </c>
      <c r="I813" s="137">
        <v>1100</v>
      </c>
      <c r="J813" s="172">
        <v>0</v>
      </c>
      <c r="K813" s="137">
        <v>0</v>
      </c>
      <c r="L813" s="137">
        <v>4400</v>
      </c>
      <c r="M813" s="172">
        <v>0</v>
      </c>
      <c r="N813" s="137">
        <v>2200</v>
      </c>
      <c r="O813" s="172">
        <v>0</v>
      </c>
      <c r="P813" s="137">
        <v>0</v>
      </c>
      <c r="Q813" s="172">
        <v>0</v>
      </c>
      <c r="R813" s="137">
        <v>0</v>
      </c>
      <c r="S813" s="137">
        <v>0</v>
      </c>
      <c r="T813" s="172">
        <v>0</v>
      </c>
      <c r="U813" s="137">
        <v>0</v>
      </c>
      <c r="V813" s="137">
        <v>0</v>
      </c>
      <c r="W813" s="137">
        <v>3500</v>
      </c>
      <c r="X813" s="172">
        <v>0</v>
      </c>
      <c r="Y813" s="137">
        <v>0</v>
      </c>
      <c r="Z813" s="137">
        <v>4200</v>
      </c>
      <c r="AA813" s="172">
        <v>0</v>
      </c>
      <c r="AB813" s="137">
        <v>0</v>
      </c>
      <c r="AC813" s="137">
        <v>0</v>
      </c>
      <c r="AD813" s="137">
        <v>4900</v>
      </c>
      <c r="AE813" s="172">
        <v>0</v>
      </c>
      <c r="AF813" s="137">
        <v>0</v>
      </c>
      <c r="AG813" s="137">
        <v>2100</v>
      </c>
      <c r="AH813" s="172">
        <v>0</v>
      </c>
      <c r="AI813" s="137">
        <v>0</v>
      </c>
      <c r="AJ813" s="137">
        <v>2100</v>
      </c>
      <c r="AK813" s="171" t="s">
        <v>18</v>
      </c>
      <c r="AL813" s="137" t="s">
        <v>18</v>
      </c>
      <c r="AM813" s="137" t="s">
        <v>18</v>
      </c>
      <c r="AN813" s="137" t="s">
        <v>18</v>
      </c>
      <c r="AO813" s="137" t="s">
        <v>18</v>
      </c>
      <c r="AP813" s="137" t="s">
        <v>18</v>
      </c>
      <c r="AQ813" s="137" t="s">
        <v>18</v>
      </c>
      <c r="AR813" s="137" t="s">
        <v>18</v>
      </c>
      <c r="AS813" s="137" t="s">
        <v>18</v>
      </c>
      <c r="AT813" s="137" t="s">
        <v>18</v>
      </c>
      <c r="AU813" s="137" t="s">
        <v>18</v>
      </c>
      <c r="AV813" s="137" t="s">
        <v>18</v>
      </c>
      <c r="AW813" s="137" t="s">
        <v>18</v>
      </c>
      <c r="AX813" s="137" t="s">
        <v>18</v>
      </c>
      <c r="AY813" s="137" t="s">
        <v>18</v>
      </c>
      <c r="AZ813" s="137" t="s">
        <v>18</v>
      </c>
      <c r="BA813" s="137" t="s">
        <v>18</v>
      </c>
      <c r="BB813" s="137" t="s">
        <v>18</v>
      </c>
      <c r="BC813" s="137" t="s">
        <v>18</v>
      </c>
    </row>
    <row r="814" spans="1:55" ht="15.75" customHeight="1" x14ac:dyDescent="0.2">
      <c r="A814" s="138">
        <v>0.36721728081321475</v>
      </c>
      <c r="B814" s="139" t="s">
        <v>17</v>
      </c>
      <c r="C814" s="180" t="s">
        <v>18</v>
      </c>
      <c r="D814" s="141" t="s">
        <v>18</v>
      </c>
      <c r="E814" s="141">
        <v>0.34375</v>
      </c>
      <c r="F814" s="181" t="s">
        <v>18</v>
      </c>
      <c r="G814" s="141" t="s">
        <v>18</v>
      </c>
      <c r="H814" s="141" t="s">
        <v>18</v>
      </c>
      <c r="I814" s="141">
        <v>0.22448979591836735</v>
      </c>
      <c r="J814" s="181" t="s">
        <v>18</v>
      </c>
      <c r="K814" s="141" t="s">
        <v>18</v>
      </c>
      <c r="L814" s="141">
        <v>0.31205673758865249</v>
      </c>
      <c r="M814" s="181" t="s">
        <v>18</v>
      </c>
      <c r="N814" s="141">
        <v>0.6875</v>
      </c>
      <c r="O814" s="181" t="s">
        <v>18</v>
      </c>
      <c r="P814" s="141" t="s">
        <v>18</v>
      </c>
      <c r="Q814" s="181" t="s">
        <v>18</v>
      </c>
      <c r="R814" s="141" t="s">
        <v>18</v>
      </c>
      <c r="S814" s="141" t="s">
        <v>18</v>
      </c>
      <c r="T814" s="181" t="s">
        <v>18</v>
      </c>
      <c r="U814" s="141" t="s">
        <v>18</v>
      </c>
      <c r="V814" s="141" t="s">
        <v>18</v>
      </c>
      <c r="W814" s="141">
        <v>0.42682926829268292</v>
      </c>
      <c r="X814" s="181" t="s">
        <v>18</v>
      </c>
      <c r="Y814" s="141" t="s">
        <v>18</v>
      </c>
      <c r="Z814" s="141">
        <v>0.7</v>
      </c>
      <c r="AA814" s="181" t="s">
        <v>18</v>
      </c>
      <c r="AB814" s="141" t="s">
        <v>18</v>
      </c>
      <c r="AC814" s="141" t="s">
        <v>18</v>
      </c>
      <c r="AD814" s="141">
        <v>0.74242424242424243</v>
      </c>
      <c r="AE814" s="181" t="s">
        <v>18</v>
      </c>
      <c r="AF814" s="141" t="s">
        <v>18</v>
      </c>
      <c r="AG814" s="141">
        <v>0.51219512195121952</v>
      </c>
      <c r="AH814" s="181" t="s">
        <v>18</v>
      </c>
      <c r="AI814" s="141" t="s">
        <v>18</v>
      </c>
      <c r="AJ814" s="141">
        <v>0.21649484536082475</v>
      </c>
      <c r="AK814" s="180" t="s">
        <v>18</v>
      </c>
      <c r="AL814" s="141" t="s">
        <v>18</v>
      </c>
      <c r="AM814" s="141" t="s">
        <v>18</v>
      </c>
      <c r="AN814" s="141" t="s">
        <v>18</v>
      </c>
      <c r="AO814" s="141" t="s">
        <v>18</v>
      </c>
      <c r="AP814" s="141" t="s">
        <v>18</v>
      </c>
      <c r="AQ814" s="141" t="s">
        <v>18</v>
      </c>
      <c r="AR814" s="141" t="s">
        <v>18</v>
      </c>
      <c r="AS814" s="141" t="s">
        <v>18</v>
      </c>
      <c r="AT814" s="141" t="s">
        <v>18</v>
      </c>
      <c r="AU814" s="141" t="s">
        <v>18</v>
      </c>
      <c r="AV814" s="141" t="s">
        <v>18</v>
      </c>
      <c r="AW814" s="141" t="s">
        <v>18</v>
      </c>
      <c r="AX814" s="141" t="s">
        <v>18</v>
      </c>
      <c r="AY814" s="141" t="s">
        <v>18</v>
      </c>
      <c r="AZ814" s="141" t="s">
        <v>18</v>
      </c>
      <c r="BA814" s="141" t="s">
        <v>18</v>
      </c>
      <c r="BB814" s="141" t="s">
        <v>18</v>
      </c>
      <c r="BC814" s="141" t="s">
        <v>18</v>
      </c>
    </row>
    <row r="815" spans="1:55" ht="15.75" customHeight="1" x14ac:dyDescent="0.2">
      <c r="A815" s="116" t="s">
        <v>1</v>
      </c>
      <c r="B815" s="117" t="s">
        <v>2</v>
      </c>
      <c r="C815" s="168">
        <v>2978</v>
      </c>
      <c r="D815" s="119">
        <v>2978</v>
      </c>
      <c r="E815" s="119">
        <v>2978</v>
      </c>
      <c r="F815" s="169">
        <v>2978</v>
      </c>
      <c r="G815" s="119">
        <v>2978</v>
      </c>
      <c r="H815" s="119">
        <v>2978</v>
      </c>
      <c r="I815" s="119">
        <v>2978</v>
      </c>
      <c r="J815" s="169">
        <v>2978</v>
      </c>
      <c r="K815" s="119">
        <v>2978</v>
      </c>
      <c r="L815" s="119">
        <v>2978</v>
      </c>
      <c r="M815" s="169">
        <v>2978</v>
      </c>
      <c r="N815" s="119">
        <v>2978</v>
      </c>
      <c r="O815" s="169">
        <v>2978</v>
      </c>
      <c r="P815" s="119">
        <v>2978</v>
      </c>
      <c r="Q815" s="119">
        <v>2978</v>
      </c>
      <c r="R815" s="119">
        <v>2978</v>
      </c>
      <c r="S815" s="119">
        <v>2978</v>
      </c>
      <c r="T815" s="169">
        <v>2978</v>
      </c>
      <c r="U815" s="119">
        <v>2978</v>
      </c>
      <c r="V815" s="119">
        <v>2978</v>
      </c>
      <c r="W815" s="119">
        <v>2978</v>
      </c>
      <c r="X815" s="169">
        <v>2978</v>
      </c>
      <c r="Y815" s="119">
        <v>2978</v>
      </c>
      <c r="Z815" s="119">
        <v>2978</v>
      </c>
      <c r="AA815" s="169">
        <v>2978</v>
      </c>
      <c r="AB815" s="119">
        <v>2978</v>
      </c>
      <c r="AC815" s="119">
        <v>2978</v>
      </c>
      <c r="AD815" s="119">
        <v>3101</v>
      </c>
      <c r="AE815" s="169">
        <v>3101</v>
      </c>
      <c r="AF815" s="119">
        <v>3101</v>
      </c>
      <c r="AG815" s="119">
        <v>3189</v>
      </c>
      <c r="AH815" s="169">
        <v>3189</v>
      </c>
      <c r="AI815" s="119">
        <v>3189</v>
      </c>
      <c r="AJ815" s="119">
        <v>3216</v>
      </c>
      <c r="AK815" s="169" t="s">
        <v>18</v>
      </c>
      <c r="AL815" s="119" t="s">
        <v>18</v>
      </c>
      <c r="AM815" s="119" t="s">
        <v>18</v>
      </c>
      <c r="AN815" s="119" t="s">
        <v>18</v>
      </c>
      <c r="AO815" s="119" t="s">
        <v>18</v>
      </c>
      <c r="AP815" s="119" t="s">
        <v>18</v>
      </c>
      <c r="AQ815" s="119" t="s">
        <v>18</v>
      </c>
      <c r="AR815" s="119" t="s">
        <v>18</v>
      </c>
      <c r="AS815" s="119" t="s">
        <v>18</v>
      </c>
      <c r="AT815" s="119" t="s">
        <v>18</v>
      </c>
      <c r="AU815" s="119" t="s">
        <v>18</v>
      </c>
      <c r="AV815" s="119" t="s">
        <v>18</v>
      </c>
      <c r="AW815" s="119" t="s">
        <v>18</v>
      </c>
      <c r="AX815" s="119" t="s">
        <v>18</v>
      </c>
      <c r="AY815" s="119" t="s">
        <v>18</v>
      </c>
      <c r="AZ815" s="119" t="s">
        <v>18</v>
      </c>
      <c r="BA815" s="119" t="s">
        <v>18</v>
      </c>
      <c r="BB815" s="119" t="s">
        <v>18</v>
      </c>
      <c r="BC815" s="119" t="s">
        <v>18</v>
      </c>
    </row>
    <row r="816" spans="1:55" ht="15.75" customHeight="1" x14ac:dyDescent="0.2">
      <c r="A816" s="121" t="s">
        <v>49</v>
      </c>
      <c r="B816" s="122" t="s">
        <v>4</v>
      </c>
      <c r="C816" s="171">
        <v>318</v>
      </c>
      <c r="D816" s="124">
        <v>318</v>
      </c>
      <c r="E816" s="124">
        <v>318</v>
      </c>
      <c r="F816" s="172">
        <v>318</v>
      </c>
      <c r="G816" s="124">
        <v>318</v>
      </c>
      <c r="H816" s="124">
        <v>318</v>
      </c>
      <c r="I816" s="124">
        <v>318</v>
      </c>
      <c r="J816" s="172">
        <v>318</v>
      </c>
      <c r="K816" s="124">
        <v>318</v>
      </c>
      <c r="L816" s="124">
        <v>318</v>
      </c>
      <c r="M816" s="172">
        <v>318</v>
      </c>
      <c r="N816" s="124">
        <v>318</v>
      </c>
      <c r="O816" s="172">
        <v>318</v>
      </c>
      <c r="P816" s="124">
        <v>318</v>
      </c>
      <c r="Q816" s="124">
        <v>318</v>
      </c>
      <c r="R816" s="124">
        <v>318</v>
      </c>
      <c r="S816" s="124">
        <v>318</v>
      </c>
      <c r="T816" s="172">
        <v>318</v>
      </c>
      <c r="U816" s="124">
        <v>318</v>
      </c>
      <c r="V816" s="124">
        <v>318</v>
      </c>
      <c r="W816" s="124">
        <v>318</v>
      </c>
      <c r="X816" s="172">
        <v>318</v>
      </c>
      <c r="Y816" s="124">
        <v>318</v>
      </c>
      <c r="Z816" s="124">
        <v>318</v>
      </c>
      <c r="AA816" s="172">
        <v>318</v>
      </c>
      <c r="AB816" s="124">
        <v>318</v>
      </c>
      <c r="AC816" s="124">
        <v>318</v>
      </c>
      <c r="AD816" s="124">
        <v>321</v>
      </c>
      <c r="AE816" s="172">
        <v>321</v>
      </c>
      <c r="AF816" s="124">
        <v>321</v>
      </c>
      <c r="AG816" s="124">
        <v>323</v>
      </c>
      <c r="AH816" s="172">
        <v>323</v>
      </c>
      <c r="AI816" s="124">
        <v>323</v>
      </c>
      <c r="AJ816" s="124">
        <v>325</v>
      </c>
      <c r="AK816" s="172" t="s">
        <v>18</v>
      </c>
      <c r="AL816" s="124" t="s">
        <v>18</v>
      </c>
      <c r="AM816" s="124" t="s">
        <v>18</v>
      </c>
      <c r="AN816" s="124" t="s">
        <v>18</v>
      </c>
      <c r="AO816" s="124" t="s">
        <v>18</v>
      </c>
      <c r="AP816" s="124" t="s">
        <v>18</v>
      </c>
      <c r="AQ816" s="124" t="s">
        <v>18</v>
      </c>
      <c r="AR816" s="124" t="s">
        <v>18</v>
      </c>
      <c r="AS816" s="124" t="s">
        <v>18</v>
      </c>
      <c r="AT816" s="124" t="s">
        <v>18</v>
      </c>
      <c r="AU816" s="124" t="s">
        <v>18</v>
      </c>
      <c r="AV816" s="124" t="s">
        <v>18</v>
      </c>
      <c r="AW816" s="124" t="s">
        <v>18</v>
      </c>
      <c r="AX816" s="124" t="s">
        <v>18</v>
      </c>
      <c r="AY816" s="124" t="s">
        <v>18</v>
      </c>
      <c r="AZ816" s="124" t="s">
        <v>18</v>
      </c>
      <c r="BA816" s="124" t="s">
        <v>18</v>
      </c>
      <c r="BB816" s="124" t="s">
        <v>18</v>
      </c>
      <c r="BC816" s="124" t="s">
        <v>18</v>
      </c>
    </row>
    <row r="817" spans="1:55" ht="15.75" customHeight="1" x14ac:dyDescent="0.25">
      <c r="A817" s="126"/>
      <c r="B817" s="122" t="s">
        <v>5</v>
      </c>
      <c r="C817" s="171">
        <v>37</v>
      </c>
      <c r="D817" s="124">
        <v>37</v>
      </c>
      <c r="E817" s="124">
        <v>37</v>
      </c>
      <c r="F817" s="172">
        <v>37</v>
      </c>
      <c r="G817" s="124">
        <v>37</v>
      </c>
      <c r="H817" s="124">
        <v>37</v>
      </c>
      <c r="I817" s="124">
        <v>37</v>
      </c>
      <c r="J817" s="172">
        <v>37</v>
      </c>
      <c r="K817" s="124">
        <v>37</v>
      </c>
      <c r="L817" s="124">
        <v>37</v>
      </c>
      <c r="M817" s="172">
        <v>37</v>
      </c>
      <c r="N817" s="124">
        <v>37</v>
      </c>
      <c r="O817" s="172">
        <v>37</v>
      </c>
      <c r="P817" s="124">
        <v>37</v>
      </c>
      <c r="Q817" s="124">
        <v>37</v>
      </c>
      <c r="R817" s="124">
        <v>37</v>
      </c>
      <c r="S817" s="124">
        <v>37</v>
      </c>
      <c r="T817" s="172">
        <v>37</v>
      </c>
      <c r="U817" s="124">
        <v>37</v>
      </c>
      <c r="V817" s="124">
        <v>37</v>
      </c>
      <c r="W817" s="124">
        <v>37</v>
      </c>
      <c r="X817" s="172">
        <v>37</v>
      </c>
      <c r="Y817" s="124">
        <v>37</v>
      </c>
      <c r="Z817" s="124">
        <v>37</v>
      </c>
      <c r="AA817" s="172">
        <v>37</v>
      </c>
      <c r="AB817" s="124">
        <v>37</v>
      </c>
      <c r="AC817" s="124">
        <v>37</v>
      </c>
      <c r="AD817" s="124">
        <v>34</v>
      </c>
      <c r="AE817" s="172">
        <v>34</v>
      </c>
      <c r="AF817" s="124">
        <v>34</v>
      </c>
      <c r="AG817" s="124">
        <v>32</v>
      </c>
      <c r="AH817" s="172">
        <v>32</v>
      </c>
      <c r="AI817" s="124">
        <v>32</v>
      </c>
      <c r="AJ817" s="124">
        <v>30</v>
      </c>
      <c r="AK817" s="172" t="s">
        <v>18</v>
      </c>
      <c r="AL817" s="124" t="s">
        <v>18</v>
      </c>
      <c r="AM817" s="124" t="s">
        <v>18</v>
      </c>
      <c r="AN817" s="124" t="s">
        <v>18</v>
      </c>
      <c r="AO817" s="124" t="s">
        <v>18</v>
      </c>
      <c r="AP817" s="124" t="s">
        <v>18</v>
      </c>
      <c r="AQ817" s="124" t="s">
        <v>18</v>
      </c>
      <c r="AR817" s="124" t="s">
        <v>18</v>
      </c>
      <c r="AS817" s="124" t="s">
        <v>18</v>
      </c>
      <c r="AT817" s="124" t="s">
        <v>18</v>
      </c>
      <c r="AU817" s="124" t="s">
        <v>18</v>
      </c>
      <c r="AV817" s="124" t="s">
        <v>18</v>
      </c>
      <c r="AW817" s="124" t="s">
        <v>18</v>
      </c>
      <c r="AX817" s="124" t="s">
        <v>18</v>
      </c>
      <c r="AY817" s="124" t="s">
        <v>18</v>
      </c>
      <c r="AZ817" s="124" t="s">
        <v>18</v>
      </c>
      <c r="BA817" s="124" t="s">
        <v>18</v>
      </c>
      <c r="BB817" s="124" t="s">
        <v>18</v>
      </c>
      <c r="BC817" s="124" t="s">
        <v>18</v>
      </c>
    </row>
    <row r="818" spans="1:55" ht="15.75" customHeight="1" x14ac:dyDescent="0.2">
      <c r="A818" s="127"/>
      <c r="B818" s="122" t="s">
        <v>6</v>
      </c>
      <c r="C818" s="171"/>
      <c r="D818" s="124"/>
      <c r="E818" s="124"/>
      <c r="F818" s="172"/>
      <c r="G818" s="124"/>
      <c r="H818" s="124"/>
      <c r="I818" s="124"/>
      <c r="J818" s="172"/>
      <c r="K818" s="124"/>
      <c r="L818" s="124"/>
      <c r="M818" s="172"/>
      <c r="N818" s="124"/>
      <c r="O818" s="172"/>
      <c r="P818" s="124"/>
      <c r="Q818" s="124"/>
      <c r="R818" s="124"/>
      <c r="S818" s="124"/>
      <c r="T818" s="172"/>
      <c r="U818" s="124"/>
      <c r="V818" s="124"/>
      <c r="W818" s="124"/>
      <c r="X818" s="172"/>
      <c r="Y818" s="124"/>
      <c r="Z818" s="124"/>
      <c r="AA818" s="172"/>
      <c r="AB818" s="124"/>
      <c r="AC818" s="124"/>
      <c r="AD818" s="124"/>
      <c r="AE818" s="172"/>
      <c r="AF818" s="124"/>
      <c r="AG818" s="124"/>
      <c r="AH818" s="172"/>
      <c r="AI818" s="124"/>
      <c r="AJ818" s="124">
        <v>20</v>
      </c>
      <c r="AK818" s="172"/>
      <c r="AL818" s="124"/>
      <c r="AM818" s="124"/>
      <c r="AN818" s="124"/>
      <c r="AO818" s="124"/>
      <c r="AP818" s="124"/>
      <c r="AQ818" s="124"/>
      <c r="AR818" s="124"/>
      <c r="AS818" s="124"/>
      <c r="AT818" s="124"/>
      <c r="AU818" s="124"/>
      <c r="AV818" s="124"/>
      <c r="AW818" s="124"/>
      <c r="AX818" s="124"/>
      <c r="AY818" s="124"/>
      <c r="AZ818" s="124"/>
      <c r="BA818" s="124"/>
      <c r="BB818" s="124"/>
      <c r="BC818" s="124"/>
    </row>
    <row r="819" spans="1:55" ht="15.75" customHeight="1" x14ac:dyDescent="0.2">
      <c r="A819" s="128"/>
      <c r="B819" s="122" t="s">
        <v>8</v>
      </c>
      <c r="C819" s="174">
        <v>780</v>
      </c>
      <c r="D819" s="130">
        <v>780</v>
      </c>
      <c r="E819" s="130">
        <v>780</v>
      </c>
      <c r="F819" s="175">
        <v>780</v>
      </c>
      <c r="G819" s="130">
        <v>780</v>
      </c>
      <c r="H819" s="130">
        <v>780</v>
      </c>
      <c r="I819" s="130">
        <v>780</v>
      </c>
      <c r="J819" s="175">
        <v>780</v>
      </c>
      <c r="K819" s="130">
        <v>780</v>
      </c>
      <c r="L819" s="130">
        <v>780</v>
      </c>
      <c r="M819" s="175">
        <v>780</v>
      </c>
      <c r="N819" s="130">
        <v>780</v>
      </c>
      <c r="O819" s="175">
        <v>780</v>
      </c>
      <c r="P819" s="130">
        <v>780</v>
      </c>
      <c r="Q819" s="130">
        <v>780</v>
      </c>
      <c r="R819" s="130">
        <v>780</v>
      </c>
      <c r="S819" s="130">
        <v>780</v>
      </c>
      <c r="T819" s="175">
        <v>780</v>
      </c>
      <c r="U819" s="130">
        <v>780</v>
      </c>
      <c r="V819" s="130">
        <v>780</v>
      </c>
      <c r="W819" s="130">
        <v>780</v>
      </c>
      <c r="X819" s="175">
        <v>780</v>
      </c>
      <c r="Y819" s="130">
        <v>780</v>
      </c>
      <c r="Z819" s="130">
        <v>780</v>
      </c>
      <c r="AA819" s="175">
        <v>780</v>
      </c>
      <c r="AB819" s="130">
        <v>780</v>
      </c>
      <c r="AC819" s="130">
        <v>780</v>
      </c>
      <c r="AD819" s="130">
        <v>780</v>
      </c>
      <c r="AE819" s="175">
        <v>780</v>
      </c>
      <c r="AF819" s="130">
        <v>780</v>
      </c>
      <c r="AG819" s="130">
        <v>780</v>
      </c>
      <c r="AH819" s="175">
        <v>780</v>
      </c>
      <c r="AI819" s="130">
        <v>780</v>
      </c>
      <c r="AJ819" s="130">
        <v>780</v>
      </c>
      <c r="AK819" s="175">
        <v>190</v>
      </c>
      <c r="AL819" s="130" t="s">
        <v>18</v>
      </c>
      <c r="AM819" s="130" t="s">
        <v>18</v>
      </c>
      <c r="AN819" s="130" t="s">
        <v>18</v>
      </c>
      <c r="AO819" s="130" t="s">
        <v>18</v>
      </c>
      <c r="AP819" s="130" t="s">
        <v>18</v>
      </c>
      <c r="AQ819" s="130" t="s">
        <v>18</v>
      </c>
      <c r="AR819" s="130" t="s">
        <v>18</v>
      </c>
      <c r="AS819" s="130" t="s">
        <v>18</v>
      </c>
      <c r="AT819" s="130" t="s">
        <v>18</v>
      </c>
      <c r="AU819" s="130" t="s">
        <v>18</v>
      </c>
      <c r="AV819" s="130" t="s">
        <v>18</v>
      </c>
      <c r="AW819" s="130" t="s">
        <v>18</v>
      </c>
      <c r="AX819" s="130" t="s">
        <v>18</v>
      </c>
      <c r="AY819" s="130" t="s">
        <v>18</v>
      </c>
      <c r="AZ819" s="130" t="s">
        <v>18</v>
      </c>
      <c r="BA819" s="130" t="s">
        <v>18</v>
      </c>
      <c r="BB819" s="130" t="s">
        <v>18</v>
      </c>
      <c r="BC819" s="130" t="s">
        <v>18</v>
      </c>
    </row>
    <row r="820" spans="1:55" ht="15.75" customHeight="1" x14ac:dyDescent="0.2">
      <c r="A820" s="127" t="s">
        <v>9</v>
      </c>
      <c r="B820" s="132" t="s">
        <v>10</v>
      </c>
      <c r="C820" s="177" t="s">
        <v>50</v>
      </c>
      <c r="D820" s="134" t="s">
        <v>50</v>
      </c>
      <c r="E820" s="134" t="s">
        <v>50</v>
      </c>
      <c r="F820" s="178" t="s">
        <v>50</v>
      </c>
      <c r="G820" s="134" t="s">
        <v>50</v>
      </c>
      <c r="H820" s="134" t="s">
        <v>50</v>
      </c>
      <c r="I820" s="134" t="s">
        <v>50</v>
      </c>
      <c r="J820" s="178" t="s">
        <v>50</v>
      </c>
      <c r="K820" s="134" t="s">
        <v>50</v>
      </c>
      <c r="L820" s="134" t="s">
        <v>50</v>
      </c>
      <c r="M820" s="178" t="s">
        <v>50</v>
      </c>
      <c r="N820" s="134" t="s">
        <v>50</v>
      </c>
      <c r="O820" s="178" t="s">
        <v>50</v>
      </c>
      <c r="P820" s="134" t="s">
        <v>50</v>
      </c>
      <c r="Q820" s="134" t="s">
        <v>50</v>
      </c>
      <c r="R820" s="134" t="s">
        <v>50</v>
      </c>
      <c r="S820" s="134" t="s">
        <v>50</v>
      </c>
      <c r="T820" s="178" t="s">
        <v>50</v>
      </c>
      <c r="U820" s="134" t="s">
        <v>50</v>
      </c>
      <c r="V820" s="134" t="s">
        <v>50</v>
      </c>
      <c r="W820" s="134" t="s">
        <v>50</v>
      </c>
      <c r="X820" s="178" t="s">
        <v>50</v>
      </c>
      <c r="Y820" s="134" t="s">
        <v>50</v>
      </c>
      <c r="Z820" s="134" t="s">
        <v>50</v>
      </c>
      <c r="AA820" s="178" t="s">
        <v>50</v>
      </c>
      <c r="AB820" s="134" t="s">
        <v>50</v>
      </c>
      <c r="AC820" s="134" t="s">
        <v>50</v>
      </c>
      <c r="AD820" s="134" t="s">
        <v>50</v>
      </c>
      <c r="AE820" s="178" t="s">
        <v>50</v>
      </c>
      <c r="AF820" s="134" t="s">
        <v>50</v>
      </c>
      <c r="AG820" s="134" t="s">
        <v>50</v>
      </c>
      <c r="AH820" s="178" t="s">
        <v>50</v>
      </c>
      <c r="AI820" s="134" t="s">
        <v>50</v>
      </c>
      <c r="AJ820" s="134" t="s">
        <v>50</v>
      </c>
      <c r="AK820" s="178" t="s">
        <v>27</v>
      </c>
      <c r="AL820" s="134" t="s">
        <v>18</v>
      </c>
      <c r="AM820" s="134" t="s">
        <v>18</v>
      </c>
      <c r="AN820" s="134" t="s">
        <v>18</v>
      </c>
      <c r="AO820" s="134" t="s">
        <v>18</v>
      </c>
      <c r="AP820" s="134" t="s">
        <v>18</v>
      </c>
      <c r="AQ820" s="134" t="s">
        <v>18</v>
      </c>
      <c r="AR820" s="134" t="s">
        <v>18</v>
      </c>
      <c r="AS820" s="134" t="s">
        <v>18</v>
      </c>
      <c r="AT820" s="134" t="s">
        <v>18</v>
      </c>
      <c r="AU820" s="134" t="s">
        <v>18</v>
      </c>
      <c r="AV820" s="134" t="s">
        <v>18</v>
      </c>
      <c r="AW820" s="134" t="s">
        <v>18</v>
      </c>
      <c r="AX820" s="134" t="s">
        <v>18</v>
      </c>
      <c r="AY820" s="134" t="s">
        <v>18</v>
      </c>
      <c r="AZ820" s="134" t="s">
        <v>18</v>
      </c>
      <c r="BA820" s="134" t="s">
        <v>18</v>
      </c>
      <c r="BB820" s="134" t="s">
        <v>18</v>
      </c>
      <c r="BC820" s="134" t="s">
        <v>18</v>
      </c>
    </row>
    <row r="821" spans="1:55" ht="15.75" customHeight="1" x14ac:dyDescent="0.2">
      <c r="A821" s="128">
        <v>21000</v>
      </c>
      <c r="B821" s="122" t="s">
        <v>12</v>
      </c>
      <c r="C821" s="171" t="s">
        <v>111</v>
      </c>
      <c r="D821" s="124"/>
      <c r="E821" s="124"/>
      <c r="F821" s="172"/>
      <c r="G821" s="124"/>
      <c r="H821" s="124"/>
      <c r="I821" s="124"/>
      <c r="J821" s="172"/>
      <c r="K821" s="124"/>
      <c r="L821" s="124"/>
      <c r="M821" s="172"/>
      <c r="N821" s="124"/>
      <c r="O821" s="172"/>
      <c r="P821" s="124"/>
      <c r="Q821" s="124"/>
      <c r="R821" s="124"/>
      <c r="S821" s="124"/>
      <c r="T821" s="172"/>
      <c r="U821" s="124"/>
      <c r="V821" s="124"/>
      <c r="W821" s="124"/>
      <c r="X821" s="172"/>
      <c r="Y821" s="124"/>
      <c r="Z821" s="124" t="s">
        <v>112</v>
      </c>
      <c r="AA821" s="172"/>
      <c r="AB821" s="124"/>
      <c r="AC821" s="124"/>
      <c r="AD821" s="124"/>
      <c r="AE821" s="172"/>
      <c r="AF821" s="124"/>
      <c r="AG821" s="124"/>
      <c r="AH821" s="172"/>
      <c r="AI821" s="124"/>
      <c r="AJ821" s="124"/>
      <c r="AK821" s="172" t="s">
        <v>51</v>
      </c>
      <c r="AL821" s="124"/>
      <c r="AM821" s="124"/>
      <c r="AN821" s="124"/>
      <c r="AO821" s="124"/>
      <c r="AP821" s="124"/>
      <c r="AQ821" s="124"/>
      <c r="AR821" s="124"/>
      <c r="AS821" s="124"/>
      <c r="AT821" s="124"/>
      <c r="AU821" s="124"/>
      <c r="AV821" s="124"/>
      <c r="AW821" s="124"/>
      <c r="AX821" s="124"/>
      <c r="AY821" s="124"/>
      <c r="AZ821" s="124"/>
      <c r="BA821" s="124"/>
      <c r="BB821" s="124"/>
      <c r="BC821" s="124"/>
    </row>
    <row r="822" spans="1:55" ht="15.75" customHeight="1" x14ac:dyDescent="0.2">
      <c r="A822" s="128">
        <v>238</v>
      </c>
      <c r="B822" s="136" t="s">
        <v>13</v>
      </c>
      <c r="C822" s="171">
        <v>0</v>
      </c>
      <c r="D822" s="137">
        <v>0</v>
      </c>
      <c r="E822" s="137">
        <v>0</v>
      </c>
      <c r="F822" s="172">
        <v>0</v>
      </c>
      <c r="G822" s="137">
        <v>0</v>
      </c>
      <c r="H822" s="137">
        <v>0</v>
      </c>
      <c r="I822" s="137">
        <v>0</v>
      </c>
      <c r="J822" s="172">
        <v>0</v>
      </c>
      <c r="K822" s="137">
        <v>0</v>
      </c>
      <c r="L822" s="137">
        <v>0</v>
      </c>
      <c r="M822" s="172">
        <v>0</v>
      </c>
      <c r="N822" s="137">
        <v>0</v>
      </c>
      <c r="O822" s="172">
        <v>0</v>
      </c>
      <c r="P822" s="137">
        <v>0</v>
      </c>
      <c r="Q822" s="137">
        <v>0</v>
      </c>
      <c r="R822" s="137">
        <v>0</v>
      </c>
      <c r="S822" s="137">
        <v>0</v>
      </c>
      <c r="T822" s="172">
        <v>0</v>
      </c>
      <c r="U822" s="137">
        <v>0</v>
      </c>
      <c r="V822" s="137">
        <v>0</v>
      </c>
      <c r="W822" s="137">
        <v>0</v>
      </c>
      <c r="X822" s="172">
        <v>0</v>
      </c>
      <c r="Y822" s="137">
        <v>0</v>
      </c>
      <c r="Z822" s="137">
        <v>0</v>
      </c>
      <c r="AA822" s="172">
        <v>0</v>
      </c>
      <c r="AB822" s="137">
        <v>0</v>
      </c>
      <c r="AC822" s="137">
        <v>0</v>
      </c>
      <c r="AD822" s="137">
        <v>123</v>
      </c>
      <c r="AE822" s="172">
        <v>0</v>
      </c>
      <c r="AF822" s="137">
        <v>0</v>
      </c>
      <c r="AG822" s="137">
        <v>88</v>
      </c>
      <c r="AH822" s="172">
        <v>0</v>
      </c>
      <c r="AI822" s="137">
        <v>0</v>
      </c>
      <c r="AJ822" s="137">
        <v>27</v>
      </c>
      <c r="AK822" s="172" t="s">
        <v>18</v>
      </c>
      <c r="AL822" s="137" t="s">
        <v>18</v>
      </c>
      <c r="AM822" s="137" t="s">
        <v>18</v>
      </c>
      <c r="AN822" s="137" t="s">
        <v>18</v>
      </c>
      <c r="AO822" s="137" t="s">
        <v>18</v>
      </c>
      <c r="AP822" s="137" t="s">
        <v>18</v>
      </c>
      <c r="AQ822" s="137" t="s">
        <v>18</v>
      </c>
      <c r="AR822" s="137" t="s">
        <v>18</v>
      </c>
      <c r="AS822" s="137" t="s">
        <v>18</v>
      </c>
      <c r="AT822" s="137" t="s">
        <v>18</v>
      </c>
      <c r="AU822" s="137" t="s">
        <v>18</v>
      </c>
      <c r="AV822" s="137" t="s">
        <v>18</v>
      </c>
      <c r="AW822" s="137" t="s">
        <v>18</v>
      </c>
      <c r="AX822" s="137" t="s">
        <v>18</v>
      </c>
      <c r="AY822" s="137" t="s">
        <v>18</v>
      </c>
      <c r="AZ822" s="137" t="s">
        <v>18</v>
      </c>
      <c r="BA822" s="137" t="s">
        <v>18</v>
      </c>
      <c r="BB822" s="137" t="s">
        <v>18</v>
      </c>
      <c r="BC822" s="137" t="s">
        <v>18</v>
      </c>
    </row>
    <row r="823" spans="1:55" ht="15.75" customHeight="1" x14ac:dyDescent="0.2">
      <c r="A823" s="128">
        <v>7</v>
      </c>
      <c r="B823" s="136" t="s">
        <v>14</v>
      </c>
      <c r="C823" s="171">
        <v>0</v>
      </c>
      <c r="D823" s="137">
        <v>0</v>
      </c>
      <c r="E823" s="137">
        <v>0</v>
      </c>
      <c r="F823" s="172">
        <v>0</v>
      </c>
      <c r="G823" s="137">
        <v>0</v>
      </c>
      <c r="H823" s="137">
        <v>0</v>
      </c>
      <c r="I823" s="137">
        <v>0</v>
      </c>
      <c r="J823" s="172">
        <v>0</v>
      </c>
      <c r="K823" s="137">
        <v>0</v>
      </c>
      <c r="L823" s="137">
        <v>0</v>
      </c>
      <c r="M823" s="172">
        <v>0</v>
      </c>
      <c r="N823" s="137">
        <v>0</v>
      </c>
      <c r="O823" s="172">
        <v>0</v>
      </c>
      <c r="P823" s="137">
        <v>0</v>
      </c>
      <c r="Q823" s="137">
        <v>0</v>
      </c>
      <c r="R823" s="137">
        <v>0</v>
      </c>
      <c r="S823" s="137">
        <v>0</v>
      </c>
      <c r="T823" s="172">
        <v>0</v>
      </c>
      <c r="U823" s="137">
        <v>0</v>
      </c>
      <c r="V823" s="137">
        <v>0</v>
      </c>
      <c r="W823" s="137">
        <v>0</v>
      </c>
      <c r="X823" s="172">
        <v>0</v>
      </c>
      <c r="Y823" s="137">
        <v>0</v>
      </c>
      <c r="Z823" s="137">
        <v>0</v>
      </c>
      <c r="AA823" s="172">
        <v>0</v>
      </c>
      <c r="AB823" s="137">
        <v>0</v>
      </c>
      <c r="AC823" s="137">
        <v>0</v>
      </c>
      <c r="AD823" s="137">
        <v>3</v>
      </c>
      <c r="AE823" s="172">
        <v>0</v>
      </c>
      <c r="AF823" s="137">
        <v>0</v>
      </c>
      <c r="AG823" s="137">
        <v>2</v>
      </c>
      <c r="AH823" s="172">
        <v>0</v>
      </c>
      <c r="AI823" s="137">
        <v>0</v>
      </c>
      <c r="AJ823" s="137">
        <v>2</v>
      </c>
      <c r="AK823" s="172" t="s">
        <v>18</v>
      </c>
      <c r="AL823" s="137" t="s">
        <v>18</v>
      </c>
      <c r="AM823" s="137" t="s">
        <v>18</v>
      </c>
      <c r="AN823" s="137" t="s">
        <v>18</v>
      </c>
      <c r="AO823" s="137" t="s">
        <v>18</v>
      </c>
      <c r="AP823" s="137" t="s">
        <v>18</v>
      </c>
      <c r="AQ823" s="137" t="s">
        <v>18</v>
      </c>
      <c r="AR823" s="137" t="s">
        <v>18</v>
      </c>
      <c r="AS823" s="137" t="s">
        <v>18</v>
      </c>
      <c r="AT823" s="137" t="s">
        <v>18</v>
      </c>
      <c r="AU823" s="137" t="s">
        <v>18</v>
      </c>
      <c r="AV823" s="137" t="s">
        <v>18</v>
      </c>
      <c r="AW823" s="137" t="s">
        <v>18</v>
      </c>
      <c r="AX823" s="137" t="s">
        <v>18</v>
      </c>
      <c r="AY823" s="137" t="s">
        <v>18</v>
      </c>
      <c r="AZ823" s="137" t="s">
        <v>18</v>
      </c>
      <c r="BA823" s="137" t="s">
        <v>18</v>
      </c>
      <c r="BB823" s="137" t="s">
        <v>18</v>
      </c>
      <c r="BC823" s="137" t="s">
        <v>18</v>
      </c>
    </row>
    <row r="824" spans="1:55" ht="15.75" customHeight="1" x14ac:dyDescent="0.2">
      <c r="A824" s="128">
        <v>7</v>
      </c>
      <c r="B824" s="136" t="s">
        <v>15</v>
      </c>
      <c r="C824" s="171">
        <v>0</v>
      </c>
      <c r="D824" s="137">
        <v>0</v>
      </c>
      <c r="E824" s="137">
        <v>0</v>
      </c>
      <c r="F824" s="172">
        <v>0</v>
      </c>
      <c r="G824" s="137">
        <v>0</v>
      </c>
      <c r="H824" s="137">
        <v>0</v>
      </c>
      <c r="I824" s="137">
        <v>0</v>
      </c>
      <c r="J824" s="172">
        <v>0</v>
      </c>
      <c r="K824" s="137">
        <v>0</v>
      </c>
      <c r="L824" s="137">
        <v>0</v>
      </c>
      <c r="M824" s="172">
        <v>0</v>
      </c>
      <c r="N824" s="137">
        <v>0</v>
      </c>
      <c r="O824" s="172">
        <v>0</v>
      </c>
      <c r="P824" s="137">
        <v>0</v>
      </c>
      <c r="Q824" s="137">
        <v>0</v>
      </c>
      <c r="R824" s="137">
        <v>0</v>
      </c>
      <c r="S824" s="137">
        <v>0</v>
      </c>
      <c r="T824" s="172">
        <v>0</v>
      </c>
      <c r="U824" s="137">
        <v>0</v>
      </c>
      <c r="V824" s="137">
        <v>0</v>
      </c>
      <c r="W824" s="137">
        <v>0</v>
      </c>
      <c r="X824" s="172">
        <v>0</v>
      </c>
      <c r="Y824" s="137">
        <v>0</v>
      </c>
      <c r="Z824" s="137">
        <v>0</v>
      </c>
      <c r="AA824" s="172">
        <v>0</v>
      </c>
      <c r="AB824" s="137">
        <v>0</v>
      </c>
      <c r="AC824" s="137">
        <v>0</v>
      </c>
      <c r="AD824" s="137">
        <v>3</v>
      </c>
      <c r="AE824" s="172">
        <v>0</v>
      </c>
      <c r="AF824" s="137">
        <v>0</v>
      </c>
      <c r="AG824" s="137">
        <v>2</v>
      </c>
      <c r="AH824" s="172">
        <v>0</v>
      </c>
      <c r="AI824" s="137">
        <v>0</v>
      </c>
      <c r="AJ824" s="137">
        <v>2</v>
      </c>
      <c r="AK824" s="172" t="s">
        <v>18</v>
      </c>
      <c r="AL824" s="137" t="s">
        <v>18</v>
      </c>
      <c r="AM824" s="137" t="s">
        <v>18</v>
      </c>
      <c r="AN824" s="137" t="s">
        <v>18</v>
      </c>
      <c r="AO824" s="137" t="s">
        <v>18</v>
      </c>
      <c r="AP824" s="137" t="s">
        <v>18</v>
      </c>
      <c r="AQ824" s="137" t="s">
        <v>18</v>
      </c>
      <c r="AR824" s="137" t="s">
        <v>18</v>
      </c>
      <c r="AS824" s="137" t="s">
        <v>18</v>
      </c>
      <c r="AT824" s="137" t="s">
        <v>18</v>
      </c>
      <c r="AU824" s="137" t="s">
        <v>18</v>
      </c>
      <c r="AV824" s="137" t="s">
        <v>18</v>
      </c>
      <c r="AW824" s="137" t="s">
        <v>18</v>
      </c>
      <c r="AX824" s="137" t="s">
        <v>18</v>
      </c>
      <c r="AY824" s="137" t="s">
        <v>18</v>
      </c>
      <c r="AZ824" s="137" t="s">
        <v>18</v>
      </c>
      <c r="BA824" s="137" t="s">
        <v>18</v>
      </c>
      <c r="BB824" s="137" t="s">
        <v>18</v>
      </c>
      <c r="BC824" s="137" t="s">
        <v>18</v>
      </c>
    </row>
    <row r="825" spans="1:55" ht="15.75" customHeight="1" x14ac:dyDescent="0.2">
      <c r="A825" s="128">
        <v>5460</v>
      </c>
      <c r="B825" s="136" t="s">
        <v>16</v>
      </c>
      <c r="C825" s="171">
        <v>0</v>
      </c>
      <c r="D825" s="137">
        <v>0</v>
      </c>
      <c r="E825" s="137">
        <v>0</v>
      </c>
      <c r="F825" s="172">
        <v>0</v>
      </c>
      <c r="G825" s="137">
        <v>0</v>
      </c>
      <c r="H825" s="137">
        <v>0</v>
      </c>
      <c r="I825" s="137">
        <v>0</v>
      </c>
      <c r="J825" s="172">
        <v>0</v>
      </c>
      <c r="K825" s="137">
        <v>0</v>
      </c>
      <c r="L825" s="137">
        <v>0</v>
      </c>
      <c r="M825" s="172">
        <v>0</v>
      </c>
      <c r="N825" s="137">
        <v>0</v>
      </c>
      <c r="O825" s="172">
        <v>0</v>
      </c>
      <c r="P825" s="137">
        <v>0</v>
      </c>
      <c r="Q825" s="137">
        <v>0</v>
      </c>
      <c r="R825" s="137">
        <v>0</v>
      </c>
      <c r="S825" s="137">
        <v>0</v>
      </c>
      <c r="T825" s="172">
        <v>0</v>
      </c>
      <c r="U825" s="137">
        <v>0</v>
      </c>
      <c r="V825" s="137">
        <v>0</v>
      </c>
      <c r="W825" s="137">
        <v>0</v>
      </c>
      <c r="X825" s="172">
        <v>0</v>
      </c>
      <c r="Y825" s="137">
        <v>0</v>
      </c>
      <c r="Z825" s="137">
        <v>0</v>
      </c>
      <c r="AA825" s="172">
        <v>0</v>
      </c>
      <c r="AB825" s="137">
        <v>0</v>
      </c>
      <c r="AC825" s="137">
        <v>0</v>
      </c>
      <c r="AD825" s="137">
        <v>2340</v>
      </c>
      <c r="AE825" s="172">
        <v>0</v>
      </c>
      <c r="AF825" s="137">
        <v>0</v>
      </c>
      <c r="AG825" s="137">
        <v>1560</v>
      </c>
      <c r="AH825" s="172">
        <v>0</v>
      </c>
      <c r="AI825" s="137">
        <v>0</v>
      </c>
      <c r="AJ825" s="137">
        <v>1560</v>
      </c>
      <c r="AK825" s="172" t="s">
        <v>18</v>
      </c>
      <c r="AL825" s="137" t="s">
        <v>18</v>
      </c>
      <c r="AM825" s="137" t="s">
        <v>18</v>
      </c>
      <c r="AN825" s="137" t="s">
        <v>18</v>
      </c>
      <c r="AO825" s="137" t="s">
        <v>18</v>
      </c>
      <c r="AP825" s="137" t="s">
        <v>18</v>
      </c>
      <c r="AQ825" s="137" t="s">
        <v>18</v>
      </c>
      <c r="AR825" s="137" t="s">
        <v>18</v>
      </c>
      <c r="AS825" s="137" t="s">
        <v>18</v>
      </c>
      <c r="AT825" s="137" t="s">
        <v>18</v>
      </c>
      <c r="AU825" s="137" t="s">
        <v>18</v>
      </c>
      <c r="AV825" s="137" t="s">
        <v>18</v>
      </c>
      <c r="AW825" s="137" t="s">
        <v>18</v>
      </c>
      <c r="AX825" s="137" t="s">
        <v>18</v>
      </c>
      <c r="AY825" s="137" t="s">
        <v>18</v>
      </c>
      <c r="AZ825" s="137" t="s">
        <v>18</v>
      </c>
      <c r="BA825" s="137" t="s">
        <v>18</v>
      </c>
      <c r="BB825" s="137" t="s">
        <v>18</v>
      </c>
      <c r="BC825" s="137" t="s">
        <v>18</v>
      </c>
    </row>
    <row r="826" spans="1:55" ht="15.75" customHeight="1" x14ac:dyDescent="0.2">
      <c r="A826" s="138">
        <v>0.22941176470588234</v>
      </c>
      <c r="B826" s="139" t="s">
        <v>17</v>
      </c>
      <c r="C826" s="180" t="s">
        <v>18</v>
      </c>
      <c r="D826" s="141" t="s">
        <v>18</v>
      </c>
      <c r="E826" s="141" t="s">
        <v>18</v>
      </c>
      <c r="F826" s="181" t="s">
        <v>18</v>
      </c>
      <c r="G826" s="141" t="s">
        <v>18</v>
      </c>
      <c r="H826" s="141" t="s">
        <v>18</v>
      </c>
      <c r="I826" s="141" t="s">
        <v>18</v>
      </c>
      <c r="J826" s="181" t="s">
        <v>18</v>
      </c>
      <c r="K826" s="141" t="s">
        <v>18</v>
      </c>
      <c r="L826" s="141" t="s">
        <v>18</v>
      </c>
      <c r="M826" s="181" t="s">
        <v>18</v>
      </c>
      <c r="N826" s="141" t="s">
        <v>18</v>
      </c>
      <c r="O826" s="181" t="s">
        <v>18</v>
      </c>
      <c r="P826" s="141" t="s">
        <v>18</v>
      </c>
      <c r="Q826" s="141" t="s">
        <v>18</v>
      </c>
      <c r="R826" s="141" t="s">
        <v>18</v>
      </c>
      <c r="S826" s="141" t="s">
        <v>18</v>
      </c>
      <c r="T826" s="181" t="s">
        <v>18</v>
      </c>
      <c r="U826" s="141" t="s">
        <v>18</v>
      </c>
      <c r="V826" s="141" t="s">
        <v>18</v>
      </c>
      <c r="W826" s="141" t="s">
        <v>18</v>
      </c>
      <c r="X826" s="181" t="s">
        <v>18</v>
      </c>
      <c r="Y826" s="141" t="s">
        <v>18</v>
      </c>
      <c r="Z826" s="141" t="s">
        <v>18</v>
      </c>
      <c r="AA826" s="181" t="s">
        <v>18</v>
      </c>
      <c r="AB826" s="141" t="s">
        <v>18</v>
      </c>
      <c r="AC826" s="141" t="s">
        <v>18</v>
      </c>
      <c r="AD826" s="141">
        <v>0.19024390243902439</v>
      </c>
      <c r="AE826" s="181" t="s">
        <v>18</v>
      </c>
      <c r="AF826" s="141" t="s">
        <v>18</v>
      </c>
      <c r="AG826" s="141">
        <v>0.17727272727272728</v>
      </c>
      <c r="AH826" s="181" t="s">
        <v>18</v>
      </c>
      <c r="AI826" s="141" t="s">
        <v>18</v>
      </c>
      <c r="AJ826" s="141">
        <v>0.57777777777777772</v>
      </c>
      <c r="AK826" s="181" t="s">
        <v>18</v>
      </c>
      <c r="AL826" s="141" t="s">
        <v>18</v>
      </c>
      <c r="AM826" s="141" t="s">
        <v>18</v>
      </c>
      <c r="AN826" s="141" t="s">
        <v>18</v>
      </c>
      <c r="AO826" s="141" t="s">
        <v>18</v>
      </c>
      <c r="AP826" s="141" t="s">
        <v>18</v>
      </c>
      <c r="AQ826" s="141" t="s">
        <v>18</v>
      </c>
      <c r="AR826" s="141" t="s">
        <v>18</v>
      </c>
      <c r="AS826" s="141" t="s">
        <v>18</v>
      </c>
      <c r="AT826" s="141" t="s">
        <v>18</v>
      </c>
      <c r="AU826" s="141" t="s">
        <v>18</v>
      </c>
      <c r="AV826" s="141" t="s">
        <v>18</v>
      </c>
      <c r="AW826" s="141" t="s">
        <v>18</v>
      </c>
      <c r="AX826" s="141" t="s">
        <v>18</v>
      </c>
      <c r="AY826" s="141" t="s">
        <v>18</v>
      </c>
      <c r="AZ826" s="141" t="s">
        <v>18</v>
      </c>
      <c r="BA826" s="141" t="s">
        <v>18</v>
      </c>
      <c r="BB826" s="141" t="s">
        <v>18</v>
      </c>
      <c r="BC826" s="141" t="s">
        <v>18</v>
      </c>
    </row>
    <row r="827" spans="1:55" ht="15.75" customHeight="1" x14ac:dyDescent="0.2">
      <c r="A827" s="151"/>
      <c r="B827" s="152" t="s">
        <v>0</v>
      </c>
      <c r="C827" s="153">
        <v>46006</v>
      </c>
      <c r="D827" s="153">
        <v>46007</v>
      </c>
      <c r="E827" s="153">
        <v>46008</v>
      </c>
      <c r="F827" s="153">
        <v>46009</v>
      </c>
      <c r="G827" s="153">
        <v>46010</v>
      </c>
      <c r="H827" s="153">
        <v>46011</v>
      </c>
      <c r="I827" s="153">
        <v>46012</v>
      </c>
      <c r="J827" s="153">
        <v>46013</v>
      </c>
      <c r="K827" s="153">
        <v>46014</v>
      </c>
      <c r="L827" s="153">
        <v>46015</v>
      </c>
      <c r="M827" s="153">
        <v>46016</v>
      </c>
      <c r="N827" s="153">
        <v>46017</v>
      </c>
      <c r="O827" s="153">
        <v>46018</v>
      </c>
      <c r="P827" s="153">
        <v>46019</v>
      </c>
      <c r="Q827" s="153">
        <v>46020</v>
      </c>
      <c r="R827" s="153">
        <v>46021</v>
      </c>
      <c r="S827" s="153">
        <v>46022</v>
      </c>
      <c r="T827" s="153">
        <v>46023</v>
      </c>
      <c r="U827" s="153">
        <v>46024</v>
      </c>
      <c r="V827" s="153">
        <v>46025</v>
      </c>
      <c r="W827" s="153">
        <v>46026</v>
      </c>
      <c r="X827" s="153">
        <v>46027</v>
      </c>
      <c r="Y827" s="153">
        <v>46028</v>
      </c>
      <c r="Z827" s="153">
        <v>46029</v>
      </c>
      <c r="AA827" s="153">
        <v>46030</v>
      </c>
      <c r="AB827" s="153">
        <v>46031</v>
      </c>
      <c r="AC827" s="153">
        <v>46032</v>
      </c>
      <c r="AD827" s="153">
        <v>46033</v>
      </c>
      <c r="AE827" s="153">
        <v>46034</v>
      </c>
      <c r="AF827" s="153">
        <v>46035</v>
      </c>
      <c r="AG827" s="153">
        <v>46036</v>
      </c>
      <c r="AH827" s="153">
        <v>46037</v>
      </c>
      <c r="AI827" s="153">
        <v>46038</v>
      </c>
      <c r="AJ827" s="153">
        <v>46039</v>
      </c>
      <c r="AK827" s="153">
        <v>46040</v>
      </c>
      <c r="AL827" s="153">
        <v>46041</v>
      </c>
      <c r="AM827" s="153">
        <v>46042</v>
      </c>
      <c r="AN827" s="153">
        <v>46043</v>
      </c>
      <c r="AO827" s="153">
        <v>46044</v>
      </c>
      <c r="AP827" s="153">
        <v>46045</v>
      </c>
      <c r="AQ827" s="153">
        <v>46046</v>
      </c>
      <c r="AR827" s="153">
        <v>46047</v>
      </c>
      <c r="AS827" s="153">
        <v>46048</v>
      </c>
      <c r="AT827" s="153">
        <v>46049</v>
      </c>
      <c r="AU827" s="153">
        <v>46050</v>
      </c>
      <c r="AV827" s="153">
        <v>46051</v>
      </c>
      <c r="AW827" s="153">
        <v>46052</v>
      </c>
      <c r="AX827" s="153">
        <v>46053</v>
      </c>
      <c r="AY827" s="188"/>
      <c r="AZ827" s="188"/>
      <c r="BA827" s="188"/>
      <c r="BB827" s="188"/>
      <c r="BC827" s="188"/>
    </row>
    <row r="828" spans="1:55" ht="15.75" customHeight="1" x14ac:dyDescent="0.25">
      <c r="A828" s="116" t="s">
        <v>1</v>
      </c>
      <c r="B828" s="117" t="s">
        <v>53</v>
      </c>
      <c r="C828" s="119"/>
      <c r="D828" s="119"/>
      <c r="E828" s="119"/>
      <c r="F828" s="119">
        <v>5276</v>
      </c>
      <c r="G828" s="168">
        <v>5277</v>
      </c>
      <c r="H828" s="119">
        <v>5286</v>
      </c>
      <c r="I828" s="119">
        <v>5291</v>
      </c>
      <c r="J828" s="119">
        <v>5304</v>
      </c>
      <c r="K828" s="119">
        <v>5307</v>
      </c>
      <c r="L828" s="119">
        <v>5311</v>
      </c>
      <c r="M828" s="119">
        <v>5322</v>
      </c>
      <c r="N828" s="119">
        <v>5325</v>
      </c>
      <c r="O828" s="119">
        <v>5334</v>
      </c>
      <c r="P828" s="119">
        <v>5361</v>
      </c>
      <c r="Q828" s="119">
        <v>5380</v>
      </c>
      <c r="R828" s="119">
        <v>5396</v>
      </c>
      <c r="S828" s="119">
        <v>5407</v>
      </c>
      <c r="T828" s="119">
        <v>5409</v>
      </c>
      <c r="U828" s="119">
        <v>5446</v>
      </c>
      <c r="V828" s="119">
        <v>5449</v>
      </c>
      <c r="W828" s="119">
        <v>5454</v>
      </c>
      <c r="X828" s="119">
        <v>5454</v>
      </c>
      <c r="Y828" s="119">
        <v>5476</v>
      </c>
      <c r="Z828" s="119">
        <v>5481</v>
      </c>
      <c r="AA828" s="119">
        <v>5492</v>
      </c>
      <c r="AB828" s="119">
        <v>5504</v>
      </c>
      <c r="AC828" s="119">
        <v>5523</v>
      </c>
      <c r="AD828" s="119">
        <v>5536</v>
      </c>
      <c r="AE828" s="119">
        <v>5548</v>
      </c>
      <c r="AF828" s="119">
        <v>5562</v>
      </c>
      <c r="AG828" s="119">
        <v>5574</v>
      </c>
      <c r="AH828" s="119">
        <v>5581</v>
      </c>
      <c r="AI828" s="119">
        <v>5581</v>
      </c>
      <c r="AJ828" s="119">
        <v>5581</v>
      </c>
      <c r="AK828" s="119">
        <v>5610</v>
      </c>
      <c r="AL828" s="119">
        <v>5623</v>
      </c>
      <c r="AM828" s="119">
        <v>5627</v>
      </c>
      <c r="AN828" s="119">
        <v>5630</v>
      </c>
      <c r="AO828" s="119">
        <v>5630</v>
      </c>
      <c r="AP828" s="119">
        <v>5641</v>
      </c>
      <c r="AQ828" s="119">
        <v>5648</v>
      </c>
      <c r="AR828" s="119">
        <v>5664</v>
      </c>
      <c r="AS828" s="119">
        <v>5667</v>
      </c>
      <c r="AT828" s="119">
        <v>5682</v>
      </c>
      <c r="AU828" s="119">
        <v>5690</v>
      </c>
      <c r="AV828" s="119"/>
      <c r="AW828" s="119"/>
      <c r="AX828" s="119"/>
      <c r="AY828" s="161"/>
      <c r="AZ828" s="161"/>
      <c r="BA828" s="161"/>
      <c r="BB828" s="161"/>
      <c r="BC828" s="161"/>
    </row>
    <row r="829" spans="1:55" ht="15.75" customHeight="1" x14ac:dyDescent="0.25">
      <c r="A829" s="121" t="s">
        <v>54</v>
      </c>
      <c r="B829" s="122" t="s">
        <v>55</v>
      </c>
      <c r="C829" s="124"/>
      <c r="D829" s="124"/>
      <c r="E829" s="124"/>
      <c r="F829" s="124">
        <v>1522</v>
      </c>
      <c r="G829" s="171">
        <v>1522</v>
      </c>
      <c r="H829" s="124">
        <v>1525</v>
      </c>
      <c r="I829" s="124">
        <v>1526</v>
      </c>
      <c r="J829" s="124">
        <v>1530</v>
      </c>
      <c r="K829" s="124">
        <v>1531</v>
      </c>
      <c r="L829" s="124">
        <v>1531</v>
      </c>
      <c r="M829" s="124">
        <v>1533</v>
      </c>
      <c r="N829" s="124">
        <v>1534</v>
      </c>
      <c r="O829" s="124">
        <v>1536</v>
      </c>
      <c r="P829" s="124">
        <v>1541</v>
      </c>
      <c r="Q829" s="124">
        <v>1548</v>
      </c>
      <c r="R829" s="124">
        <v>1553</v>
      </c>
      <c r="S829" s="124">
        <v>1553</v>
      </c>
      <c r="T829" s="124">
        <v>1560</v>
      </c>
      <c r="U829" s="124">
        <v>1568</v>
      </c>
      <c r="V829" s="124">
        <v>1568</v>
      </c>
      <c r="W829" s="124">
        <v>1569</v>
      </c>
      <c r="X829" s="124">
        <v>1569</v>
      </c>
      <c r="Y829" s="124">
        <v>1569</v>
      </c>
      <c r="Z829" s="124">
        <v>1569</v>
      </c>
      <c r="AA829" s="124">
        <v>1569</v>
      </c>
      <c r="AB829" s="124">
        <v>1573</v>
      </c>
      <c r="AC829" s="124">
        <v>1573</v>
      </c>
      <c r="AD829" s="124">
        <v>1573</v>
      </c>
      <c r="AE829" s="124">
        <v>1582</v>
      </c>
      <c r="AF829" s="124">
        <v>1587</v>
      </c>
      <c r="AG829" s="124">
        <v>1591</v>
      </c>
      <c r="AH829" s="124">
        <v>1592</v>
      </c>
      <c r="AI829" s="124">
        <v>1592</v>
      </c>
      <c r="AJ829" s="124">
        <v>1592</v>
      </c>
      <c r="AK829" s="124">
        <v>1596</v>
      </c>
      <c r="AL829" s="124">
        <v>1601</v>
      </c>
      <c r="AM829" s="124">
        <v>1601</v>
      </c>
      <c r="AN829" s="124">
        <v>1601</v>
      </c>
      <c r="AO829" s="124">
        <v>1601</v>
      </c>
      <c r="AP829" s="124">
        <v>1602</v>
      </c>
      <c r="AQ829" s="124">
        <v>1603</v>
      </c>
      <c r="AR829" s="124">
        <v>1604</v>
      </c>
      <c r="AS829" s="124">
        <v>1604</v>
      </c>
      <c r="AT829" s="124">
        <v>1609</v>
      </c>
      <c r="AU829" s="124">
        <v>1610</v>
      </c>
      <c r="AV829" s="124"/>
      <c r="AW829" s="124"/>
      <c r="AX829" s="124"/>
      <c r="AY829" s="161"/>
      <c r="AZ829" s="161"/>
      <c r="BA829" s="161"/>
      <c r="BB829" s="161"/>
      <c r="BC829" s="161"/>
    </row>
    <row r="830" spans="1:55" ht="15.75" customHeight="1" x14ac:dyDescent="0.25">
      <c r="A830" s="126">
        <v>414000</v>
      </c>
      <c r="B830" s="122" t="s">
        <v>56</v>
      </c>
      <c r="C830" s="124"/>
      <c r="D830" s="124"/>
      <c r="E830" s="124"/>
      <c r="F830" s="124">
        <v>2373</v>
      </c>
      <c r="G830" s="171">
        <v>2374</v>
      </c>
      <c r="H830" s="124">
        <v>2377</v>
      </c>
      <c r="I830" s="124">
        <v>2380</v>
      </c>
      <c r="J830" s="124">
        <v>2385</v>
      </c>
      <c r="K830" s="124">
        <v>2386</v>
      </c>
      <c r="L830" s="124">
        <v>2390</v>
      </c>
      <c r="M830" s="124">
        <v>2397</v>
      </c>
      <c r="N830" s="124">
        <v>2398</v>
      </c>
      <c r="O830" s="124">
        <v>2403</v>
      </c>
      <c r="P830" s="124">
        <v>2420</v>
      </c>
      <c r="Q830" s="124">
        <v>2425</v>
      </c>
      <c r="R830" s="124">
        <v>2431</v>
      </c>
      <c r="S830" s="124">
        <v>2442</v>
      </c>
      <c r="T830" s="124">
        <v>2442</v>
      </c>
      <c r="U830" s="124">
        <v>2463</v>
      </c>
      <c r="V830" s="124">
        <v>2466</v>
      </c>
      <c r="W830" s="124">
        <v>2468</v>
      </c>
      <c r="X830" s="124">
        <v>2468</v>
      </c>
      <c r="Y830" s="124">
        <v>2490</v>
      </c>
      <c r="Z830" s="124">
        <v>2495</v>
      </c>
      <c r="AA830" s="124">
        <v>2506</v>
      </c>
      <c r="AB830" s="124">
        <v>2510</v>
      </c>
      <c r="AC830" s="124">
        <v>2529</v>
      </c>
      <c r="AD830" s="124">
        <v>2542</v>
      </c>
      <c r="AE830" s="124">
        <v>2546</v>
      </c>
      <c r="AF830" s="124">
        <v>2550</v>
      </c>
      <c r="AG830" s="124">
        <v>2554</v>
      </c>
      <c r="AH830" s="124">
        <v>2559</v>
      </c>
      <c r="AI830" s="124">
        <v>2559</v>
      </c>
      <c r="AJ830" s="124">
        <v>2559</v>
      </c>
      <c r="AK830" s="124">
        <v>2580</v>
      </c>
      <c r="AL830" s="124">
        <v>2583</v>
      </c>
      <c r="AM830" s="124">
        <v>2587</v>
      </c>
      <c r="AN830" s="124">
        <v>2590</v>
      </c>
      <c r="AO830" s="124">
        <v>2590</v>
      </c>
      <c r="AP830" s="124">
        <v>2599</v>
      </c>
      <c r="AQ830" s="124">
        <v>2604</v>
      </c>
      <c r="AR830" s="124">
        <v>2618</v>
      </c>
      <c r="AS830" s="124">
        <v>2621</v>
      </c>
      <c r="AT830" s="124">
        <v>2626</v>
      </c>
      <c r="AU830" s="124">
        <v>2632</v>
      </c>
      <c r="AV830" s="124"/>
      <c r="AW830" s="124"/>
      <c r="AX830" s="124"/>
      <c r="AY830" s="161"/>
      <c r="AZ830" s="161"/>
      <c r="BA830" s="161"/>
      <c r="BB830" s="161"/>
      <c r="BC830" s="161"/>
    </row>
    <row r="831" spans="1:55" ht="15.75" customHeight="1" x14ac:dyDescent="0.25">
      <c r="A831" s="127" t="s">
        <v>9</v>
      </c>
      <c r="B831" s="122" t="s">
        <v>6</v>
      </c>
      <c r="C831" s="124"/>
      <c r="D831" s="124"/>
      <c r="E831" s="124"/>
      <c r="F831" s="124"/>
      <c r="G831" s="171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  <c r="AC831" s="124"/>
      <c r="AD831" s="124"/>
      <c r="AE831" s="124"/>
      <c r="AF831" s="124"/>
      <c r="AG831" s="124"/>
      <c r="AH831" s="124"/>
      <c r="AI831" s="124"/>
      <c r="AJ831" s="124"/>
      <c r="AK831" s="124"/>
      <c r="AL831" s="124"/>
      <c r="AM831" s="124"/>
      <c r="AN831" s="124"/>
      <c r="AO831" s="124"/>
      <c r="AP831" s="124"/>
      <c r="AQ831" s="124"/>
      <c r="AR831" s="124"/>
      <c r="AS831" s="124"/>
      <c r="AT831" s="124"/>
      <c r="AU831" s="124"/>
      <c r="AV831" s="124"/>
      <c r="AW831" s="124"/>
      <c r="AX831" s="124"/>
      <c r="AY831" s="161"/>
      <c r="AZ831" s="161"/>
      <c r="BA831" s="161"/>
      <c r="BB831" s="161"/>
      <c r="BC831" s="161"/>
    </row>
    <row r="832" spans="1:55" ht="15.75" customHeight="1" x14ac:dyDescent="0.25">
      <c r="A832" s="128">
        <v>303428.57142857142</v>
      </c>
      <c r="B832" s="122" t="s">
        <v>8</v>
      </c>
      <c r="C832" s="124"/>
      <c r="D832" s="124"/>
      <c r="E832" s="124"/>
      <c r="F832" s="124"/>
      <c r="G832" s="171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  <c r="AC832" s="124"/>
      <c r="AD832" s="124"/>
      <c r="AE832" s="124"/>
      <c r="AF832" s="124"/>
      <c r="AG832" s="124"/>
      <c r="AH832" s="124"/>
      <c r="AI832" s="124"/>
      <c r="AJ832" s="124"/>
      <c r="AK832" s="124"/>
      <c r="AL832" s="124"/>
      <c r="AM832" s="124"/>
      <c r="AN832" s="124"/>
      <c r="AO832" s="124"/>
      <c r="AP832" s="124"/>
      <c r="AQ832" s="124"/>
      <c r="AR832" s="124"/>
      <c r="AS832" s="124"/>
      <c r="AT832" s="124"/>
      <c r="AU832" s="124"/>
      <c r="AV832" s="124"/>
      <c r="AW832" s="124"/>
      <c r="AX832" s="124"/>
      <c r="AY832" s="161"/>
      <c r="AZ832" s="161"/>
      <c r="BA832" s="161"/>
      <c r="BB832" s="161"/>
      <c r="BC832" s="161"/>
    </row>
    <row r="833" spans="1:55" ht="15.75" customHeight="1" x14ac:dyDescent="0.25">
      <c r="A833" s="126"/>
      <c r="B833" s="132" t="s">
        <v>57</v>
      </c>
      <c r="C833" s="134"/>
      <c r="D833" s="134"/>
      <c r="E833" s="134"/>
      <c r="F833" s="134"/>
      <c r="G833" s="177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  <c r="AN833" s="134"/>
      <c r="AO833" s="134"/>
      <c r="AP833" s="134"/>
      <c r="AQ833" s="134"/>
      <c r="AR833" s="134"/>
      <c r="AS833" s="134"/>
      <c r="AT833" s="134"/>
      <c r="AU833" s="134"/>
      <c r="AV833" s="134"/>
      <c r="AW833" s="134"/>
      <c r="AX833" s="134"/>
      <c r="AY833" s="189"/>
      <c r="AZ833" s="189"/>
      <c r="BA833" s="189"/>
      <c r="BB833" s="189"/>
      <c r="BC833" s="189"/>
    </row>
    <row r="834" spans="1:55" ht="15.75" customHeight="1" x14ac:dyDescent="0.25">
      <c r="A834" s="154"/>
      <c r="B834" s="122" t="s">
        <v>58</v>
      </c>
      <c r="C834" s="124"/>
      <c r="D834" s="124"/>
      <c r="E834" s="124"/>
      <c r="F834" s="124"/>
      <c r="G834" s="171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  <c r="AC834" s="124"/>
      <c r="AD834" s="124"/>
      <c r="AE834" s="124"/>
      <c r="AF834" s="124"/>
      <c r="AG834" s="124"/>
      <c r="AH834" s="124"/>
      <c r="AI834" s="124"/>
      <c r="AJ834" s="124"/>
      <c r="AK834" s="124"/>
      <c r="AL834" s="124"/>
      <c r="AM834" s="124"/>
      <c r="AN834" s="124"/>
      <c r="AO834" s="124"/>
      <c r="AP834" s="124"/>
      <c r="AQ834" s="124"/>
      <c r="AR834" s="124"/>
      <c r="AS834" s="124"/>
      <c r="AT834" s="124"/>
      <c r="AU834" s="124"/>
      <c r="AV834" s="124"/>
      <c r="AW834" s="124"/>
      <c r="AX834" s="124"/>
      <c r="AY834" s="161"/>
      <c r="AZ834" s="161"/>
      <c r="BA834" s="161"/>
      <c r="BB834" s="161"/>
      <c r="BC834" s="161"/>
    </row>
    <row r="835" spans="1:55" ht="15.75" customHeight="1" x14ac:dyDescent="0.25">
      <c r="A835" s="128">
        <v>414</v>
      </c>
      <c r="B835" s="155" t="s">
        <v>59</v>
      </c>
      <c r="C835" s="156"/>
      <c r="D835" s="156"/>
      <c r="E835" s="156"/>
      <c r="F835" s="156"/>
      <c r="G835" s="171">
        <v>1</v>
      </c>
      <c r="H835" s="156">
        <v>9</v>
      </c>
      <c r="I835" s="156">
        <v>5</v>
      </c>
      <c r="J835" s="156">
        <v>13</v>
      </c>
      <c r="K835" s="156">
        <v>3</v>
      </c>
      <c r="L835" s="156">
        <v>4</v>
      </c>
      <c r="M835" s="156">
        <v>11</v>
      </c>
      <c r="N835" s="156">
        <v>3</v>
      </c>
      <c r="O835" s="156">
        <v>9</v>
      </c>
      <c r="P835" s="156">
        <v>27</v>
      </c>
      <c r="Q835" s="156">
        <v>19</v>
      </c>
      <c r="R835" s="156">
        <v>16</v>
      </c>
      <c r="S835" s="156">
        <v>11</v>
      </c>
      <c r="T835" s="156">
        <v>2</v>
      </c>
      <c r="U835" s="156">
        <v>37</v>
      </c>
      <c r="V835" s="156">
        <v>3</v>
      </c>
      <c r="W835" s="156">
        <v>5</v>
      </c>
      <c r="X835" s="156">
        <v>0</v>
      </c>
      <c r="Y835" s="156">
        <v>22</v>
      </c>
      <c r="Z835" s="156">
        <v>5</v>
      </c>
      <c r="AA835" s="156">
        <v>11</v>
      </c>
      <c r="AB835" s="156">
        <v>12</v>
      </c>
      <c r="AC835" s="156">
        <v>19</v>
      </c>
      <c r="AD835" s="156">
        <v>13</v>
      </c>
      <c r="AE835" s="156">
        <v>12</v>
      </c>
      <c r="AF835" s="156">
        <v>14</v>
      </c>
      <c r="AG835" s="156">
        <v>12</v>
      </c>
      <c r="AH835" s="156">
        <v>7</v>
      </c>
      <c r="AI835" s="156">
        <v>0</v>
      </c>
      <c r="AJ835" s="156">
        <v>0</v>
      </c>
      <c r="AK835" s="156">
        <v>29</v>
      </c>
      <c r="AL835" s="156">
        <v>13</v>
      </c>
      <c r="AM835" s="156">
        <v>4</v>
      </c>
      <c r="AN835" s="156">
        <v>3</v>
      </c>
      <c r="AO835" s="156">
        <v>0</v>
      </c>
      <c r="AP835" s="156">
        <v>11</v>
      </c>
      <c r="AQ835" s="156">
        <v>7</v>
      </c>
      <c r="AR835" s="156">
        <v>16</v>
      </c>
      <c r="AS835" s="156">
        <v>3</v>
      </c>
      <c r="AT835" s="156">
        <v>15</v>
      </c>
      <c r="AU835" s="156">
        <v>8</v>
      </c>
      <c r="AV835" s="156" t="s">
        <v>18</v>
      </c>
      <c r="AW835" s="156" t="s">
        <v>18</v>
      </c>
      <c r="AX835" s="156" t="s">
        <v>18</v>
      </c>
      <c r="AY835" s="161"/>
      <c r="AZ835" s="161"/>
      <c r="BA835" s="161"/>
      <c r="BB835" s="161"/>
      <c r="BC835" s="161"/>
    </row>
    <row r="836" spans="1:55" ht="15.75" customHeight="1" x14ac:dyDescent="0.25">
      <c r="A836" s="128">
        <v>79</v>
      </c>
      <c r="B836" s="155" t="s">
        <v>60</v>
      </c>
      <c r="C836" s="156"/>
      <c r="D836" s="156"/>
      <c r="E836" s="156"/>
      <c r="F836" s="156"/>
      <c r="G836" s="171">
        <v>0</v>
      </c>
      <c r="H836" s="156">
        <v>3</v>
      </c>
      <c r="I836" s="156">
        <v>1</v>
      </c>
      <c r="J836" s="156">
        <v>4</v>
      </c>
      <c r="K836" s="156">
        <v>1</v>
      </c>
      <c r="L836" s="156">
        <v>0</v>
      </c>
      <c r="M836" s="156">
        <v>2</v>
      </c>
      <c r="N836" s="156">
        <v>1</v>
      </c>
      <c r="O836" s="156">
        <v>2</v>
      </c>
      <c r="P836" s="156">
        <v>5</v>
      </c>
      <c r="Q836" s="156">
        <v>7</v>
      </c>
      <c r="R836" s="156">
        <v>5</v>
      </c>
      <c r="S836" s="156">
        <v>0</v>
      </c>
      <c r="T836" s="156">
        <v>7</v>
      </c>
      <c r="U836" s="156">
        <v>8</v>
      </c>
      <c r="V836" s="156">
        <v>0</v>
      </c>
      <c r="W836" s="156">
        <v>1</v>
      </c>
      <c r="X836" s="156">
        <v>0</v>
      </c>
      <c r="Y836" s="156">
        <v>0</v>
      </c>
      <c r="Z836" s="156">
        <v>0</v>
      </c>
      <c r="AA836" s="156">
        <v>0</v>
      </c>
      <c r="AB836" s="156">
        <v>4</v>
      </c>
      <c r="AC836" s="156">
        <v>0</v>
      </c>
      <c r="AD836" s="156">
        <v>0</v>
      </c>
      <c r="AE836" s="156">
        <v>9</v>
      </c>
      <c r="AF836" s="156">
        <v>5</v>
      </c>
      <c r="AG836" s="156">
        <v>4</v>
      </c>
      <c r="AH836" s="156">
        <v>1</v>
      </c>
      <c r="AI836" s="156">
        <v>0</v>
      </c>
      <c r="AJ836" s="156">
        <v>0</v>
      </c>
      <c r="AK836" s="156">
        <v>4</v>
      </c>
      <c r="AL836" s="156">
        <v>5</v>
      </c>
      <c r="AM836" s="156">
        <v>0</v>
      </c>
      <c r="AN836" s="156">
        <v>0</v>
      </c>
      <c r="AO836" s="156">
        <v>0</v>
      </c>
      <c r="AP836" s="156">
        <v>1</v>
      </c>
      <c r="AQ836" s="156">
        <v>1</v>
      </c>
      <c r="AR836" s="156">
        <v>1</v>
      </c>
      <c r="AS836" s="156">
        <v>0</v>
      </c>
      <c r="AT836" s="156">
        <v>5</v>
      </c>
      <c r="AU836" s="156">
        <v>1</v>
      </c>
      <c r="AV836" s="156" t="s">
        <v>18</v>
      </c>
      <c r="AW836" s="156" t="s">
        <v>18</v>
      </c>
      <c r="AX836" s="156" t="s">
        <v>18</v>
      </c>
      <c r="AY836" s="161"/>
      <c r="AZ836" s="161"/>
      <c r="BA836" s="161"/>
      <c r="BB836" s="161"/>
      <c r="BC836" s="161"/>
    </row>
    <row r="837" spans="1:55" ht="15.75" customHeight="1" x14ac:dyDescent="0.25">
      <c r="A837" s="128">
        <v>217</v>
      </c>
      <c r="B837" s="155" t="s">
        <v>61</v>
      </c>
      <c r="C837" s="156"/>
      <c r="D837" s="156"/>
      <c r="E837" s="156"/>
      <c r="F837" s="156"/>
      <c r="G837" s="171">
        <v>1</v>
      </c>
      <c r="H837" s="156">
        <v>3</v>
      </c>
      <c r="I837" s="156">
        <v>3</v>
      </c>
      <c r="J837" s="156">
        <v>5</v>
      </c>
      <c r="K837" s="156">
        <v>1</v>
      </c>
      <c r="L837" s="156">
        <v>4</v>
      </c>
      <c r="M837" s="156">
        <v>7</v>
      </c>
      <c r="N837" s="156">
        <v>1</v>
      </c>
      <c r="O837" s="156">
        <v>5</v>
      </c>
      <c r="P837" s="156">
        <v>17</v>
      </c>
      <c r="Q837" s="156">
        <v>5</v>
      </c>
      <c r="R837" s="156">
        <v>6</v>
      </c>
      <c r="S837" s="156">
        <v>11</v>
      </c>
      <c r="T837" s="156">
        <v>0</v>
      </c>
      <c r="U837" s="156">
        <v>21</v>
      </c>
      <c r="V837" s="156">
        <v>3</v>
      </c>
      <c r="W837" s="156">
        <v>2</v>
      </c>
      <c r="X837" s="156">
        <v>0</v>
      </c>
      <c r="Y837" s="156">
        <v>22</v>
      </c>
      <c r="Z837" s="156">
        <v>5</v>
      </c>
      <c r="AA837" s="156">
        <v>11</v>
      </c>
      <c r="AB837" s="156">
        <v>4</v>
      </c>
      <c r="AC837" s="156">
        <v>19</v>
      </c>
      <c r="AD837" s="156">
        <v>13</v>
      </c>
      <c r="AE837" s="156">
        <v>4</v>
      </c>
      <c r="AF837" s="156">
        <v>4</v>
      </c>
      <c r="AG837" s="156">
        <v>4</v>
      </c>
      <c r="AH837" s="156">
        <v>5</v>
      </c>
      <c r="AI837" s="156">
        <v>0</v>
      </c>
      <c r="AJ837" s="156">
        <v>0</v>
      </c>
      <c r="AK837" s="156">
        <v>21</v>
      </c>
      <c r="AL837" s="156">
        <v>3</v>
      </c>
      <c r="AM837" s="156">
        <v>4</v>
      </c>
      <c r="AN837" s="156">
        <v>3</v>
      </c>
      <c r="AO837" s="156">
        <v>0</v>
      </c>
      <c r="AP837" s="156">
        <v>9</v>
      </c>
      <c r="AQ837" s="156">
        <v>5</v>
      </c>
      <c r="AR837" s="156">
        <v>14</v>
      </c>
      <c r="AS837" s="156">
        <v>3</v>
      </c>
      <c r="AT837" s="156">
        <v>5</v>
      </c>
      <c r="AU837" s="156">
        <v>6</v>
      </c>
      <c r="AV837" s="156" t="s">
        <v>18</v>
      </c>
      <c r="AW837" s="156" t="s">
        <v>18</v>
      </c>
      <c r="AX837" s="156" t="s">
        <v>18</v>
      </c>
      <c r="AY837" s="161"/>
      <c r="AZ837" s="161"/>
      <c r="BA837" s="161"/>
      <c r="BB837" s="161"/>
      <c r="BC837" s="161"/>
    </row>
    <row r="838" spans="1:55" ht="15.75" customHeight="1" x14ac:dyDescent="0.25">
      <c r="A838" s="128">
        <v>0</v>
      </c>
      <c r="B838" s="155" t="s">
        <v>16</v>
      </c>
      <c r="C838" s="156"/>
      <c r="D838" s="156"/>
      <c r="E838" s="156"/>
      <c r="F838" s="156"/>
      <c r="G838" s="171" t="s">
        <v>18</v>
      </c>
      <c r="H838" s="156" t="s">
        <v>18</v>
      </c>
      <c r="I838" s="156" t="s">
        <v>18</v>
      </c>
      <c r="J838" s="156" t="s">
        <v>18</v>
      </c>
      <c r="K838" s="156" t="s">
        <v>18</v>
      </c>
      <c r="L838" s="156" t="s">
        <v>18</v>
      </c>
      <c r="M838" s="156" t="s">
        <v>18</v>
      </c>
      <c r="N838" s="156" t="s">
        <v>18</v>
      </c>
      <c r="O838" s="156" t="s">
        <v>18</v>
      </c>
      <c r="P838" s="156" t="s">
        <v>18</v>
      </c>
      <c r="Q838" s="156" t="s">
        <v>18</v>
      </c>
      <c r="R838" s="156" t="s">
        <v>18</v>
      </c>
      <c r="S838" s="156" t="s">
        <v>18</v>
      </c>
      <c r="T838" s="156" t="s">
        <v>18</v>
      </c>
      <c r="U838" s="156" t="s">
        <v>18</v>
      </c>
      <c r="V838" s="156" t="s">
        <v>18</v>
      </c>
      <c r="W838" s="156" t="s">
        <v>18</v>
      </c>
      <c r="X838" s="156" t="s">
        <v>18</v>
      </c>
      <c r="Y838" s="156" t="s">
        <v>18</v>
      </c>
      <c r="Z838" s="156" t="s">
        <v>18</v>
      </c>
      <c r="AA838" s="156" t="s">
        <v>18</v>
      </c>
      <c r="AB838" s="156" t="s">
        <v>18</v>
      </c>
      <c r="AC838" s="156" t="s">
        <v>18</v>
      </c>
      <c r="AD838" s="156" t="s">
        <v>18</v>
      </c>
      <c r="AE838" s="156" t="s">
        <v>18</v>
      </c>
      <c r="AF838" s="156" t="s">
        <v>18</v>
      </c>
      <c r="AG838" s="156" t="s">
        <v>18</v>
      </c>
      <c r="AH838" s="156" t="s">
        <v>18</v>
      </c>
      <c r="AI838" s="156" t="s">
        <v>18</v>
      </c>
      <c r="AJ838" s="156" t="s">
        <v>18</v>
      </c>
      <c r="AK838" s="156" t="s">
        <v>18</v>
      </c>
      <c r="AL838" s="156" t="s">
        <v>18</v>
      </c>
      <c r="AM838" s="156" t="s">
        <v>18</v>
      </c>
      <c r="AN838" s="156" t="s">
        <v>18</v>
      </c>
      <c r="AO838" s="156" t="s">
        <v>18</v>
      </c>
      <c r="AP838" s="156" t="s">
        <v>18</v>
      </c>
      <c r="AQ838" s="156" t="s">
        <v>18</v>
      </c>
      <c r="AR838" s="156" t="s">
        <v>18</v>
      </c>
      <c r="AS838" s="156" t="s">
        <v>18</v>
      </c>
      <c r="AT838" s="156" t="s">
        <v>18</v>
      </c>
      <c r="AU838" s="156" t="s">
        <v>18</v>
      </c>
      <c r="AV838" s="156" t="s">
        <v>18</v>
      </c>
      <c r="AW838" s="156" t="s">
        <v>18</v>
      </c>
      <c r="AX838" s="156" t="s">
        <v>18</v>
      </c>
      <c r="AY838" s="161"/>
      <c r="AZ838" s="161"/>
      <c r="BA838" s="161"/>
      <c r="BB838" s="161"/>
      <c r="BC838" s="161"/>
    </row>
    <row r="839" spans="1:55" ht="15.75" customHeight="1" x14ac:dyDescent="0.25">
      <c r="A839" s="138">
        <v>0</v>
      </c>
      <c r="B839" s="157" t="s">
        <v>17</v>
      </c>
      <c r="C839" s="158"/>
      <c r="D839" s="158"/>
      <c r="E839" s="158"/>
      <c r="F839" s="158"/>
      <c r="G839" s="180" t="s">
        <v>18</v>
      </c>
      <c r="H839" s="158" t="s">
        <v>18</v>
      </c>
      <c r="I839" s="158" t="s">
        <v>18</v>
      </c>
      <c r="J839" s="158" t="s">
        <v>18</v>
      </c>
      <c r="K839" s="158" t="s">
        <v>18</v>
      </c>
      <c r="L839" s="158" t="s">
        <v>18</v>
      </c>
      <c r="M839" s="158" t="s">
        <v>18</v>
      </c>
      <c r="N839" s="158" t="s">
        <v>18</v>
      </c>
      <c r="O839" s="158" t="s">
        <v>18</v>
      </c>
      <c r="P839" s="158" t="s">
        <v>18</v>
      </c>
      <c r="Q839" s="158" t="s">
        <v>18</v>
      </c>
      <c r="R839" s="158" t="s">
        <v>18</v>
      </c>
      <c r="S839" s="158" t="s">
        <v>18</v>
      </c>
      <c r="T839" s="158" t="s">
        <v>18</v>
      </c>
      <c r="U839" s="158" t="s">
        <v>18</v>
      </c>
      <c r="V839" s="158" t="s">
        <v>18</v>
      </c>
      <c r="W839" s="158" t="s">
        <v>18</v>
      </c>
      <c r="X839" s="158" t="s">
        <v>18</v>
      </c>
      <c r="Y839" s="158" t="s">
        <v>18</v>
      </c>
      <c r="Z839" s="158" t="s">
        <v>18</v>
      </c>
      <c r="AA839" s="158" t="s">
        <v>18</v>
      </c>
      <c r="AB839" s="158" t="s">
        <v>18</v>
      </c>
      <c r="AC839" s="158" t="s">
        <v>18</v>
      </c>
      <c r="AD839" s="158" t="s">
        <v>18</v>
      </c>
      <c r="AE839" s="158" t="s">
        <v>18</v>
      </c>
      <c r="AF839" s="158" t="s">
        <v>18</v>
      </c>
      <c r="AG839" s="158" t="s">
        <v>18</v>
      </c>
      <c r="AH839" s="158" t="s">
        <v>18</v>
      </c>
      <c r="AI839" s="158" t="s">
        <v>18</v>
      </c>
      <c r="AJ839" s="158" t="s">
        <v>18</v>
      </c>
      <c r="AK839" s="158" t="s">
        <v>18</v>
      </c>
      <c r="AL839" s="158" t="s">
        <v>18</v>
      </c>
      <c r="AM839" s="158" t="s">
        <v>18</v>
      </c>
      <c r="AN839" s="158" t="s">
        <v>18</v>
      </c>
      <c r="AO839" s="158" t="s">
        <v>18</v>
      </c>
      <c r="AP839" s="158" t="s">
        <v>18</v>
      </c>
      <c r="AQ839" s="158" t="s">
        <v>18</v>
      </c>
      <c r="AR839" s="158" t="s">
        <v>18</v>
      </c>
      <c r="AS839" s="158" t="s">
        <v>18</v>
      </c>
      <c r="AT839" s="158" t="s">
        <v>18</v>
      </c>
      <c r="AU839" s="158" t="s">
        <v>18</v>
      </c>
      <c r="AV839" s="158" t="s">
        <v>18</v>
      </c>
      <c r="AW839" s="158" t="s">
        <v>18</v>
      </c>
      <c r="AX839" s="158" t="s">
        <v>18</v>
      </c>
      <c r="AY839" s="161"/>
      <c r="AZ839" s="161"/>
      <c r="BA839" s="161"/>
      <c r="BB839" s="161"/>
      <c r="BC839" s="161"/>
    </row>
    <row r="840" spans="1:55" ht="15.75" customHeight="1" x14ac:dyDescent="0.25">
      <c r="A840" s="162">
        <v>1382220.6477732796</v>
      </c>
      <c r="B840" s="163" t="s">
        <v>0</v>
      </c>
      <c r="C840" s="159">
        <v>46008</v>
      </c>
      <c r="D840" s="159">
        <v>46009</v>
      </c>
      <c r="E840" s="159">
        <v>46010</v>
      </c>
      <c r="F840" s="159">
        <v>46011</v>
      </c>
      <c r="G840" s="159">
        <v>46012</v>
      </c>
      <c r="H840" s="159">
        <v>46013</v>
      </c>
      <c r="I840" s="159">
        <v>46014</v>
      </c>
      <c r="J840" s="159">
        <v>46015</v>
      </c>
      <c r="K840" s="159">
        <v>46016</v>
      </c>
      <c r="L840" s="159">
        <v>46017</v>
      </c>
      <c r="M840" s="159">
        <v>46018</v>
      </c>
      <c r="N840" s="159">
        <v>46019</v>
      </c>
      <c r="O840" s="159">
        <v>46020</v>
      </c>
      <c r="P840" s="159">
        <v>46021</v>
      </c>
      <c r="Q840" s="159">
        <v>46022</v>
      </c>
      <c r="R840" s="159">
        <v>46023</v>
      </c>
      <c r="S840" s="159">
        <v>46024</v>
      </c>
      <c r="T840" s="159">
        <v>46025</v>
      </c>
      <c r="U840" s="159">
        <v>46026</v>
      </c>
      <c r="V840" s="159">
        <v>46027</v>
      </c>
      <c r="W840" s="159">
        <v>46028</v>
      </c>
      <c r="X840" s="159">
        <v>46029</v>
      </c>
      <c r="Y840" s="159">
        <v>46030</v>
      </c>
      <c r="Z840" s="159">
        <v>46031</v>
      </c>
      <c r="AA840" s="159">
        <v>46032</v>
      </c>
      <c r="AB840" s="159">
        <v>46033</v>
      </c>
      <c r="AC840" s="159">
        <v>46034</v>
      </c>
      <c r="AD840" s="159">
        <v>46035</v>
      </c>
      <c r="AE840" s="159">
        <v>46036</v>
      </c>
      <c r="AF840" s="159">
        <v>46037</v>
      </c>
      <c r="AG840" s="159">
        <v>46038</v>
      </c>
      <c r="AH840" s="159">
        <v>46039</v>
      </c>
      <c r="AI840" s="159">
        <v>46040</v>
      </c>
      <c r="AJ840" s="159">
        <v>46041</v>
      </c>
      <c r="AK840" s="159">
        <v>46042</v>
      </c>
      <c r="AL840" s="159">
        <v>46043</v>
      </c>
      <c r="AM840" s="159">
        <v>46044</v>
      </c>
      <c r="AN840" s="159">
        <v>46045</v>
      </c>
      <c r="AO840" s="159">
        <v>46046</v>
      </c>
      <c r="AP840" s="159">
        <v>46047</v>
      </c>
      <c r="AQ840" s="159">
        <v>46048</v>
      </c>
      <c r="AR840" s="159">
        <v>46049</v>
      </c>
      <c r="AS840" s="159">
        <v>46050</v>
      </c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</row>
    <row r="841" spans="1:55" ht="15.75" customHeight="1" x14ac:dyDescent="0.25">
      <c r="A841" s="165"/>
      <c r="B841" s="166">
        <v>15646</v>
      </c>
      <c r="C841" s="160"/>
      <c r="D841" s="160"/>
      <c r="E841" s="160">
        <v>0</v>
      </c>
      <c r="F841" s="160">
        <v>2</v>
      </c>
      <c r="G841" s="160">
        <v>1454</v>
      </c>
      <c r="H841" s="160">
        <v>0</v>
      </c>
      <c r="I841" s="160">
        <v>1</v>
      </c>
      <c r="J841" s="160">
        <v>0</v>
      </c>
      <c r="K841" s="160">
        <v>1309</v>
      </c>
      <c r="L841" s="160">
        <v>11</v>
      </c>
      <c r="M841" s="160">
        <v>0</v>
      </c>
      <c r="N841" s="160">
        <v>3</v>
      </c>
      <c r="O841" s="160">
        <v>1630</v>
      </c>
      <c r="P841" s="160">
        <v>2</v>
      </c>
      <c r="Q841" s="160">
        <v>1</v>
      </c>
      <c r="R841" s="160">
        <v>1717</v>
      </c>
      <c r="S841" s="160">
        <v>0</v>
      </c>
      <c r="T841" s="160">
        <v>5</v>
      </c>
      <c r="U841" s="160">
        <v>2208</v>
      </c>
      <c r="V841" s="160">
        <v>1</v>
      </c>
      <c r="W841" s="160">
        <v>1</v>
      </c>
      <c r="X841" s="160">
        <v>2</v>
      </c>
      <c r="Y841" s="160">
        <v>1416</v>
      </c>
      <c r="Z841" s="160">
        <v>3</v>
      </c>
      <c r="AA841" s="160">
        <v>7</v>
      </c>
      <c r="AB841" s="160">
        <v>4</v>
      </c>
      <c r="AC841" s="160">
        <v>2109</v>
      </c>
      <c r="AD841" s="160">
        <v>2</v>
      </c>
      <c r="AE841" s="160">
        <v>0</v>
      </c>
      <c r="AF841" s="160">
        <v>1014</v>
      </c>
      <c r="AG841" s="160">
        <v>14</v>
      </c>
      <c r="AH841" s="160">
        <v>8</v>
      </c>
      <c r="AI841" s="160">
        <v>1730</v>
      </c>
      <c r="AJ841" s="160">
        <v>6</v>
      </c>
      <c r="AK841" s="160">
        <v>5</v>
      </c>
      <c r="AL841" s="160">
        <v>1</v>
      </c>
      <c r="AM841" s="160">
        <v>962</v>
      </c>
      <c r="AN841" s="160">
        <v>15</v>
      </c>
      <c r="AO841" s="160">
        <v>3</v>
      </c>
      <c r="AP841" s="160">
        <v>1513</v>
      </c>
      <c r="AQ841" s="160">
        <v>3</v>
      </c>
      <c r="AR841" s="160">
        <v>597</v>
      </c>
      <c r="AS841" s="160">
        <v>0</v>
      </c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</row>
    <row r="842" spans="1:55" ht="15.75" customHeight="1" x14ac:dyDescent="0.25">
      <c r="A842" s="116" t="s">
        <v>1</v>
      </c>
      <c r="B842" s="117" t="s">
        <v>2</v>
      </c>
      <c r="C842" s="119"/>
      <c r="D842" s="119">
        <v>29391</v>
      </c>
      <c r="E842" s="168">
        <v>29391</v>
      </c>
      <c r="F842" s="119">
        <v>29391</v>
      </c>
      <c r="G842" s="119">
        <v>29461</v>
      </c>
      <c r="H842" s="169">
        <v>29461</v>
      </c>
      <c r="I842" s="119">
        <v>29461</v>
      </c>
      <c r="J842" s="119">
        <v>29461</v>
      </c>
      <c r="K842" s="119">
        <v>29615</v>
      </c>
      <c r="L842" s="169">
        <v>29615</v>
      </c>
      <c r="M842" s="119">
        <v>29615</v>
      </c>
      <c r="N842" s="119">
        <v>29615</v>
      </c>
      <c r="O842" s="119">
        <v>29722</v>
      </c>
      <c r="P842" s="169">
        <v>29722</v>
      </c>
      <c r="Q842" s="119">
        <v>29722</v>
      </c>
      <c r="R842" s="119">
        <v>29928</v>
      </c>
      <c r="S842" s="169">
        <v>29928</v>
      </c>
      <c r="T842" s="119">
        <v>29928</v>
      </c>
      <c r="U842" s="119">
        <v>30073</v>
      </c>
      <c r="V842" s="169">
        <v>30073</v>
      </c>
      <c r="W842" s="119">
        <v>30073</v>
      </c>
      <c r="X842" s="119">
        <v>30073</v>
      </c>
      <c r="Y842" s="119">
        <v>30163</v>
      </c>
      <c r="Z842" s="169">
        <v>30163</v>
      </c>
      <c r="AA842" s="119">
        <v>30163</v>
      </c>
      <c r="AB842" s="119">
        <v>30163</v>
      </c>
      <c r="AC842" s="119">
        <v>30396</v>
      </c>
      <c r="AD842" s="169">
        <v>30396</v>
      </c>
      <c r="AE842" s="119">
        <v>30396</v>
      </c>
      <c r="AF842" s="119">
        <v>30521</v>
      </c>
      <c r="AG842" s="168">
        <v>30521</v>
      </c>
      <c r="AH842" s="119">
        <v>30521</v>
      </c>
      <c r="AI842" s="119">
        <v>30761</v>
      </c>
      <c r="AJ842" s="169">
        <v>30761</v>
      </c>
      <c r="AK842" s="119">
        <v>30761</v>
      </c>
      <c r="AL842" s="119">
        <v>30761</v>
      </c>
      <c r="AM842" s="119">
        <v>30855</v>
      </c>
      <c r="AN842" s="169">
        <v>30855</v>
      </c>
      <c r="AO842" s="119">
        <v>30855</v>
      </c>
      <c r="AP842" s="119">
        <v>30932</v>
      </c>
      <c r="AQ842" s="169">
        <v>30932</v>
      </c>
      <c r="AR842" s="119">
        <v>30963</v>
      </c>
      <c r="AS842" s="169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</row>
    <row r="843" spans="1:55" ht="15.75" customHeight="1" x14ac:dyDescent="0.25">
      <c r="A843" s="121" t="s">
        <v>3</v>
      </c>
      <c r="B843" s="122" t="s">
        <v>4</v>
      </c>
      <c r="C843" s="124"/>
      <c r="D843" s="124">
        <v>1067</v>
      </c>
      <c r="E843" s="171">
        <v>1067</v>
      </c>
      <c r="F843" s="124">
        <v>1067</v>
      </c>
      <c r="G843" s="124">
        <v>1067</v>
      </c>
      <c r="H843" s="172">
        <v>1067</v>
      </c>
      <c r="I843" s="124">
        <v>1067</v>
      </c>
      <c r="J843" s="124">
        <v>1067</v>
      </c>
      <c r="K843" s="124">
        <v>1070</v>
      </c>
      <c r="L843" s="172">
        <v>1070</v>
      </c>
      <c r="M843" s="124">
        <v>1070</v>
      </c>
      <c r="N843" s="124">
        <v>1070</v>
      </c>
      <c r="O843" s="124">
        <v>1070</v>
      </c>
      <c r="P843" s="172">
        <v>1070</v>
      </c>
      <c r="Q843" s="124">
        <v>1070</v>
      </c>
      <c r="R843" s="124">
        <v>1073</v>
      </c>
      <c r="S843" s="172">
        <v>1073</v>
      </c>
      <c r="T843" s="124">
        <v>1073</v>
      </c>
      <c r="U843" s="124">
        <v>1074</v>
      </c>
      <c r="V843" s="172">
        <v>1074</v>
      </c>
      <c r="W843" s="124">
        <v>1074</v>
      </c>
      <c r="X843" s="124">
        <v>1074</v>
      </c>
      <c r="Y843" s="124">
        <v>1074</v>
      </c>
      <c r="Z843" s="172">
        <v>1074</v>
      </c>
      <c r="AA843" s="124">
        <v>1074</v>
      </c>
      <c r="AB843" s="124">
        <v>1074</v>
      </c>
      <c r="AC843" s="124">
        <v>1087</v>
      </c>
      <c r="AD843" s="172">
        <v>1087</v>
      </c>
      <c r="AE843" s="124">
        <v>1087</v>
      </c>
      <c r="AF843" s="124">
        <v>1093</v>
      </c>
      <c r="AG843" s="171">
        <v>1093</v>
      </c>
      <c r="AH843" s="124">
        <v>1093</v>
      </c>
      <c r="AI843" s="124">
        <v>1104</v>
      </c>
      <c r="AJ843" s="172">
        <v>1104</v>
      </c>
      <c r="AK843" s="124">
        <v>1104</v>
      </c>
      <c r="AL843" s="124">
        <v>1104</v>
      </c>
      <c r="AM843" s="124">
        <v>1109</v>
      </c>
      <c r="AN843" s="172">
        <v>1109</v>
      </c>
      <c r="AO843" s="124">
        <v>1109</v>
      </c>
      <c r="AP843" s="124">
        <v>1112</v>
      </c>
      <c r="AQ843" s="172">
        <v>1112</v>
      </c>
      <c r="AR843" s="124">
        <v>1114</v>
      </c>
      <c r="AS843" s="172" t="s">
        <v>18</v>
      </c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</row>
    <row r="844" spans="1:55" ht="15.75" customHeight="1" x14ac:dyDescent="0.25">
      <c r="A844" s="126"/>
      <c r="B844" s="122" t="s">
        <v>5</v>
      </c>
      <c r="C844" s="124"/>
      <c r="D844" s="124">
        <v>23</v>
      </c>
      <c r="E844" s="171">
        <v>23</v>
      </c>
      <c r="F844" s="124">
        <v>23</v>
      </c>
      <c r="G844" s="124">
        <v>23</v>
      </c>
      <c r="H844" s="172">
        <v>30</v>
      </c>
      <c r="I844" s="124">
        <v>30</v>
      </c>
      <c r="J844" s="124">
        <v>30</v>
      </c>
      <c r="K844" s="124">
        <v>27</v>
      </c>
      <c r="L844" s="172">
        <v>27</v>
      </c>
      <c r="M844" s="124">
        <v>27</v>
      </c>
      <c r="N844" s="124">
        <v>27</v>
      </c>
      <c r="O844" s="124">
        <v>27</v>
      </c>
      <c r="P844" s="172">
        <v>27</v>
      </c>
      <c r="Q844" s="124">
        <v>27</v>
      </c>
      <c r="R844" s="124">
        <v>24</v>
      </c>
      <c r="S844" s="172">
        <v>24</v>
      </c>
      <c r="T844" s="124">
        <v>24</v>
      </c>
      <c r="U844" s="124">
        <v>23</v>
      </c>
      <c r="V844" s="172">
        <v>35</v>
      </c>
      <c r="W844" s="124">
        <v>35</v>
      </c>
      <c r="X844" s="124">
        <v>35</v>
      </c>
      <c r="Y844" s="124">
        <v>35</v>
      </c>
      <c r="Z844" s="172">
        <v>35</v>
      </c>
      <c r="AA844" s="124">
        <v>35</v>
      </c>
      <c r="AB844" s="124">
        <v>35</v>
      </c>
      <c r="AC844" s="124">
        <v>27</v>
      </c>
      <c r="AD844" s="172">
        <v>34</v>
      </c>
      <c r="AE844" s="124">
        <v>34</v>
      </c>
      <c r="AF844" s="124">
        <v>30</v>
      </c>
      <c r="AG844" s="171">
        <v>34</v>
      </c>
      <c r="AH844" s="124">
        <v>34</v>
      </c>
      <c r="AI844" s="124">
        <v>34</v>
      </c>
      <c r="AJ844" s="172">
        <v>34</v>
      </c>
      <c r="AK844" s="124">
        <v>34</v>
      </c>
      <c r="AL844" s="124">
        <v>34</v>
      </c>
      <c r="AM844" s="124">
        <v>31</v>
      </c>
      <c r="AN844" s="172">
        <v>34</v>
      </c>
      <c r="AO844" s="124">
        <v>34</v>
      </c>
      <c r="AP844" s="124">
        <v>31</v>
      </c>
      <c r="AQ844" s="172">
        <v>31</v>
      </c>
      <c r="AR844" s="124">
        <v>30</v>
      </c>
      <c r="AS844" s="172" t="s">
        <v>18</v>
      </c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</row>
    <row r="845" spans="1:55" ht="15.75" customHeight="1" x14ac:dyDescent="0.25">
      <c r="A845" s="127"/>
      <c r="B845" s="122" t="s">
        <v>6</v>
      </c>
      <c r="C845" s="124"/>
      <c r="D845" s="124"/>
      <c r="E845" s="171"/>
      <c r="F845" s="124"/>
      <c r="G845" s="124">
        <v>7</v>
      </c>
      <c r="H845" s="172"/>
      <c r="I845" s="124"/>
      <c r="J845" s="124"/>
      <c r="K845" s="124"/>
      <c r="L845" s="172"/>
      <c r="M845" s="124"/>
      <c r="N845" s="124"/>
      <c r="O845" s="124"/>
      <c r="P845" s="172"/>
      <c r="Q845" s="124"/>
      <c r="R845" s="124"/>
      <c r="S845" s="172"/>
      <c r="T845" s="124"/>
      <c r="U845" s="124">
        <v>12</v>
      </c>
      <c r="V845" s="172"/>
      <c r="W845" s="124"/>
      <c r="X845" s="124"/>
      <c r="Y845" s="124"/>
      <c r="Z845" s="172"/>
      <c r="AA845" s="124"/>
      <c r="AB845" s="124"/>
      <c r="AC845" s="124">
        <v>7</v>
      </c>
      <c r="AD845" s="172"/>
      <c r="AE845" s="124"/>
      <c r="AF845" s="124">
        <v>4</v>
      </c>
      <c r="AG845" s="171"/>
      <c r="AH845" s="124"/>
      <c r="AI845" s="124"/>
      <c r="AJ845" s="172"/>
      <c r="AK845" s="124"/>
      <c r="AL845" s="124"/>
      <c r="AM845" s="124">
        <v>3</v>
      </c>
      <c r="AN845" s="172"/>
      <c r="AO845" s="124"/>
      <c r="AP845" s="124"/>
      <c r="AQ845" s="172"/>
      <c r="AR845" s="124"/>
      <c r="AS845" s="172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</row>
    <row r="846" spans="1:55" ht="15.75" customHeight="1" x14ac:dyDescent="0.25">
      <c r="A846" s="128"/>
      <c r="B846" s="122" t="s">
        <v>8</v>
      </c>
      <c r="C846" s="130"/>
      <c r="D846" s="130">
        <v>1100</v>
      </c>
      <c r="E846" s="174">
        <v>1100</v>
      </c>
      <c r="F846" s="130">
        <v>1100</v>
      </c>
      <c r="G846" s="130">
        <v>1100</v>
      </c>
      <c r="H846" s="175">
        <v>1100</v>
      </c>
      <c r="I846" s="130">
        <v>1100</v>
      </c>
      <c r="J846" s="130">
        <v>1100</v>
      </c>
      <c r="K846" s="130">
        <v>1100</v>
      </c>
      <c r="L846" s="175">
        <v>1100</v>
      </c>
      <c r="M846" s="130">
        <v>1100</v>
      </c>
      <c r="N846" s="130">
        <v>1100</v>
      </c>
      <c r="O846" s="130">
        <v>1100</v>
      </c>
      <c r="P846" s="175">
        <v>1100</v>
      </c>
      <c r="Q846" s="130">
        <v>1100</v>
      </c>
      <c r="R846" s="130">
        <v>1100</v>
      </c>
      <c r="S846" s="175">
        <v>1100</v>
      </c>
      <c r="T846" s="130">
        <v>1100</v>
      </c>
      <c r="U846" s="130">
        <v>1100</v>
      </c>
      <c r="V846" s="175">
        <v>1100</v>
      </c>
      <c r="W846" s="130">
        <v>1100</v>
      </c>
      <c r="X846" s="130">
        <v>1100</v>
      </c>
      <c r="Y846" s="130">
        <v>1100</v>
      </c>
      <c r="Z846" s="175">
        <v>1100</v>
      </c>
      <c r="AA846" s="130">
        <v>1100</v>
      </c>
      <c r="AB846" s="130">
        <v>1100</v>
      </c>
      <c r="AC846" s="130">
        <v>1100</v>
      </c>
      <c r="AD846" s="175">
        <v>1100</v>
      </c>
      <c r="AE846" s="130">
        <v>1100</v>
      </c>
      <c r="AF846" s="130">
        <v>1100</v>
      </c>
      <c r="AG846" s="174">
        <v>1100</v>
      </c>
      <c r="AH846" s="130">
        <v>1100</v>
      </c>
      <c r="AI846" s="130">
        <v>1100</v>
      </c>
      <c r="AJ846" s="175">
        <v>1100</v>
      </c>
      <c r="AK846" s="130">
        <v>1100</v>
      </c>
      <c r="AL846" s="130">
        <v>1100</v>
      </c>
      <c r="AM846" s="130">
        <v>1100</v>
      </c>
      <c r="AN846" s="175">
        <v>1100</v>
      </c>
      <c r="AO846" s="130">
        <v>1100</v>
      </c>
      <c r="AP846" s="130">
        <v>1100</v>
      </c>
      <c r="AQ846" s="175">
        <v>1100</v>
      </c>
      <c r="AR846" s="130">
        <v>1100</v>
      </c>
      <c r="AS846" s="175" t="s">
        <v>18</v>
      </c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</row>
    <row r="847" spans="1:55" ht="15.75" customHeight="1" x14ac:dyDescent="0.25">
      <c r="A847" s="127" t="s">
        <v>9</v>
      </c>
      <c r="B847" s="132" t="s">
        <v>10</v>
      </c>
      <c r="C847" s="134"/>
      <c r="D847" s="134" t="s">
        <v>11</v>
      </c>
      <c r="E847" s="177" t="s">
        <v>11</v>
      </c>
      <c r="F847" s="134" t="s">
        <v>11</v>
      </c>
      <c r="G847" s="134" t="s">
        <v>11</v>
      </c>
      <c r="H847" s="178" t="s">
        <v>11</v>
      </c>
      <c r="I847" s="134" t="s">
        <v>11</v>
      </c>
      <c r="J847" s="134" t="s">
        <v>11</v>
      </c>
      <c r="K847" s="134" t="s">
        <v>11</v>
      </c>
      <c r="L847" s="178" t="s">
        <v>11</v>
      </c>
      <c r="M847" s="134" t="s">
        <v>11</v>
      </c>
      <c r="N847" s="134" t="s">
        <v>11</v>
      </c>
      <c r="O847" s="134" t="s">
        <v>11</v>
      </c>
      <c r="P847" s="178" t="s">
        <v>11</v>
      </c>
      <c r="Q847" s="134" t="s">
        <v>11</v>
      </c>
      <c r="R847" s="134" t="s">
        <v>11</v>
      </c>
      <c r="S847" s="178" t="s">
        <v>11</v>
      </c>
      <c r="T847" s="134" t="s">
        <v>11</v>
      </c>
      <c r="U847" s="134" t="s">
        <v>11</v>
      </c>
      <c r="V847" s="178" t="s">
        <v>11</v>
      </c>
      <c r="W847" s="134" t="s">
        <v>11</v>
      </c>
      <c r="X847" s="134" t="s">
        <v>11</v>
      </c>
      <c r="Y847" s="134" t="s">
        <v>11</v>
      </c>
      <c r="Z847" s="178" t="s">
        <v>11</v>
      </c>
      <c r="AA847" s="134" t="s">
        <v>11</v>
      </c>
      <c r="AB847" s="134" t="s">
        <v>11</v>
      </c>
      <c r="AC847" s="134" t="s">
        <v>11</v>
      </c>
      <c r="AD847" s="178" t="s">
        <v>11</v>
      </c>
      <c r="AE847" s="134" t="s">
        <v>11</v>
      </c>
      <c r="AF847" s="134" t="s">
        <v>11</v>
      </c>
      <c r="AG847" s="177" t="s">
        <v>11</v>
      </c>
      <c r="AH847" s="134" t="s">
        <v>11</v>
      </c>
      <c r="AI847" s="134" t="s">
        <v>11</v>
      </c>
      <c r="AJ847" s="178" t="s">
        <v>11</v>
      </c>
      <c r="AK847" s="134" t="s">
        <v>11</v>
      </c>
      <c r="AL847" s="134" t="s">
        <v>11</v>
      </c>
      <c r="AM847" s="134" t="s">
        <v>11</v>
      </c>
      <c r="AN847" s="178" t="s">
        <v>11</v>
      </c>
      <c r="AO847" s="134" t="s">
        <v>11</v>
      </c>
      <c r="AP847" s="134" t="s">
        <v>11</v>
      </c>
      <c r="AQ847" s="178" t="s">
        <v>11</v>
      </c>
      <c r="AR847" s="134" t="s">
        <v>11</v>
      </c>
      <c r="AS847" s="178" t="s">
        <v>18</v>
      </c>
      <c r="AT847" s="189"/>
      <c r="AU847" s="189"/>
      <c r="AV847" s="189"/>
      <c r="AW847" s="189"/>
      <c r="AX847" s="189"/>
      <c r="AY847" s="189"/>
      <c r="AZ847" s="189"/>
      <c r="BA847" s="189"/>
      <c r="BB847" s="189"/>
      <c r="BC847" s="189"/>
    </row>
    <row r="848" spans="1:55" ht="15.75" customHeight="1" x14ac:dyDescent="0.25">
      <c r="A848" s="128">
        <v>120923.07692307692</v>
      </c>
      <c r="B848" s="122" t="s">
        <v>12</v>
      </c>
      <c r="C848" s="124"/>
      <c r="D848" s="124"/>
      <c r="E848" s="171"/>
      <c r="F848" s="124"/>
      <c r="G848" s="124"/>
      <c r="H848" s="172"/>
      <c r="I848" s="124"/>
      <c r="J848" s="124"/>
      <c r="K848" s="124"/>
      <c r="L848" s="172"/>
      <c r="M848" s="124"/>
      <c r="N848" s="124"/>
      <c r="O848" s="124"/>
      <c r="P848" s="172"/>
      <c r="Q848" s="124"/>
      <c r="R848" s="124"/>
      <c r="S848" s="172"/>
      <c r="T848" s="124"/>
      <c r="U848" s="124"/>
      <c r="V848" s="172"/>
      <c r="W848" s="124"/>
      <c r="X848" s="124"/>
      <c r="Y848" s="124"/>
      <c r="Z848" s="172"/>
      <c r="AA848" s="124"/>
      <c r="AB848" s="124"/>
      <c r="AC848" s="124"/>
      <c r="AD848" s="172"/>
      <c r="AE848" s="124"/>
      <c r="AF848" s="124"/>
      <c r="AG848" s="171">
        <v>37</v>
      </c>
      <c r="AH848" s="124"/>
      <c r="AI848" s="124"/>
      <c r="AJ848" s="172" t="s">
        <v>81</v>
      </c>
      <c r="AK848" s="124"/>
      <c r="AL848" s="124"/>
      <c r="AM848" s="124"/>
      <c r="AN848" s="172" t="s">
        <v>81</v>
      </c>
      <c r="AO848" s="124"/>
      <c r="AP848" s="124"/>
      <c r="AQ848" s="172"/>
      <c r="AR848" s="124"/>
      <c r="AS848" s="172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/>
    </row>
    <row r="849" spans="1:55" ht="15.75" customHeight="1" x14ac:dyDescent="0.25">
      <c r="A849" s="128">
        <v>1572</v>
      </c>
      <c r="B849" s="136" t="s">
        <v>13</v>
      </c>
      <c r="C849" s="137"/>
      <c r="D849" s="137"/>
      <c r="E849" s="171" t="s">
        <v>18</v>
      </c>
      <c r="F849" s="137">
        <v>0</v>
      </c>
      <c r="G849" s="137">
        <v>70</v>
      </c>
      <c r="H849" s="172">
        <v>0</v>
      </c>
      <c r="I849" s="137">
        <v>0</v>
      </c>
      <c r="J849" s="137">
        <v>0</v>
      </c>
      <c r="K849" s="137">
        <v>154</v>
      </c>
      <c r="L849" s="172">
        <v>0</v>
      </c>
      <c r="M849" s="137">
        <v>0</v>
      </c>
      <c r="N849" s="137">
        <v>0</v>
      </c>
      <c r="O849" s="137">
        <v>107</v>
      </c>
      <c r="P849" s="172">
        <v>0</v>
      </c>
      <c r="Q849" s="137">
        <v>0</v>
      </c>
      <c r="R849" s="137">
        <v>206</v>
      </c>
      <c r="S849" s="172">
        <v>0</v>
      </c>
      <c r="T849" s="137">
        <v>0</v>
      </c>
      <c r="U849" s="137">
        <v>145</v>
      </c>
      <c r="V849" s="172">
        <v>0</v>
      </c>
      <c r="W849" s="137">
        <v>0</v>
      </c>
      <c r="X849" s="137">
        <v>0</v>
      </c>
      <c r="Y849" s="137">
        <v>90</v>
      </c>
      <c r="Z849" s="172">
        <v>0</v>
      </c>
      <c r="AA849" s="137">
        <v>0</v>
      </c>
      <c r="AB849" s="137">
        <v>0</v>
      </c>
      <c r="AC849" s="137">
        <v>233</v>
      </c>
      <c r="AD849" s="172">
        <v>0</v>
      </c>
      <c r="AE849" s="137">
        <v>0</v>
      </c>
      <c r="AF849" s="137">
        <v>125</v>
      </c>
      <c r="AG849" s="171">
        <v>0</v>
      </c>
      <c r="AH849" s="137">
        <v>0</v>
      </c>
      <c r="AI849" s="137">
        <v>240</v>
      </c>
      <c r="AJ849" s="172">
        <v>0</v>
      </c>
      <c r="AK849" s="137">
        <v>0</v>
      </c>
      <c r="AL849" s="137">
        <v>0</v>
      </c>
      <c r="AM849" s="137">
        <v>94</v>
      </c>
      <c r="AN849" s="172">
        <v>0</v>
      </c>
      <c r="AO849" s="137">
        <v>0</v>
      </c>
      <c r="AP849" s="137">
        <v>77</v>
      </c>
      <c r="AQ849" s="172">
        <v>0</v>
      </c>
      <c r="AR849" s="137">
        <v>31</v>
      </c>
      <c r="AS849" s="172" t="s">
        <v>18</v>
      </c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</row>
    <row r="850" spans="1:55" ht="15.75" customHeight="1" x14ac:dyDescent="0.25">
      <c r="A850" s="128">
        <v>47</v>
      </c>
      <c r="B850" s="136" t="s">
        <v>14</v>
      </c>
      <c r="C850" s="137"/>
      <c r="D850" s="137"/>
      <c r="E850" s="171" t="s">
        <v>18</v>
      </c>
      <c r="F850" s="137">
        <v>0</v>
      </c>
      <c r="G850" s="137">
        <v>0</v>
      </c>
      <c r="H850" s="172">
        <v>0</v>
      </c>
      <c r="I850" s="137">
        <v>0</v>
      </c>
      <c r="J850" s="137">
        <v>0</v>
      </c>
      <c r="K850" s="137">
        <v>3</v>
      </c>
      <c r="L850" s="172">
        <v>0</v>
      </c>
      <c r="M850" s="137">
        <v>0</v>
      </c>
      <c r="N850" s="137">
        <v>0</v>
      </c>
      <c r="O850" s="137">
        <v>0</v>
      </c>
      <c r="P850" s="172">
        <v>0</v>
      </c>
      <c r="Q850" s="137">
        <v>0</v>
      </c>
      <c r="R850" s="137">
        <v>3</v>
      </c>
      <c r="S850" s="172">
        <v>0</v>
      </c>
      <c r="T850" s="137">
        <v>0</v>
      </c>
      <c r="U850" s="137">
        <v>1</v>
      </c>
      <c r="V850" s="172">
        <v>0</v>
      </c>
      <c r="W850" s="137">
        <v>0</v>
      </c>
      <c r="X850" s="137">
        <v>0</v>
      </c>
      <c r="Y850" s="137">
        <v>0</v>
      </c>
      <c r="Z850" s="172">
        <v>0</v>
      </c>
      <c r="AA850" s="137">
        <v>0</v>
      </c>
      <c r="AB850" s="137">
        <v>0</v>
      </c>
      <c r="AC850" s="137">
        <v>13</v>
      </c>
      <c r="AD850" s="172">
        <v>0</v>
      </c>
      <c r="AE850" s="137">
        <v>0</v>
      </c>
      <c r="AF850" s="137">
        <v>6</v>
      </c>
      <c r="AG850" s="171">
        <v>0</v>
      </c>
      <c r="AH850" s="137">
        <v>0</v>
      </c>
      <c r="AI850" s="137">
        <v>11</v>
      </c>
      <c r="AJ850" s="172">
        <v>0</v>
      </c>
      <c r="AK850" s="137">
        <v>0</v>
      </c>
      <c r="AL850" s="137">
        <v>0</v>
      </c>
      <c r="AM850" s="137">
        <v>5</v>
      </c>
      <c r="AN850" s="172">
        <v>0</v>
      </c>
      <c r="AO850" s="137">
        <v>0</v>
      </c>
      <c r="AP850" s="137">
        <v>3</v>
      </c>
      <c r="AQ850" s="172">
        <v>0</v>
      </c>
      <c r="AR850" s="137">
        <v>2</v>
      </c>
      <c r="AS850" s="172" t="s">
        <v>18</v>
      </c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</row>
    <row r="851" spans="1:55" ht="15.75" customHeight="1" x14ac:dyDescent="0.25">
      <c r="A851" s="128">
        <v>26</v>
      </c>
      <c r="B851" s="136" t="s">
        <v>15</v>
      </c>
      <c r="C851" s="137"/>
      <c r="D851" s="137"/>
      <c r="E851" s="171" t="s">
        <v>18</v>
      </c>
      <c r="F851" s="137">
        <v>0</v>
      </c>
      <c r="G851" s="137">
        <v>0</v>
      </c>
      <c r="H851" s="172">
        <v>0</v>
      </c>
      <c r="I851" s="137">
        <v>0</v>
      </c>
      <c r="J851" s="137">
        <v>0</v>
      </c>
      <c r="K851" s="137">
        <v>3</v>
      </c>
      <c r="L851" s="172">
        <v>0</v>
      </c>
      <c r="M851" s="137">
        <v>0</v>
      </c>
      <c r="N851" s="137">
        <v>0</v>
      </c>
      <c r="O851" s="137">
        <v>0</v>
      </c>
      <c r="P851" s="172">
        <v>0</v>
      </c>
      <c r="Q851" s="137">
        <v>0</v>
      </c>
      <c r="R851" s="137">
        <v>3</v>
      </c>
      <c r="S851" s="172">
        <v>0</v>
      </c>
      <c r="T851" s="137">
        <v>0</v>
      </c>
      <c r="U851" s="137">
        <v>1</v>
      </c>
      <c r="V851" s="172">
        <v>0</v>
      </c>
      <c r="W851" s="137">
        <v>0</v>
      </c>
      <c r="X851" s="137">
        <v>0</v>
      </c>
      <c r="Y851" s="137">
        <v>0</v>
      </c>
      <c r="Z851" s="172">
        <v>0</v>
      </c>
      <c r="AA851" s="137">
        <v>0</v>
      </c>
      <c r="AB851" s="137">
        <v>0</v>
      </c>
      <c r="AC851" s="137">
        <v>8</v>
      </c>
      <c r="AD851" s="172">
        <v>0</v>
      </c>
      <c r="AE851" s="137">
        <v>0</v>
      </c>
      <c r="AF851" s="137">
        <v>4</v>
      </c>
      <c r="AG851" s="171">
        <v>0</v>
      </c>
      <c r="AH851" s="137">
        <v>0</v>
      </c>
      <c r="AI851" s="137">
        <v>0</v>
      </c>
      <c r="AJ851" s="172">
        <v>0</v>
      </c>
      <c r="AK851" s="137">
        <v>0</v>
      </c>
      <c r="AL851" s="137">
        <v>0</v>
      </c>
      <c r="AM851" s="137">
        <v>3</v>
      </c>
      <c r="AN851" s="172">
        <v>0</v>
      </c>
      <c r="AO851" s="137">
        <v>0</v>
      </c>
      <c r="AP851" s="137">
        <v>3</v>
      </c>
      <c r="AQ851" s="172">
        <v>0</v>
      </c>
      <c r="AR851" s="137">
        <v>1</v>
      </c>
      <c r="AS851" s="172" t="s">
        <v>18</v>
      </c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</row>
    <row r="852" spans="1:55" ht="15.75" customHeight="1" x14ac:dyDescent="0.25">
      <c r="A852" s="128">
        <v>28600</v>
      </c>
      <c r="B852" s="136" t="s">
        <v>16</v>
      </c>
      <c r="C852" s="137"/>
      <c r="D852" s="137"/>
      <c r="E852" s="171" t="s">
        <v>18</v>
      </c>
      <c r="F852" s="137">
        <v>0</v>
      </c>
      <c r="G852" s="137">
        <v>0</v>
      </c>
      <c r="H852" s="172">
        <v>0</v>
      </c>
      <c r="I852" s="137">
        <v>0</v>
      </c>
      <c r="J852" s="137">
        <v>0</v>
      </c>
      <c r="K852" s="137">
        <v>3300</v>
      </c>
      <c r="L852" s="172">
        <v>0</v>
      </c>
      <c r="M852" s="137">
        <v>0</v>
      </c>
      <c r="N852" s="137">
        <v>0</v>
      </c>
      <c r="O852" s="137">
        <v>0</v>
      </c>
      <c r="P852" s="172">
        <v>0</v>
      </c>
      <c r="Q852" s="137">
        <v>0</v>
      </c>
      <c r="R852" s="137">
        <v>3300</v>
      </c>
      <c r="S852" s="172">
        <v>0</v>
      </c>
      <c r="T852" s="137">
        <v>0</v>
      </c>
      <c r="U852" s="137">
        <v>1100</v>
      </c>
      <c r="V852" s="172">
        <v>0</v>
      </c>
      <c r="W852" s="137">
        <v>0</v>
      </c>
      <c r="X852" s="137">
        <v>0</v>
      </c>
      <c r="Y852" s="137">
        <v>0</v>
      </c>
      <c r="Z852" s="172">
        <v>0</v>
      </c>
      <c r="AA852" s="137">
        <v>0</v>
      </c>
      <c r="AB852" s="137">
        <v>0</v>
      </c>
      <c r="AC852" s="137">
        <v>8800</v>
      </c>
      <c r="AD852" s="172">
        <v>0</v>
      </c>
      <c r="AE852" s="137">
        <v>0</v>
      </c>
      <c r="AF852" s="137">
        <v>4400</v>
      </c>
      <c r="AG852" s="171">
        <v>0</v>
      </c>
      <c r="AH852" s="137">
        <v>0</v>
      </c>
      <c r="AI852" s="137">
        <v>0</v>
      </c>
      <c r="AJ852" s="172">
        <v>0</v>
      </c>
      <c r="AK852" s="137">
        <v>0</v>
      </c>
      <c r="AL852" s="137">
        <v>0</v>
      </c>
      <c r="AM852" s="137">
        <v>3300</v>
      </c>
      <c r="AN852" s="172">
        <v>0</v>
      </c>
      <c r="AO852" s="137">
        <v>0</v>
      </c>
      <c r="AP852" s="137">
        <v>3300</v>
      </c>
      <c r="AQ852" s="172">
        <v>0</v>
      </c>
      <c r="AR852" s="137">
        <v>1100</v>
      </c>
      <c r="AS852" s="172" t="s">
        <v>18</v>
      </c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</row>
    <row r="853" spans="1:55" ht="15.75" customHeight="1" x14ac:dyDescent="0.25">
      <c r="A853" s="138">
        <v>0.18193384223918574</v>
      </c>
      <c r="B853" s="139" t="s">
        <v>17</v>
      </c>
      <c r="C853" s="141"/>
      <c r="D853" s="141"/>
      <c r="E853" s="180" t="s">
        <v>18</v>
      </c>
      <c r="F853" s="141" t="s">
        <v>18</v>
      </c>
      <c r="G853" s="141" t="s">
        <v>18</v>
      </c>
      <c r="H853" s="181" t="s">
        <v>18</v>
      </c>
      <c r="I853" s="141" t="s">
        <v>18</v>
      </c>
      <c r="J853" s="141" t="s">
        <v>18</v>
      </c>
      <c r="K853" s="141">
        <v>0.21428571428571427</v>
      </c>
      <c r="L853" s="181" t="s">
        <v>18</v>
      </c>
      <c r="M853" s="141" t="s">
        <v>18</v>
      </c>
      <c r="N853" s="141" t="s">
        <v>18</v>
      </c>
      <c r="O853" s="141" t="s">
        <v>18</v>
      </c>
      <c r="P853" s="181" t="s">
        <v>18</v>
      </c>
      <c r="Q853" s="141" t="s">
        <v>18</v>
      </c>
      <c r="R853" s="141">
        <v>0.16019417475728157</v>
      </c>
      <c r="S853" s="181" t="s">
        <v>18</v>
      </c>
      <c r="T853" s="141" t="s">
        <v>18</v>
      </c>
      <c r="U853" s="141">
        <v>7.586206896551724E-2</v>
      </c>
      <c r="V853" s="181" t="s">
        <v>18</v>
      </c>
      <c r="W853" s="141" t="s">
        <v>18</v>
      </c>
      <c r="X853" s="141" t="s">
        <v>18</v>
      </c>
      <c r="Y853" s="141" t="s">
        <v>18</v>
      </c>
      <c r="Z853" s="181" t="s">
        <v>18</v>
      </c>
      <c r="AA853" s="141" t="s">
        <v>18</v>
      </c>
      <c r="AB853" s="141" t="s">
        <v>18</v>
      </c>
      <c r="AC853" s="141">
        <v>0.37768240343347642</v>
      </c>
      <c r="AD853" s="181" t="s">
        <v>18</v>
      </c>
      <c r="AE853" s="141" t="s">
        <v>18</v>
      </c>
      <c r="AF853" s="141">
        <v>0.35199999999999998</v>
      </c>
      <c r="AG853" s="180" t="s">
        <v>18</v>
      </c>
      <c r="AH853" s="141" t="s">
        <v>18</v>
      </c>
      <c r="AI853" s="141" t="s">
        <v>18</v>
      </c>
      <c r="AJ853" s="181" t="s">
        <v>18</v>
      </c>
      <c r="AK853" s="141" t="s">
        <v>18</v>
      </c>
      <c r="AL853" s="141" t="s">
        <v>18</v>
      </c>
      <c r="AM853" s="141">
        <v>0.35106382978723405</v>
      </c>
      <c r="AN853" s="181" t="s">
        <v>18</v>
      </c>
      <c r="AO853" s="141" t="s">
        <v>18</v>
      </c>
      <c r="AP853" s="141">
        <v>0.42857142857142855</v>
      </c>
      <c r="AQ853" s="181" t="s">
        <v>18</v>
      </c>
      <c r="AR853" s="141">
        <v>0.35483870967741937</v>
      </c>
      <c r="AS853" s="181" t="s">
        <v>18</v>
      </c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</row>
    <row r="854" spans="1:55" ht="15.75" customHeight="1" x14ac:dyDescent="0.25">
      <c r="A854" s="116" t="s">
        <v>1</v>
      </c>
      <c r="B854" s="117" t="s">
        <v>2</v>
      </c>
      <c r="C854" s="119"/>
      <c r="D854" s="119">
        <v>23153</v>
      </c>
      <c r="E854" s="168">
        <v>23153</v>
      </c>
      <c r="F854" s="119">
        <v>23153</v>
      </c>
      <c r="G854" s="119">
        <v>23315</v>
      </c>
      <c r="H854" s="169">
        <v>23315</v>
      </c>
      <c r="I854" s="119">
        <v>23315</v>
      </c>
      <c r="J854" s="119">
        <v>23315</v>
      </c>
      <c r="K854" s="119">
        <v>23483</v>
      </c>
      <c r="L854" s="169">
        <v>23483</v>
      </c>
      <c r="M854" s="119">
        <v>23483</v>
      </c>
      <c r="N854" s="119">
        <v>23483</v>
      </c>
      <c r="O854" s="119">
        <v>23723</v>
      </c>
      <c r="P854" s="169">
        <v>23723</v>
      </c>
      <c r="Q854" s="119">
        <v>23723</v>
      </c>
      <c r="R854" s="119">
        <v>23868</v>
      </c>
      <c r="S854" s="169">
        <v>23868</v>
      </c>
      <c r="T854" s="119">
        <v>23868</v>
      </c>
      <c r="U854" s="119">
        <v>24036</v>
      </c>
      <c r="V854" s="169">
        <v>24036</v>
      </c>
      <c r="W854" s="119">
        <v>24036</v>
      </c>
      <c r="X854" s="119">
        <v>24036</v>
      </c>
      <c r="Y854" s="119">
        <v>24281</v>
      </c>
      <c r="Z854" s="169">
        <v>24281</v>
      </c>
      <c r="AA854" s="119">
        <v>24281</v>
      </c>
      <c r="AB854" s="119">
        <v>24281</v>
      </c>
      <c r="AC854" s="119">
        <v>24403</v>
      </c>
      <c r="AD854" s="169">
        <v>24403</v>
      </c>
      <c r="AE854" s="119">
        <v>24403</v>
      </c>
      <c r="AF854" s="119">
        <v>24517</v>
      </c>
      <c r="AG854" s="168">
        <v>24517</v>
      </c>
      <c r="AH854" s="119">
        <v>24517</v>
      </c>
      <c r="AI854" s="119">
        <v>24615</v>
      </c>
      <c r="AJ854" s="169">
        <v>24615</v>
      </c>
      <c r="AK854" s="119">
        <v>24615</v>
      </c>
      <c r="AL854" s="119">
        <v>24615</v>
      </c>
      <c r="AM854" s="119">
        <v>24745</v>
      </c>
      <c r="AN854" s="169">
        <v>24745</v>
      </c>
      <c r="AO854" s="119">
        <v>24745</v>
      </c>
      <c r="AP854" s="119">
        <v>24937</v>
      </c>
      <c r="AQ854" s="169">
        <v>24937</v>
      </c>
      <c r="AR854" s="119">
        <v>25103</v>
      </c>
      <c r="AS854" s="169" t="s">
        <v>18</v>
      </c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</row>
    <row r="855" spans="1:55" ht="15.75" customHeight="1" x14ac:dyDescent="0.25">
      <c r="A855" s="121" t="s">
        <v>19</v>
      </c>
      <c r="B855" s="122" t="s">
        <v>4</v>
      </c>
      <c r="C855" s="124"/>
      <c r="D855" s="124">
        <v>856</v>
      </c>
      <c r="E855" s="171">
        <v>856</v>
      </c>
      <c r="F855" s="124">
        <v>856</v>
      </c>
      <c r="G855" s="124">
        <v>869</v>
      </c>
      <c r="H855" s="172">
        <v>869</v>
      </c>
      <c r="I855" s="124">
        <v>869</v>
      </c>
      <c r="J855" s="124">
        <v>869</v>
      </c>
      <c r="K855" s="124">
        <v>884</v>
      </c>
      <c r="L855" s="172">
        <v>884</v>
      </c>
      <c r="M855" s="124">
        <v>884</v>
      </c>
      <c r="N855" s="124">
        <v>884</v>
      </c>
      <c r="O855" s="124">
        <v>902</v>
      </c>
      <c r="P855" s="172">
        <v>902</v>
      </c>
      <c r="Q855" s="124">
        <v>902</v>
      </c>
      <c r="R855" s="124">
        <v>917</v>
      </c>
      <c r="S855" s="172">
        <v>917</v>
      </c>
      <c r="T855" s="124">
        <v>917</v>
      </c>
      <c r="U855" s="124">
        <v>920</v>
      </c>
      <c r="V855" s="172">
        <v>920</v>
      </c>
      <c r="W855" s="124">
        <v>920</v>
      </c>
      <c r="X855" s="124">
        <v>920</v>
      </c>
      <c r="Y855" s="124">
        <v>920</v>
      </c>
      <c r="Z855" s="172">
        <v>920</v>
      </c>
      <c r="AA855" s="124">
        <v>920</v>
      </c>
      <c r="AB855" s="124">
        <v>920</v>
      </c>
      <c r="AC855" s="124">
        <v>924</v>
      </c>
      <c r="AD855" s="172">
        <v>924</v>
      </c>
      <c r="AE855" s="124">
        <v>924</v>
      </c>
      <c r="AF855" s="124">
        <v>925</v>
      </c>
      <c r="AG855" s="171">
        <v>925</v>
      </c>
      <c r="AH855" s="124">
        <v>925</v>
      </c>
      <c r="AI855" s="124">
        <v>926</v>
      </c>
      <c r="AJ855" s="172">
        <v>926</v>
      </c>
      <c r="AK855" s="124">
        <v>926</v>
      </c>
      <c r="AL855" s="124">
        <v>926</v>
      </c>
      <c r="AM855" s="124">
        <v>927</v>
      </c>
      <c r="AN855" s="172">
        <v>927</v>
      </c>
      <c r="AO855" s="124">
        <v>927</v>
      </c>
      <c r="AP855" s="124">
        <v>928</v>
      </c>
      <c r="AQ855" s="172">
        <v>928</v>
      </c>
      <c r="AR855" s="124">
        <v>928</v>
      </c>
      <c r="AS855" s="172" t="s">
        <v>18</v>
      </c>
      <c r="AT855" s="161"/>
      <c r="AU855" s="161"/>
      <c r="AV855" s="161"/>
      <c r="AW855" s="161"/>
      <c r="AX855" s="161"/>
      <c r="AY855" s="161"/>
      <c r="AZ855" s="161"/>
      <c r="BA855" s="161"/>
      <c r="BB855" s="161"/>
      <c r="BC855" s="161"/>
    </row>
    <row r="856" spans="1:55" ht="15.75" customHeight="1" x14ac:dyDescent="0.25">
      <c r="A856" s="143">
        <v>1</v>
      </c>
      <c r="B856" s="122" t="s">
        <v>5</v>
      </c>
      <c r="C856" s="124"/>
      <c r="D856" s="124">
        <v>27</v>
      </c>
      <c r="E856" s="171">
        <v>27</v>
      </c>
      <c r="F856" s="124">
        <v>27</v>
      </c>
      <c r="G856" s="124">
        <v>17</v>
      </c>
      <c r="H856" s="172">
        <v>29</v>
      </c>
      <c r="I856" s="124">
        <v>29</v>
      </c>
      <c r="J856" s="124">
        <v>29</v>
      </c>
      <c r="K856" s="124">
        <v>22</v>
      </c>
      <c r="L856" s="172">
        <v>32</v>
      </c>
      <c r="M856" s="124">
        <v>32</v>
      </c>
      <c r="N856" s="124">
        <v>32</v>
      </c>
      <c r="O856" s="124">
        <v>21</v>
      </c>
      <c r="P856" s="172">
        <v>38</v>
      </c>
      <c r="Q856" s="124">
        <v>38</v>
      </c>
      <c r="R856" s="124">
        <v>29</v>
      </c>
      <c r="S856" s="172">
        <v>12</v>
      </c>
      <c r="T856" s="124">
        <v>12</v>
      </c>
      <c r="U856" s="124">
        <v>10</v>
      </c>
      <c r="V856" s="172">
        <v>12</v>
      </c>
      <c r="W856" s="124">
        <v>12</v>
      </c>
      <c r="X856" s="124">
        <v>12</v>
      </c>
      <c r="Y856" s="124">
        <v>11</v>
      </c>
      <c r="Z856" s="172">
        <v>12</v>
      </c>
      <c r="AA856" s="124">
        <v>12</v>
      </c>
      <c r="AB856" s="124">
        <v>12</v>
      </c>
      <c r="AC856" s="124">
        <v>8</v>
      </c>
      <c r="AD856" s="172">
        <v>12</v>
      </c>
      <c r="AE856" s="124">
        <v>12</v>
      </c>
      <c r="AF856" s="124">
        <v>11</v>
      </c>
      <c r="AG856" s="171">
        <v>11</v>
      </c>
      <c r="AH856" s="124">
        <v>11</v>
      </c>
      <c r="AI856" s="124">
        <v>11</v>
      </c>
      <c r="AJ856" s="172">
        <v>11</v>
      </c>
      <c r="AK856" s="124">
        <v>11</v>
      </c>
      <c r="AL856" s="124">
        <v>11</v>
      </c>
      <c r="AM856" s="124">
        <v>10</v>
      </c>
      <c r="AN856" s="172">
        <v>11</v>
      </c>
      <c r="AO856" s="124">
        <v>11</v>
      </c>
      <c r="AP856" s="124">
        <v>9</v>
      </c>
      <c r="AQ856" s="172">
        <v>11</v>
      </c>
      <c r="AR856" s="124">
        <v>11</v>
      </c>
      <c r="AS856" s="172" t="s">
        <v>18</v>
      </c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</row>
    <row r="857" spans="1:55" ht="15.75" customHeight="1" x14ac:dyDescent="0.25">
      <c r="A857" s="144" t="s">
        <v>20</v>
      </c>
      <c r="B857" s="122" t="s">
        <v>6</v>
      </c>
      <c r="C857" s="124"/>
      <c r="D857" s="124"/>
      <c r="E857" s="171"/>
      <c r="F857" s="124"/>
      <c r="G857" s="124">
        <v>12</v>
      </c>
      <c r="H857" s="172"/>
      <c r="I857" s="124"/>
      <c r="J857" s="124"/>
      <c r="K857" s="124">
        <v>10</v>
      </c>
      <c r="L857" s="172"/>
      <c r="M857" s="124"/>
      <c r="N857" s="124"/>
      <c r="O857" s="124">
        <v>17</v>
      </c>
      <c r="P857" s="172"/>
      <c r="Q857" s="124"/>
      <c r="R857" s="124">
        <v>-17</v>
      </c>
      <c r="S857" s="172"/>
      <c r="T857" s="124"/>
      <c r="U857" s="124">
        <v>2</v>
      </c>
      <c r="V857" s="172"/>
      <c r="W857" s="124"/>
      <c r="X857" s="124"/>
      <c r="Y857" s="124">
        <v>1</v>
      </c>
      <c r="Z857" s="172"/>
      <c r="AA857" s="124"/>
      <c r="AB857" s="124"/>
      <c r="AC857" s="124">
        <v>4</v>
      </c>
      <c r="AD857" s="172"/>
      <c r="AE857" s="124"/>
      <c r="AF857" s="124"/>
      <c r="AG857" s="171"/>
      <c r="AH857" s="124"/>
      <c r="AI857" s="124"/>
      <c r="AJ857" s="172"/>
      <c r="AK857" s="124"/>
      <c r="AL857" s="124"/>
      <c r="AM857" s="124">
        <v>1</v>
      </c>
      <c r="AN857" s="172"/>
      <c r="AO857" s="124"/>
      <c r="AP857" s="124">
        <v>2</v>
      </c>
      <c r="AQ857" s="172"/>
      <c r="AR857" s="124"/>
      <c r="AS857" s="172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</row>
    <row r="858" spans="1:55" ht="15.75" customHeight="1" x14ac:dyDescent="0.25">
      <c r="A858" s="145">
        <v>562200</v>
      </c>
      <c r="B858" s="122" t="s">
        <v>8</v>
      </c>
      <c r="C858" s="130"/>
      <c r="D858" s="130">
        <v>450</v>
      </c>
      <c r="E858" s="174">
        <v>450</v>
      </c>
      <c r="F858" s="130">
        <v>450</v>
      </c>
      <c r="G858" s="130">
        <v>450</v>
      </c>
      <c r="H858" s="175">
        <v>450</v>
      </c>
      <c r="I858" s="130">
        <v>450</v>
      </c>
      <c r="J858" s="130">
        <v>450</v>
      </c>
      <c r="K858" s="130">
        <v>450</v>
      </c>
      <c r="L858" s="175">
        <v>450</v>
      </c>
      <c r="M858" s="130">
        <v>450</v>
      </c>
      <c r="N858" s="130">
        <v>450</v>
      </c>
      <c r="O858" s="130">
        <v>450</v>
      </c>
      <c r="P858" s="175">
        <v>450</v>
      </c>
      <c r="Q858" s="130">
        <v>450</v>
      </c>
      <c r="R858" s="130">
        <v>450</v>
      </c>
      <c r="S858" s="175">
        <v>780</v>
      </c>
      <c r="T858" s="130">
        <v>780</v>
      </c>
      <c r="U858" s="130">
        <v>780</v>
      </c>
      <c r="V858" s="175">
        <v>780</v>
      </c>
      <c r="W858" s="130">
        <v>780</v>
      </c>
      <c r="X858" s="130">
        <v>780</v>
      </c>
      <c r="Y858" s="130">
        <v>780</v>
      </c>
      <c r="Z858" s="175">
        <v>780</v>
      </c>
      <c r="AA858" s="130">
        <v>780</v>
      </c>
      <c r="AB858" s="130">
        <v>780</v>
      </c>
      <c r="AC858" s="130">
        <v>780</v>
      </c>
      <c r="AD858" s="175">
        <v>780</v>
      </c>
      <c r="AE858" s="130">
        <v>780</v>
      </c>
      <c r="AF858" s="130">
        <v>780</v>
      </c>
      <c r="AG858" s="174">
        <v>780</v>
      </c>
      <c r="AH858" s="130">
        <v>780</v>
      </c>
      <c r="AI858" s="130">
        <v>780</v>
      </c>
      <c r="AJ858" s="175">
        <v>780</v>
      </c>
      <c r="AK858" s="130">
        <v>780</v>
      </c>
      <c r="AL858" s="130">
        <v>780</v>
      </c>
      <c r="AM858" s="130">
        <v>780</v>
      </c>
      <c r="AN858" s="175">
        <v>780</v>
      </c>
      <c r="AO858" s="130">
        <v>780</v>
      </c>
      <c r="AP858" s="130">
        <v>780</v>
      </c>
      <c r="AQ858" s="175">
        <v>780</v>
      </c>
      <c r="AR858" s="130">
        <v>780</v>
      </c>
      <c r="AS858" s="175" t="s">
        <v>18</v>
      </c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</row>
    <row r="859" spans="1:55" ht="15.75" customHeight="1" x14ac:dyDescent="0.25">
      <c r="A859" s="127" t="s">
        <v>9</v>
      </c>
      <c r="B859" s="132" t="s">
        <v>10</v>
      </c>
      <c r="C859" s="134"/>
      <c r="D859" s="134" t="s">
        <v>44</v>
      </c>
      <c r="E859" s="177" t="s">
        <v>44</v>
      </c>
      <c r="F859" s="134" t="s">
        <v>44</v>
      </c>
      <c r="G859" s="134" t="s">
        <v>44</v>
      </c>
      <c r="H859" s="178" t="s">
        <v>44</v>
      </c>
      <c r="I859" s="134" t="s">
        <v>44</v>
      </c>
      <c r="J859" s="134" t="s">
        <v>44</v>
      </c>
      <c r="K859" s="134" t="s">
        <v>44</v>
      </c>
      <c r="L859" s="178" t="s">
        <v>44</v>
      </c>
      <c r="M859" s="134" t="s">
        <v>44</v>
      </c>
      <c r="N859" s="134" t="s">
        <v>44</v>
      </c>
      <c r="O859" s="134" t="s">
        <v>44</v>
      </c>
      <c r="P859" s="178" t="s">
        <v>44</v>
      </c>
      <c r="Q859" s="134" t="s">
        <v>44</v>
      </c>
      <c r="R859" s="134" t="s">
        <v>44</v>
      </c>
      <c r="S859" s="178" t="s">
        <v>21</v>
      </c>
      <c r="T859" s="134" t="s">
        <v>21</v>
      </c>
      <c r="U859" s="134" t="s">
        <v>21</v>
      </c>
      <c r="V859" s="178" t="s">
        <v>21</v>
      </c>
      <c r="W859" s="134" t="s">
        <v>21</v>
      </c>
      <c r="X859" s="134" t="s">
        <v>21</v>
      </c>
      <c r="Y859" s="134" t="s">
        <v>21</v>
      </c>
      <c r="Z859" s="178" t="s">
        <v>21</v>
      </c>
      <c r="AA859" s="134" t="s">
        <v>21</v>
      </c>
      <c r="AB859" s="134" t="s">
        <v>21</v>
      </c>
      <c r="AC859" s="134" t="s">
        <v>21</v>
      </c>
      <c r="AD859" s="178" t="s">
        <v>21</v>
      </c>
      <c r="AE859" s="134" t="s">
        <v>21</v>
      </c>
      <c r="AF859" s="134" t="s">
        <v>21</v>
      </c>
      <c r="AG859" s="177" t="s">
        <v>21</v>
      </c>
      <c r="AH859" s="134" t="s">
        <v>21</v>
      </c>
      <c r="AI859" s="134" t="s">
        <v>21</v>
      </c>
      <c r="AJ859" s="178" t="s">
        <v>21</v>
      </c>
      <c r="AK859" s="134" t="s">
        <v>21</v>
      </c>
      <c r="AL859" s="134" t="s">
        <v>21</v>
      </c>
      <c r="AM859" s="134" t="s">
        <v>21</v>
      </c>
      <c r="AN859" s="178" t="s">
        <v>21</v>
      </c>
      <c r="AO859" s="134" t="s">
        <v>21</v>
      </c>
      <c r="AP859" s="134" t="s">
        <v>21</v>
      </c>
      <c r="AQ859" s="178" t="s">
        <v>21</v>
      </c>
      <c r="AR859" s="134" t="s">
        <v>21</v>
      </c>
      <c r="AS859" s="178" t="s">
        <v>18</v>
      </c>
      <c r="AT859" s="189"/>
      <c r="AU859" s="189"/>
      <c r="AV859" s="189"/>
      <c r="AW859" s="189"/>
      <c r="AX859" s="189"/>
      <c r="AY859" s="189"/>
      <c r="AZ859" s="189"/>
      <c r="BA859" s="189"/>
      <c r="BB859" s="189"/>
      <c r="BC859" s="189"/>
    </row>
    <row r="860" spans="1:55" ht="15.75" customHeight="1" x14ac:dyDescent="0.25">
      <c r="A860" s="128">
        <v>150000</v>
      </c>
      <c r="B860" s="122" t="s">
        <v>12</v>
      </c>
      <c r="C860" s="124"/>
      <c r="D860" s="124"/>
      <c r="E860" s="171"/>
      <c r="F860" s="124"/>
      <c r="G860" s="124"/>
      <c r="H860" s="172"/>
      <c r="I860" s="124"/>
      <c r="J860" s="124"/>
      <c r="K860" s="124"/>
      <c r="L860" s="172"/>
      <c r="M860" s="124"/>
      <c r="N860" s="124"/>
      <c r="O860" s="124"/>
      <c r="P860" s="172"/>
      <c r="Q860" s="124"/>
      <c r="R860" s="124"/>
      <c r="S860" s="172" t="s">
        <v>113</v>
      </c>
      <c r="T860" s="124"/>
      <c r="U860" s="124"/>
      <c r="V860" s="172" t="s">
        <v>114</v>
      </c>
      <c r="W860" s="124"/>
      <c r="X860" s="124"/>
      <c r="Y860" s="124"/>
      <c r="Z860" s="172"/>
      <c r="AA860" s="124"/>
      <c r="AB860" s="124"/>
      <c r="AC860" s="124"/>
      <c r="AD860" s="172" t="s">
        <v>115</v>
      </c>
      <c r="AE860" s="124"/>
      <c r="AF860" s="124"/>
      <c r="AG860" s="171"/>
      <c r="AH860" s="124"/>
      <c r="AI860" s="124"/>
      <c r="AJ860" s="172"/>
      <c r="AK860" s="124"/>
      <c r="AL860" s="124"/>
      <c r="AM860" s="124"/>
      <c r="AN860" s="172"/>
      <c r="AO860" s="124"/>
      <c r="AP860" s="124"/>
      <c r="AQ860" s="172"/>
      <c r="AR860" s="124"/>
      <c r="AS860" s="172" t="s">
        <v>116</v>
      </c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</row>
    <row r="861" spans="1:55" ht="15.75" customHeight="1" x14ac:dyDescent="0.25">
      <c r="A861" s="128">
        <v>1950</v>
      </c>
      <c r="B861" s="136" t="s">
        <v>13</v>
      </c>
      <c r="C861" s="137"/>
      <c r="D861" s="137"/>
      <c r="E861" s="171" t="s">
        <v>18</v>
      </c>
      <c r="F861" s="137">
        <v>0</v>
      </c>
      <c r="G861" s="137">
        <v>162</v>
      </c>
      <c r="H861" s="172">
        <v>0</v>
      </c>
      <c r="I861" s="137">
        <v>0</v>
      </c>
      <c r="J861" s="137">
        <v>0</v>
      </c>
      <c r="K861" s="137">
        <v>168</v>
      </c>
      <c r="L861" s="172">
        <v>0</v>
      </c>
      <c r="M861" s="137">
        <v>0</v>
      </c>
      <c r="N861" s="137">
        <v>0</v>
      </c>
      <c r="O861" s="137">
        <v>240</v>
      </c>
      <c r="P861" s="172">
        <v>0</v>
      </c>
      <c r="Q861" s="137">
        <v>0</v>
      </c>
      <c r="R861" s="137">
        <v>145</v>
      </c>
      <c r="S861" s="172">
        <v>0</v>
      </c>
      <c r="T861" s="137">
        <v>0</v>
      </c>
      <c r="U861" s="137">
        <v>168</v>
      </c>
      <c r="V861" s="172">
        <v>0</v>
      </c>
      <c r="W861" s="137">
        <v>0</v>
      </c>
      <c r="X861" s="137">
        <v>0</v>
      </c>
      <c r="Y861" s="137">
        <v>245</v>
      </c>
      <c r="Z861" s="172">
        <v>0</v>
      </c>
      <c r="AA861" s="137">
        <v>0</v>
      </c>
      <c r="AB861" s="137">
        <v>0</v>
      </c>
      <c r="AC861" s="137">
        <v>122</v>
      </c>
      <c r="AD861" s="172">
        <v>0</v>
      </c>
      <c r="AE861" s="137">
        <v>0</v>
      </c>
      <c r="AF861" s="137">
        <v>114</v>
      </c>
      <c r="AG861" s="171">
        <v>0</v>
      </c>
      <c r="AH861" s="137">
        <v>0</v>
      </c>
      <c r="AI861" s="137">
        <v>98</v>
      </c>
      <c r="AJ861" s="172">
        <v>0</v>
      </c>
      <c r="AK861" s="137">
        <v>0</v>
      </c>
      <c r="AL861" s="137">
        <v>0</v>
      </c>
      <c r="AM861" s="137">
        <v>130</v>
      </c>
      <c r="AN861" s="172">
        <v>0</v>
      </c>
      <c r="AO861" s="137">
        <v>0</v>
      </c>
      <c r="AP861" s="137">
        <v>192</v>
      </c>
      <c r="AQ861" s="172">
        <v>0</v>
      </c>
      <c r="AR861" s="137">
        <v>166</v>
      </c>
      <c r="AS861" s="172" t="s">
        <v>18</v>
      </c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</row>
    <row r="862" spans="1:55" ht="15.75" customHeight="1" x14ac:dyDescent="0.25">
      <c r="A862" s="128">
        <v>72</v>
      </c>
      <c r="B862" s="136" t="s">
        <v>14</v>
      </c>
      <c r="C862" s="137"/>
      <c r="D862" s="137"/>
      <c r="E862" s="171" t="s">
        <v>18</v>
      </c>
      <c r="F862" s="137">
        <v>0</v>
      </c>
      <c r="G862" s="137">
        <v>13</v>
      </c>
      <c r="H862" s="172">
        <v>0</v>
      </c>
      <c r="I862" s="137">
        <v>0</v>
      </c>
      <c r="J862" s="137">
        <v>0</v>
      </c>
      <c r="K862" s="137">
        <v>15</v>
      </c>
      <c r="L862" s="172">
        <v>0</v>
      </c>
      <c r="M862" s="137">
        <v>0</v>
      </c>
      <c r="N862" s="137">
        <v>0</v>
      </c>
      <c r="O862" s="137">
        <v>18</v>
      </c>
      <c r="P862" s="172">
        <v>0</v>
      </c>
      <c r="Q862" s="137">
        <v>0</v>
      </c>
      <c r="R862" s="137">
        <v>15</v>
      </c>
      <c r="S862" s="172">
        <v>0</v>
      </c>
      <c r="T862" s="137">
        <v>0</v>
      </c>
      <c r="U862" s="137">
        <v>3</v>
      </c>
      <c r="V862" s="172">
        <v>0</v>
      </c>
      <c r="W862" s="137">
        <v>0</v>
      </c>
      <c r="X862" s="137">
        <v>0</v>
      </c>
      <c r="Y862" s="137">
        <v>0</v>
      </c>
      <c r="Z862" s="172">
        <v>0</v>
      </c>
      <c r="AA862" s="137">
        <v>0</v>
      </c>
      <c r="AB862" s="137">
        <v>0</v>
      </c>
      <c r="AC862" s="137">
        <v>4</v>
      </c>
      <c r="AD862" s="172">
        <v>0</v>
      </c>
      <c r="AE862" s="137">
        <v>0</v>
      </c>
      <c r="AF862" s="137">
        <v>1</v>
      </c>
      <c r="AG862" s="171">
        <v>0</v>
      </c>
      <c r="AH862" s="137">
        <v>0</v>
      </c>
      <c r="AI862" s="137">
        <v>1</v>
      </c>
      <c r="AJ862" s="172">
        <v>0</v>
      </c>
      <c r="AK862" s="137">
        <v>0</v>
      </c>
      <c r="AL862" s="137">
        <v>0</v>
      </c>
      <c r="AM862" s="137">
        <v>1</v>
      </c>
      <c r="AN862" s="172">
        <v>0</v>
      </c>
      <c r="AO862" s="137">
        <v>0</v>
      </c>
      <c r="AP862" s="137">
        <v>1</v>
      </c>
      <c r="AQ862" s="172">
        <v>0</v>
      </c>
      <c r="AR862" s="137">
        <v>0</v>
      </c>
      <c r="AS862" s="172" t="s">
        <v>18</v>
      </c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</row>
    <row r="863" spans="1:55" ht="15.75" customHeight="1" x14ac:dyDescent="0.25">
      <c r="A863" s="128">
        <v>48</v>
      </c>
      <c r="B863" s="136" t="s">
        <v>15</v>
      </c>
      <c r="C863" s="137"/>
      <c r="D863" s="137"/>
      <c r="E863" s="171" t="s">
        <v>18</v>
      </c>
      <c r="F863" s="137">
        <v>0</v>
      </c>
      <c r="G863" s="137">
        <v>10</v>
      </c>
      <c r="H863" s="172">
        <v>0</v>
      </c>
      <c r="I863" s="137">
        <v>0</v>
      </c>
      <c r="J863" s="137">
        <v>0</v>
      </c>
      <c r="K863" s="137">
        <v>7</v>
      </c>
      <c r="L863" s="172">
        <v>0</v>
      </c>
      <c r="M863" s="137">
        <v>0</v>
      </c>
      <c r="N863" s="137">
        <v>0</v>
      </c>
      <c r="O863" s="137">
        <v>11</v>
      </c>
      <c r="P863" s="172">
        <v>0</v>
      </c>
      <c r="Q863" s="137">
        <v>0</v>
      </c>
      <c r="R863" s="137">
        <v>9</v>
      </c>
      <c r="S863" s="172">
        <v>0</v>
      </c>
      <c r="T863" s="137">
        <v>0</v>
      </c>
      <c r="U863" s="137">
        <v>2</v>
      </c>
      <c r="V863" s="172">
        <v>0</v>
      </c>
      <c r="W863" s="137">
        <v>0</v>
      </c>
      <c r="X863" s="137">
        <v>0</v>
      </c>
      <c r="Y863" s="137">
        <v>1</v>
      </c>
      <c r="Z863" s="172">
        <v>0</v>
      </c>
      <c r="AA863" s="137">
        <v>0</v>
      </c>
      <c r="AB863" s="137">
        <v>0</v>
      </c>
      <c r="AC863" s="137">
        <v>4</v>
      </c>
      <c r="AD863" s="172">
        <v>0</v>
      </c>
      <c r="AE863" s="137">
        <v>0</v>
      </c>
      <c r="AF863" s="137">
        <v>1</v>
      </c>
      <c r="AG863" s="171">
        <v>0</v>
      </c>
      <c r="AH863" s="137">
        <v>0</v>
      </c>
      <c r="AI863" s="137">
        <v>0</v>
      </c>
      <c r="AJ863" s="172">
        <v>0</v>
      </c>
      <c r="AK863" s="137">
        <v>0</v>
      </c>
      <c r="AL863" s="137">
        <v>0</v>
      </c>
      <c r="AM863" s="137">
        <v>1</v>
      </c>
      <c r="AN863" s="172">
        <v>0</v>
      </c>
      <c r="AO863" s="137">
        <v>0</v>
      </c>
      <c r="AP863" s="137">
        <v>2</v>
      </c>
      <c r="AQ863" s="172">
        <v>0</v>
      </c>
      <c r="AR863" s="137">
        <v>0</v>
      </c>
      <c r="AS863" s="172" t="s">
        <v>18</v>
      </c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</row>
    <row r="864" spans="1:55" ht="15.75" customHeight="1" x14ac:dyDescent="0.25">
      <c r="A864" s="128">
        <v>25230</v>
      </c>
      <c r="B864" s="136" t="s">
        <v>16</v>
      </c>
      <c r="C864" s="137"/>
      <c r="D864" s="137"/>
      <c r="E864" s="171" t="s">
        <v>18</v>
      </c>
      <c r="F864" s="137">
        <v>0</v>
      </c>
      <c r="G864" s="137">
        <v>4500</v>
      </c>
      <c r="H864" s="172">
        <v>0</v>
      </c>
      <c r="I864" s="137">
        <v>0</v>
      </c>
      <c r="J864" s="137">
        <v>0</v>
      </c>
      <c r="K864" s="137">
        <v>3150</v>
      </c>
      <c r="L864" s="172">
        <v>0</v>
      </c>
      <c r="M864" s="137">
        <v>0</v>
      </c>
      <c r="N864" s="137">
        <v>0</v>
      </c>
      <c r="O864" s="137">
        <v>4950</v>
      </c>
      <c r="P864" s="172">
        <v>0</v>
      </c>
      <c r="Q864" s="137">
        <v>0</v>
      </c>
      <c r="R864" s="137">
        <v>4050</v>
      </c>
      <c r="S864" s="172">
        <v>0</v>
      </c>
      <c r="T864" s="137">
        <v>0</v>
      </c>
      <c r="U864" s="137">
        <v>1560</v>
      </c>
      <c r="V864" s="172">
        <v>0</v>
      </c>
      <c r="W864" s="137">
        <v>0</v>
      </c>
      <c r="X864" s="137">
        <v>0</v>
      </c>
      <c r="Y864" s="137">
        <v>780</v>
      </c>
      <c r="Z864" s="172">
        <v>0</v>
      </c>
      <c r="AA864" s="137">
        <v>0</v>
      </c>
      <c r="AB864" s="137">
        <v>0</v>
      </c>
      <c r="AC864" s="137">
        <v>3120</v>
      </c>
      <c r="AD864" s="172">
        <v>0</v>
      </c>
      <c r="AE864" s="137">
        <v>0</v>
      </c>
      <c r="AF864" s="137">
        <v>780</v>
      </c>
      <c r="AG864" s="171">
        <v>0</v>
      </c>
      <c r="AH864" s="137">
        <v>0</v>
      </c>
      <c r="AI864" s="137">
        <v>0</v>
      </c>
      <c r="AJ864" s="172">
        <v>0</v>
      </c>
      <c r="AK864" s="137">
        <v>0</v>
      </c>
      <c r="AL864" s="137">
        <v>0</v>
      </c>
      <c r="AM864" s="137">
        <v>780</v>
      </c>
      <c r="AN864" s="172">
        <v>0</v>
      </c>
      <c r="AO864" s="137">
        <v>0</v>
      </c>
      <c r="AP864" s="137">
        <v>1560</v>
      </c>
      <c r="AQ864" s="172">
        <v>0</v>
      </c>
      <c r="AR864" s="137">
        <v>0</v>
      </c>
      <c r="AS864" s="172" t="s">
        <v>18</v>
      </c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/>
    </row>
    <row r="865" spans="1:55" ht="15.75" customHeight="1" x14ac:dyDescent="0.25">
      <c r="A865" s="138">
        <v>0.12938461538461538</v>
      </c>
      <c r="B865" s="136" t="s">
        <v>17</v>
      </c>
      <c r="C865" s="147"/>
      <c r="D865" s="147"/>
      <c r="E865" s="183" t="s">
        <v>18</v>
      </c>
      <c r="F865" s="147" t="s">
        <v>18</v>
      </c>
      <c r="G865" s="147">
        <v>0.27777777777777779</v>
      </c>
      <c r="H865" s="184" t="s">
        <v>18</v>
      </c>
      <c r="I865" s="147" t="s">
        <v>18</v>
      </c>
      <c r="J865" s="147" t="s">
        <v>18</v>
      </c>
      <c r="K865" s="147">
        <v>0.1875</v>
      </c>
      <c r="L865" s="184" t="s">
        <v>18</v>
      </c>
      <c r="M865" s="147" t="s">
        <v>18</v>
      </c>
      <c r="N865" s="147" t="s">
        <v>18</v>
      </c>
      <c r="O865" s="147">
        <v>0.20624999999999999</v>
      </c>
      <c r="P865" s="184" t="s">
        <v>18</v>
      </c>
      <c r="Q865" s="147" t="s">
        <v>18</v>
      </c>
      <c r="R865" s="147">
        <v>0.27931034482758621</v>
      </c>
      <c r="S865" s="184" t="s">
        <v>18</v>
      </c>
      <c r="T865" s="147" t="s">
        <v>18</v>
      </c>
      <c r="U865" s="147">
        <v>9.285714285714286E-2</v>
      </c>
      <c r="V865" s="184" t="s">
        <v>18</v>
      </c>
      <c r="W865" s="147" t="s">
        <v>18</v>
      </c>
      <c r="X865" s="147" t="s">
        <v>18</v>
      </c>
      <c r="Y865" s="147">
        <v>3.1836734693877551E-2</v>
      </c>
      <c r="Z865" s="184" t="s">
        <v>18</v>
      </c>
      <c r="AA865" s="147" t="s">
        <v>18</v>
      </c>
      <c r="AB865" s="147" t="s">
        <v>18</v>
      </c>
      <c r="AC865" s="147">
        <v>0.25573770491803277</v>
      </c>
      <c r="AD865" s="184" t="s">
        <v>18</v>
      </c>
      <c r="AE865" s="147" t="s">
        <v>18</v>
      </c>
      <c r="AF865" s="147">
        <v>6.8421052631578952E-2</v>
      </c>
      <c r="AG865" s="183" t="s">
        <v>18</v>
      </c>
      <c r="AH865" s="147" t="s">
        <v>18</v>
      </c>
      <c r="AI865" s="147" t="s">
        <v>18</v>
      </c>
      <c r="AJ865" s="184" t="s">
        <v>18</v>
      </c>
      <c r="AK865" s="147" t="s">
        <v>18</v>
      </c>
      <c r="AL865" s="147" t="s">
        <v>18</v>
      </c>
      <c r="AM865" s="147">
        <v>0.06</v>
      </c>
      <c r="AN865" s="184" t="s">
        <v>18</v>
      </c>
      <c r="AO865" s="147" t="s">
        <v>18</v>
      </c>
      <c r="AP865" s="147">
        <v>8.1250000000000003E-2</v>
      </c>
      <c r="AQ865" s="184" t="s">
        <v>18</v>
      </c>
      <c r="AR865" s="147" t="s">
        <v>18</v>
      </c>
      <c r="AS865" s="184" t="s">
        <v>18</v>
      </c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</row>
    <row r="866" spans="1:55" ht="15.75" customHeight="1" x14ac:dyDescent="0.25">
      <c r="A866" s="149" t="s">
        <v>1</v>
      </c>
      <c r="B866" s="150" t="s">
        <v>2</v>
      </c>
      <c r="C866" s="130"/>
      <c r="D866" s="130">
        <v>17810</v>
      </c>
      <c r="E866" s="174">
        <v>17810</v>
      </c>
      <c r="F866" s="130">
        <v>17810</v>
      </c>
      <c r="G866" s="130">
        <v>17941</v>
      </c>
      <c r="H866" s="175">
        <v>17941</v>
      </c>
      <c r="I866" s="130">
        <v>17941</v>
      </c>
      <c r="J866" s="130">
        <v>17941</v>
      </c>
      <c r="K866" s="130">
        <v>18032</v>
      </c>
      <c r="L866" s="175">
        <v>18032</v>
      </c>
      <c r="M866" s="130">
        <v>18032</v>
      </c>
      <c r="N866" s="130">
        <v>18032</v>
      </c>
      <c r="O866" s="130">
        <v>18151</v>
      </c>
      <c r="P866" s="175">
        <v>18151</v>
      </c>
      <c r="Q866" s="130">
        <v>18151</v>
      </c>
      <c r="R866" s="130">
        <v>18283</v>
      </c>
      <c r="S866" s="175">
        <v>18283</v>
      </c>
      <c r="T866" s="130">
        <v>18283</v>
      </c>
      <c r="U866" s="130">
        <v>18419</v>
      </c>
      <c r="V866" s="175">
        <v>18419</v>
      </c>
      <c r="W866" s="130">
        <v>18419</v>
      </c>
      <c r="X866" s="130">
        <v>18419</v>
      </c>
      <c r="Y866" s="130">
        <v>18536</v>
      </c>
      <c r="Z866" s="175">
        <v>18536</v>
      </c>
      <c r="AA866" s="130">
        <v>18536</v>
      </c>
      <c r="AB866" s="130">
        <v>18536</v>
      </c>
      <c r="AC866" s="130">
        <v>18680</v>
      </c>
      <c r="AD866" s="175">
        <v>18680</v>
      </c>
      <c r="AE866" s="130">
        <v>18680</v>
      </c>
      <c r="AF866" s="130">
        <v>18741</v>
      </c>
      <c r="AG866" s="174">
        <v>18741</v>
      </c>
      <c r="AH866" s="130">
        <v>18741</v>
      </c>
      <c r="AI866" s="130">
        <v>18841</v>
      </c>
      <c r="AJ866" s="175">
        <v>18841</v>
      </c>
      <c r="AK866" s="130">
        <v>18841</v>
      </c>
      <c r="AL866" s="130">
        <v>18841</v>
      </c>
      <c r="AM866" s="130">
        <v>18871</v>
      </c>
      <c r="AN866" s="175">
        <v>18871</v>
      </c>
      <c r="AO866" s="130">
        <v>18871</v>
      </c>
      <c r="AP866" s="130">
        <v>18914</v>
      </c>
      <c r="AQ866" s="175">
        <v>18914</v>
      </c>
      <c r="AR866" s="130">
        <v>18924</v>
      </c>
      <c r="AS866" s="175" t="s">
        <v>18</v>
      </c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/>
    </row>
    <row r="867" spans="1:55" ht="15.75" customHeight="1" x14ac:dyDescent="0.25">
      <c r="A867" s="121" t="s">
        <v>19</v>
      </c>
      <c r="B867" s="122" t="s">
        <v>4</v>
      </c>
      <c r="C867" s="124"/>
      <c r="D867" s="124">
        <v>892</v>
      </c>
      <c r="E867" s="171">
        <v>892</v>
      </c>
      <c r="F867" s="124">
        <v>892</v>
      </c>
      <c r="G867" s="124">
        <v>893</v>
      </c>
      <c r="H867" s="172">
        <v>893</v>
      </c>
      <c r="I867" s="124">
        <v>893</v>
      </c>
      <c r="J867" s="124">
        <v>893</v>
      </c>
      <c r="K867" s="124">
        <v>894</v>
      </c>
      <c r="L867" s="172">
        <v>894</v>
      </c>
      <c r="M867" s="124">
        <v>894</v>
      </c>
      <c r="N867" s="124">
        <v>894</v>
      </c>
      <c r="O867" s="124">
        <v>895</v>
      </c>
      <c r="P867" s="172">
        <v>895</v>
      </c>
      <c r="Q867" s="124">
        <v>895</v>
      </c>
      <c r="R867" s="124">
        <v>895</v>
      </c>
      <c r="S867" s="172">
        <v>895</v>
      </c>
      <c r="T867" s="124">
        <v>895</v>
      </c>
      <c r="U867" s="124">
        <v>899</v>
      </c>
      <c r="V867" s="172">
        <v>899</v>
      </c>
      <c r="W867" s="124">
        <v>899</v>
      </c>
      <c r="X867" s="124">
        <v>899</v>
      </c>
      <c r="Y867" s="124">
        <v>902</v>
      </c>
      <c r="Z867" s="172">
        <v>902</v>
      </c>
      <c r="AA867" s="124">
        <v>902</v>
      </c>
      <c r="AB867" s="124">
        <v>902</v>
      </c>
      <c r="AC867" s="124">
        <v>903</v>
      </c>
      <c r="AD867" s="172">
        <v>903</v>
      </c>
      <c r="AE867" s="124">
        <v>903</v>
      </c>
      <c r="AF867" s="124">
        <v>903</v>
      </c>
      <c r="AG867" s="171">
        <v>903</v>
      </c>
      <c r="AH867" s="124">
        <v>903</v>
      </c>
      <c r="AI867" s="124">
        <v>904</v>
      </c>
      <c r="AJ867" s="172">
        <v>904</v>
      </c>
      <c r="AK867" s="124">
        <v>904</v>
      </c>
      <c r="AL867" s="124">
        <v>904</v>
      </c>
      <c r="AM867" s="124">
        <v>904</v>
      </c>
      <c r="AN867" s="172">
        <v>904</v>
      </c>
      <c r="AO867" s="124">
        <v>904</v>
      </c>
      <c r="AP867" s="124">
        <v>905</v>
      </c>
      <c r="AQ867" s="172">
        <v>905</v>
      </c>
      <c r="AR867" s="124">
        <v>905</v>
      </c>
      <c r="AS867" s="172" t="s">
        <v>18</v>
      </c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</row>
    <row r="868" spans="1:55" ht="15.75" customHeight="1" x14ac:dyDescent="0.25">
      <c r="A868" s="143">
        <v>2</v>
      </c>
      <c r="B868" s="122" t="s">
        <v>5</v>
      </c>
      <c r="C868" s="124"/>
      <c r="D868" s="124">
        <v>19</v>
      </c>
      <c r="E868" s="171">
        <v>29</v>
      </c>
      <c r="F868" s="124">
        <v>29</v>
      </c>
      <c r="G868" s="124">
        <v>28</v>
      </c>
      <c r="H868" s="172">
        <v>28</v>
      </c>
      <c r="I868" s="124">
        <v>28</v>
      </c>
      <c r="J868" s="124">
        <v>28</v>
      </c>
      <c r="K868" s="124">
        <v>27</v>
      </c>
      <c r="L868" s="172">
        <v>27</v>
      </c>
      <c r="M868" s="124">
        <v>27</v>
      </c>
      <c r="N868" s="124">
        <v>27</v>
      </c>
      <c r="O868" s="124">
        <v>26</v>
      </c>
      <c r="P868" s="172">
        <v>26</v>
      </c>
      <c r="Q868" s="124">
        <v>26</v>
      </c>
      <c r="R868" s="124">
        <v>25</v>
      </c>
      <c r="S868" s="172">
        <v>25</v>
      </c>
      <c r="T868" s="124">
        <v>25</v>
      </c>
      <c r="U868" s="124">
        <v>21</v>
      </c>
      <c r="V868" s="172">
        <v>35</v>
      </c>
      <c r="W868" s="124">
        <v>35</v>
      </c>
      <c r="X868" s="124">
        <v>35</v>
      </c>
      <c r="Y868" s="124">
        <v>31</v>
      </c>
      <c r="Z868" s="172">
        <v>31</v>
      </c>
      <c r="AA868" s="124">
        <v>31</v>
      </c>
      <c r="AB868" s="124">
        <v>31</v>
      </c>
      <c r="AC868" s="124">
        <v>30</v>
      </c>
      <c r="AD868" s="172">
        <v>35</v>
      </c>
      <c r="AE868" s="124">
        <v>35</v>
      </c>
      <c r="AF868" s="124">
        <v>35</v>
      </c>
      <c r="AG868" s="171">
        <v>35</v>
      </c>
      <c r="AH868" s="124">
        <v>35</v>
      </c>
      <c r="AI868" s="124">
        <v>35</v>
      </c>
      <c r="AJ868" s="172">
        <v>35</v>
      </c>
      <c r="AK868" s="124">
        <v>35</v>
      </c>
      <c r="AL868" s="124">
        <v>35</v>
      </c>
      <c r="AM868" s="124">
        <v>35</v>
      </c>
      <c r="AN868" s="172">
        <v>35</v>
      </c>
      <c r="AO868" s="124">
        <v>35</v>
      </c>
      <c r="AP868" s="124">
        <v>34</v>
      </c>
      <c r="AQ868" s="172">
        <v>34</v>
      </c>
      <c r="AR868" s="124">
        <v>34</v>
      </c>
      <c r="AS868" s="172" t="s">
        <v>18</v>
      </c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/>
    </row>
    <row r="869" spans="1:55" ht="15.75" customHeight="1" x14ac:dyDescent="0.25">
      <c r="A869" s="127"/>
      <c r="B869" s="122" t="s">
        <v>6</v>
      </c>
      <c r="C869" s="124"/>
      <c r="D869" s="124">
        <v>10</v>
      </c>
      <c r="E869" s="171"/>
      <c r="F869" s="124"/>
      <c r="G869" s="124"/>
      <c r="H869" s="172"/>
      <c r="I869" s="124"/>
      <c r="J869" s="124"/>
      <c r="K869" s="124"/>
      <c r="L869" s="172"/>
      <c r="M869" s="124"/>
      <c r="N869" s="124"/>
      <c r="O869" s="124"/>
      <c r="P869" s="172"/>
      <c r="Q869" s="124"/>
      <c r="R869" s="124"/>
      <c r="S869" s="172"/>
      <c r="T869" s="124"/>
      <c r="U869" s="124">
        <v>14</v>
      </c>
      <c r="V869" s="172"/>
      <c r="W869" s="124"/>
      <c r="X869" s="124"/>
      <c r="Y869" s="124"/>
      <c r="Z869" s="172"/>
      <c r="AA869" s="124"/>
      <c r="AB869" s="124"/>
      <c r="AC869" s="124">
        <v>5</v>
      </c>
      <c r="AD869" s="172"/>
      <c r="AE869" s="124"/>
      <c r="AF869" s="124"/>
      <c r="AG869" s="171"/>
      <c r="AH869" s="124"/>
      <c r="AI869" s="124"/>
      <c r="AJ869" s="172"/>
      <c r="AK869" s="124"/>
      <c r="AL869" s="124"/>
      <c r="AM869" s="124"/>
      <c r="AN869" s="172"/>
      <c r="AO869" s="124"/>
      <c r="AP869" s="124"/>
      <c r="AQ869" s="172"/>
      <c r="AR869" s="124"/>
      <c r="AS869" s="172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</row>
    <row r="870" spans="1:55" ht="15.75" customHeight="1" x14ac:dyDescent="0.25">
      <c r="A870" s="128"/>
      <c r="B870" s="122" t="s">
        <v>8</v>
      </c>
      <c r="C870" s="130"/>
      <c r="D870" s="130">
        <v>400</v>
      </c>
      <c r="E870" s="174">
        <v>400</v>
      </c>
      <c r="F870" s="130">
        <v>400</v>
      </c>
      <c r="G870" s="130">
        <v>400</v>
      </c>
      <c r="H870" s="175">
        <v>400</v>
      </c>
      <c r="I870" s="130">
        <v>400</v>
      </c>
      <c r="J870" s="130">
        <v>400</v>
      </c>
      <c r="K870" s="130">
        <v>400</v>
      </c>
      <c r="L870" s="175">
        <v>400</v>
      </c>
      <c r="M870" s="130">
        <v>400</v>
      </c>
      <c r="N870" s="130">
        <v>400</v>
      </c>
      <c r="O870" s="130">
        <v>400</v>
      </c>
      <c r="P870" s="175">
        <v>400</v>
      </c>
      <c r="Q870" s="130">
        <v>400</v>
      </c>
      <c r="R870" s="130">
        <v>400</v>
      </c>
      <c r="S870" s="175">
        <v>400</v>
      </c>
      <c r="T870" s="130">
        <v>400</v>
      </c>
      <c r="U870" s="130">
        <v>400</v>
      </c>
      <c r="V870" s="175">
        <v>400</v>
      </c>
      <c r="W870" s="130">
        <v>400</v>
      </c>
      <c r="X870" s="130">
        <v>400</v>
      </c>
      <c r="Y870" s="130">
        <v>400</v>
      </c>
      <c r="Z870" s="175">
        <v>400</v>
      </c>
      <c r="AA870" s="130">
        <v>400</v>
      </c>
      <c r="AB870" s="130">
        <v>400</v>
      </c>
      <c r="AC870" s="130">
        <v>400</v>
      </c>
      <c r="AD870" s="175">
        <v>400</v>
      </c>
      <c r="AE870" s="130">
        <v>400</v>
      </c>
      <c r="AF870" s="130">
        <v>400</v>
      </c>
      <c r="AG870" s="174">
        <v>400</v>
      </c>
      <c r="AH870" s="130">
        <v>400</v>
      </c>
      <c r="AI870" s="130">
        <v>400</v>
      </c>
      <c r="AJ870" s="175">
        <v>400</v>
      </c>
      <c r="AK870" s="130">
        <v>400</v>
      </c>
      <c r="AL870" s="130">
        <v>400</v>
      </c>
      <c r="AM870" s="130">
        <v>400</v>
      </c>
      <c r="AN870" s="175">
        <v>400</v>
      </c>
      <c r="AO870" s="130">
        <v>400</v>
      </c>
      <c r="AP870" s="130">
        <v>400</v>
      </c>
      <c r="AQ870" s="175">
        <v>400</v>
      </c>
      <c r="AR870" s="130">
        <v>400</v>
      </c>
      <c r="AS870" s="175" t="s">
        <v>18</v>
      </c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</row>
    <row r="871" spans="1:55" ht="15.75" customHeight="1" x14ac:dyDescent="0.25">
      <c r="A871" s="127" t="s">
        <v>9</v>
      </c>
      <c r="B871" s="132" t="s">
        <v>10</v>
      </c>
      <c r="C871" s="134"/>
      <c r="D871" s="134" t="s">
        <v>22</v>
      </c>
      <c r="E871" s="177" t="s">
        <v>22</v>
      </c>
      <c r="F871" s="134" t="s">
        <v>22</v>
      </c>
      <c r="G871" s="134" t="s">
        <v>22</v>
      </c>
      <c r="H871" s="178" t="s">
        <v>22</v>
      </c>
      <c r="I871" s="134" t="s">
        <v>22</v>
      </c>
      <c r="J871" s="134" t="s">
        <v>22</v>
      </c>
      <c r="K871" s="134" t="s">
        <v>22</v>
      </c>
      <c r="L871" s="178" t="s">
        <v>22</v>
      </c>
      <c r="M871" s="134" t="s">
        <v>22</v>
      </c>
      <c r="N871" s="134" t="s">
        <v>22</v>
      </c>
      <c r="O871" s="134" t="s">
        <v>22</v>
      </c>
      <c r="P871" s="178" t="s">
        <v>22</v>
      </c>
      <c r="Q871" s="134" t="s">
        <v>22</v>
      </c>
      <c r="R871" s="134" t="s">
        <v>22</v>
      </c>
      <c r="S871" s="178" t="s">
        <v>22</v>
      </c>
      <c r="T871" s="134" t="s">
        <v>22</v>
      </c>
      <c r="U871" s="134" t="s">
        <v>22</v>
      </c>
      <c r="V871" s="178" t="s">
        <v>22</v>
      </c>
      <c r="W871" s="134" t="s">
        <v>22</v>
      </c>
      <c r="X871" s="134" t="s">
        <v>22</v>
      </c>
      <c r="Y871" s="134" t="s">
        <v>22</v>
      </c>
      <c r="Z871" s="178" t="s">
        <v>22</v>
      </c>
      <c r="AA871" s="134" t="s">
        <v>22</v>
      </c>
      <c r="AB871" s="134" t="s">
        <v>22</v>
      </c>
      <c r="AC871" s="134" t="s">
        <v>22</v>
      </c>
      <c r="AD871" s="178" t="s">
        <v>22</v>
      </c>
      <c r="AE871" s="134" t="s">
        <v>22</v>
      </c>
      <c r="AF871" s="134" t="s">
        <v>22</v>
      </c>
      <c r="AG871" s="177" t="s">
        <v>22</v>
      </c>
      <c r="AH871" s="134" t="s">
        <v>22</v>
      </c>
      <c r="AI871" s="134" t="s">
        <v>22</v>
      </c>
      <c r="AJ871" s="178" t="s">
        <v>22</v>
      </c>
      <c r="AK871" s="134" t="s">
        <v>22</v>
      </c>
      <c r="AL871" s="134" t="s">
        <v>22</v>
      </c>
      <c r="AM871" s="134" t="s">
        <v>22</v>
      </c>
      <c r="AN871" s="178" t="s">
        <v>22</v>
      </c>
      <c r="AO871" s="134" t="s">
        <v>22</v>
      </c>
      <c r="AP871" s="134" t="s">
        <v>22</v>
      </c>
      <c r="AQ871" s="178" t="s">
        <v>22</v>
      </c>
      <c r="AR871" s="134" t="s">
        <v>22</v>
      </c>
      <c r="AS871" s="178" t="s">
        <v>18</v>
      </c>
      <c r="AT871" s="189"/>
      <c r="AU871" s="189"/>
      <c r="AV871" s="189"/>
      <c r="AW871" s="189"/>
      <c r="AX871" s="189"/>
      <c r="AY871" s="189"/>
      <c r="AZ871" s="189"/>
      <c r="BA871" s="189"/>
      <c r="BB871" s="189"/>
      <c r="BC871" s="189"/>
    </row>
    <row r="872" spans="1:55" ht="15.75" customHeight="1" x14ac:dyDescent="0.25">
      <c r="A872" s="128">
        <v>85692.307692307702</v>
      </c>
      <c r="B872" s="122" t="s">
        <v>12</v>
      </c>
      <c r="C872" s="124"/>
      <c r="D872" s="124"/>
      <c r="E872" s="171"/>
      <c r="F872" s="124"/>
      <c r="G872" s="124"/>
      <c r="H872" s="172"/>
      <c r="I872" s="124"/>
      <c r="J872" s="124"/>
      <c r="K872" s="124"/>
      <c r="L872" s="172"/>
      <c r="M872" s="124"/>
      <c r="N872" s="124"/>
      <c r="O872" s="124"/>
      <c r="P872" s="172"/>
      <c r="Q872" s="124"/>
      <c r="R872" s="124"/>
      <c r="S872" s="172"/>
      <c r="T872" s="124"/>
      <c r="U872" s="124"/>
      <c r="V872" s="172"/>
      <c r="W872" s="124"/>
      <c r="X872" s="124"/>
      <c r="Y872" s="124"/>
      <c r="Z872" s="172"/>
      <c r="AA872" s="124"/>
      <c r="AB872" s="124"/>
      <c r="AC872" s="124"/>
      <c r="AD872" s="172"/>
      <c r="AE872" s="124"/>
      <c r="AF872" s="124"/>
      <c r="AG872" s="171"/>
      <c r="AH872" s="124"/>
      <c r="AI872" s="124"/>
      <c r="AJ872" s="172"/>
      <c r="AK872" s="124"/>
      <c r="AL872" s="124"/>
      <c r="AM872" s="124"/>
      <c r="AN872" s="172"/>
      <c r="AO872" s="124"/>
      <c r="AP872" s="124"/>
      <c r="AQ872" s="172"/>
      <c r="AR872" s="124"/>
      <c r="AS872" s="172"/>
      <c r="AT872" s="161"/>
      <c r="AU872" s="161"/>
      <c r="AV872" s="161"/>
      <c r="AW872" s="161"/>
      <c r="AX872" s="161"/>
      <c r="AY872" s="161"/>
      <c r="AZ872" s="161"/>
      <c r="BA872" s="161"/>
      <c r="BB872" s="161"/>
      <c r="BC872" s="161"/>
    </row>
    <row r="873" spans="1:55" ht="15.75" customHeight="1" x14ac:dyDescent="0.25">
      <c r="A873" s="128">
        <v>1114</v>
      </c>
      <c r="B873" s="136" t="s">
        <v>13</v>
      </c>
      <c r="C873" s="137"/>
      <c r="D873" s="137"/>
      <c r="E873" s="171" t="s">
        <v>18</v>
      </c>
      <c r="F873" s="137">
        <v>0</v>
      </c>
      <c r="G873" s="137">
        <v>131</v>
      </c>
      <c r="H873" s="172">
        <v>0</v>
      </c>
      <c r="I873" s="137">
        <v>0</v>
      </c>
      <c r="J873" s="137">
        <v>0</v>
      </c>
      <c r="K873" s="137">
        <v>91</v>
      </c>
      <c r="L873" s="172">
        <v>0</v>
      </c>
      <c r="M873" s="137">
        <v>0</v>
      </c>
      <c r="N873" s="137">
        <v>0</v>
      </c>
      <c r="O873" s="137">
        <v>119</v>
      </c>
      <c r="P873" s="172">
        <v>0</v>
      </c>
      <c r="Q873" s="137">
        <v>0</v>
      </c>
      <c r="R873" s="137">
        <v>132</v>
      </c>
      <c r="S873" s="172">
        <v>0</v>
      </c>
      <c r="T873" s="137">
        <v>0</v>
      </c>
      <c r="U873" s="137">
        <v>136</v>
      </c>
      <c r="V873" s="172">
        <v>0</v>
      </c>
      <c r="W873" s="137">
        <v>0</v>
      </c>
      <c r="X873" s="137">
        <v>0</v>
      </c>
      <c r="Y873" s="137">
        <v>117</v>
      </c>
      <c r="Z873" s="172">
        <v>0</v>
      </c>
      <c r="AA873" s="137">
        <v>0</v>
      </c>
      <c r="AB873" s="137">
        <v>0</v>
      </c>
      <c r="AC873" s="137">
        <v>144</v>
      </c>
      <c r="AD873" s="172">
        <v>0</v>
      </c>
      <c r="AE873" s="137">
        <v>0</v>
      </c>
      <c r="AF873" s="137">
        <v>61</v>
      </c>
      <c r="AG873" s="171">
        <v>0</v>
      </c>
      <c r="AH873" s="137">
        <v>0</v>
      </c>
      <c r="AI873" s="137">
        <v>100</v>
      </c>
      <c r="AJ873" s="172">
        <v>0</v>
      </c>
      <c r="AK873" s="137">
        <v>0</v>
      </c>
      <c r="AL873" s="137">
        <v>0</v>
      </c>
      <c r="AM873" s="137">
        <v>30</v>
      </c>
      <c r="AN873" s="172">
        <v>0</v>
      </c>
      <c r="AO873" s="137">
        <v>0</v>
      </c>
      <c r="AP873" s="137">
        <v>43</v>
      </c>
      <c r="AQ873" s="172">
        <v>0</v>
      </c>
      <c r="AR873" s="137">
        <v>10</v>
      </c>
      <c r="AS873" s="172" t="s">
        <v>18</v>
      </c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</row>
    <row r="874" spans="1:55" ht="15.75" customHeight="1" x14ac:dyDescent="0.25">
      <c r="A874" s="128">
        <v>13</v>
      </c>
      <c r="B874" s="136" t="s">
        <v>14</v>
      </c>
      <c r="C874" s="137"/>
      <c r="D874" s="137"/>
      <c r="E874" s="171" t="s">
        <v>18</v>
      </c>
      <c r="F874" s="137">
        <v>0</v>
      </c>
      <c r="G874" s="137">
        <v>1</v>
      </c>
      <c r="H874" s="172">
        <v>0</v>
      </c>
      <c r="I874" s="137">
        <v>0</v>
      </c>
      <c r="J874" s="137">
        <v>0</v>
      </c>
      <c r="K874" s="137">
        <v>1</v>
      </c>
      <c r="L874" s="172">
        <v>0</v>
      </c>
      <c r="M874" s="137">
        <v>0</v>
      </c>
      <c r="N874" s="137">
        <v>0</v>
      </c>
      <c r="O874" s="137">
        <v>1</v>
      </c>
      <c r="P874" s="172">
        <v>0</v>
      </c>
      <c r="Q874" s="137">
        <v>0</v>
      </c>
      <c r="R874" s="137">
        <v>0</v>
      </c>
      <c r="S874" s="172">
        <v>0</v>
      </c>
      <c r="T874" s="137">
        <v>0</v>
      </c>
      <c r="U874" s="137">
        <v>4</v>
      </c>
      <c r="V874" s="172">
        <v>0</v>
      </c>
      <c r="W874" s="137">
        <v>0</v>
      </c>
      <c r="X874" s="137">
        <v>0</v>
      </c>
      <c r="Y874" s="137">
        <v>3</v>
      </c>
      <c r="Z874" s="172">
        <v>0</v>
      </c>
      <c r="AA874" s="137">
        <v>0</v>
      </c>
      <c r="AB874" s="137">
        <v>0</v>
      </c>
      <c r="AC874" s="137">
        <v>1</v>
      </c>
      <c r="AD874" s="172">
        <v>0</v>
      </c>
      <c r="AE874" s="137">
        <v>0</v>
      </c>
      <c r="AF874" s="137">
        <v>0</v>
      </c>
      <c r="AG874" s="171">
        <v>0</v>
      </c>
      <c r="AH874" s="137">
        <v>0</v>
      </c>
      <c r="AI874" s="137">
        <v>1</v>
      </c>
      <c r="AJ874" s="172">
        <v>0</v>
      </c>
      <c r="AK874" s="137">
        <v>0</v>
      </c>
      <c r="AL874" s="137">
        <v>0</v>
      </c>
      <c r="AM874" s="137">
        <v>0</v>
      </c>
      <c r="AN874" s="172">
        <v>0</v>
      </c>
      <c r="AO874" s="137">
        <v>0</v>
      </c>
      <c r="AP874" s="137">
        <v>1</v>
      </c>
      <c r="AQ874" s="172">
        <v>0</v>
      </c>
      <c r="AR874" s="137">
        <v>0</v>
      </c>
      <c r="AS874" s="172" t="s">
        <v>18</v>
      </c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</row>
    <row r="875" spans="1:55" ht="15.75" customHeight="1" x14ac:dyDescent="0.25">
      <c r="A875" s="128">
        <v>14</v>
      </c>
      <c r="B875" s="136" t="s">
        <v>15</v>
      </c>
      <c r="C875" s="137"/>
      <c r="D875" s="137"/>
      <c r="E875" s="171" t="s">
        <v>18</v>
      </c>
      <c r="F875" s="137">
        <v>0</v>
      </c>
      <c r="G875" s="137">
        <v>1</v>
      </c>
      <c r="H875" s="172">
        <v>0</v>
      </c>
      <c r="I875" s="137">
        <v>0</v>
      </c>
      <c r="J875" s="137">
        <v>0</v>
      </c>
      <c r="K875" s="137">
        <v>1</v>
      </c>
      <c r="L875" s="172">
        <v>0</v>
      </c>
      <c r="M875" s="137">
        <v>0</v>
      </c>
      <c r="N875" s="137">
        <v>0</v>
      </c>
      <c r="O875" s="137">
        <v>1</v>
      </c>
      <c r="P875" s="172">
        <v>0</v>
      </c>
      <c r="Q875" s="137">
        <v>0</v>
      </c>
      <c r="R875" s="137">
        <v>1</v>
      </c>
      <c r="S875" s="172">
        <v>0</v>
      </c>
      <c r="T875" s="137">
        <v>0</v>
      </c>
      <c r="U875" s="137">
        <v>4</v>
      </c>
      <c r="V875" s="172">
        <v>0</v>
      </c>
      <c r="W875" s="137">
        <v>0</v>
      </c>
      <c r="X875" s="137">
        <v>0</v>
      </c>
      <c r="Y875" s="137">
        <v>4</v>
      </c>
      <c r="Z875" s="172">
        <v>0</v>
      </c>
      <c r="AA875" s="137">
        <v>0</v>
      </c>
      <c r="AB875" s="137">
        <v>0</v>
      </c>
      <c r="AC875" s="137">
        <v>1</v>
      </c>
      <c r="AD875" s="172">
        <v>0</v>
      </c>
      <c r="AE875" s="137">
        <v>0</v>
      </c>
      <c r="AF875" s="137">
        <v>0</v>
      </c>
      <c r="AG875" s="171">
        <v>0</v>
      </c>
      <c r="AH875" s="137">
        <v>0</v>
      </c>
      <c r="AI875" s="137">
        <v>0</v>
      </c>
      <c r="AJ875" s="172">
        <v>0</v>
      </c>
      <c r="AK875" s="137">
        <v>0</v>
      </c>
      <c r="AL875" s="137">
        <v>0</v>
      </c>
      <c r="AM875" s="137">
        <v>0</v>
      </c>
      <c r="AN875" s="172">
        <v>0</v>
      </c>
      <c r="AO875" s="137">
        <v>0</v>
      </c>
      <c r="AP875" s="137">
        <v>1</v>
      </c>
      <c r="AQ875" s="172">
        <v>0</v>
      </c>
      <c r="AR875" s="137">
        <v>0</v>
      </c>
      <c r="AS875" s="172" t="s">
        <v>18</v>
      </c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</row>
    <row r="876" spans="1:55" ht="15.75" customHeight="1" x14ac:dyDescent="0.25">
      <c r="A876" s="128">
        <v>5600</v>
      </c>
      <c r="B876" s="136" t="s">
        <v>16</v>
      </c>
      <c r="C876" s="137"/>
      <c r="D876" s="137"/>
      <c r="E876" s="171" t="s">
        <v>18</v>
      </c>
      <c r="F876" s="137">
        <v>0</v>
      </c>
      <c r="G876" s="137">
        <v>400</v>
      </c>
      <c r="H876" s="172">
        <v>0</v>
      </c>
      <c r="I876" s="137">
        <v>0</v>
      </c>
      <c r="J876" s="137">
        <v>0</v>
      </c>
      <c r="K876" s="137">
        <v>400</v>
      </c>
      <c r="L876" s="172">
        <v>0</v>
      </c>
      <c r="M876" s="137">
        <v>0</v>
      </c>
      <c r="N876" s="137">
        <v>0</v>
      </c>
      <c r="O876" s="137">
        <v>400</v>
      </c>
      <c r="P876" s="172">
        <v>0</v>
      </c>
      <c r="Q876" s="137">
        <v>0</v>
      </c>
      <c r="R876" s="137">
        <v>400</v>
      </c>
      <c r="S876" s="172">
        <v>0</v>
      </c>
      <c r="T876" s="137">
        <v>0</v>
      </c>
      <c r="U876" s="137">
        <v>1600</v>
      </c>
      <c r="V876" s="172">
        <v>0</v>
      </c>
      <c r="W876" s="137">
        <v>0</v>
      </c>
      <c r="X876" s="137">
        <v>0</v>
      </c>
      <c r="Y876" s="137">
        <v>1600</v>
      </c>
      <c r="Z876" s="172">
        <v>0</v>
      </c>
      <c r="AA876" s="137">
        <v>0</v>
      </c>
      <c r="AB876" s="137">
        <v>0</v>
      </c>
      <c r="AC876" s="137">
        <v>400</v>
      </c>
      <c r="AD876" s="172">
        <v>0</v>
      </c>
      <c r="AE876" s="137">
        <v>0</v>
      </c>
      <c r="AF876" s="137">
        <v>0</v>
      </c>
      <c r="AG876" s="171">
        <v>0</v>
      </c>
      <c r="AH876" s="137">
        <v>0</v>
      </c>
      <c r="AI876" s="137">
        <v>0</v>
      </c>
      <c r="AJ876" s="172">
        <v>0</v>
      </c>
      <c r="AK876" s="137">
        <v>0</v>
      </c>
      <c r="AL876" s="137">
        <v>0</v>
      </c>
      <c r="AM876" s="137">
        <v>0</v>
      </c>
      <c r="AN876" s="172">
        <v>0</v>
      </c>
      <c r="AO876" s="137">
        <v>0</v>
      </c>
      <c r="AP876" s="137">
        <v>400</v>
      </c>
      <c r="AQ876" s="172">
        <v>0</v>
      </c>
      <c r="AR876" s="137">
        <v>0</v>
      </c>
      <c r="AS876" s="172" t="s">
        <v>18</v>
      </c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</row>
    <row r="877" spans="1:55" ht="15.75" customHeight="1" x14ac:dyDescent="0.25">
      <c r="A877" s="138">
        <v>5.0269299820466788E-2</v>
      </c>
      <c r="B877" s="136" t="s">
        <v>17</v>
      </c>
      <c r="C877" s="147"/>
      <c r="D877" s="147"/>
      <c r="E877" s="183" t="s">
        <v>18</v>
      </c>
      <c r="F877" s="147" t="s">
        <v>18</v>
      </c>
      <c r="G877" s="147">
        <v>3.0534351145038167E-2</v>
      </c>
      <c r="H877" s="184" t="s">
        <v>18</v>
      </c>
      <c r="I877" s="147" t="s">
        <v>18</v>
      </c>
      <c r="J877" s="147" t="s">
        <v>18</v>
      </c>
      <c r="K877" s="147">
        <v>4.3956043956043959E-2</v>
      </c>
      <c r="L877" s="184" t="s">
        <v>18</v>
      </c>
      <c r="M877" s="147" t="s">
        <v>18</v>
      </c>
      <c r="N877" s="147" t="s">
        <v>18</v>
      </c>
      <c r="O877" s="147">
        <v>3.3613445378151259E-2</v>
      </c>
      <c r="P877" s="184" t="s">
        <v>18</v>
      </c>
      <c r="Q877" s="147" t="s">
        <v>18</v>
      </c>
      <c r="R877" s="147">
        <v>3.0303030303030304E-2</v>
      </c>
      <c r="S877" s="184" t="s">
        <v>18</v>
      </c>
      <c r="T877" s="147" t="s">
        <v>18</v>
      </c>
      <c r="U877" s="147">
        <v>0.11764705882352941</v>
      </c>
      <c r="V877" s="184" t="s">
        <v>18</v>
      </c>
      <c r="W877" s="147" t="s">
        <v>18</v>
      </c>
      <c r="X877" s="147" t="s">
        <v>18</v>
      </c>
      <c r="Y877" s="147">
        <v>0.13675213675213677</v>
      </c>
      <c r="Z877" s="184" t="s">
        <v>18</v>
      </c>
      <c r="AA877" s="147" t="s">
        <v>18</v>
      </c>
      <c r="AB877" s="147" t="s">
        <v>18</v>
      </c>
      <c r="AC877" s="147">
        <v>2.7777777777777776E-2</v>
      </c>
      <c r="AD877" s="184" t="s">
        <v>18</v>
      </c>
      <c r="AE877" s="147" t="s">
        <v>18</v>
      </c>
      <c r="AF877" s="147" t="s">
        <v>18</v>
      </c>
      <c r="AG877" s="183" t="s">
        <v>18</v>
      </c>
      <c r="AH877" s="147" t="s">
        <v>18</v>
      </c>
      <c r="AI877" s="147" t="s">
        <v>18</v>
      </c>
      <c r="AJ877" s="184" t="s">
        <v>18</v>
      </c>
      <c r="AK877" s="147" t="s">
        <v>18</v>
      </c>
      <c r="AL877" s="147" t="s">
        <v>18</v>
      </c>
      <c r="AM877" s="147" t="s">
        <v>18</v>
      </c>
      <c r="AN877" s="184" t="s">
        <v>18</v>
      </c>
      <c r="AO877" s="147" t="s">
        <v>18</v>
      </c>
      <c r="AP877" s="147">
        <v>9.3023255813953487E-2</v>
      </c>
      <c r="AQ877" s="184" t="s">
        <v>18</v>
      </c>
      <c r="AR877" s="147" t="s">
        <v>18</v>
      </c>
      <c r="AS877" s="184" t="s">
        <v>18</v>
      </c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</row>
    <row r="878" spans="1:55" ht="15.75" customHeight="1" x14ac:dyDescent="0.25">
      <c r="A878" s="149" t="s">
        <v>1</v>
      </c>
      <c r="B878" s="150" t="s">
        <v>2</v>
      </c>
      <c r="C878" s="130"/>
      <c r="D878" s="130">
        <v>16658</v>
      </c>
      <c r="E878" s="174">
        <v>16658</v>
      </c>
      <c r="F878" s="130">
        <v>16658</v>
      </c>
      <c r="G878" s="130">
        <v>16691</v>
      </c>
      <c r="H878" s="175">
        <v>16691</v>
      </c>
      <c r="I878" s="130">
        <v>16691</v>
      </c>
      <c r="J878" s="130">
        <v>16691</v>
      </c>
      <c r="K878" s="130">
        <v>16790</v>
      </c>
      <c r="L878" s="175">
        <v>16790</v>
      </c>
      <c r="M878" s="130">
        <v>16790</v>
      </c>
      <c r="N878" s="130">
        <v>16790</v>
      </c>
      <c r="O878" s="130">
        <v>16936</v>
      </c>
      <c r="P878" s="175">
        <v>16936</v>
      </c>
      <c r="Q878" s="130">
        <v>16936</v>
      </c>
      <c r="R878" s="130">
        <v>17015</v>
      </c>
      <c r="S878" s="175">
        <v>17015</v>
      </c>
      <c r="T878" s="130">
        <v>17015</v>
      </c>
      <c r="U878" s="130">
        <v>17168</v>
      </c>
      <c r="V878" s="175">
        <v>17168</v>
      </c>
      <c r="W878" s="130">
        <v>17168</v>
      </c>
      <c r="X878" s="130">
        <v>17168</v>
      </c>
      <c r="Y878" s="130">
        <v>17306</v>
      </c>
      <c r="Z878" s="175">
        <v>17306</v>
      </c>
      <c r="AA878" s="130">
        <v>17306</v>
      </c>
      <c r="AB878" s="130">
        <v>17306</v>
      </c>
      <c r="AC878" s="130">
        <v>17482</v>
      </c>
      <c r="AD878" s="175">
        <v>17482</v>
      </c>
      <c r="AE878" s="130">
        <v>17482</v>
      </c>
      <c r="AF878" s="130">
        <v>17557</v>
      </c>
      <c r="AG878" s="174">
        <v>17557</v>
      </c>
      <c r="AH878" s="130">
        <v>17557</v>
      </c>
      <c r="AI878" s="130">
        <v>17836</v>
      </c>
      <c r="AJ878" s="175">
        <v>17836</v>
      </c>
      <c r="AK878" s="130">
        <v>17836</v>
      </c>
      <c r="AL878" s="130">
        <v>17836</v>
      </c>
      <c r="AM878" s="130">
        <v>17899</v>
      </c>
      <c r="AN878" s="175">
        <v>17899</v>
      </c>
      <c r="AO878" s="130">
        <v>17899</v>
      </c>
      <c r="AP878" s="130">
        <v>18057</v>
      </c>
      <c r="AQ878" s="175">
        <v>18057</v>
      </c>
      <c r="AR878" s="130">
        <v>18074</v>
      </c>
      <c r="AS878" s="175" t="s">
        <v>18</v>
      </c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</row>
    <row r="879" spans="1:55" ht="15.75" customHeight="1" x14ac:dyDescent="0.25">
      <c r="A879" s="121" t="s">
        <v>19</v>
      </c>
      <c r="B879" s="122" t="s">
        <v>4</v>
      </c>
      <c r="C879" s="124"/>
      <c r="D879" s="124">
        <v>859</v>
      </c>
      <c r="E879" s="171">
        <v>859</v>
      </c>
      <c r="F879" s="124">
        <v>859</v>
      </c>
      <c r="G879" s="124">
        <v>859</v>
      </c>
      <c r="H879" s="172">
        <v>859</v>
      </c>
      <c r="I879" s="124">
        <v>859</v>
      </c>
      <c r="J879" s="124">
        <v>859</v>
      </c>
      <c r="K879" s="124">
        <v>864</v>
      </c>
      <c r="L879" s="172">
        <v>864</v>
      </c>
      <c r="M879" s="124">
        <v>864</v>
      </c>
      <c r="N879" s="124">
        <v>864</v>
      </c>
      <c r="O879" s="124">
        <v>870</v>
      </c>
      <c r="P879" s="172">
        <v>870</v>
      </c>
      <c r="Q879" s="124">
        <v>870</v>
      </c>
      <c r="R879" s="124">
        <v>876</v>
      </c>
      <c r="S879" s="172">
        <v>876</v>
      </c>
      <c r="T879" s="124">
        <v>876</v>
      </c>
      <c r="U879" s="124">
        <v>887</v>
      </c>
      <c r="V879" s="172">
        <v>887</v>
      </c>
      <c r="W879" s="124">
        <v>887</v>
      </c>
      <c r="X879" s="124">
        <v>887</v>
      </c>
      <c r="Y879" s="124">
        <v>893</v>
      </c>
      <c r="Z879" s="172">
        <v>893</v>
      </c>
      <c r="AA879" s="124">
        <v>893</v>
      </c>
      <c r="AB879" s="124">
        <v>893</v>
      </c>
      <c r="AC879" s="124">
        <v>899</v>
      </c>
      <c r="AD879" s="172">
        <v>899</v>
      </c>
      <c r="AE879" s="124">
        <v>899</v>
      </c>
      <c r="AF879" s="124">
        <v>901</v>
      </c>
      <c r="AG879" s="171">
        <v>901</v>
      </c>
      <c r="AH879" s="124">
        <v>901</v>
      </c>
      <c r="AI879" s="124">
        <v>904</v>
      </c>
      <c r="AJ879" s="172">
        <v>904</v>
      </c>
      <c r="AK879" s="124">
        <v>904</v>
      </c>
      <c r="AL879" s="124">
        <v>904</v>
      </c>
      <c r="AM879" s="124">
        <v>906</v>
      </c>
      <c r="AN879" s="172">
        <v>906</v>
      </c>
      <c r="AO879" s="124">
        <v>906</v>
      </c>
      <c r="AP879" s="124">
        <v>908</v>
      </c>
      <c r="AQ879" s="172">
        <v>908</v>
      </c>
      <c r="AR879" s="124">
        <v>909</v>
      </c>
      <c r="AS879" s="172" t="s">
        <v>18</v>
      </c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</row>
    <row r="880" spans="1:55" ht="15.75" customHeight="1" x14ac:dyDescent="0.25">
      <c r="A880" s="143">
        <v>3</v>
      </c>
      <c r="B880" s="122" t="s">
        <v>5</v>
      </c>
      <c r="C880" s="124"/>
      <c r="D880" s="124">
        <v>4</v>
      </c>
      <c r="E880" s="171">
        <v>6</v>
      </c>
      <c r="F880" s="124">
        <v>6</v>
      </c>
      <c r="G880" s="124">
        <v>3</v>
      </c>
      <c r="H880" s="172">
        <v>7</v>
      </c>
      <c r="I880" s="124">
        <v>7</v>
      </c>
      <c r="J880" s="124">
        <v>7</v>
      </c>
      <c r="K880" s="124">
        <v>5</v>
      </c>
      <c r="L880" s="172">
        <v>14</v>
      </c>
      <c r="M880" s="124">
        <v>14</v>
      </c>
      <c r="N880" s="124">
        <v>14</v>
      </c>
      <c r="O880" s="124">
        <v>10</v>
      </c>
      <c r="P880" s="172">
        <v>12</v>
      </c>
      <c r="Q880" s="124">
        <v>12</v>
      </c>
      <c r="R880" s="124">
        <v>12</v>
      </c>
      <c r="S880" s="172">
        <v>12</v>
      </c>
      <c r="T880" s="124">
        <v>12</v>
      </c>
      <c r="U880" s="124">
        <v>9</v>
      </c>
      <c r="V880" s="172">
        <v>6</v>
      </c>
      <c r="W880" s="124">
        <v>6</v>
      </c>
      <c r="X880" s="124">
        <v>6</v>
      </c>
      <c r="Y880" s="124">
        <v>0</v>
      </c>
      <c r="Z880" s="172">
        <v>6</v>
      </c>
      <c r="AA880" s="124">
        <v>6</v>
      </c>
      <c r="AB880" s="124">
        <v>6</v>
      </c>
      <c r="AC880" s="124">
        <v>1</v>
      </c>
      <c r="AD880" s="172">
        <v>9</v>
      </c>
      <c r="AE880" s="124">
        <v>9</v>
      </c>
      <c r="AF880" s="124">
        <v>7</v>
      </c>
      <c r="AG880" s="171">
        <v>9</v>
      </c>
      <c r="AH880" s="124">
        <v>9</v>
      </c>
      <c r="AI880" s="124">
        <v>6</v>
      </c>
      <c r="AJ880" s="172">
        <v>9</v>
      </c>
      <c r="AK880" s="124">
        <v>9</v>
      </c>
      <c r="AL880" s="124">
        <v>9</v>
      </c>
      <c r="AM880" s="124">
        <v>8</v>
      </c>
      <c r="AN880" s="172">
        <v>8</v>
      </c>
      <c r="AO880" s="124">
        <v>8</v>
      </c>
      <c r="AP880" s="124">
        <v>7</v>
      </c>
      <c r="AQ880" s="172">
        <v>9</v>
      </c>
      <c r="AR880" s="124">
        <v>8</v>
      </c>
      <c r="AS880" s="172" t="s">
        <v>18</v>
      </c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</row>
    <row r="881" spans="1:55" ht="15.75" customHeight="1" x14ac:dyDescent="0.25">
      <c r="A881" s="127"/>
      <c r="B881" s="122" t="s">
        <v>6</v>
      </c>
      <c r="C881" s="124"/>
      <c r="D881" s="124">
        <v>2</v>
      </c>
      <c r="E881" s="171"/>
      <c r="F881" s="124"/>
      <c r="G881" s="124">
        <v>4</v>
      </c>
      <c r="H881" s="172"/>
      <c r="I881" s="124"/>
      <c r="J881" s="124"/>
      <c r="K881" s="124">
        <v>9</v>
      </c>
      <c r="L881" s="172"/>
      <c r="M881" s="124"/>
      <c r="N881" s="124"/>
      <c r="O881" s="124">
        <v>2</v>
      </c>
      <c r="P881" s="172"/>
      <c r="Q881" s="124"/>
      <c r="R881" s="124"/>
      <c r="S881" s="172" t="s">
        <v>117</v>
      </c>
      <c r="T881" s="124"/>
      <c r="U881" s="124">
        <v>-3</v>
      </c>
      <c r="V881" s="172"/>
      <c r="W881" s="124"/>
      <c r="X881" s="124"/>
      <c r="Y881" s="124">
        <v>6</v>
      </c>
      <c r="Z881" s="172"/>
      <c r="AA881" s="124"/>
      <c r="AB881" s="124"/>
      <c r="AC881" s="124">
        <v>8</v>
      </c>
      <c r="AD881" s="172"/>
      <c r="AE881" s="124"/>
      <c r="AF881" s="124">
        <v>2</v>
      </c>
      <c r="AG881" s="171"/>
      <c r="AH881" s="124"/>
      <c r="AI881" s="124">
        <v>3</v>
      </c>
      <c r="AJ881" s="172"/>
      <c r="AK881" s="124"/>
      <c r="AL881" s="124"/>
      <c r="AM881" s="124"/>
      <c r="AN881" s="172"/>
      <c r="AO881" s="124"/>
      <c r="AP881" s="124">
        <v>2</v>
      </c>
      <c r="AQ881" s="172"/>
      <c r="AR881" s="124"/>
      <c r="AS881" s="172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/>
    </row>
    <row r="882" spans="1:55" ht="15.75" customHeight="1" x14ac:dyDescent="0.25">
      <c r="A882" s="128"/>
      <c r="B882" s="122" t="s">
        <v>8</v>
      </c>
      <c r="C882" s="130"/>
      <c r="D882" s="130">
        <v>996</v>
      </c>
      <c r="E882" s="174">
        <v>700</v>
      </c>
      <c r="F882" s="130">
        <v>700</v>
      </c>
      <c r="G882" s="130">
        <v>700</v>
      </c>
      <c r="H882" s="175">
        <v>700</v>
      </c>
      <c r="I882" s="130">
        <v>700</v>
      </c>
      <c r="J882" s="130">
        <v>700</v>
      </c>
      <c r="K882" s="130">
        <v>700</v>
      </c>
      <c r="L882" s="175">
        <v>500</v>
      </c>
      <c r="M882" s="130">
        <v>500</v>
      </c>
      <c r="N882" s="130">
        <v>500</v>
      </c>
      <c r="O882" s="130">
        <v>500</v>
      </c>
      <c r="P882" s="175">
        <v>500</v>
      </c>
      <c r="Q882" s="130">
        <v>500</v>
      </c>
      <c r="R882" s="130">
        <v>500</v>
      </c>
      <c r="S882" s="175">
        <v>500</v>
      </c>
      <c r="T882" s="130">
        <v>500</v>
      </c>
      <c r="U882" s="130">
        <v>500</v>
      </c>
      <c r="V882" s="175">
        <v>780</v>
      </c>
      <c r="W882" s="130">
        <v>780</v>
      </c>
      <c r="X882" s="130">
        <v>780</v>
      </c>
      <c r="Y882" s="130">
        <v>780</v>
      </c>
      <c r="Z882" s="175">
        <v>780</v>
      </c>
      <c r="AA882" s="130">
        <v>780</v>
      </c>
      <c r="AB882" s="130">
        <v>780</v>
      </c>
      <c r="AC882" s="130">
        <v>780</v>
      </c>
      <c r="AD882" s="175">
        <v>780</v>
      </c>
      <c r="AE882" s="130">
        <v>780</v>
      </c>
      <c r="AF882" s="130">
        <v>780</v>
      </c>
      <c r="AG882" s="174">
        <v>780</v>
      </c>
      <c r="AH882" s="130">
        <v>780</v>
      </c>
      <c r="AI882" s="130">
        <v>780</v>
      </c>
      <c r="AJ882" s="175">
        <v>780</v>
      </c>
      <c r="AK882" s="130">
        <v>780</v>
      </c>
      <c r="AL882" s="130">
        <v>780</v>
      </c>
      <c r="AM882" s="130">
        <v>780</v>
      </c>
      <c r="AN882" s="175">
        <v>780</v>
      </c>
      <c r="AO882" s="130">
        <v>780</v>
      </c>
      <c r="AP882" s="130">
        <v>780</v>
      </c>
      <c r="AQ882" s="175">
        <v>780</v>
      </c>
      <c r="AR882" s="130">
        <v>780</v>
      </c>
      <c r="AS882" s="175" t="s">
        <v>18</v>
      </c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</row>
    <row r="883" spans="1:55" ht="15.75" customHeight="1" x14ac:dyDescent="0.25">
      <c r="A883" s="127" t="s">
        <v>9</v>
      </c>
      <c r="B883" s="132" t="s">
        <v>10</v>
      </c>
      <c r="C883" s="134"/>
      <c r="D883" s="134" t="s">
        <v>118</v>
      </c>
      <c r="E883" s="177" t="s">
        <v>119</v>
      </c>
      <c r="F883" s="134" t="s">
        <v>119</v>
      </c>
      <c r="G883" s="134" t="s">
        <v>119</v>
      </c>
      <c r="H883" s="178" t="s">
        <v>119</v>
      </c>
      <c r="I883" s="134" t="s">
        <v>119</v>
      </c>
      <c r="J883" s="134" t="s">
        <v>119</v>
      </c>
      <c r="K883" s="134" t="s">
        <v>119</v>
      </c>
      <c r="L883" s="178" t="s">
        <v>26</v>
      </c>
      <c r="M883" s="134" t="s">
        <v>26</v>
      </c>
      <c r="N883" s="134" t="s">
        <v>26</v>
      </c>
      <c r="O883" s="134" t="s">
        <v>26</v>
      </c>
      <c r="P883" s="178" t="s">
        <v>26</v>
      </c>
      <c r="Q883" s="134" t="s">
        <v>26</v>
      </c>
      <c r="R883" s="134" t="s">
        <v>26</v>
      </c>
      <c r="S883" s="178" t="s">
        <v>26</v>
      </c>
      <c r="T883" s="134" t="s">
        <v>26</v>
      </c>
      <c r="U883" s="134" t="s">
        <v>26</v>
      </c>
      <c r="V883" s="178" t="s">
        <v>25</v>
      </c>
      <c r="W883" s="134" t="s">
        <v>25</v>
      </c>
      <c r="X883" s="134" t="s">
        <v>25</v>
      </c>
      <c r="Y883" s="134" t="s">
        <v>25</v>
      </c>
      <c r="Z883" s="178" t="s">
        <v>25</v>
      </c>
      <c r="AA883" s="134" t="s">
        <v>25</v>
      </c>
      <c r="AB883" s="134" t="s">
        <v>25</v>
      </c>
      <c r="AC883" s="134" t="s">
        <v>25</v>
      </c>
      <c r="AD883" s="178" t="s">
        <v>25</v>
      </c>
      <c r="AE883" s="134" t="s">
        <v>25</v>
      </c>
      <c r="AF883" s="134" t="s">
        <v>25</v>
      </c>
      <c r="AG883" s="177" t="s">
        <v>25</v>
      </c>
      <c r="AH883" s="134" t="s">
        <v>25</v>
      </c>
      <c r="AI883" s="134" t="s">
        <v>25</v>
      </c>
      <c r="AJ883" s="178" t="s">
        <v>25</v>
      </c>
      <c r="AK883" s="134" t="s">
        <v>25</v>
      </c>
      <c r="AL883" s="134" t="s">
        <v>25</v>
      </c>
      <c r="AM883" s="134" t="s">
        <v>25</v>
      </c>
      <c r="AN883" s="178" t="s">
        <v>25</v>
      </c>
      <c r="AO883" s="134" t="s">
        <v>25</v>
      </c>
      <c r="AP883" s="134" t="s">
        <v>25</v>
      </c>
      <c r="AQ883" s="178" t="s">
        <v>25</v>
      </c>
      <c r="AR883" s="134" t="s">
        <v>25</v>
      </c>
      <c r="AS883" s="178" t="s">
        <v>18</v>
      </c>
      <c r="AT883" s="189"/>
      <c r="AU883" s="189"/>
      <c r="AV883" s="189"/>
      <c r="AW883" s="189"/>
      <c r="AX883" s="189"/>
      <c r="AY883" s="189"/>
      <c r="AZ883" s="189"/>
      <c r="BA883" s="189"/>
      <c r="BB883" s="189"/>
      <c r="BC883" s="189"/>
    </row>
    <row r="884" spans="1:55" ht="15.75" customHeight="1" x14ac:dyDescent="0.25">
      <c r="A884" s="128">
        <v>111789.47368421052</v>
      </c>
      <c r="B884" s="122" t="s">
        <v>12</v>
      </c>
      <c r="C884" s="124"/>
      <c r="D884" s="124"/>
      <c r="E884" s="171"/>
      <c r="F884" s="124"/>
      <c r="G884" s="124"/>
      <c r="H884" s="172"/>
      <c r="I884" s="124"/>
      <c r="J884" s="124"/>
      <c r="K884" s="124"/>
      <c r="L884" s="172" t="s">
        <v>120</v>
      </c>
      <c r="M884" s="124"/>
      <c r="N884" s="124"/>
      <c r="O884" s="124"/>
      <c r="P884" s="172"/>
      <c r="Q884" s="124"/>
      <c r="R884" s="124"/>
      <c r="S884" s="172"/>
      <c r="T884" s="124"/>
      <c r="U884" s="124"/>
      <c r="V884" s="172" t="s">
        <v>121</v>
      </c>
      <c r="W884" s="124"/>
      <c r="X884" s="124"/>
      <c r="Y884" s="124"/>
      <c r="Z884" s="172" t="s">
        <v>122</v>
      </c>
      <c r="AA884" s="124"/>
      <c r="AB884" s="124"/>
      <c r="AC884" s="124"/>
      <c r="AD884" s="172"/>
      <c r="AE884" s="124"/>
      <c r="AF884" s="124"/>
      <c r="AG884" s="171"/>
      <c r="AH884" s="124"/>
      <c r="AI884" s="124"/>
      <c r="AJ884" s="172"/>
      <c r="AK884" s="124"/>
      <c r="AL884" s="124"/>
      <c r="AM884" s="124"/>
      <c r="AN884" s="172"/>
      <c r="AO884" s="124"/>
      <c r="AP884" s="124"/>
      <c r="AQ884" s="172"/>
      <c r="AR884" s="124"/>
      <c r="AS884" s="172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</row>
    <row r="885" spans="1:55" ht="15.75" customHeight="1" x14ac:dyDescent="0.25">
      <c r="A885" s="128">
        <v>1416</v>
      </c>
      <c r="B885" s="136" t="s">
        <v>13</v>
      </c>
      <c r="C885" s="137"/>
      <c r="D885" s="137"/>
      <c r="E885" s="171"/>
      <c r="F885" s="137"/>
      <c r="G885" s="137">
        <v>33</v>
      </c>
      <c r="H885" s="172">
        <v>0</v>
      </c>
      <c r="I885" s="137">
        <v>0</v>
      </c>
      <c r="J885" s="137">
        <v>0</v>
      </c>
      <c r="K885" s="137">
        <v>99</v>
      </c>
      <c r="L885" s="172">
        <v>0</v>
      </c>
      <c r="M885" s="137">
        <v>0</v>
      </c>
      <c r="N885" s="137">
        <v>0</v>
      </c>
      <c r="O885" s="137">
        <v>146</v>
      </c>
      <c r="P885" s="172">
        <v>0</v>
      </c>
      <c r="Q885" s="137">
        <v>0</v>
      </c>
      <c r="R885" s="137">
        <v>79</v>
      </c>
      <c r="S885" s="172">
        <v>0</v>
      </c>
      <c r="T885" s="137">
        <v>0</v>
      </c>
      <c r="U885" s="137">
        <v>153</v>
      </c>
      <c r="V885" s="172">
        <v>0</v>
      </c>
      <c r="W885" s="137">
        <v>0</v>
      </c>
      <c r="X885" s="137">
        <v>0</v>
      </c>
      <c r="Y885" s="137">
        <v>138</v>
      </c>
      <c r="Z885" s="172">
        <v>0</v>
      </c>
      <c r="AA885" s="137">
        <v>0</v>
      </c>
      <c r="AB885" s="137">
        <v>0</v>
      </c>
      <c r="AC885" s="137">
        <v>176</v>
      </c>
      <c r="AD885" s="172">
        <v>0</v>
      </c>
      <c r="AE885" s="137">
        <v>0</v>
      </c>
      <c r="AF885" s="137">
        <v>75</v>
      </c>
      <c r="AG885" s="171">
        <v>0</v>
      </c>
      <c r="AH885" s="137">
        <v>0</v>
      </c>
      <c r="AI885" s="137">
        <v>279</v>
      </c>
      <c r="AJ885" s="172">
        <v>0</v>
      </c>
      <c r="AK885" s="137">
        <v>0</v>
      </c>
      <c r="AL885" s="137">
        <v>0</v>
      </c>
      <c r="AM885" s="137">
        <v>63</v>
      </c>
      <c r="AN885" s="172">
        <v>0</v>
      </c>
      <c r="AO885" s="137">
        <v>0</v>
      </c>
      <c r="AP885" s="137">
        <v>158</v>
      </c>
      <c r="AQ885" s="172">
        <v>0</v>
      </c>
      <c r="AR885" s="137">
        <v>17</v>
      </c>
      <c r="AS885" s="172" t="s">
        <v>18</v>
      </c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/>
    </row>
    <row r="886" spans="1:55" ht="15.75" customHeight="1" x14ac:dyDescent="0.25">
      <c r="A886" s="128">
        <v>50</v>
      </c>
      <c r="B886" s="136" t="s">
        <v>14</v>
      </c>
      <c r="C886" s="137"/>
      <c r="D886" s="137"/>
      <c r="E886" s="171"/>
      <c r="F886" s="137"/>
      <c r="G886" s="137"/>
      <c r="H886" s="172">
        <v>0</v>
      </c>
      <c r="I886" s="137">
        <v>0</v>
      </c>
      <c r="J886" s="137">
        <v>0</v>
      </c>
      <c r="K886" s="137">
        <v>5</v>
      </c>
      <c r="L886" s="172">
        <v>0</v>
      </c>
      <c r="M886" s="137">
        <v>0</v>
      </c>
      <c r="N886" s="137">
        <v>0</v>
      </c>
      <c r="O886" s="137">
        <v>6</v>
      </c>
      <c r="P886" s="172">
        <v>0</v>
      </c>
      <c r="Q886" s="137">
        <v>0</v>
      </c>
      <c r="R886" s="137">
        <v>6</v>
      </c>
      <c r="S886" s="172">
        <v>0</v>
      </c>
      <c r="T886" s="137">
        <v>0</v>
      </c>
      <c r="U886" s="137">
        <v>11</v>
      </c>
      <c r="V886" s="172">
        <v>0</v>
      </c>
      <c r="W886" s="137">
        <v>0</v>
      </c>
      <c r="X886" s="137">
        <v>0</v>
      </c>
      <c r="Y886" s="137">
        <v>6</v>
      </c>
      <c r="Z886" s="172">
        <v>0</v>
      </c>
      <c r="AA886" s="137">
        <v>0</v>
      </c>
      <c r="AB886" s="137">
        <v>0</v>
      </c>
      <c r="AC886" s="137">
        <v>6</v>
      </c>
      <c r="AD886" s="172">
        <v>0</v>
      </c>
      <c r="AE886" s="137">
        <v>0</v>
      </c>
      <c r="AF886" s="137">
        <v>2</v>
      </c>
      <c r="AG886" s="171">
        <v>0</v>
      </c>
      <c r="AH886" s="137">
        <v>0</v>
      </c>
      <c r="AI886" s="137">
        <v>3</v>
      </c>
      <c r="AJ886" s="172">
        <v>0</v>
      </c>
      <c r="AK886" s="137">
        <v>0</v>
      </c>
      <c r="AL886" s="137">
        <v>0</v>
      </c>
      <c r="AM886" s="137">
        <v>2</v>
      </c>
      <c r="AN886" s="172">
        <v>0</v>
      </c>
      <c r="AO886" s="137">
        <v>0</v>
      </c>
      <c r="AP886" s="137">
        <v>2</v>
      </c>
      <c r="AQ886" s="172">
        <v>0</v>
      </c>
      <c r="AR886" s="137">
        <v>1</v>
      </c>
      <c r="AS886" s="172" t="s">
        <v>18</v>
      </c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</row>
    <row r="887" spans="1:55" ht="15.75" customHeight="1" x14ac:dyDescent="0.25">
      <c r="A887" s="128" t="e">
        <v>#VALUE!</v>
      </c>
      <c r="B887" s="136" t="s">
        <v>15</v>
      </c>
      <c r="C887" s="137"/>
      <c r="D887" s="137"/>
      <c r="E887" s="171"/>
      <c r="F887" s="137"/>
      <c r="G887" s="137"/>
      <c r="H887" s="172">
        <v>0</v>
      </c>
      <c r="I887" s="137">
        <v>0</v>
      </c>
      <c r="J887" s="137">
        <v>0</v>
      </c>
      <c r="K887" s="137">
        <v>2</v>
      </c>
      <c r="L887" s="172">
        <v>0</v>
      </c>
      <c r="M887" s="137">
        <v>0</v>
      </c>
      <c r="N887" s="137">
        <v>0</v>
      </c>
      <c r="O887" s="137">
        <v>4</v>
      </c>
      <c r="P887" s="172">
        <v>0</v>
      </c>
      <c r="Q887" s="137">
        <v>0</v>
      </c>
      <c r="R887" s="137">
        <v>0</v>
      </c>
      <c r="S887" s="172">
        <v>0</v>
      </c>
      <c r="T887" s="137" t="e">
        <v>#VALUE!</v>
      </c>
      <c r="U887" s="137">
        <v>3</v>
      </c>
      <c r="V887" s="172">
        <v>0</v>
      </c>
      <c r="W887" s="137">
        <v>0</v>
      </c>
      <c r="X887" s="137">
        <v>0</v>
      </c>
      <c r="Y887" s="137">
        <v>6</v>
      </c>
      <c r="Z887" s="172">
        <v>0</v>
      </c>
      <c r="AA887" s="137">
        <v>0</v>
      </c>
      <c r="AB887" s="137">
        <v>0</v>
      </c>
      <c r="AC887" s="137">
        <v>5</v>
      </c>
      <c r="AD887" s="172">
        <v>0</v>
      </c>
      <c r="AE887" s="137">
        <v>0</v>
      </c>
      <c r="AF887" s="137">
        <v>2</v>
      </c>
      <c r="AG887" s="171">
        <v>0</v>
      </c>
      <c r="AH887" s="137">
        <v>0</v>
      </c>
      <c r="AI887" s="137">
        <v>3</v>
      </c>
      <c r="AJ887" s="172">
        <v>0</v>
      </c>
      <c r="AK887" s="137">
        <v>0</v>
      </c>
      <c r="AL887" s="137">
        <v>0</v>
      </c>
      <c r="AM887" s="137">
        <v>1</v>
      </c>
      <c r="AN887" s="172">
        <v>0</v>
      </c>
      <c r="AO887" s="137">
        <v>0</v>
      </c>
      <c r="AP887" s="137">
        <v>1</v>
      </c>
      <c r="AQ887" s="172">
        <v>0</v>
      </c>
      <c r="AR887" s="137">
        <v>1</v>
      </c>
      <c r="AS887" s="172" t="s">
        <v>18</v>
      </c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</row>
    <row r="888" spans="1:55" ht="15.75" customHeight="1" x14ac:dyDescent="0.25">
      <c r="A888" s="128" t="e">
        <v>#VALUE!</v>
      </c>
      <c r="B888" s="136" t="s">
        <v>16</v>
      </c>
      <c r="C888" s="137"/>
      <c r="D888" s="137"/>
      <c r="E888" s="171"/>
      <c r="F888" s="137"/>
      <c r="G888" s="137"/>
      <c r="H888" s="172">
        <v>0</v>
      </c>
      <c r="I888" s="137">
        <v>0</v>
      </c>
      <c r="J888" s="137">
        <v>0</v>
      </c>
      <c r="K888" s="137">
        <v>1400</v>
      </c>
      <c r="L888" s="172">
        <v>0</v>
      </c>
      <c r="M888" s="137">
        <v>0</v>
      </c>
      <c r="N888" s="137">
        <v>0</v>
      </c>
      <c r="O888" s="137">
        <v>2000</v>
      </c>
      <c r="P888" s="172">
        <v>0</v>
      </c>
      <c r="Q888" s="137">
        <v>0</v>
      </c>
      <c r="R888" s="137">
        <v>0</v>
      </c>
      <c r="S888" s="172">
        <v>0</v>
      </c>
      <c r="T888" s="137" t="e">
        <v>#VALUE!</v>
      </c>
      <c r="U888" s="137">
        <v>1500</v>
      </c>
      <c r="V888" s="172">
        <v>0</v>
      </c>
      <c r="W888" s="137">
        <v>0</v>
      </c>
      <c r="X888" s="137">
        <v>0</v>
      </c>
      <c r="Y888" s="137">
        <v>4680</v>
      </c>
      <c r="Z888" s="172">
        <v>0</v>
      </c>
      <c r="AA888" s="137">
        <v>0</v>
      </c>
      <c r="AB888" s="137">
        <v>0</v>
      </c>
      <c r="AC888" s="137">
        <v>3900</v>
      </c>
      <c r="AD888" s="172">
        <v>0</v>
      </c>
      <c r="AE888" s="137">
        <v>0</v>
      </c>
      <c r="AF888" s="137">
        <v>1560</v>
      </c>
      <c r="AG888" s="171">
        <v>0</v>
      </c>
      <c r="AH888" s="137">
        <v>0</v>
      </c>
      <c r="AI888" s="137">
        <v>2340</v>
      </c>
      <c r="AJ888" s="172">
        <v>0</v>
      </c>
      <c r="AK888" s="137">
        <v>0</v>
      </c>
      <c r="AL888" s="137">
        <v>0</v>
      </c>
      <c r="AM888" s="137">
        <v>780</v>
      </c>
      <c r="AN888" s="172">
        <v>0</v>
      </c>
      <c r="AO888" s="137">
        <v>0</v>
      </c>
      <c r="AP888" s="137">
        <v>780</v>
      </c>
      <c r="AQ888" s="172">
        <v>0</v>
      </c>
      <c r="AR888" s="137">
        <v>780</v>
      </c>
      <c r="AS888" s="172" t="s">
        <v>18</v>
      </c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</row>
    <row r="889" spans="1:55" ht="15.75" customHeight="1" x14ac:dyDescent="0.25">
      <c r="A889" s="138" t="e">
        <v>#VALUE!</v>
      </c>
      <c r="B889" s="136" t="s">
        <v>17</v>
      </c>
      <c r="C889" s="147"/>
      <c r="D889" s="147"/>
      <c r="E889" s="183"/>
      <c r="F889" s="147"/>
      <c r="G889" s="147"/>
      <c r="H889" s="184" t="s">
        <v>18</v>
      </c>
      <c r="I889" s="147" t="s">
        <v>18</v>
      </c>
      <c r="J889" s="147" t="s">
        <v>18</v>
      </c>
      <c r="K889" s="147">
        <v>0.14141414141414141</v>
      </c>
      <c r="L889" s="184" t="s">
        <v>18</v>
      </c>
      <c r="M889" s="147" t="s">
        <v>18</v>
      </c>
      <c r="N889" s="147" t="s">
        <v>18</v>
      </c>
      <c r="O889" s="147">
        <v>0.13698630136986301</v>
      </c>
      <c r="P889" s="184" t="s">
        <v>18</v>
      </c>
      <c r="Q889" s="147" t="s">
        <v>18</v>
      </c>
      <c r="R889" s="147" t="s">
        <v>18</v>
      </c>
      <c r="S889" s="184" t="s">
        <v>18</v>
      </c>
      <c r="T889" s="147" t="e">
        <v>#VALUE!</v>
      </c>
      <c r="U889" s="147">
        <v>9.8039215686274508E-2</v>
      </c>
      <c r="V889" s="184" t="s">
        <v>18</v>
      </c>
      <c r="W889" s="147" t="s">
        <v>18</v>
      </c>
      <c r="X889" s="147" t="s">
        <v>18</v>
      </c>
      <c r="Y889" s="147">
        <v>0.33913043478260868</v>
      </c>
      <c r="Z889" s="184" t="s">
        <v>18</v>
      </c>
      <c r="AA889" s="147" t="s">
        <v>18</v>
      </c>
      <c r="AB889" s="147" t="s">
        <v>18</v>
      </c>
      <c r="AC889" s="147">
        <v>0.22159090909090909</v>
      </c>
      <c r="AD889" s="184" t="s">
        <v>18</v>
      </c>
      <c r="AE889" s="147" t="s">
        <v>18</v>
      </c>
      <c r="AF889" s="147">
        <v>0.20799999999999999</v>
      </c>
      <c r="AG889" s="183" t="s">
        <v>18</v>
      </c>
      <c r="AH889" s="147" t="s">
        <v>18</v>
      </c>
      <c r="AI889" s="147">
        <v>8.387096774193549E-2</v>
      </c>
      <c r="AJ889" s="184" t="s">
        <v>18</v>
      </c>
      <c r="AK889" s="147" t="s">
        <v>18</v>
      </c>
      <c r="AL889" s="147" t="s">
        <v>18</v>
      </c>
      <c r="AM889" s="147">
        <v>0.12380952380952381</v>
      </c>
      <c r="AN889" s="184" t="s">
        <v>18</v>
      </c>
      <c r="AO889" s="147" t="s">
        <v>18</v>
      </c>
      <c r="AP889" s="147">
        <v>4.9367088607594936E-2</v>
      </c>
      <c r="AQ889" s="184" t="s">
        <v>18</v>
      </c>
      <c r="AR889" s="147">
        <v>0.45882352941176469</v>
      </c>
      <c r="AS889" s="184" t="s">
        <v>18</v>
      </c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/>
    </row>
    <row r="890" spans="1:55" ht="15.75" customHeight="1" x14ac:dyDescent="0.25">
      <c r="A890" s="149" t="s">
        <v>1</v>
      </c>
      <c r="B890" s="150" t="s">
        <v>2</v>
      </c>
      <c r="C890" s="130"/>
      <c r="D890" s="130">
        <v>15765</v>
      </c>
      <c r="E890" s="174">
        <v>15765</v>
      </c>
      <c r="F890" s="130">
        <v>15765</v>
      </c>
      <c r="G890" s="130">
        <v>15885</v>
      </c>
      <c r="H890" s="175">
        <v>15885</v>
      </c>
      <c r="I890" s="130">
        <v>15885</v>
      </c>
      <c r="J890" s="130">
        <v>15885</v>
      </c>
      <c r="K890" s="130">
        <v>15949</v>
      </c>
      <c r="L890" s="175">
        <v>15949</v>
      </c>
      <c r="M890" s="130">
        <v>15949</v>
      </c>
      <c r="N890" s="130">
        <v>15949</v>
      </c>
      <c r="O890" s="130">
        <v>16042</v>
      </c>
      <c r="P890" s="175">
        <v>16042</v>
      </c>
      <c r="Q890" s="130">
        <v>16042</v>
      </c>
      <c r="R890" s="130">
        <v>16116</v>
      </c>
      <c r="S890" s="175">
        <v>16116</v>
      </c>
      <c r="T890" s="130">
        <v>16116</v>
      </c>
      <c r="U890" s="130">
        <v>16279</v>
      </c>
      <c r="V890" s="175">
        <v>16279</v>
      </c>
      <c r="W890" s="130">
        <v>16279</v>
      </c>
      <c r="X890" s="130">
        <v>16279</v>
      </c>
      <c r="Y890" s="130">
        <v>16348</v>
      </c>
      <c r="Z890" s="175">
        <v>16348</v>
      </c>
      <c r="AA890" s="130">
        <v>16348</v>
      </c>
      <c r="AB890" s="130">
        <v>16348</v>
      </c>
      <c r="AC890" s="130">
        <v>16481</v>
      </c>
      <c r="AD890" s="175">
        <v>16481</v>
      </c>
      <c r="AE890" s="130">
        <v>16481</v>
      </c>
      <c r="AF890" s="130">
        <v>16571</v>
      </c>
      <c r="AG890" s="174">
        <v>16571</v>
      </c>
      <c r="AH890" s="130">
        <v>16571</v>
      </c>
      <c r="AI890" s="130">
        <v>16695</v>
      </c>
      <c r="AJ890" s="175">
        <v>16695</v>
      </c>
      <c r="AK890" s="130">
        <v>16695</v>
      </c>
      <c r="AL890" s="130">
        <v>16695</v>
      </c>
      <c r="AM890" s="130">
        <v>16770</v>
      </c>
      <c r="AN890" s="175">
        <v>16770</v>
      </c>
      <c r="AO890" s="130">
        <v>16770</v>
      </c>
      <c r="AP890" s="130">
        <v>16858</v>
      </c>
      <c r="AQ890" s="175">
        <v>16858</v>
      </c>
      <c r="AR890" s="130">
        <v>16907</v>
      </c>
      <c r="AS890" s="175" t="s">
        <v>18</v>
      </c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</row>
    <row r="891" spans="1:55" ht="15.75" customHeight="1" x14ac:dyDescent="0.25">
      <c r="A891" s="121" t="s">
        <v>19</v>
      </c>
      <c r="B891" s="122" t="s">
        <v>4</v>
      </c>
      <c r="C891" s="124"/>
      <c r="D891" s="124">
        <v>1408</v>
      </c>
      <c r="E891" s="171">
        <v>1408</v>
      </c>
      <c r="F891" s="124">
        <v>1408</v>
      </c>
      <c r="G891" s="124">
        <v>1424</v>
      </c>
      <c r="H891" s="172">
        <v>1424</v>
      </c>
      <c r="I891" s="124">
        <v>1424</v>
      </c>
      <c r="J891" s="124">
        <v>1424</v>
      </c>
      <c r="K891" s="124">
        <v>1439</v>
      </c>
      <c r="L891" s="172">
        <v>1439</v>
      </c>
      <c r="M891" s="124">
        <v>1439</v>
      </c>
      <c r="N891" s="124">
        <v>1439</v>
      </c>
      <c r="O891" s="124">
        <v>1448</v>
      </c>
      <c r="P891" s="172">
        <v>1448</v>
      </c>
      <c r="Q891" s="124">
        <v>1448</v>
      </c>
      <c r="R891" s="124">
        <v>1458</v>
      </c>
      <c r="S891" s="172">
        <v>1458</v>
      </c>
      <c r="T891" s="124">
        <v>1458</v>
      </c>
      <c r="U891" s="124">
        <v>1477</v>
      </c>
      <c r="V891" s="172">
        <v>1477</v>
      </c>
      <c r="W891" s="124">
        <v>1477</v>
      </c>
      <c r="X891" s="124">
        <v>1477</v>
      </c>
      <c r="Y891" s="124">
        <v>1486</v>
      </c>
      <c r="Z891" s="172">
        <v>1486</v>
      </c>
      <c r="AA891" s="124">
        <v>1486</v>
      </c>
      <c r="AB891" s="124">
        <v>1486</v>
      </c>
      <c r="AC891" s="124">
        <v>1491</v>
      </c>
      <c r="AD891" s="172">
        <v>1491</v>
      </c>
      <c r="AE891" s="124">
        <v>1491</v>
      </c>
      <c r="AF891" s="124">
        <v>1493</v>
      </c>
      <c r="AG891" s="171">
        <v>1493</v>
      </c>
      <c r="AH891" s="124">
        <v>1493</v>
      </c>
      <c r="AI891" s="124">
        <v>1498</v>
      </c>
      <c r="AJ891" s="172">
        <v>1498</v>
      </c>
      <c r="AK891" s="124">
        <v>1498</v>
      </c>
      <c r="AL891" s="124">
        <v>1498</v>
      </c>
      <c r="AM891" s="124">
        <v>1501</v>
      </c>
      <c r="AN891" s="172">
        <v>1501</v>
      </c>
      <c r="AO891" s="124">
        <v>1501</v>
      </c>
      <c r="AP891" s="124">
        <v>1503</v>
      </c>
      <c r="AQ891" s="172">
        <v>1503</v>
      </c>
      <c r="AR891" s="124">
        <v>1506</v>
      </c>
      <c r="AS891" s="172" t="s">
        <v>18</v>
      </c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</row>
    <row r="892" spans="1:55" ht="15.75" customHeight="1" x14ac:dyDescent="0.25">
      <c r="A892" s="143">
        <v>4</v>
      </c>
      <c r="B892" s="122" t="s">
        <v>5</v>
      </c>
      <c r="C892" s="124"/>
      <c r="D892" s="124">
        <v>47</v>
      </c>
      <c r="E892" s="171">
        <v>57</v>
      </c>
      <c r="F892" s="124">
        <v>57</v>
      </c>
      <c r="G892" s="124">
        <v>31</v>
      </c>
      <c r="H892" s="172">
        <v>51</v>
      </c>
      <c r="I892" s="124">
        <v>51</v>
      </c>
      <c r="J892" s="124">
        <v>51</v>
      </c>
      <c r="K892" s="124">
        <v>40</v>
      </c>
      <c r="L892" s="172">
        <v>60</v>
      </c>
      <c r="M892" s="124">
        <v>60</v>
      </c>
      <c r="N892" s="124">
        <v>60</v>
      </c>
      <c r="O892" s="124">
        <v>60</v>
      </c>
      <c r="P892" s="172">
        <v>60</v>
      </c>
      <c r="Q892" s="124">
        <v>60</v>
      </c>
      <c r="R892" s="124">
        <v>50</v>
      </c>
      <c r="S892" s="172">
        <v>50</v>
      </c>
      <c r="T892" s="124">
        <v>50</v>
      </c>
      <c r="U892" s="124">
        <v>30</v>
      </c>
      <c r="V892" s="172">
        <v>10</v>
      </c>
      <c r="W892" s="124">
        <v>10</v>
      </c>
      <c r="X892" s="124">
        <v>10</v>
      </c>
      <c r="Y892" s="124">
        <v>8</v>
      </c>
      <c r="Z892" s="172">
        <v>12</v>
      </c>
      <c r="AA892" s="124">
        <v>12</v>
      </c>
      <c r="AB892" s="124">
        <v>12</v>
      </c>
      <c r="AC892" s="124">
        <v>7</v>
      </c>
      <c r="AD892" s="172">
        <v>12</v>
      </c>
      <c r="AE892" s="124">
        <v>12</v>
      </c>
      <c r="AF892" s="124">
        <v>11</v>
      </c>
      <c r="AG892" s="171">
        <v>12</v>
      </c>
      <c r="AH892" s="124">
        <v>12</v>
      </c>
      <c r="AI892" s="124">
        <v>10</v>
      </c>
      <c r="AJ892" s="172">
        <v>12</v>
      </c>
      <c r="AK892" s="124">
        <v>12</v>
      </c>
      <c r="AL892" s="124">
        <v>12</v>
      </c>
      <c r="AM892" s="124">
        <v>9</v>
      </c>
      <c r="AN892" s="172">
        <v>12</v>
      </c>
      <c r="AO892" s="124">
        <v>12</v>
      </c>
      <c r="AP892" s="124">
        <v>10</v>
      </c>
      <c r="AQ892" s="172">
        <v>13</v>
      </c>
      <c r="AR892" s="124">
        <v>13</v>
      </c>
      <c r="AS892" s="172" t="s">
        <v>18</v>
      </c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</row>
    <row r="893" spans="1:55" ht="15.75" customHeight="1" x14ac:dyDescent="0.25">
      <c r="A893" s="127"/>
      <c r="B893" s="122" t="s">
        <v>6</v>
      </c>
      <c r="C893" s="124"/>
      <c r="D893" s="124">
        <v>10</v>
      </c>
      <c r="E893" s="171"/>
      <c r="F893" s="124"/>
      <c r="G893" s="124">
        <v>20</v>
      </c>
      <c r="H893" s="172"/>
      <c r="I893" s="124"/>
      <c r="J893" s="124"/>
      <c r="K893" s="124">
        <v>20</v>
      </c>
      <c r="L893" s="172"/>
      <c r="M893" s="124"/>
      <c r="N893" s="124"/>
      <c r="O893" s="124"/>
      <c r="P893" s="172"/>
      <c r="Q893" s="124"/>
      <c r="R893" s="124"/>
      <c r="S893" s="172"/>
      <c r="T893" s="124"/>
      <c r="U893" s="124">
        <v>-20</v>
      </c>
      <c r="V893" s="172"/>
      <c r="W893" s="124"/>
      <c r="X893" s="124"/>
      <c r="Y893" s="124">
        <v>4</v>
      </c>
      <c r="Z893" s="172"/>
      <c r="AA893" s="124"/>
      <c r="AB893" s="124"/>
      <c r="AC893" s="124">
        <v>5</v>
      </c>
      <c r="AD893" s="172"/>
      <c r="AE893" s="124"/>
      <c r="AF893" s="124">
        <v>1</v>
      </c>
      <c r="AG893" s="171"/>
      <c r="AH893" s="124"/>
      <c r="AI893" s="124">
        <v>2</v>
      </c>
      <c r="AJ893" s="172"/>
      <c r="AK893" s="124"/>
      <c r="AL893" s="124"/>
      <c r="AM893" s="124">
        <v>3</v>
      </c>
      <c r="AN893" s="172"/>
      <c r="AO893" s="124"/>
      <c r="AP893" s="124">
        <v>3</v>
      </c>
      <c r="AQ893" s="172"/>
      <c r="AR893" s="124"/>
      <c r="AS893" s="172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/>
    </row>
    <row r="894" spans="1:55" ht="15.75" customHeight="1" x14ac:dyDescent="0.25">
      <c r="A894" s="128"/>
      <c r="B894" s="122" t="s">
        <v>8</v>
      </c>
      <c r="C894" s="130"/>
      <c r="D894" s="130">
        <v>200</v>
      </c>
      <c r="E894" s="174">
        <v>200</v>
      </c>
      <c r="F894" s="130">
        <v>200</v>
      </c>
      <c r="G894" s="130">
        <v>200</v>
      </c>
      <c r="H894" s="175">
        <v>200</v>
      </c>
      <c r="I894" s="130">
        <v>200</v>
      </c>
      <c r="J894" s="130">
        <v>200</v>
      </c>
      <c r="K894" s="130">
        <v>200</v>
      </c>
      <c r="L894" s="175">
        <v>200</v>
      </c>
      <c r="M894" s="130">
        <v>200</v>
      </c>
      <c r="N894" s="130">
        <v>200</v>
      </c>
      <c r="O894" s="130">
        <v>200</v>
      </c>
      <c r="P894" s="175">
        <v>200</v>
      </c>
      <c r="Q894" s="130">
        <v>200</v>
      </c>
      <c r="R894" s="130">
        <v>200</v>
      </c>
      <c r="S894" s="175">
        <v>200</v>
      </c>
      <c r="T894" s="130">
        <v>200</v>
      </c>
      <c r="U894" s="130">
        <v>200</v>
      </c>
      <c r="V894" s="175">
        <v>650</v>
      </c>
      <c r="W894" s="130">
        <v>650</v>
      </c>
      <c r="X894" s="130">
        <v>650</v>
      </c>
      <c r="Y894" s="130">
        <v>650</v>
      </c>
      <c r="Z894" s="175">
        <v>650</v>
      </c>
      <c r="AA894" s="130">
        <v>650</v>
      </c>
      <c r="AB894" s="130">
        <v>650</v>
      </c>
      <c r="AC894" s="130">
        <v>650</v>
      </c>
      <c r="AD894" s="175">
        <v>650</v>
      </c>
      <c r="AE894" s="130">
        <v>650</v>
      </c>
      <c r="AF894" s="130">
        <v>650</v>
      </c>
      <c r="AG894" s="174">
        <v>650</v>
      </c>
      <c r="AH894" s="130">
        <v>650</v>
      </c>
      <c r="AI894" s="130">
        <v>650</v>
      </c>
      <c r="AJ894" s="175">
        <v>650</v>
      </c>
      <c r="AK894" s="130">
        <v>650</v>
      </c>
      <c r="AL894" s="130">
        <v>650</v>
      </c>
      <c r="AM894" s="130">
        <v>650</v>
      </c>
      <c r="AN894" s="175">
        <v>650</v>
      </c>
      <c r="AO894" s="130">
        <v>650</v>
      </c>
      <c r="AP894" s="130">
        <v>650</v>
      </c>
      <c r="AQ894" s="175">
        <v>650</v>
      </c>
      <c r="AR894" s="130">
        <v>650</v>
      </c>
      <c r="AS894" s="175" t="s">
        <v>18</v>
      </c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</row>
    <row r="895" spans="1:55" ht="15.75" customHeight="1" x14ac:dyDescent="0.25">
      <c r="A895" s="127" t="s">
        <v>9</v>
      </c>
      <c r="B895" s="132" t="s">
        <v>10</v>
      </c>
      <c r="C895" s="134"/>
      <c r="D895" s="134" t="s">
        <v>123</v>
      </c>
      <c r="E895" s="177" t="s">
        <v>123</v>
      </c>
      <c r="F895" s="134" t="s">
        <v>123</v>
      </c>
      <c r="G895" s="134" t="s">
        <v>123</v>
      </c>
      <c r="H895" s="178" t="s">
        <v>123</v>
      </c>
      <c r="I895" s="134" t="s">
        <v>123</v>
      </c>
      <c r="J895" s="134" t="s">
        <v>123</v>
      </c>
      <c r="K895" s="134" t="s">
        <v>123</v>
      </c>
      <c r="L895" s="178" t="s">
        <v>123</v>
      </c>
      <c r="M895" s="134" t="s">
        <v>123</v>
      </c>
      <c r="N895" s="134" t="s">
        <v>123</v>
      </c>
      <c r="O895" s="134" t="s">
        <v>123</v>
      </c>
      <c r="P895" s="178" t="s">
        <v>123</v>
      </c>
      <c r="Q895" s="134" t="s">
        <v>123</v>
      </c>
      <c r="R895" s="134" t="s">
        <v>123</v>
      </c>
      <c r="S895" s="178" t="s">
        <v>123</v>
      </c>
      <c r="T895" s="134" t="s">
        <v>123</v>
      </c>
      <c r="U895" s="134" t="s">
        <v>123</v>
      </c>
      <c r="V895" s="178" t="s">
        <v>26</v>
      </c>
      <c r="W895" s="134" t="s">
        <v>26</v>
      </c>
      <c r="X895" s="134" t="s">
        <v>26</v>
      </c>
      <c r="Y895" s="134" t="s">
        <v>26</v>
      </c>
      <c r="Z895" s="178" t="s">
        <v>26</v>
      </c>
      <c r="AA895" s="134" t="s">
        <v>26</v>
      </c>
      <c r="AB895" s="134" t="s">
        <v>26</v>
      </c>
      <c r="AC895" s="134" t="s">
        <v>26</v>
      </c>
      <c r="AD895" s="178" t="s">
        <v>26</v>
      </c>
      <c r="AE895" s="134" t="s">
        <v>26</v>
      </c>
      <c r="AF895" s="134" t="s">
        <v>26</v>
      </c>
      <c r="AG895" s="177" t="s">
        <v>26</v>
      </c>
      <c r="AH895" s="134" t="s">
        <v>26</v>
      </c>
      <c r="AI895" s="134" t="s">
        <v>26</v>
      </c>
      <c r="AJ895" s="178" t="s">
        <v>26</v>
      </c>
      <c r="AK895" s="134" t="s">
        <v>26</v>
      </c>
      <c r="AL895" s="134" t="s">
        <v>26</v>
      </c>
      <c r="AM895" s="134" t="s">
        <v>26</v>
      </c>
      <c r="AN895" s="178" t="s">
        <v>26</v>
      </c>
      <c r="AO895" s="134" t="s">
        <v>26</v>
      </c>
      <c r="AP895" s="134" t="s">
        <v>26</v>
      </c>
      <c r="AQ895" s="178" t="s">
        <v>26</v>
      </c>
      <c r="AR895" s="134" t="s">
        <v>26</v>
      </c>
      <c r="AS895" s="178" t="s">
        <v>18</v>
      </c>
      <c r="AT895" s="189"/>
      <c r="AU895" s="189"/>
      <c r="AV895" s="189"/>
      <c r="AW895" s="189"/>
      <c r="AX895" s="189"/>
      <c r="AY895" s="189"/>
      <c r="AZ895" s="189"/>
      <c r="BA895" s="189"/>
      <c r="BB895" s="189"/>
      <c r="BC895" s="189"/>
    </row>
    <row r="896" spans="1:55" ht="15.75" customHeight="1" x14ac:dyDescent="0.25">
      <c r="A896" s="128">
        <v>90157.894736842107</v>
      </c>
      <c r="B896" s="122" t="s">
        <v>12</v>
      </c>
      <c r="C896" s="124"/>
      <c r="D896" s="124"/>
      <c r="E896" s="171"/>
      <c r="F896" s="124"/>
      <c r="G896" s="124"/>
      <c r="H896" s="172"/>
      <c r="I896" s="124"/>
      <c r="J896" s="124"/>
      <c r="K896" s="124"/>
      <c r="L896" s="172"/>
      <c r="M896" s="124"/>
      <c r="N896" s="124"/>
      <c r="O896" s="124"/>
      <c r="P896" s="172"/>
      <c r="Q896" s="124"/>
      <c r="R896" s="124"/>
      <c r="S896" s="172"/>
      <c r="T896" s="124"/>
      <c r="U896" s="124"/>
      <c r="V896" s="172" t="s">
        <v>124</v>
      </c>
      <c r="W896" s="124"/>
      <c r="X896" s="124"/>
      <c r="Y896" s="124"/>
      <c r="Z896" s="172" t="s">
        <v>125</v>
      </c>
      <c r="AA896" s="124"/>
      <c r="AB896" s="124"/>
      <c r="AC896" s="124"/>
      <c r="AD896" s="172"/>
      <c r="AE896" s="124"/>
      <c r="AF896" s="124"/>
      <c r="AG896" s="171"/>
      <c r="AH896" s="124"/>
      <c r="AI896" s="124"/>
      <c r="AJ896" s="172"/>
      <c r="AK896" s="124"/>
      <c r="AL896" s="124"/>
      <c r="AM896" s="124"/>
      <c r="AN896" s="172"/>
      <c r="AO896" s="124"/>
      <c r="AP896" s="124"/>
      <c r="AQ896" s="172"/>
      <c r="AR896" s="124"/>
      <c r="AS896" s="172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</row>
    <row r="897" spans="1:55" ht="15.75" customHeight="1" x14ac:dyDescent="0.25">
      <c r="A897" s="128">
        <v>1142</v>
      </c>
      <c r="B897" s="136" t="s">
        <v>13</v>
      </c>
      <c r="C897" s="137"/>
      <c r="D897" s="137"/>
      <c r="E897" s="171"/>
      <c r="F897" s="137"/>
      <c r="G897" s="137">
        <v>120</v>
      </c>
      <c r="H897" s="172">
        <v>0</v>
      </c>
      <c r="I897" s="137">
        <v>0</v>
      </c>
      <c r="J897" s="137">
        <v>0</v>
      </c>
      <c r="K897" s="137">
        <v>64</v>
      </c>
      <c r="L897" s="172">
        <v>0</v>
      </c>
      <c r="M897" s="137">
        <v>0</v>
      </c>
      <c r="N897" s="137">
        <v>0</v>
      </c>
      <c r="O897" s="137">
        <v>93</v>
      </c>
      <c r="P897" s="172">
        <v>0</v>
      </c>
      <c r="Q897" s="137">
        <v>0</v>
      </c>
      <c r="R897" s="137">
        <v>74</v>
      </c>
      <c r="S897" s="172">
        <v>0</v>
      </c>
      <c r="T897" s="137">
        <v>0</v>
      </c>
      <c r="U897" s="137">
        <v>163</v>
      </c>
      <c r="V897" s="172">
        <v>0</v>
      </c>
      <c r="W897" s="137">
        <v>0</v>
      </c>
      <c r="X897" s="137">
        <v>0</v>
      </c>
      <c r="Y897" s="137">
        <v>69</v>
      </c>
      <c r="Z897" s="172">
        <v>0</v>
      </c>
      <c r="AA897" s="137">
        <v>0</v>
      </c>
      <c r="AB897" s="137">
        <v>0</v>
      </c>
      <c r="AC897" s="137">
        <v>133</v>
      </c>
      <c r="AD897" s="172">
        <v>0</v>
      </c>
      <c r="AE897" s="137">
        <v>0</v>
      </c>
      <c r="AF897" s="137">
        <v>90</v>
      </c>
      <c r="AG897" s="171">
        <v>0</v>
      </c>
      <c r="AH897" s="137">
        <v>0</v>
      </c>
      <c r="AI897" s="137">
        <v>124</v>
      </c>
      <c r="AJ897" s="172">
        <v>0</v>
      </c>
      <c r="AK897" s="137">
        <v>0</v>
      </c>
      <c r="AL897" s="137">
        <v>0</v>
      </c>
      <c r="AM897" s="137">
        <v>75</v>
      </c>
      <c r="AN897" s="172">
        <v>0</v>
      </c>
      <c r="AO897" s="137">
        <v>0</v>
      </c>
      <c r="AP897" s="137">
        <v>88</v>
      </c>
      <c r="AQ897" s="172">
        <v>0</v>
      </c>
      <c r="AR897" s="137">
        <v>49</v>
      </c>
      <c r="AS897" s="172" t="s">
        <v>18</v>
      </c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</row>
    <row r="898" spans="1:55" ht="15.75" customHeight="1" x14ac:dyDescent="0.25">
      <c r="A898" s="128">
        <v>82</v>
      </c>
      <c r="B898" s="136" t="s">
        <v>14</v>
      </c>
      <c r="C898" s="137"/>
      <c r="D898" s="137"/>
      <c r="E898" s="171"/>
      <c r="F898" s="137"/>
      <c r="G898" s="137"/>
      <c r="H898" s="172">
        <v>0</v>
      </c>
      <c r="I898" s="137">
        <v>0</v>
      </c>
      <c r="J898" s="137">
        <v>0</v>
      </c>
      <c r="K898" s="137">
        <v>15</v>
      </c>
      <c r="L898" s="172">
        <v>0</v>
      </c>
      <c r="M898" s="137">
        <v>0</v>
      </c>
      <c r="N898" s="137">
        <v>0</v>
      </c>
      <c r="O898" s="137">
        <v>9</v>
      </c>
      <c r="P898" s="172">
        <v>0</v>
      </c>
      <c r="Q898" s="137">
        <v>0</v>
      </c>
      <c r="R898" s="137">
        <v>10</v>
      </c>
      <c r="S898" s="172">
        <v>0</v>
      </c>
      <c r="T898" s="137">
        <v>0</v>
      </c>
      <c r="U898" s="137">
        <v>19</v>
      </c>
      <c r="V898" s="172">
        <v>0</v>
      </c>
      <c r="W898" s="137">
        <v>0</v>
      </c>
      <c r="X898" s="137">
        <v>0</v>
      </c>
      <c r="Y898" s="137">
        <v>9</v>
      </c>
      <c r="Z898" s="172">
        <v>0</v>
      </c>
      <c r="AA898" s="137">
        <v>0</v>
      </c>
      <c r="AB898" s="137">
        <v>0</v>
      </c>
      <c r="AC898" s="137">
        <v>5</v>
      </c>
      <c r="AD898" s="172">
        <v>0</v>
      </c>
      <c r="AE898" s="137">
        <v>0</v>
      </c>
      <c r="AF898" s="137">
        <v>2</v>
      </c>
      <c r="AG898" s="171">
        <v>0</v>
      </c>
      <c r="AH898" s="137">
        <v>0</v>
      </c>
      <c r="AI898" s="137">
        <v>5</v>
      </c>
      <c r="AJ898" s="172">
        <v>0</v>
      </c>
      <c r="AK898" s="137">
        <v>0</v>
      </c>
      <c r="AL898" s="137">
        <v>0</v>
      </c>
      <c r="AM898" s="137">
        <v>3</v>
      </c>
      <c r="AN898" s="172">
        <v>0</v>
      </c>
      <c r="AO898" s="137">
        <v>0</v>
      </c>
      <c r="AP898" s="137">
        <v>2</v>
      </c>
      <c r="AQ898" s="172">
        <v>0</v>
      </c>
      <c r="AR898" s="137">
        <v>3</v>
      </c>
      <c r="AS898" s="172" t="s">
        <v>18</v>
      </c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</row>
    <row r="899" spans="1:55" ht="15.75" customHeight="1" x14ac:dyDescent="0.25">
      <c r="A899" s="128">
        <v>56</v>
      </c>
      <c r="B899" s="136" t="s">
        <v>15</v>
      </c>
      <c r="C899" s="137"/>
      <c r="D899" s="137"/>
      <c r="E899" s="171"/>
      <c r="F899" s="137"/>
      <c r="G899" s="137"/>
      <c r="H899" s="172">
        <v>0</v>
      </c>
      <c r="I899" s="137">
        <v>0</v>
      </c>
      <c r="J899" s="137">
        <v>0</v>
      </c>
      <c r="K899" s="137">
        <v>11</v>
      </c>
      <c r="L899" s="172">
        <v>0</v>
      </c>
      <c r="M899" s="137">
        <v>0</v>
      </c>
      <c r="N899" s="137">
        <v>0</v>
      </c>
      <c r="O899" s="137">
        <v>0</v>
      </c>
      <c r="P899" s="172">
        <v>0</v>
      </c>
      <c r="Q899" s="137">
        <v>0</v>
      </c>
      <c r="R899" s="137">
        <v>10</v>
      </c>
      <c r="S899" s="172">
        <v>0</v>
      </c>
      <c r="T899" s="137">
        <v>0</v>
      </c>
      <c r="U899" s="137">
        <v>20</v>
      </c>
      <c r="V899" s="172">
        <v>0</v>
      </c>
      <c r="W899" s="137">
        <v>0</v>
      </c>
      <c r="X899" s="137">
        <v>0</v>
      </c>
      <c r="Y899" s="137">
        <v>2</v>
      </c>
      <c r="Z899" s="172">
        <v>0</v>
      </c>
      <c r="AA899" s="137">
        <v>0</v>
      </c>
      <c r="AB899" s="137">
        <v>0</v>
      </c>
      <c r="AC899" s="137">
        <v>5</v>
      </c>
      <c r="AD899" s="172">
        <v>0</v>
      </c>
      <c r="AE899" s="137">
        <v>0</v>
      </c>
      <c r="AF899" s="137">
        <v>1</v>
      </c>
      <c r="AG899" s="171">
        <v>0</v>
      </c>
      <c r="AH899" s="137">
        <v>0</v>
      </c>
      <c r="AI899" s="137">
        <v>2</v>
      </c>
      <c r="AJ899" s="172">
        <v>0</v>
      </c>
      <c r="AK899" s="137">
        <v>0</v>
      </c>
      <c r="AL899" s="137">
        <v>0</v>
      </c>
      <c r="AM899" s="137">
        <v>3</v>
      </c>
      <c r="AN899" s="172">
        <v>0</v>
      </c>
      <c r="AO899" s="137">
        <v>0</v>
      </c>
      <c r="AP899" s="137">
        <v>2</v>
      </c>
      <c r="AQ899" s="172">
        <v>0</v>
      </c>
      <c r="AR899" s="137">
        <v>0</v>
      </c>
      <c r="AS899" s="172" t="s">
        <v>18</v>
      </c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</row>
    <row r="900" spans="1:55" ht="15.75" customHeight="1" x14ac:dyDescent="0.25">
      <c r="A900" s="128">
        <v>17950</v>
      </c>
      <c r="B900" s="136" t="s">
        <v>16</v>
      </c>
      <c r="C900" s="137"/>
      <c r="D900" s="137"/>
      <c r="E900" s="171"/>
      <c r="F900" s="137"/>
      <c r="G900" s="137"/>
      <c r="H900" s="172">
        <v>0</v>
      </c>
      <c r="I900" s="137">
        <v>0</v>
      </c>
      <c r="J900" s="137">
        <v>0</v>
      </c>
      <c r="K900" s="137">
        <v>2200</v>
      </c>
      <c r="L900" s="172">
        <v>0</v>
      </c>
      <c r="M900" s="137">
        <v>0</v>
      </c>
      <c r="N900" s="137">
        <v>0</v>
      </c>
      <c r="O900" s="137">
        <v>0</v>
      </c>
      <c r="P900" s="172">
        <v>0</v>
      </c>
      <c r="Q900" s="137">
        <v>0</v>
      </c>
      <c r="R900" s="137">
        <v>2000</v>
      </c>
      <c r="S900" s="172">
        <v>0</v>
      </c>
      <c r="T900" s="137">
        <v>0</v>
      </c>
      <c r="U900" s="137">
        <v>4000</v>
      </c>
      <c r="V900" s="172">
        <v>0</v>
      </c>
      <c r="W900" s="137">
        <v>0</v>
      </c>
      <c r="X900" s="137">
        <v>0</v>
      </c>
      <c r="Y900" s="137">
        <v>1300</v>
      </c>
      <c r="Z900" s="172">
        <v>0</v>
      </c>
      <c r="AA900" s="137">
        <v>0</v>
      </c>
      <c r="AB900" s="137">
        <v>0</v>
      </c>
      <c r="AC900" s="137">
        <v>3250</v>
      </c>
      <c r="AD900" s="172">
        <v>0</v>
      </c>
      <c r="AE900" s="137">
        <v>0</v>
      </c>
      <c r="AF900" s="137">
        <v>650</v>
      </c>
      <c r="AG900" s="171">
        <v>0</v>
      </c>
      <c r="AH900" s="137">
        <v>0</v>
      </c>
      <c r="AI900" s="137">
        <v>1300</v>
      </c>
      <c r="AJ900" s="172">
        <v>0</v>
      </c>
      <c r="AK900" s="137">
        <v>0</v>
      </c>
      <c r="AL900" s="137">
        <v>0</v>
      </c>
      <c r="AM900" s="137">
        <v>1950</v>
      </c>
      <c r="AN900" s="172">
        <v>0</v>
      </c>
      <c r="AO900" s="137">
        <v>0</v>
      </c>
      <c r="AP900" s="137">
        <v>1300</v>
      </c>
      <c r="AQ900" s="172">
        <v>0</v>
      </c>
      <c r="AR900" s="137">
        <v>0</v>
      </c>
      <c r="AS900" s="172" t="s">
        <v>18</v>
      </c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</row>
    <row r="901" spans="1:55" ht="15.75" customHeight="1" x14ac:dyDescent="0.25">
      <c r="A901" s="138">
        <v>0.15718038528896672</v>
      </c>
      <c r="B901" s="139" t="s">
        <v>17</v>
      </c>
      <c r="C901" s="141"/>
      <c r="D901" s="141"/>
      <c r="E901" s="180"/>
      <c r="F901" s="141"/>
      <c r="G901" s="141"/>
      <c r="H901" s="181" t="s">
        <v>18</v>
      </c>
      <c r="I901" s="141" t="s">
        <v>18</v>
      </c>
      <c r="J901" s="141" t="s">
        <v>18</v>
      </c>
      <c r="K901" s="141">
        <v>0.34375</v>
      </c>
      <c r="L901" s="181" t="s">
        <v>18</v>
      </c>
      <c r="M901" s="141" t="s">
        <v>18</v>
      </c>
      <c r="N901" s="141" t="s">
        <v>18</v>
      </c>
      <c r="O901" s="141" t="s">
        <v>18</v>
      </c>
      <c r="P901" s="181" t="s">
        <v>18</v>
      </c>
      <c r="Q901" s="141" t="s">
        <v>18</v>
      </c>
      <c r="R901" s="141">
        <v>0.27027027027027029</v>
      </c>
      <c r="S901" s="181" t="s">
        <v>18</v>
      </c>
      <c r="T901" s="141" t="s">
        <v>18</v>
      </c>
      <c r="U901" s="141">
        <v>0.24539877300613497</v>
      </c>
      <c r="V901" s="181" t="s">
        <v>18</v>
      </c>
      <c r="W901" s="141" t="s">
        <v>18</v>
      </c>
      <c r="X901" s="141" t="s">
        <v>18</v>
      </c>
      <c r="Y901" s="141">
        <v>0.18840579710144928</v>
      </c>
      <c r="Z901" s="181" t="s">
        <v>18</v>
      </c>
      <c r="AA901" s="141" t="s">
        <v>18</v>
      </c>
      <c r="AB901" s="141" t="s">
        <v>18</v>
      </c>
      <c r="AC901" s="141">
        <v>0.24436090225563908</v>
      </c>
      <c r="AD901" s="181" t="s">
        <v>18</v>
      </c>
      <c r="AE901" s="141" t="s">
        <v>18</v>
      </c>
      <c r="AF901" s="141">
        <v>7.2222222222222215E-2</v>
      </c>
      <c r="AG901" s="180" t="s">
        <v>18</v>
      </c>
      <c r="AH901" s="141" t="s">
        <v>18</v>
      </c>
      <c r="AI901" s="141">
        <v>0.10483870967741936</v>
      </c>
      <c r="AJ901" s="181" t="s">
        <v>18</v>
      </c>
      <c r="AK901" s="141" t="s">
        <v>18</v>
      </c>
      <c r="AL901" s="141" t="s">
        <v>18</v>
      </c>
      <c r="AM901" s="141">
        <v>0.26</v>
      </c>
      <c r="AN901" s="181" t="s">
        <v>18</v>
      </c>
      <c r="AO901" s="141" t="s">
        <v>18</v>
      </c>
      <c r="AP901" s="141">
        <v>0.14772727272727273</v>
      </c>
      <c r="AQ901" s="181" t="s">
        <v>18</v>
      </c>
      <c r="AR901" s="141" t="s">
        <v>18</v>
      </c>
      <c r="AS901" s="181" t="s">
        <v>18</v>
      </c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</row>
    <row r="902" spans="1:55" ht="15.75" customHeight="1" x14ac:dyDescent="0.25">
      <c r="A902" s="116" t="s">
        <v>1</v>
      </c>
      <c r="B902" s="117" t="s">
        <v>2</v>
      </c>
      <c r="C902" s="119"/>
      <c r="D902" s="119">
        <v>19776</v>
      </c>
      <c r="E902" s="168">
        <v>19776</v>
      </c>
      <c r="F902" s="119">
        <v>19776</v>
      </c>
      <c r="G902" s="119">
        <v>19831</v>
      </c>
      <c r="H902" s="169">
        <v>19831</v>
      </c>
      <c r="I902" s="119">
        <v>19831</v>
      </c>
      <c r="J902" s="119">
        <v>19831</v>
      </c>
      <c r="K902" s="119">
        <v>19850</v>
      </c>
      <c r="L902" s="169">
        <v>19850</v>
      </c>
      <c r="M902" s="119">
        <v>19850</v>
      </c>
      <c r="N902" s="119">
        <v>19850</v>
      </c>
      <c r="O902" s="119">
        <v>19898</v>
      </c>
      <c r="P902" s="169">
        <v>19898</v>
      </c>
      <c r="Q902" s="119">
        <v>19898</v>
      </c>
      <c r="R902" s="119">
        <v>19924</v>
      </c>
      <c r="S902" s="169">
        <v>19924</v>
      </c>
      <c r="T902" s="119">
        <v>19924</v>
      </c>
      <c r="U902" s="119">
        <v>20032</v>
      </c>
      <c r="V902" s="169">
        <v>20032</v>
      </c>
      <c r="W902" s="119">
        <v>20032</v>
      </c>
      <c r="X902" s="119">
        <v>20032</v>
      </c>
      <c r="Y902" s="119">
        <v>20083</v>
      </c>
      <c r="Z902" s="169">
        <v>20083</v>
      </c>
      <c r="AA902" s="119">
        <v>20083</v>
      </c>
      <c r="AB902" s="119">
        <v>20083</v>
      </c>
      <c r="AC902" s="119">
        <v>20115</v>
      </c>
      <c r="AD902" s="169">
        <v>20115</v>
      </c>
      <c r="AE902" s="119">
        <v>20115</v>
      </c>
      <c r="AF902" s="119">
        <v>20149</v>
      </c>
      <c r="AG902" s="168">
        <v>20149</v>
      </c>
      <c r="AH902" s="119">
        <v>20149</v>
      </c>
      <c r="AI902" s="119">
        <v>20187</v>
      </c>
      <c r="AJ902" s="169">
        <v>20187</v>
      </c>
      <c r="AK902" s="119">
        <v>20187</v>
      </c>
      <c r="AL902" s="119">
        <v>20187</v>
      </c>
      <c r="AM902" s="119">
        <v>20234</v>
      </c>
      <c r="AN902" s="169">
        <v>20234</v>
      </c>
      <c r="AO902" s="119">
        <v>20234</v>
      </c>
      <c r="AP902" s="119">
        <v>20310</v>
      </c>
      <c r="AQ902" s="169">
        <v>20310</v>
      </c>
      <c r="AR902" s="119">
        <v>20375</v>
      </c>
      <c r="AS902" s="169" t="s">
        <v>18</v>
      </c>
      <c r="AT902" s="161"/>
      <c r="AU902" s="161"/>
      <c r="AV902" s="161"/>
      <c r="AW902" s="161"/>
      <c r="AX902" s="161"/>
      <c r="AY902" s="161"/>
      <c r="AZ902" s="161"/>
      <c r="BA902" s="161"/>
      <c r="BB902" s="161"/>
      <c r="BC902" s="161"/>
    </row>
    <row r="903" spans="1:55" ht="15.75" customHeight="1" x14ac:dyDescent="0.25">
      <c r="A903" s="121" t="s">
        <v>29</v>
      </c>
      <c r="B903" s="122" t="s">
        <v>4</v>
      </c>
      <c r="C903" s="124"/>
      <c r="D903" s="124">
        <v>1112</v>
      </c>
      <c r="E903" s="171">
        <v>1112</v>
      </c>
      <c r="F903" s="124">
        <v>1112</v>
      </c>
      <c r="G903" s="124">
        <v>1113</v>
      </c>
      <c r="H903" s="172">
        <v>1113</v>
      </c>
      <c r="I903" s="124">
        <v>1113</v>
      </c>
      <c r="J903" s="124">
        <v>1113</v>
      </c>
      <c r="K903" s="124">
        <v>1115</v>
      </c>
      <c r="L903" s="172">
        <v>1115</v>
      </c>
      <c r="M903" s="124">
        <v>1115</v>
      </c>
      <c r="N903" s="124">
        <v>1115</v>
      </c>
      <c r="O903" s="124">
        <v>1120</v>
      </c>
      <c r="P903" s="172">
        <v>1120</v>
      </c>
      <c r="Q903" s="124">
        <v>1120</v>
      </c>
      <c r="R903" s="124">
        <v>1127</v>
      </c>
      <c r="S903" s="172">
        <v>1127</v>
      </c>
      <c r="T903" s="124">
        <v>1127</v>
      </c>
      <c r="U903" s="124">
        <v>1129</v>
      </c>
      <c r="V903" s="172">
        <v>1129</v>
      </c>
      <c r="W903" s="124">
        <v>1129</v>
      </c>
      <c r="X903" s="124">
        <v>1129</v>
      </c>
      <c r="Y903" s="124">
        <v>1133</v>
      </c>
      <c r="Z903" s="172">
        <v>1133</v>
      </c>
      <c r="AA903" s="124">
        <v>1133</v>
      </c>
      <c r="AB903" s="124">
        <v>1133</v>
      </c>
      <c r="AC903" s="124">
        <v>1137</v>
      </c>
      <c r="AD903" s="172">
        <v>1137</v>
      </c>
      <c r="AE903" s="124">
        <v>1137</v>
      </c>
      <c r="AF903" s="124">
        <v>1143</v>
      </c>
      <c r="AG903" s="171">
        <v>1143</v>
      </c>
      <c r="AH903" s="124">
        <v>1143</v>
      </c>
      <c r="AI903" s="124">
        <v>1146</v>
      </c>
      <c r="AJ903" s="172">
        <v>1146</v>
      </c>
      <c r="AK903" s="124">
        <v>1146</v>
      </c>
      <c r="AL903" s="124">
        <v>1146</v>
      </c>
      <c r="AM903" s="124">
        <v>1152</v>
      </c>
      <c r="AN903" s="172">
        <v>1152</v>
      </c>
      <c r="AO903" s="124">
        <v>1152</v>
      </c>
      <c r="AP903" s="124">
        <v>1154</v>
      </c>
      <c r="AQ903" s="172">
        <v>1154</v>
      </c>
      <c r="AR903" s="124">
        <v>1156</v>
      </c>
      <c r="AS903" s="172" t="s">
        <v>18</v>
      </c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</row>
    <row r="904" spans="1:55" ht="15.75" customHeight="1" x14ac:dyDescent="0.25">
      <c r="A904" s="143">
        <v>1</v>
      </c>
      <c r="B904" s="122" t="s">
        <v>5</v>
      </c>
      <c r="C904" s="124"/>
      <c r="D904" s="124">
        <v>12</v>
      </c>
      <c r="E904" s="171">
        <v>22</v>
      </c>
      <c r="F904" s="124">
        <v>22</v>
      </c>
      <c r="G904" s="124">
        <v>21</v>
      </c>
      <c r="H904" s="172">
        <v>38</v>
      </c>
      <c r="I904" s="124">
        <v>38</v>
      </c>
      <c r="J904" s="124">
        <v>38</v>
      </c>
      <c r="K904" s="124">
        <v>38</v>
      </c>
      <c r="L904" s="172">
        <v>12</v>
      </c>
      <c r="M904" s="124">
        <v>12</v>
      </c>
      <c r="N904" s="124">
        <v>12</v>
      </c>
      <c r="O904" s="124">
        <v>12</v>
      </c>
      <c r="P904" s="172">
        <v>12</v>
      </c>
      <c r="Q904" s="124">
        <v>12</v>
      </c>
      <c r="R904" s="124">
        <v>12</v>
      </c>
      <c r="S904" s="172">
        <v>15</v>
      </c>
      <c r="T904" s="124">
        <v>15</v>
      </c>
      <c r="U904" s="124">
        <v>12</v>
      </c>
      <c r="V904" s="172">
        <v>12</v>
      </c>
      <c r="W904" s="124">
        <v>12</v>
      </c>
      <c r="X904" s="124">
        <v>12</v>
      </c>
      <c r="Y904" s="124">
        <v>8</v>
      </c>
      <c r="Z904" s="172">
        <v>12</v>
      </c>
      <c r="AA904" s="124">
        <v>12</v>
      </c>
      <c r="AB904" s="124">
        <v>12</v>
      </c>
      <c r="AC904" s="124">
        <v>12</v>
      </c>
      <c r="AD904" s="172">
        <v>12</v>
      </c>
      <c r="AE904" s="124">
        <v>12</v>
      </c>
      <c r="AF904" s="124">
        <v>6</v>
      </c>
      <c r="AG904" s="171">
        <v>6</v>
      </c>
      <c r="AH904" s="124">
        <v>6</v>
      </c>
      <c r="AI904" s="124">
        <v>5</v>
      </c>
      <c r="AJ904" s="172">
        <v>12</v>
      </c>
      <c r="AK904" s="124">
        <v>12</v>
      </c>
      <c r="AL904" s="124">
        <v>12</v>
      </c>
      <c r="AM904" s="124">
        <v>12</v>
      </c>
      <c r="AN904" s="172">
        <v>10</v>
      </c>
      <c r="AO904" s="124">
        <v>10</v>
      </c>
      <c r="AP904" s="124">
        <v>8</v>
      </c>
      <c r="AQ904" s="172">
        <v>10</v>
      </c>
      <c r="AR904" s="124">
        <v>8</v>
      </c>
      <c r="AS904" s="172" t="s">
        <v>18</v>
      </c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</row>
    <row r="905" spans="1:55" ht="15.75" customHeight="1" x14ac:dyDescent="0.25">
      <c r="A905" s="144" t="s">
        <v>20</v>
      </c>
      <c r="B905" s="122" t="s">
        <v>6</v>
      </c>
      <c r="C905" s="124"/>
      <c r="D905" s="124">
        <v>10</v>
      </c>
      <c r="E905" s="171"/>
      <c r="F905" s="124"/>
      <c r="G905" s="124">
        <v>17</v>
      </c>
      <c r="H905" s="172"/>
      <c r="I905" s="124"/>
      <c r="J905" s="124"/>
      <c r="K905" s="124">
        <v>-26</v>
      </c>
      <c r="L905" s="172"/>
      <c r="M905" s="124"/>
      <c r="N905" s="124"/>
      <c r="O905" s="124"/>
      <c r="P905" s="172"/>
      <c r="Q905" s="124"/>
      <c r="R905" s="124">
        <v>3</v>
      </c>
      <c r="S905" s="172"/>
      <c r="T905" s="124"/>
      <c r="U905" s="124"/>
      <c r="V905" s="172"/>
      <c r="W905" s="124"/>
      <c r="X905" s="124"/>
      <c r="Y905" s="124">
        <v>4</v>
      </c>
      <c r="Z905" s="172"/>
      <c r="AA905" s="124"/>
      <c r="AB905" s="124"/>
      <c r="AC905" s="124"/>
      <c r="AD905" s="172"/>
      <c r="AE905" s="124"/>
      <c r="AF905" s="124"/>
      <c r="AG905" s="171"/>
      <c r="AH905" s="124"/>
      <c r="AI905" s="124">
        <v>7</v>
      </c>
      <c r="AJ905" s="172"/>
      <c r="AK905" s="124"/>
      <c r="AL905" s="124"/>
      <c r="AM905" s="124">
        <v>-2</v>
      </c>
      <c r="AN905" s="172"/>
      <c r="AO905" s="124"/>
      <c r="AP905" s="124">
        <v>2</v>
      </c>
      <c r="AQ905" s="172"/>
      <c r="AR905" s="124"/>
      <c r="AS905" s="172"/>
      <c r="AT905" s="161"/>
      <c r="AU905" s="161"/>
      <c r="AV905" s="161"/>
      <c r="AW905" s="161"/>
      <c r="AX905" s="161"/>
      <c r="AY905" s="161"/>
      <c r="AZ905" s="161"/>
      <c r="BA905" s="161"/>
      <c r="BB905" s="161"/>
      <c r="BC905" s="161"/>
    </row>
    <row r="906" spans="1:55" ht="15.75" customHeight="1" x14ac:dyDescent="0.25">
      <c r="A906" s="145">
        <v>352900</v>
      </c>
      <c r="B906" s="122" t="s">
        <v>8</v>
      </c>
      <c r="C906" s="130"/>
      <c r="D906" s="130">
        <v>1100</v>
      </c>
      <c r="E906" s="174">
        <v>880</v>
      </c>
      <c r="F906" s="130">
        <v>880</v>
      </c>
      <c r="G906" s="130">
        <v>880</v>
      </c>
      <c r="H906" s="175">
        <v>880</v>
      </c>
      <c r="I906" s="130">
        <v>880</v>
      </c>
      <c r="J906" s="130">
        <v>880</v>
      </c>
      <c r="K906" s="130">
        <v>880</v>
      </c>
      <c r="L906" s="175">
        <v>880</v>
      </c>
      <c r="M906" s="130">
        <v>880</v>
      </c>
      <c r="N906" s="130">
        <v>880</v>
      </c>
      <c r="O906" s="130">
        <v>880</v>
      </c>
      <c r="P906" s="175">
        <v>880</v>
      </c>
      <c r="Q906" s="130">
        <v>880</v>
      </c>
      <c r="R906" s="130">
        <v>880</v>
      </c>
      <c r="S906" s="175">
        <v>880</v>
      </c>
      <c r="T906" s="130">
        <v>880</v>
      </c>
      <c r="U906" s="130">
        <v>880</v>
      </c>
      <c r="V906" s="175">
        <v>880</v>
      </c>
      <c r="W906" s="130">
        <v>880</v>
      </c>
      <c r="X906" s="130">
        <v>880</v>
      </c>
      <c r="Y906" s="130">
        <v>880</v>
      </c>
      <c r="Z906" s="175">
        <v>880</v>
      </c>
      <c r="AA906" s="130">
        <v>880</v>
      </c>
      <c r="AB906" s="130">
        <v>880</v>
      </c>
      <c r="AC906" s="130">
        <v>880</v>
      </c>
      <c r="AD906" s="175">
        <v>880</v>
      </c>
      <c r="AE906" s="130">
        <v>880</v>
      </c>
      <c r="AF906" s="130">
        <v>880</v>
      </c>
      <c r="AG906" s="174">
        <v>880</v>
      </c>
      <c r="AH906" s="130">
        <v>880</v>
      </c>
      <c r="AI906" s="130">
        <v>880</v>
      </c>
      <c r="AJ906" s="175">
        <v>500</v>
      </c>
      <c r="AK906" s="130">
        <v>500</v>
      </c>
      <c r="AL906" s="130">
        <v>500</v>
      </c>
      <c r="AM906" s="130">
        <v>500</v>
      </c>
      <c r="AN906" s="175">
        <v>500</v>
      </c>
      <c r="AO906" s="130">
        <v>500</v>
      </c>
      <c r="AP906" s="130">
        <v>500</v>
      </c>
      <c r="AQ906" s="175">
        <v>500</v>
      </c>
      <c r="AR906" s="130">
        <v>500</v>
      </c>
      <c r="AS906" s="175" t="s">
        <v>18</v>
      </c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</row>
    <row r="907" spans="1:55" ht="15.75" customHeight="1" x14ac:dyDescent="0.25">
      <c r="A907" s="127" t="s">
        <v>9</v>
      </c>
      <c r="B907" s="132" t="s">
        <v>10</v>
      </c>
      <c r="C907" s="134"/>
      <c r="D907" s="134" t="s">
        <v>126</v>
      </c>
      <c r="E907" s="177" t="s">
        <v>127</v>
      </c>
      <c r="F907" s="134" t="s">
        <v>127</v>
      </c>
      <c r="G907" s="134" t="s">
        <v>127</v>
      </c>
      <c r="H907" s="178" t="s">
        <v>127</v>
      </c>
      <c r="I907" s="134" t="s">
        <v>127</v>
      </c>
      <c r="J907" s="134" t="s">
        <v>127</v>
      </c>
      <c r="K907" s="134" t="s">
        <v>127</v>
      </c>
      <c r="L907" s="178" t="s">
        <v>128</v>
      </c>
      <c r="M907" s="134" t="s">
        <v>128</v>
      </c>
      <c r="N907" s="134" t="s">
        <v>128</v>
      </c>
      <c r="O907" s="134" t="s">
        <v>128</v>
      </c>
      <c r="P907" s="178" t="s">
        <v>128</v>
      </c>
      <c r="Q907" s="134" t="s">
        <v>128</v>
      </c>
      <c r="R907" s="134" t="s">
        <v>128</v>
      </c>
      <c r="S907" s="178" t="s">
        <v>128</v>
      </c>
      <c r="T907" s="134" t="s">
        <v>128</v>
      </c>
      <c r="U907" s="134" t="s">
        <v>128</v>
      </c>
      <c r="V907" s="178" t="s">
        <v>128</v>
      </c>
      <c r="W907" s="134" t="s">
        <v>128</v>
      </c>
      <c r="X907" s="134" t="s">
        <v>128</v>
      </c>
      <c r="Y907" s="134" t="s">
        <v>128</v>
      </c>
      <c r="Z907" s="178" t="s">
        <v>86</v>
      </c>
      <c r="AA907" s="134" t="s">
        <v>86</v>
      </c>
      <c r="AB907" s="134" t="s">
        <v>86</v>
      </c>
      <c r="AC907" s="134" t="s">
        <v>86</v>
      </c>
      <c r="AD907" s="178" t="s">
        <v>86</v>
      </c>
      <c r="AE907" s="134" t="s">
        <v>86</v>
      </c>
      <c r="AF907" s="134" t="s">
        <v>86</v>
      </c>
      <c r="AG907" s="177" t="s">
        <v>86</v>
      </c>
      <c r="AH907" s="134" t="s">
        <v>86</v>
      </c>
      <c r="AI907" s="134" t="s">
        <v>86</v>
      </c>
      <c r="AJ907" s="178" t="s">
        <v>87</v>
      </c>
      <c r="AK907" s="134" t="s">
        <v>87</v>
      </c>
      <c r="AL907" s="134" t="s">
        <v>87</v>
      </c>
      <c r="AM907" s="134" t="s">
        <v>87</v>
      </c>
      <c r="AN907" s="178" t="s">
        <v>30</v>
      </c>
      <c r="AO907" s="134" t="s">
        <v>30</v>
      </c>
      <c r="AP907" s="134" t="s">
        <v>30</v>
      </c>
      <c r="AQ907" s="178" t="s">
        <v>30</v>
      </c>
      <c r="AR907" s="134" t="s">
        <v>30</v>
      </c>
      <c r="AS907" s="178" t="s">
        <v>18</v>
      </c>
      <c r="AT907" s="189"/>
      <c r="AU907" s="189"/>
      <c r="AV907" s="189"/>
      <c r="AW907" s="189"/>
      <c r="AX907" s="189"/>
      <c r="AY907" s="189"/>
      <c r="AZ907" s="189"/>
      <c r="BA907" s="189"/>
      <c r="BB907" s="189"/>
      <c r="BC907" s="189"/>
    </row>
    <row r="908" spans="1:55" ht="15.75" customHeight="1" x14ac:dyDescent="0.25">
      <c r="A908" s="128">
        <v>47289.473684210527</v>
      </c>
      <c r="B908" s="122" t="s">
        <v>12</v>
      </c>
      <c r="C908" s="124"/>
      <c r="D908" s="124"/>
      <c r="E908" s="171"/>
      <c r="F908" s="124"/>
      <c r="G908" s="124"/>
      <c r="H908" s="172"/>
      <c r="I908" s="124"/>
      <c r="J908" s="124"/>
      <c r="K908" s="124"/>
      <c r="L908" s="172" t="s">
        <v>124</v>
      </c>
      <c r="M908" s="124"/>
      <c r="N908" s="124"/>
      <c r="O908" s="124"/>
      <c r="P908" s="172"/>
      <c r="Q908" s="124"/>
      <c r="R908" s="124"/>
      <c r="S908" s="172" t="s">
        <v>129</v>
      </c>
      <c r="T908" s="124"/>
      <c r="U908" s="124"/>
      <c r="V908" s="172"/>
      <c r="W908" s="124"/>
      <c r="X908" s="124"/>
      <c r="Y908" s="124"/>
      <c r="Z908" s="172" t="s">
        <v>52</v>
      </c>
      <c r="AA908" s="124"/>
      <c r="AB908" s="124"/>
      <c r="AC908" s="124"/>
      <c r="AD908" s="172"/>
      <c r="AE908" s="124"/>
      <c r="AF908" s="124"/>
      <c r="AG908" s="171" t="s">
        <v>88</v>
      </c>
      <c r="AH908" s="124"/>
      <c r="AI908" s="124"/>
      <c r="AJ908" s="172" t="s">
        <v>89</v>
      </c>
      <c r="AK908" s="124"/>
      <c r="AL908" s="124"/>
      <c r="AM908" s="124"/>
      <c r="AN908" s="172"/>
      <c r="AO908" s="124"/>
      <c r="AP908" s="124"/>
      <c r="AQ908" s="172"/>
      <c r="AR908" s="124"/>
      <c r="AS908" s="172"/>
      <c r="AT908" s="161"/>
      <c r="AU908" s="161"/>
      <c r="AV908" s="161"/>
      <c r="AW908" s="161"/>
      <c r="AX908" s="161"/>
      <c r="AY908" s="161"/>
      <c r="AZ908" s="161"/>
      <c r="BA908" s="161"/>
      <c r="BB908" s="161"/>
      <c r="BC908" s="161"/>
    </row>
    <row r="909" spans="1:55" ht="15.75" customHeight="1" x14ac:dyDescent="0.25">
      <c r="A909" s="128">
        <v>599</v>
      </c>
      <c r="B909" s="136" t="s">
        <v>13</v>
      </c>
      <c r="C909" s="137"/>
      <c r="D909" s="137"/>
      <c r="E909" s="171"/>
      <c r="F909" s="137"/>
      <c r="G909" s="137">
        <v>55</v>
      </c>
      <c r="H909" s="172">
        <v>0</v>
      </c>
      <c r="I909" s="137">
        <v>0</v>
      </c>
      <c r="J909" s="137">
        <v>0</v>
      </c>
      <c r="K909" s="137">
        <v>19</v>
      </c>
      <c r="L909" s="172">
        <v>0</v>
      </c>
      <c r="M909" s="137">
        <v>0</v>
      </c>
      <c r="N909" s="137">
        <v>0</v>
      </c>
      <c r="O909" s="137">
        <v>48</v>
      </c>
      <c r="P909" s="172">
        <v>0</v>
      </c>
      <c r="Q909" s="137">
        <v>0</v>
      </c>
      <c r="R909" s="137">
        <v>26</v>
      </c>
      <c r="S909" s="172">
        <v>0</v>
      </c>
      <c r="T909" s="137">
        <v>0</v>
      </c>
      <c r="U909" s="137">
        <v>108</v>
      </c>
      <c r="V909" s="172">
        <v>0</v>
      </c>
      <c r="W909" s="137">
        <v>0</v>
      </c>
      <c r="X909" s="137">
        <v>0</v>
      </c>
      <c r="Y909" s="137">
        <v>51</v>
      </c>
      <c r="Z909" s="172">
        <v>0</v>
      </c>
      <c r="AA909" s="137">
        <v>0</v>
      </c>
      <c r="AB909" s="137">
        <v>0</v>
      </c>
      <c r="AC909" s="137">
        <v>32</v>
      </c>
      <c r="AD909" s="172">
        <v>0</v>
      </c>
      <c r="AE909" s="137">
        <v>0</v>
      </c>
      <c r="AF909" s="137">
        <v>34</v>
      </c>
      <c r="AG909" s="171">
        <v>0</v>
      </c>
      <c r="AH909" s="137">
        <v>0</v>
      </c>
      <c r="AI909" s="137">
        <v>38</v>
      </c>
      <c r="AJ909" s="172">
        <v>0</v>
      </c>
      <c r="AK909" s="137">
        <v>0</v>
      </c>
      <c r="AL909" s="137">
        <v>0</v>
      </c>
      <c r="AM909" s="137">
        <v>47</v>
      </c>
      <c r="AN909" s="172">
        <v>0</v>
      </c>
      <c r="AO909" s="137">
        <v>0</v>
      </c>
      <c r="AP909" s="137">
        <v>76</v>
      </c>
      <c r="AQ909" s="172">
        <v>0</v>
      </c>
      <c r="AR909" s="137">
        <v>65</v>
      </c>
      <c r="AS909" s="172" t="s">
        <v>18</v>
      </c>
      <c r="AT909" s="161"/>
      <c r="AU909" s="161"/>
      <c r="AV909" s="161"/>
      <c r="AW909" s="161"/>
      <c r="AX909" s="161"/>
      <c r="AY909" s="161"/>
      <c r="AZ909" s="161"/>
      <c r="BA909" s="161"/>
      <c r="BB909" s="161"/>
      <c r="BC909" s="161"/>
    </row>
    <row r="910" spans="1:55" ht="15.75" customHeight="1" x14ac:dyDescent="0.25">
      <c r="A910" s="128">
        <v>43</v>
      </c>
      <c r="B910" s="136" t="s">
        <v>14</v>
      </c>
      <c r="C910" s="137"/>
      <c r="D910" s="137"/>
      <c r="E910" s="171"/>
      <c r="F910" s="137"/>
      <c r="G910" s="137"/>
      <c r="H910" s="172">
        <v>0</v>
      </c>
      <c r="I910" s="137">
        <v>0</v>
      </c>
      <c r="J910" s="137">
        <v>0</v>
      </c>
      <c r="K910" s="137">
        <v>2</v>
      </c>
      <c r="L910" s="172">
        <v>0</v>
      </c>
      <c r="M910" s="137">
        <v>0</v>
      </c>
      <c r="N910" s="137">
        <v>0</v>
      </c>
      <c r="O910" s="137">
        <v>5</v>
      </c>
      <c r="P910" s="172">
        <v>0</v>
      </c>
      <c r="Q910" s="137">
        <v>0</v>
      </c>
      <c r="R910" s="137">
        <v>7</v>
      </c>
      <c r="S910" s="172">
        <v>0</v>
      </c>
      <c r="T910" s="137">
        <v>0</v>
      </c>
      <c r="U910" s="137">
        <v>2</v>
      </c>
      <c r="V910" s="172">
        <v>0</v>
      </c>
      <c r="W910" s="137">
        <v>0</v>
      </c>
      <c r="X910" s="137">
        <v>0</v>
      </c>
      <c r="Y910" s="137">
        <v>4</v>
      </c>
      <c r="Z910" s="172">
        <v>0</v>
      </c>
      <c r="AA910" s="137">
        <v>0</v>
      </c>
      <c r="AB910" s="137">
        <v>0</v>
      </c>
      <c r="AC910" s="137">
        <v>4</v>
      </c>
      <c r="AD910" s="172">
        <v>0</v>
      </c>
      <c r="AE910" s="137">
        <v>0</v>
      </c>
      <c r="AF910" s="137">
        <v>6</v>
      </c>
      <c r="AG910" s="171">
        <v>0</v>
      </c>
      <c r="AH910" s="137">
        <v>0</v>
      </c>
      <c r="AI910" s="137">
        <v>3</v>
      </c>
      <c r="AJ910" s="172">
        <v>0</v>
      </c>
      <c r="AK910" s="137">
        <v>0</v>
      </c>
      <c r="AL910" s="137">
        <v>0</v>
      </c>
      <c r="AM910" s="137">
        <v>6</v>
      </c>
      <c r="AN910" s="172">
        <v>0</v>
      </c>
      <c r="AO910" s="137">
        <v>0</v>
      </c>
      <c r="AP910" s="137">
        <v>2</v>
      </c>
      <c r="AQ910" s="172">
        <v>0</v>
      </c>
      <c r="AR910" s="137">
        <v>2</v>
      </c>
      <c r="AS910" s="172" t="s">
        <v>18</v>
      </c>
      <c r="AT910" s="161"/>
      <c r="AU910" s="161"/>
      <c r="AV910" s="161"/>
      <c r="AW910" s="161"/>
      <c r="AX910" s="161"/>
      <c r="AY910" s="161"/>
      <c r="AZ910" s="161"/>
      <c r="BA910" s="161"/>
      <c r="BB910" s="161"/>
      <c r="BC910" s="161"/>
    </row>
    <row r="911" spans="1:55" ht="15.75" customHeight="1" x14ac:dyDescent="0.25">
      <c r="A911" s="128">
        <v>18</v>
      </c>
      <c r="B911" s="136" t="s">
        <v>15</v>
      </c>
      <c r="C911" s="137"/>
      <c r="D911" s="137"/>
      <c r="E911" s="171"/>
      <c r="F911" s="137"/>
      <c r="G911" s="137"/>
      <c r="H911" s="172">
        <v>0</v>
      </c>
      <c r="I911" s="137">
        <v>0</v>
      </c>
      <c r="J911" s="137">
        <v>0</v>
      </c>
      <c r="K911" s="137">
        <v>0</v>
      </c>
      <c r="L911" s="172">
        <v>0</v>
      </c>
      <c r="M911" s="137">
        <v>0</v>
      </c>
      <c r="N911" s="137">
        <v>0</v>
      </c>
      <c r="O911" s="137">
        <v>0</v>
      </c>
      <c r="P911" s="172">
        <v>0</v>
      </c>
      <c r="Q911" s="137">
        <v>0</v>
      </c>
      <c r="R911" s="137">
        <v>0</v>
      </c>
      <c r="S911" s="172">
        <v>0</v>
      </c>
      <c r="T911" s="137">
        <v>0</v>
      </c>
      <c r="U911" s="137">
        <v>3</v>
      </c>
      <c r="V911" s="172">
        <v>0</v>
      </c>
      <c r="W911" s="137">
        <v>0</v>
      </c>
      <c r="X911" s="137">
        <v>0</v>
      </c>
      <c r="Y911" s="137">
        <v>4</v>
      </c>
      <c r="Z911" s="172">
        <v>0</v>
      </c>
      <c r="AA911" s="137">
        <v>0</v>
      </c>
      <c r="AB911" s="137">
        <v>0</v>
      </c>
      <c r="AC911" s="137">
        <v>0</v>
      </c>
      <c r="AD911" s="172">
        <v>0</v>
      </c>
      <c r="AE911" s="137">
        <v>0</v>
      </c>
      <c r="AF911" s="137">
        <v>6</v>
      </c>
      <c r="AG911" s="171">
        <v>0</v>
      </c>
      <c r="AH911" s="137">
        <v>0</v>
      </c>
      <c r="AI911" s="137">
        <v>1</v>
      </c>
      <c r="AJ911" s="172">
        <v>0</v>
      </c>
      <c r="AK911" s="137">
        <v>0</v>
      </c>
      <c r="AL911" s="137">
        <v>0</v>
      </c>
      <c r="AM911" s="137">
        <v>0</v>
      </c>
      <c r="AN911" s="172">
        <v>0</v>
      </c>
      <c r="AO911" s="137">
        <v>0</v>
      </c>
      <c r="AP911" s="137">
        <v>2</v>
      </c>
      <c r="AQ911" s="172">
        <v>0</v>
      </c>
      <c r="AR911" s="137">
        <v>2</v>
      </c>
      <c r="AS911" s="172" t="s">
        <v>18</v>
      </c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</row>
    <row r="912" spans="1:55" ht="15.75" customHeight="1" x14ac:dyDescent="0.25">
      <c r="A912" s="128">
        <v>14320</v>
      </c>
      <c r="B912" s="136" t="s">
        <v>16</v>
      </c>
      <c r="C912" s="137"/>
      <c r="D912" s="137"/>
      <c r="E912" s="171"/>
      <c r="F912" s="137"/>
      <c r="G912" s="137"/>
      <c r="H912" s="172">
        <v>0</v>
      </c>
      <c r="I912" s="137">
        <v>0</v>
      </c>
      <c r="J912" s="137">
        <v>0</v>
      </c>
      <c r="K912" s="137">
        <v>0</v>
      </c>
      <c r="L912" s="172">
        <v>0</v>
      </c>
      <c r="M912" s="137">
        <v>0</v>
      </c>
      <c r="N912" s="137">
        <v>0</v>
      </c>
      <c r="O912" s="137">
        <v>0</v>
      </c>
      <c r="P912" s="172">
        <v>0</v>
      </c>
      <c r="Q912" s="137">
        <v>0</v>
      </c>
      <c r="R912" s="137">
        <v>0</v>
      </c>
      <c r="S912" s="172">
        <v>0</v>
      </c>
      <c r="T912" s="137">
        <v>0</v>
      </c>
      <c r="U912" s="137">
        <v>2640</v>
      </c>
      <c r="V912" s="172">
        <v>0</v>
      </c>
      <c r="W912" s="137">
        <v>0</v>
      </c>
      <c r="X912" s="137">
        <v>0</v>
      </c>
      <c r="Y912" s="137">
        <v>3520</v>
      </c>
      <c r="Z912" s="172">
        <v>0</v>
      </c>
      <c r="AA912" s="137">
        <v>0</v>
      </c>
      <c r="AB912" s="137">
        <v>0</v>
      </c>
      <c r="AC912" s="137">
        <v>0</v>
      </c>
      <c r="AD912" s="172">
        <v>0</v>
      </c>
      <c r="AE912" s="137">
        <v>0</v>
      </c>
      <c r="AF912" s="137">
        <v>5280</v>
      </c>
      <c r="AG912" s="171">
        <v>0</v>
      </c>
      <c r="AH912" s="137">
        <v>0</v>
      </c>
      <c r="AI912" s="137">
        <v>880</v>
      </c>
      <c r="AJ912" s="172">
        <v>0</v>
      </c>
      <c r="AK912" s="137">
        <v>0</v>
      </c>
      <c r="AL912" s="137">
        <v>0</v>
      </c>
      <c r="AM912" s="137">
        <v>0</v>
      </c>
      <c r="AN912" s="172">
        <v>0</v>
      </c>
      <c r="AO912" s="137">
        <v>0</v>
      </c>
      <c r="AP912" s="137">
        <v>1000</v>
      </c>
      <c r="AQ912" s="172">
        <v>0</v>
      </c>
      <c r="AR912" s="137">
        <v>1000</v>
      </c>
      <c r="AS912" s="172" t="s">
        <v>18</v>
      </c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</row>
    <row r="913" spans="1:55" ht="15.75" customHeight="1" x14ac:dyDescent="0.25">
      <c r="A913" s="138">
        <v>0.23906510851419033</v>
      </c>
      <c r="B913" s="136" t="s">
        <v>17</v>
      </c>
      <c r="C913" s="147"/>
      <c r="D913" s="147"/>
      <c r="E913" s="183"/>
      <c r="F913" s="147"/>
      <c r="G913" s="147"/>
      <c r="H913" s="184" t="s">
        <v>18</v>
      </c>
      <c r="I913" s="147" t="s">
        <v>18</v>
      </c>
      <c r="J913" s="147" t="s">
        <v>18</v>
      </c>
      <c r="K913" s="147" t="s">
        <v>18</v>
      </c>
      <c r="L913" s="184" t="s">
        <v>18</v>
      </c>
      <c r="M913" s="147" t="s">
        <v>18</v>
      </c>
      <c r="N913" s="147" t="s">
        <v>18</v>
      </c>
      <c r="O913" s="147" t="s">
        <v>18</v>
      </c>
      <c r="P913" s="184" t="s">
        <v>18</v>
      </c>
      <c r="Q913" s="147" t="s">
        <v>18</v>
      </c>
      <c r="R913" s="147" t="s">
        <v>18</v>
      </c>
      <c r="S913" s="184" t="s">
        <v>18</v>
      </c>
      <c r="T913" s="147" t="s">
        <v>18</v>
      </c>
      <c r="U913" s="147">
        <v>0.24444444444444444</v>
      </c>
      <c r="V913" s="184" t="s">
        <v>18</v>
      </c>
      <c r="W913" s="147" t="s">
        <v>18</v>
      </c>
      <c r="X913" s="147" t="s">
        <v>18</v>
      </c>
      <c r="Y913" s="147">
        <v>0.69019607843137254</v>
      </c>
      <c r="Z913" s="184" t="s">
        <v>18</v>
      </c>
      <c r="AA913" s="147" t="s">
        <v>18</v>
      </c>
      <c r="AB913" s="147" t="s">
        <v>18</v>
      </c>
      <c r="AC913" s="147" t="s">
        <v>18</v>
      </c>
      <c r="AD913" s="184" t="s">
        <v>18</v>
      </c>
      <c r="AE913" s="147" t="s">
        <v>18</v>
      </c>
      <c r="AF913" s="147">
        <v>1.5529411764705883</v>
      </c>
      <c r="AG913" s="183" t="s">
        <v>18</v>
      </c>
      <c r="AH913" s="147" t="s">
        <v>18</v>
      </c>
      <c r="AI913" s="147">
        <v>0.23157894736842105</v>
      </c>
      <c r="AJ913" s="184" t="s">
        <v>18</v>
      </c>
      <c r="AK913" s="147" t="s">
        <v>18</v>
      </c>
      <c r="AL913" s="147" t="s">
        <v>18</v>
      </c>
      <c r="AM913" s="147" t="s">
        <v>18</v>
      </c>
      <c r="AN913" s="184" t="s">
        <v>18</v>
      </c>
      <c r="AO913" s="147" t="s">
        <v>18</v>
      </c>
      <c r="AP913" s="147">
        <v>0.13157894736842105</v>
      </c>
      <c r="AQ913" s="184" t="s">
        <v>18</v>
      </c>
      <c r="AR913" s="147">
        <v>0.15384615384615385</v>
      </c>
      <c r="AS913" s="184" t="s">
        <v>18</v>
      </c>
      <c r="AT913" s="161"/>
      <c r="AU913" s="161"/>
      <c r="AV913" s="161"/>
      <c r="AW913" s="161"/>
      <c r="AX913" s="161"/>
      <c r="AY913" s="161"/>
      <c r="AZ913" s="161"/>
      <c r="BA913" s="161"/>
      <c r="BB913" s="161"/>
      <c r="BC913" s="161"/>
    </row>
    <row r="914" spans="1:55" ht="15.75" customHeight="1" x14ac:dyDescent="0.25">
      <c r="A914" s="149" t="s">
        <v>1</v>
      </c>
      <c r="B914" s="150" t="s">
        <v>2</v>
      </c>
      <c r="C914" s="130"/>
      <c r="D914" s="130">
        <v>15741</v>
      </c>
      <c r="E914" s="174">
        <v>15741</v>
      </c>
      <c r="F914" s="130">
        <v>15741</v>
      </c>
      <c r="G914" s="130">
        <v>15778</v>
      </c>
      <c r="H914" s="175">
        <v>15778</v>
      </c>
      <c r="I914" s="130">
        <v>15778</v>
      </c>
      <c r="J914" s="130">
        <v>15778</v>
      </c>
      <c r="K914" s="130">
        <v>15932</v>
      </c>
      <c r="L914" s="175">
        <v>15932</v>
      </c>
      <c r="M914" s="130">
        <v>15932</v>
      </c>
      <c r="N914" s="130">
        <v>15932</v>
      </c>
      <c r="O914" s="130">
        <v>16014</v>
      </c>
      <c r="P914" s="175">
        <v>16014</v>
      </c>
      <c r="Q914" s="130">
        <v>16014</v>
      </c>
      <c r="R914" s="130">
        <v>16150</v>
      </c>
      <c r="S914" s="175">
        <v>16150</v>
      </c>
      <c r="T914" s="130">
        <v>16150</v>
      </c>
      <c r="U914" s="130">
        <v>16290</v>
      </c>
      <c r="V914" s="175">
        <v>16290</v>
      </c>
      <c r="W914" s="130">
        <v>16290</v>
      </c>
      <c r="X914" s="130">
        <v>16290</v>
      </c>
      <c r="Y914" s="130">
        <v>16341</v>
      </c>
      <c r="Z914" s="175">
        <v>16341</v>
      </c>
      <c r="AA914" s="130">
        <v>16341</v>
      </c>
      <c r="AB914" s="130">
        <v>16341</v>
      </c>
      <c r="AC914" s="130">
        <v>16466</v>
      </c>
      <c r="AD914" s="175">
        <v>16466</v>
      </c>
      <c r="AE914" s="130">
        <v>16466</v>
      </c>
      <c r="AF914" s="130">
        <v>16517</v>
      </c>
      <c r="AG914" s="174">
        <v>16517</v>
      </c>
      <c r="AH914" s="130">
        <v>16517</v>
      </c>
      <c r="AI914" s="130">
        <v>16550</v>
      </c>
      <c r="AJ914" s="175">
        <v>16550</v>
      </c>
      <c r="AK914" s="130">
        <v>16550</v>
      </c>
      <c r="AL914" s="130">
        <v>16550</v>
      </c>
      <c r="AM914" s="130">
        <v>16575</v>
      </c>
      <c r="AN914" s="175">
        <v>16575</v>
      </c>
      <c r="AO914" s="130">
        <v>16575</v>
      </c>
      <c r="AP914" s="130">
        <v>16636</v>
      </c>
      <c r="AQ914" s="175">
        <v>16636</v>
      </c>
      <c r="AR914" s="130">
        <v>16668</v>
      </c>
      <c r="AS914" s="175" t="s">
        <v>18</v>
      </c>
      <c r="AT914" s="161"/>
      <c r="AU914" s="161"/>
      <c r="AV914" s="161"/>
      <c r="AW914" s="161"/>
      <c r="AX914" s="161"/>
      <c r="AY914" s="161"/>
      <c r="AZ914" s="161"/>
      <c r="BA914" s="161"/>
      <c r="BB914" s="161"/>
      <c r="BC914" s="161"/>
    </row>
    <row r="915" spans="1:55" ht="15.75" customHeight="1" x14ac:dyDescent="0.25">
      <c r="A915" s="121" t="s">
        <v>29</v>
      </c>
      <c r="B915" s="122" t="s">
        <v>4</v>
      </c>
      <c r="C915" s="124"/>
      <c r="D915" s="124">
        <v>809</v>
      </c>
      <c r="E915" s="171">
        <v>809</v>
      </c>
      <c r="F915" s="124">
        <v>809</v>
      </c>
      <c r="G915" s="124">
        <v>813</v>
      </c>
      <c r="H915" s="172">
        <v>813</v>
      </c>
      <c r="I915" s="124">
        <v>813</v>
      </c>
      <c r="J915" s="124">
        <v>813</v>
      </c>
      <c r="K915" s="124">
        <v>813</v>
      </c>
      <c r="L915" s="172">
        <v>813</v>
      </c>
      <c r="M915" s="124">
        <v>813</v>
      </c>
      <c r="N915" s="124">
        <v>813</v>
      </c>
      <c r="O915" s="124">
        <v>846</v>
      </c>
      <c r="P915" s="172">
        <v>846</v>
      </c>
      <c r="Q915" s="124">
        <v>846</v>
      </c>
      <c r="R915" s="124">
        <v>862</v>
      </c>
      <c r="S915" s="172">
        <v>862</v>
      </c>
      <c r="T915" s="124">
        <v>862</v>
      </c>
      <c r="U915" s="124">
        <v>926</v>
      </c>
      <c r="V915" s="172">
        <v>926</v>
      </c>
      <c r="W915" s="124">
        <v>926</v>
      </c>
      <c r="X915" s="124">
        <v>926</v>
      </c>
      <c r="Y915" s="124">
        <v>931</v>
      </c>
      <c r="Z915" s="172">
        <v>931</v>
      </c>
      <c r="AA915" s="124">
        <v>931</v>
      </c>
      <c r="AB915" s="124">
        <v>931</v>
      </c>
      <c r="AC915" s="124">
        <v>966</v>
      </c>
      <c r="AD915" s="172">
        <v>966</v>
      </c>
      <c r="AE915" s="124">
        <v>966</v>
      </c>
      <c r="AF915" s="124">
        <v>969</v>
      </c>
      <c r="AG915" s="171">
        <v>969</v>
      </c>
      <c r="AH915" s="124">
        <v>969</v>
      </c>
      <c r="AI915" s="124">
        <v>972</v>
      </c>
      <c r="AJ915" s="172">
        <v>972</v>
      </c>
      <c r="AK915" s="124">
        <v>972</v>
      </c>
      <c r="AL915" s="124">
        <v>972</v>
      </c>
      <c r="AM915" s="124">
        <v>973</v>
      </c>
      <c r="AN915" s="172">
        <v>973</v>
      </c>
      <c r="AO915" s="124">
        <v>973</v>
      </c>
      <c r="AP915" s="124">
        <v>994</v>
      </c>
      <c r="AQ915" s="172">
        <v>994</v>
      </c>
      <c r="AR915" s="124">
        <v>994</v>
      </c>
      <c r="AS915" s="172" t="s">
        <v>18</v>
      </c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</row>
    <row r="916" spans="1:55" ht="15.75" customHeight="1" x14ac:dyDescent="0.25">
      <c r="A916" s="143">
        <v>2</v>
      </c>
      <c r="B916" s="122" t="s">
        <v>5</v>
      </c>
      <c r="C916" s="124"/>
      <c r="D916" s="124">
        <v>11</v>
      </c>
      <c r="E916" s="171">
        <v>13</v>
      </c>
      <c r="F916" s="124">
        <v>13</v>
      </c>
      <c r="G916" s="124">
        <v>13</v>
      </c>
      <c r="H916" s="172">
        <v>13</v>
      </c>
      <c r="I916" s="124">
        <v>13</v>
      </c>
      <c r="J916" s="124">
        <v>13</v>
      </c>
      <c r="K916" s="124">
        <v>9</v>
      </c>
      <c r="L916" s="172">
        <v>13</v>
      </c>
      <c r="M916" s="124">
        <v>13</v>
      </c>
      <c r="N916" s="124">
        <v>13</v>
      </c>
      <c r="O916" s="124">
        <v>12</v>
      </c>
      <c r="P916" s="172">
        <v>13</v>
      </c>
      <c r="Q916" s="124">
        <v>13</v>
      </c>
      <c r="R916" s="124">
        <v>13</v>
      </c>
      <c r="S916" s="172">
        <v>13</v>
      </c>
      <c r="T916" s="124">
        <v>13</v>
      </c>
      <c r="U916" s="124">
        <v>12</v>
      </c>
      <c r="V916" s="172">
        <v>12</v>
      </c>
      <c r="W916" s="124">
        <v>12</v>
      </c>
      <c r="X916" s="124">
        <v>12</v>
      </c>
      <c r="Y916" s="124">
        <v>12</v>
      </c>
      <c r="Z916" s="172">
        <v>12</v>
      </c>
      <c r="AA916" s="124">
        <v>12</v>
      </c>
      <c r="AB916" s="124">
        <v>12</v>
      </c>
      <c r="AC916" s="124">
        <v>10</v>
      </c>
      <c r="AD916" s="172">
        <v>12</v>
      </c>
      <c r="AE916" s="124">
        <v>12</v>
      </c>
      <c r="AF916" s="124">
        <v>12</v>
      </c>
      <c r="AG916" s="171">
        <v>12</v>
      </c>
      <c r="AH916" s="124">
        <v>12</v>
      </c>
      <c r="AI916" s="124">
        <v>12</v>
      </c>
      <c r="AJ916" s="172">
        <v>12</v>
      </c>
      <c r="AK916" s="124">
        <v>12</v>
      </c>
      <c r="AL916" s="124">
        <v>12</v>
      </c>
      <c r="AM916" s="124">
        <v>12</v>
      </c>
      <c r="AN916" s="172">
        <v>12</v>
      </c>
      <c r="AO916" s="124">
        <v>12</v>
      </c>
      <c r="AP916" s="124">
        <v>12</v>
      </c>
      <c r="AQ916" s="172">
        <v>12</v>
      </c>
      <c r="AR916" s="124">
        <v>12</v>
      </c>
      <c r="AS916" s="172" t="s">
        <v>18</v>
      </c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</row>
    <row r="917" spans="1:55" ht="15.75" customHeight="1" x14ac:dyDescent="0.25">
      <c r="A917" s="127"/>
      <c r="B917" s="122" t="s">
        <v>6</v>
      </c>
      <c r="C917" s="124"/>
      <c r="D917" s="124">
        <v>2</v>
      </c>
      <c r="E917" s="171"/>
      <c r="F917" s="124"/>
      <c r="G917" s="124"/>
      <c r="H917" s="172"/>
      <c r="I917" s="124"/>
      <c r="J917" s="124"/>
      <c r="K917" s="124">
        <v>4</v>
      </c>
      <c r="L917" s="172"/>
      <c r="M917" s="124"/>
      <c r="N917" s="124"/>
      <c r="O917" s="124">
        <v>1</v>
      </c>
      <c r="P917" s="172"/>
      <c r="Q917" s="124"/>
      <c r="R917" s="124"/>
      <c r="S917" s="172"/>
      <c r="T917" s="124"/>
      <c r="U917" s="124"/>
      <c r="V917" s="172"/>
      <c r="W917" s="124"/>
      <c r="X917" s="124"/>
      <c r="Y917" s="124"/>
      <c r="Z917" s="172"/>
      <c r="AA917" s="124"/>
      <c r="AB917" s="124"/>
      <c r="AC917" s="124">
        <v>2</v>
      </c>
      <c r="AD917" s="172"/>
      <c r="AE917" s="124"/>
      <c r="AF917" s="124"/>
      <c r="AG917" s="171"/>
      <c r="AH917" s="124"/>
      <c r="AI917" s="124"/>
      <c r="AJ917" s="172"/>
      <c r="AK917" s="124"/>
      <c r="AL917" s="124"/>
      <c r="AM917" s="124"/>
      <c r="AN917" s="172"/>
      <c r="AO917" s="124"/>
      <c r="AP917" s="124"/>
      <c r="AQ917" s="172"/>
      <c r="AR917" s="124"/>
      <c r="AS917" s="172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</row>
    <row r="918" spans="1:55" ht="15.75" customHeight="1" x14ac:dyDescent="0.25">
      <c r="A918" s="128"/>
      <c r="B918" s="122" t="s">
        <v>8</v>
      </c>
      <c r="C918" s="130"/>
      <c r="D918" s="130">
        <v>1100</v>
      </c>
      <c r="E918" s="174">
        <v>1100</v>
      </c>
      <c r="F918" s="130">
        <v>1100</v>
      </c>
      <c r="G918" s="130">
        <v>1100</v>
      </c>
      <c r="H918" s="175">
        <v>1100</v>
      </c>
      <c r="I918" s="130">
        <v>1100</v>
      </c>
      <c r="J918" s="130">
        <v>1100</v>
      </c>
      <c r="K918" s="130">
        <v>1100</v>
      </c>
      <c r="L918" s="175">
        <v>1100</v>
      </c>
      <c r="M918" s="130">
        <v>1100</v>
      </c>
      <c r="N918" s="130">
        <v>1100</v>
      </c>
      <c r="O918" s="130">
        <v>1100</v>
      </c>
      <c r="P918" s="175">
        <v>1100</v>
      </c>
      <c r="Q918" s="130">
        <v>1100</v>
      </c>
      <c r="R918" s="130">
        <v>1100</v>
      </c>
      <c r="S918" s="175">
        <v>1100</v>
      </c>
      <c r="T918" s="130">
        <v>1100</v>
      </c>
      <c r="U918" s="130">
        <v>1100</v>
      </c>
      <c r="V918" s="175">
        <v>1100</v>
      </c>
      <c r="W918" s="130">
        <v>1100</v>
      </c>
      <c r="X918" s="130">
        <v>1100</v>
      </c>
      <c r="Y918" s="130">
        <v>1100</v>
      </c>
      <c r="Z918" s="175">
        <v>1100</v>
      </c>
      <c r="AA918" s="130">
        <v>1100</v>
      </c>
      <c r="AB918" s="130">
        <v>1100</v>
      </c>
      <c r="AC918" s="130">
        <v>1100</v>
      </c>
      <c r="AD918" s="175">
        <v>1100</v>
      </c>
      <c r="AE918" s="130">
        <v>1100</v>
      </c>
      <c r="AF918" s="130">
        <v>1100</v>
      </c>
      <c r="AG918" s="174">
        <v>1100</v>
      </c>
      <c r="AH918" s="130">
        <v>1100</v>
      </c>
      <c r="AI918" s="130">
        <v>1100</v>
      </c>
      <c r="AJ918" s="175">
        <v>1100</v>
      </c>
      <c r="AK918" s="130">
        <v>1100</v>
      </c>
      <c r="AL918" s="130">
        <v>1100</v>
      </c>
      <c r="AM918" s="130">
        <v>1100</v>
      </c>
      <c r="AN918" s="175">
        <v>1100</v>
      </c>
      <c r="AO918" s="130">
        <v>1100</v>
      </c>
      <c r="AP918" s="130">
        <v>1100</v>
      </c>
      <c r="AQ918" s="175">
        <v>1100</v>
      </c>
      <c r="AR918" s="130">
        <v>1100</v>
      </c>
      <c r="AS918" s="175" t="s">
        <v>18</v>
      </c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</row>
    <row r="919" spans="1:55" ht="15.75" customHeight="1" x14ac:dyDescent="0.25">
      <c r="A919" s="127" t="s">
        <v>9</v>
      </c>
      <c r="B919" s="132" t="s">
        <v>10</v>
      </c>
      <c r="C919" s="134"/>
      <c r="D919" s="134" t="s">
        <v>90</v>
      </c>
      <c r="E919" s="177" t="s">
        <v>90</v>
      </c>
      <c r="F919" s="134" t="s">
        <v>90</v>
      </c>
      <c r="G919" s="134" t="s">
        <v>90</v>
      </c>
      <c r="H919" s="178" t="s">
        <v>90</v>
      </c>
      <c r="I919" s="134" t="s">
        <v>90</v>
      </c>
      <c r="J919" s="134" t="s">
        <v>90</v>
      </c>
      <c r="K919" s="134" t="s">
        <v>90</v>
      </c>
      <c r="L919" s="178" t="s">
        <v>90</v>
      </c>
      <c r="M919" s="134" t="s">
        <v>90</v>
      </c>
      <c r="N919" s="134" t="s">
        <v>90</v>
      </c>
      <c r="O919" s="134" t="s">
        <v>90</v>
      </c>
      <c r="P919" s="178" t="s">
        <v>90</v>
      </c>
      <c r="Q919" s="134" t="s">
        <v>90</v>
      </c>
      <c r="R919" s="134" t="s">
        <v>90</v>
      </c>
      <c r="S919" s="178" t="s">
        <v>90</v>
      </c>
      <c r="T919" s="134" t="s">
        <v>90</v>
      </c>
      <c r="U919" s="134" t="s">
        <v>90</v>
      </c>
      <c r="V919" s="178" t="s">
        <v>90</v>
      </c>
      <c r="W919" s="134" t="s">
        <v>90</v>
      </c>
      <c r="X919" s="134" t="s">
        <v>90</v>
      </c>
      <c r="Y919" s="134" t="s">
        <v>90</v>
      </c>
      <c r="Z919" s="178" t="s">
        <v>90</v>
      </c>
      <c r="AA919" s="134" t="s">
        <v>90</v>
      </c>
      <c r="AB919" s="134" t="s">
        <v>90</v>
      </c>
      <c r="AC919" s="134" t="s">
        <v>90</v>
      </c>
      <c r="AD919" s="178" t="s">
        <v>90</v>
      </c>
      <c r="AE919" s="134" t="s">
        <v>90</v>
      </c>
      <c r="AF919" s="134" t="s">
        <v>90</v>
      </c>
      <c r="AG919" s="177" t="s">
        <v>90</v>
      </c>
      <c r="AH919" s="134" t="s">
        <v>90</v>
      </c>
      <c r="AI919" s="134" t="s">
        <v>90</v>
      </c>
      <c r="AJ919" s="178" t="s">
        <v>90</v>
      </c>
      <c r="AK919" s="134" t="s">
        <v>90</v>
      </c>
      <c r="AL919" s="134" t="s">
        <v>90</v>
      </c>
      <c r="AM919" s="134" t="s">
        <v>90</v>
      </c>
      <c r="AN919" s="178" t="s">
        <v>90</v>
      </c>
      <c r="AO919" s="134" t="s">
        <v>90</v>
      </c>
      <c r="AP919" s="134" t="s">
        <v>90</v>
      </c>
      <c r="AQ919" s="178" t="s">
        <v>90</v>
      </c>
      <c r="AR919" s="134" t="s">
        <v>90</v>
      </c>
      <c r="AS919" s="178" t="s">
        <v>18</v>
      </c>
      <c r="AT919" s="189"/>
      <c r="AU919" s="189"/>
      <c r="AV919" s="189"/>
      <c r="AW919" s="189"/>
      <c r="AX919" s="189"/>
      <c r="AY919" s="189"/>
      <c r="AZ919" s="189"/>
      <c r="BA919" s="189"/>
      <c r="BB919" s="189"/>
      <c r="BC919" s="189"/>
    </row>
    <row r="920" spans="1:55" ht="15.75" customHeight="1" x14ac:dyDescent="0.25">
      <c r="A920" s="128">
        <v>73184.210526315786</v>
      </c>
      <c r="B920" s="122" t="s">
        <v>12</v>
      </c>
      <c r="C920" s="124"/>
      <c r="D920" s="124"/>
      <c r="E920" s="171"/>
      <c r="F920" s="124"/>
      <c r="G920" s="124"/>
      <c r="H920" s="172"/>
      <c r="I920" s="124"/>
      <c r="J920" s="124"/>
      <c r="K920" s="124"/>
      <c r="L920" s="172"/>
      <c r="M920" s="124"/>
      <c r="N920" s="124"/>
      <c r="O920" s="124"/>
      <c r="P920" s="172"/>
      <c r="Q920" s="124"/>
      <c r="R920" s="124"/>
      <c r="S920" s="172"/>
      <c r="T920" s="124"/>
      <c r="U920" s="124"/>
      <c r="V920" s="172"/>
      <c r="W920" s="124"/>
      <c r="X920" s="124"/>
      <c r="Y920" s="124"/>
      <c r="Z920" s="172"/>
      <c r="AA920" s="124"/>
      <c r="AB920" s="124"/>
      <c r="AC920" s="124"/>
      <c r="AD920" s="172"/>
      <c r="AE920" s="124"/>
      <c r="AF920" s="124"/>
      <c r="AG920" s="171"/>
      <c r="AH920" s="124"/>
      <c r="AI920" s="124"/>
      <c r="AJ920" s="172"/>
      <c r="AK920" s="124"/>
      <c r="AL920" s="124"/>
      <c r="AM920" s="124"/>
      <c r="AN920" s="172"/>
      <c r="AO920" s="124"/>
      <c r="AP920" s="124"/>
      <c r="AQ920" s="172"/>
      <c r="AR920" s="124"/>
      <c r="AS920" s="172"/>
      <c r="AT920" s="161"/>
      <c r="AU920" s="161"/>
      <c r="AV920" s="161"/>
      <c r="AW920" s="161"/>
      <c r="AX920" s="161"/>
      <c r="AY920" s="161"/>
      <c r="AZ920" s="161"/>
      <c r="BA920" s="161"/>
      <c r="BB920" s="161"/>
      <c r="BC920" s="161"/>
    </row>
    <row r="921" spans="1:55" ht="15.75" customHeight="1" x14ac:dyDescent="0.25">
      <c r="A921" s="128">
        <v>927</v>
      </c>
      <c r="B921" s="136" t="s">
        <v>13</v>
      </c>
      <c r="C921" s="137"/>
      <c r="D921" s="137"/>
      <c r="E921" s="171"/>
      <c r="F921" s="137"/>
      <c r="G921" s="137">
        <v>37</v>
      </c>
      <c r="H921" s="172">
        <v>0</v>
      </c>
      <c r="I921" s="137">
        <v>0</v>
      </c>
      <c r="J921" s="137">
        <v>0</v>
      </c>
      <c r="K921" s="137">
        <v>154</v>
      </c>
      <c r="L921" s="172">
        <v>0</v>
      </c>
      <c r="M921" s="137">
        <v>0</v>
      </c>
      <c r="N921" s="137">
        <v>0</v>
      </c>
      <c r="O921" s="137">
        <v>82</v>
      </c>
      <c r="P921" s="172">
        <v>0</v>
      </c>
      <c r="Q921" s="137">
        <v>0</v>
      </c>
      <c r="R921" s="137">
        <v>136</v>
      </c>
      <c r="S921" s="172">
        <v>0</v>
      </c>
      <c r="T921" s="137">
        <v>0</v>
      </c>
      <c r="U921" s="137">
        <v>140</v>
      </c>
      <c r="V921" s="172">
        <v>0</v>
      </c>
      <c r="W921" s="137">
        <v>0</v>
      </c>
      <c r="X921" s="137">
        <v>0</v>
      </c>
      <c r="Y921" s="137">
        <v>51</v>
      </c>
      <c r="Z921" s="172">
        <v>0</v>
      </c>
      <c r="AA921" s="137">
        <v>0</v>
      </c>
      <c r="AB921" s="137">
        <v>0</v>
      </c>
      <c r="AC921" s="137">
        <v>125</v>
      </c>
      <c r="AD921" s="172">
        <v>0</v>
      </c>
      <c r="AE921" s="137">
        <v>0</v>
      </c>
      <c r="AF921" s="137">
        <v>51</v>
      </c>
      <c r="AG921" s="171">
        <v>0</v>
      </c>
      <c r="AH921" s="137">
        <v>0</v>
      </c>
      <c r="AI921" s="137">
        <v>33</v>
      </c>
      <c r="AJ921" s="172">
        <v>0</v>
      </c>
      <c r="AK921" s="137">
        <v>0</v>
      </c>
      <c r="AL921" s="137">
        <v>0</v>
      </c>
      <c r="AM921" s="137">
        <v>25</v>
      </c>
      <c r="AN921" s="172">
        <v>0</v>
      </c>
      <c r="AO921" s="137">
        <v>0</v>
      </c>
      <c r="AP921" s="137">
        <v>61</v>
      </c>
      <c r="AQ921" s="172">
        <v>0</v>
      </c>
      <c r="AR921" s="137">
        <v>32</v>
      </c>
      <c r="AS921" s="172" t="s">
        <v>18</v>
      </c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</row>
    <row r="922" spans="1:55" ht="15.75" customHeight="1" x14ac:dyDescent="0.25">
      <c r="A922" s="128">
        <v>181</v>
      </c>
      <c r="B922" s="136" t="s">
        <v>14</v>
      </c>
      <c r="C922" s="137"/>
      <c r="D922" s="137"/>
      <c r="E922" s="171"/>
      <c r="F922" s="137"/>
      <c r="G922" s="137"/>
      <c r="H922" s="172">
        <v>0</v>
      </c>
      <c r="I922" s="137">
        <v>0</v>
      </c>
      <c r="J922" s="137">
        <v>0</v>
      </c>
      <c r="K922" s="137">
        <v>0</v>
      </c>
      <c r="L922" s="172">
        <v>0</v>
      </c>
      <c r="M922" s="137">
        <v>0</v>
      </c>
      <c r="N922" s="137">
        <v>0</v>
      </c>
      <c r="O922" s="137">
        <v>33</v>
      </c>
      <c r="P922" s="172">
        <v>0</v>
      </c>
      <c r="Q922" s="137">
        <v>0</v>
      </c>
      <c r="R922" s="137">
        <v>16</v>
      </c>
      <c r="S922" s="172">
        <v>0</v>
      </c>
      <c r="T922" s="137">
        <v>0</v>
      </c>
      <c r="U922" s="137">
        <v>64</v>
      </c>
      <c r="V922" s="172">
        <v>0</v>
      </c>
      <c r="W922" s="137">
        <v>0</v>
      </c>
      <c r="X922" s="137">
        <v>0</v>
      </c>
      <c r="Y922" s="137">
        <v>5</v>
      </c>
      <c r="Z922" s="172">
        <v>0</v>
      </c>
      <c r="AA922" s="137">
        <v>0</v>
      </c>
      <c r="AB922" s="137">
        <v>0</v>
      </c>
      <c r="AC922" s="137">
        <v>35</v>
      </c>
      <c r="AD922" s="172">
        <v>0</v>
      </c>
      <c r="AE922" s="137">
        <v>0</v>
      </c>
      <c r="AF922" s="137">
        <v>3</v>
      </c>
      <c r="AG922" s="171">
        <v>0</v>
      </c>
      <c r="AH922" s="137">
        <v>0</v>
      </c>
      <c r="AI922" s="137">
        <v>3</v>
      </c>
      <c r="AJ922" s="172">
        <v>0</v>
      </c>
      <c r="AK922" s="137">
        <v>0</v>
      </c>
      <c r="AL922" s="137">
        <v>0</v>
      </c>
      <c r="AM922" s="137">
        <v>1</v>
      </c>
      <c r="AN922" s="172">
        <v>0</v>
      </c>
      <c r="AO922" s="137">
        <v>0</v>
      </c>
      <c r="AP922" s="137">
        <v>21</v>
      </c>
      <c r="AQ922" s="172">
        <v>0</v>
      </c>
      <c r="AR922" s="137">
        <v>0</v>
      </c>
      <c r="AS922" s="172" t="s">
        <v>18</v>
      </c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</row>
    <row r="923" spans="1:55" ht="15.75" customHeight="1" x14ac:dyDescent="0.25">
      <c r="A923" s="128">
        <v>8</v>
      </c>
      <c r="B923" s="136" t="s">
        <v>15</v>
      </c>
      <c r="C923" s="137"/>
      <c r="D923" s="137"/>
      <c r="E923" s="171"/>
      <c r="F923" s="137"/>
      <c r="G923" s="137"/>
      <c r="H923" s="172">
        <v>0</v>
      </c>
      <c r="I923" s="137">
        <v>0</v>
      </c>
      <c r="J923" s="137">
        <v>0</v>
      </c>
      <c r="K923" s="137">
        <v>4</v>
      </c>
      <c r="L923" s="172">
        <v>0</v>
      </c>
      <c r="M923" s="137">
        <v>0</v>
      </c>
      <c r="N923" s="137">
        <v>0</v>
      </c>
      <c r="O923" s="137">
        <v>1</v>
      </c>
      <c r="P923" s="172">
        <v>0</v>
      </c>
      <c r="Q923" s="137">
        <v>0</v>
      </c>
      <c r="R923" s="137">
        <v>0</v>
      </c>
      <c r="S923" s="172">
        <v>0</v>
      </c>
      <c r="T923" s="137">
        <v>0</v>
      </c>
      <c r="U923" s="137">
        <v>1</v>
      </c>
      <c r="V923" s="172">
        <v>0</v>
      </c>
      <c r="W923" s="137">
        <v>0</v>
      </c>
      <c r="X923" s="137">
        <v>0</v>
      </c>
      <c r="Y923" s="137">
        <v>0</v>
      </c>
      <c r="Z923" s="172">
        <v>0</v>
      </c>
      <c r="AA923" s="137">
        <v>0</v>
      </c>
      <c r="AB923" s="137">
        <v>0</v>
      </c>
      <c r="AC923" s="137">
        <v>2</v>
      </c>
      <c r="AD923" s="172">
        <v>0</v>
      </c>
      <c r="AE923" s="137">
        <v>0</v>
      </c>
      <c r="AF923" s="137">
        <v>0</v>
      </c>
      <c r="AG923" s="171">
        <v>0</v>
      </c>
      <c r="AH923" s="137">
        <v>0</v>
      </c>
      <c r="AI923" s="137">
        <v>0</v>
      </c>
      <c r="AJ923" s="172">
        <v>0</v>
      </c>
      <c r="AK923" s="137">
        <v>0</v>
      </c>
      <c r="AL923" s="137">
        <v>0</v>
      </c>
      <c r="AM923" s="137">
        <v>0</v>
      </c>
      <c r="AN923" s="172">
        <v>0</v>
      </c>
      <c r="AO923" s="137">
        <v>0</v>
      </c>
      <c r="AP923" s="137">
        <v>0</v>
      </c>
      <c r="AQ923" s="172">
        <v>0</v>
      </c>
      <c r="AR923" s="137">
        <v>0</v>
      </c>
      <c r="AS923" s="172" t="s">
        <v>18</v>
      </c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</row>
    <row r="924" spans="1:55" ht="15.75" customHeight="1" x14ac:dyDescent="0.25">
      <c r="A924" s="128">
        <v>8800</v>
      </c>
      <c r="B924" s="136" t="s">
        <v>16</v>
      </c>
      <c r="C924" s="137"/>
      <c r="D924" s="137"/>
      <c r="E924" s="171"/>
      <c r="F924" s="137"/>
      <c r="G924" s="137"/>
      <c r="H924" s="172">
        <v>0</v>
      </c>
      <c r="I924" s="137">
        <v>0</v>
      </c>
      <c r="J924" s="137">
        <v>0</v>
      </c>
      <c r="K924" s="137">
        <v>4400</v>
      </c>
      <c r="L924" s="172">
        <v>0</v>
      </c>
      <c r="M924" s="137">
        <v>0</v>
      </c>
      <c r="N924" s="137">
        <v>0</v>
      </c>
      <c r="O924" s="137">
        <v>1100</v>
      </c>
      <c r="P924" s="172">
        <v>0</v>
      </c>
      <c r="Q924" s="137">
        <v>0</v>
      </c>
      <c r="R924" s="137">
        <v>0</v>
      </c>
      <c r="S924" s="172">
        <v>0</v>
      </c>
      <c r="T924" s="137">
        <v>0</v>
      </c>
      <c r="U924" s="137">
        <v>1100</v>
      </c>
      <c r="V924" s="172">
        <v>0</v>
      </c>
      <c r="W924" s="137">
        <v>0</v>
      </c>
      <c r="X924" s="137">
        <v>0</v>
      </c>
      <c r="Y924" s="137">
        <v>0</v>
      </c>
      <c r="Z924" s="172">
        <v>0</v>
      </c>
      <c r="AA924" s="137">
        <v>0</v>
      </c>
      <c r="AB924" s="137">
        <v>0</v>
      </c>
      <c r="AC924" s="137">
        <v>2200</v>
      </c>
      <c r="AD924" s="172">
        <v>0</v>
      </c>
      <c r="AE924" s="137">
        <v>0</v>
      </c>
      <c r="AF924" s="137">
        <v>0</v>
      </c>
      <c r="AG924" s="171">
        <v>0</v>
      </c>
      <c r="AH924" s="137">
        <v>0</v>
      </c>
      <c r="AI924" s="137">
        <v>0</v>
      </c>
      <c r="AJ924" s="172">
        <v>0</v>
      </c>
      <c r="AK924" s="137">
        <v>0</v>
      </c>
      <c r="AL924" s="137">
        <v>0</v>
      </c>
      <c r="AM924" s="137">
        <v>0</v>
      </c>
      <c r="AN924" s="172">
        <v>0</v>
      </c>
      <c r="AO924" s="137">
        <v>0</v>
      </c>
      <c r="AP924" s="137">
        <v>0</v>
      </c>
      <c r="AQ924" s="172">
        <v>0</v>
      </c>
      <c r="AR924" s="137">
        <v>0</v>
      </c>
      <c r="AS924" s="172" t="s">
        <v>18</v>
      </c>
      <c r="AT924" s="161"/>
      <c r="AU924" s="161"/>
      <c r="AV924" s="161"/>
      <c r="AW924" s="161"/>
      <c r="AX924" s="161"/>
      <c r="AY924" s="161"/>
      <c r="AZ924" s="161"/>
      <c r="BA924" s="161"/>
      <c r="BB924" s="161"/>
      <c r="BC924" s="161"/>
    </row>
    <row r="925" spans="1:55" ht="15.75" customHeight="1" x14ac:dyDescent="0.25">
      <c r="A925" s="138">
        <v>9.4929881337648334E-2</v>
      </c>
      <c r="B925" s="136" t="s">
        <v>17</v>
      </c>
      <c r="C925" s="147"/>
      <c r="D925" s="147"/>
      <c r="E925" s="183"/>
      <c r="F925" s="147"/>
      <c r="G925" s="147"/>
      <c r="H925" s="184" t="s">
        <v>18</v>
      </c>
      <c r="I925" s="147" t="s">
        <v>18</v>
      </c>
      <c r="J925" s="147" t="s">
        <v>18</v>
      </c>
      <c r="K925" s="147">
        <v>0.2857142857142857</v>
      </c>
      <c r="L925" s="184" t="s">
        <v>18</v>
      </c>
      <c r="M925" s="147" t="s">
        <v>18</v>
      </c>
      <c r="N925" s="147" t="s">
        <v>18</v>
      </c>
      <c r="O925" s="147">
        <v>0.13414634146341464</v>
      </c>
      <c r="P925" s="184" t="s">
        <v>18</v>
      </c>
      <c r="Q925" s="147" t="s">
        <v>18</v>
      </c>
      <c r="R925" s="147" t="s">
        <v>18</v>
      </c>
      <c r="S925" s="184" t="s">
        <v>18</v>
      </c>
      <c r="T925" s="147" t="s">
        <v>18</v>
      </c>
      <c r="U925" s="147">
        <v>7.857142857142857E-2</v>
      </c>
      <c r="V925" s="184" t="s">
        <v>18</v>
      </c>
      <c r="W925" s="147" t="s">
        <v>18</v>
      </c>
      <c r="X925" s="147" t="s">
        <v>18</v>
      </c>
      <c r="Y925" s="147" t="s">
        <v>18</v>
      </c>
      <c r="Z925" s="184" t="s">
        <v>18</v>
      </c>
      <c r="AA925" s="147" t="s">
        <v>18</v>
      </c>
      <c r="AB925" s="147" t="s">
        <v>18</v>
      </c>
      <c r="AC925" s="147">
        <v>0.17599999999999999</v>
      </c>
      <c r="AD925" s="184" t="s">
        <v>18</v>
      </c>
      <c r="AE925" s="147" t="s">
        <v>18</v>
      </c>
      <c r="AF925" s="147" t="s">
        <v>18</v>
      </c>
      <c r="AG925" s="183" t="s">
        <v>18</v>
      </c>
      <c r="AH925" s="147" t="s">
        <v>18</v>
      </c>
      <c r="AI925" s="147" t="s">
        <v>18</v>
      </c>
      <c r="AJ925" s="184" t="s">
        <v>18</v>
      </c>
      <c r="AK925" s="147" t="s">
        <v>18</v>
      </c>
      <c r="AL925" s="147" t="s">
        <v>18</v>
      </c>
      <c r="AM925" s="147" t="s">
        <v>18</v>
      </c>
      <c r="AN925" s="184" t="s">
        <v>18</v>
      </c>
      <c r="AO925" s="147" t="s">
        <v>18</v>
      </c>
      <c r="AP925" s="147" t="s">
        <v>18</v>
      </c>
      <c r="AQ925" s="184" t="s">
        <v>18</v>
      </c>
      <c r="AR925" s="147" t="s">
        <v>18</v>
      </c>
      <c r="AS925" s="184" t="s">
        <v>18</v>
      </c>
      <c r="AT925" s="161"/>
      <c r="AU925" s="161"/>
      <c r="AV925" s="161"/>
      <c r="AW925" s="161"/>
      <c r="AX925" s="161"/>
      <c r="AY925" s="161"/>
      <c r="AZ925" s="161"/>
      <c r="BA925" s="161"/>
      <c r="BB925" s="161"/>
      <c r="BC925" s="161"/>
    </row>
    <row r="926" spans="1:55" ht="15.75" customHeight="1" x14ac:dyDescent="0.25">
      <c r="A926" s="149" t="s">
        <v>1</v>
      </c>
      <c r="B926" s="150" t="s">
        <v>2</v>
      </c>
      <c r="C926" s="130"/>
      <c r="D926" s="130">
        <v>18043</v>
      </c>
      <c r="E926" s="174">
        <v>18043</v>
      </c>
      <c r="F926" s="130">
        <v>18043</v>
      </c>
      <c r="G926" s="130">
        <v>18140</v>
      </c>
      <c r="H926" s="175">
        <v>18140</v>
      </c>
      <c r="I926" s="130">
        <v>18140</v>
      </c>
      <c r="J926" s="130">
        <v>18140</v>
      </c>
      <c r="K926" s="130">
        <v>18213</v>
      </c>
      <c r="L926" s="175">
        <v>18213</v>
      </c>
      <c r="M926" s="130">
        <v>18213</v>
      </c>
      <c r="N926" s="130">
        <v>18213</v>
      </c>
      <c r="O926" s="130">
        <v>18272</v>
      </c>
      <c r="P926" s="175">
        <v>18272</v>
      </c>
      <c r="Q926" s="130">
        <v>18272</v>
      </c>
      <c r="R926" s="130">
        <v>18348</v>
      </c>
      <c r="S926" s="175">
        <v>18348</v>
      </c>
      <c r="T926" s="130">
        <v>18348</v>
      </c>
      <c r="U926" s="130">
        <v>18517</v>
      </c>
      <c r="V926" s="175">
        <v>18517</v>
      </c>
      <c r="W926" s="130">
        <v>18517</v>
      </c>
      <c r="X926" s="130">
        <v>18517</v>
      </c>
      <c r="Y926" s="130">
        <v>18571</v>
      </c>
      <c r="Z926" s="175">
        <v>18571</v>
      </c>
      <c r="AA926" s="130">
        <v>18571</v>
      </c>
      <c r="AB926" s="130">
        <v>18571</v>
      </c>
      <c r="AC926" s="130">
        <v>18660</v>
      </c>
      <c r="AD926" s="175">
        <v>18660</v>
      </c>
      <c r="AE926" s="130">
        <v>18660</v>
      </c>
      <c r="AF926" s="130">
        <v>18693</v>
      </c>
      <c r="AG926" s="174">
        <v>18693</v>
      </c>
      <c r="AH926" s="130">
        <v>18693</v>
      </c>
      <c r="AI926" s="130">
        <v>18770</v>
      </c>
      <c r="AJ926" s="175">
        <v>18770</v>
      </c>
      <c r="AK926" s="130">
        <v>18770</v>
      </c>
      <c r="AL926" s="130">
        <v>18770</v>
      </c>
      <c r="AM926" s="130">
        <v>18772</v>
      </c>
      <c r="AN926" s="175">
        <v>18772</v>
      </c>
      <c r="AO926" s="130">
        <v>18772</v>
      </c>
      <c r="AP926" s="130">
        <v>18842</v>
      </c>
      <c r="AQ926" s="175">
        <v>18842</v>
      </c>
      <c r="AR926" s="130">
        <v>18857</v>
      </c>
      <c r="AS926" s="175" t="s">
        <v>18</v>
      </c>
      <c r="AT926" s="161"/>
      <c r="AU926" s="161"/>
      <c r="AV926" s="161"/>
      <c r="AW926" s="161"/>
      <c r="AX926" s="161"/>
      <c r="AY926" s="161"/>
      <c r="AZ926" s="161"/>
      <c r="BA926" s="161"/>
      <c r="BB926" s="161"/>
      <c r="BC926" s="161"/>
    </row>
    <row r="927" spans="1:55" ht="15.75" customHeight="1" x14ac:dyDescent="0.25">
      <c r="A927" s="121" t="s">
        <v>29</v>
      </c>
      <c r="B927" s="122" t="s">
        <v>4</v>
      </c>
      <c r="C927" s="124"/>
      <c r="D927" s="124">
        <v>1557</v>
      </c>
      <c r="E927" s="171">
        <v>1557</v>
      </c>
      <c r="F927" s="124">
        <v>1557</v>
      </c>
      <c r="G927" s="124">
        <v>1559</v>
      </c>
      <c r="H927" s="172">
        <v>1559</v>
      </c>
      <c r="I927" s="124">
        <v>1559</v>
      </c>
      <c r="J927" s="124">
        <v>1559</v>
      </c>
      <c r="K927" s="124">
        <v>1563</v>
      </c>
      <c r="L927" s="172">
        <v>1563</v>
      </c>
      <c r="M927" s="124">
        <v>1563</v>
      </c>
      <c r="N927" s="124">
        <v>1563</v>
      </c>
      <c r="O927" s="124">
        <v>1565</v>
      </c>
      <c r="P927" s="172">
        <v>1565</v>
      </c>
      <c r="Q927" s="124">
        <v>1565</v>
      </c>
      <c r="R927" s="124">
        <v>1570</v>
      </c>
      <c r="S927" s="172">
        <v>1570</v>
      </c>
      <c r="T927" s="124">
        <v>1570</v>
      </c>
      <c r="U927" s="124">
        <v>1572</v>
      </c>
      <c r="V927" s="172">
        <v>1572</v>
      </c>
      <c r="W927" s="124">
        <v>1572</v>
      </c>
      <c r="X927" s="124">
        <v>1572</v>
      </c>
      <c r="Y927" s="124">
        <v>1573</v>
      </c>
      <c r="Z927" s="172">
        <v>1573</v>
      </c>
      <c r="AA927" s="124">
        <v>1573</v>
      </c>
      <c r="AB927" s="124">
        <v>1573</v>
      </c>
      <c r="AC927" s="124">
        <v>1579</v>
      </c>
      <c r="AD927" s="172">
        <v>1579</v>
      </c>
      <c r="AE927" s="124">
        <v>1579</v>
      </c>
      <c r="AF927" s="124">
        <v>1580</v>
      </c>
      <c r="AG927" s="171">
        <v>1580</v>
      </c>
      <c r="AH927" s="124">
        <v>1580</v>
      </c>
      <c r="AI927" s="124">
        <v>1584</v>
      </c>
      <c r="AJ927" s="172">
        <v>1584</v>
      </c>
      <c r="AK927" s="124">
        <v>1584</v>
      </c>
      <c r="AL927" s="124">
        <v>1584</v>
      </c>
      <c r="AM927" s="124">
        <v>1584</v>
      </c>
      <c r="AN927" s="172">
        <v>1584</v>
      </c>
      <c r="AO927" s="124">
        <v>1584</v>
      </c>
      <c r="AP927" s="124">
        <v>1587</v>
      </c>
      <c r="AQ927" s="172">
        <v>1587</v>
      </c>
      <c r="AR927" s="124">
        <v>1588</v>
      </c>
      <c r="AS927" s="172" t="s">
        <v>18</v>
      </c>
      <c r="AT927" s="161"/>
      <c r="AU927" s="161"/>
      <c r="AV927" s="161"/>
      <c r="AW927" s="161"/>
      <c r="AX927" s="161"/>
      <c r="AY927" s="161"/>
      <c r="AZ927" s="161"/>
      <c r="BA927" s="161"/>
      <c r="BB927" s="161"/>
      <c r="BC927" s="161"/>
    </row>
    <row r="928" spans="1:55" ht="15.75" customHeight="1" x14ac:dyDescent="0.25">
      <c r="A928" s="143">
        <v>3</v>
      </c>
      <c r="B928" s="122" t="s">
        <v>5</v>
      </c>
      <c r="C928" s="124"/>
      <c r="D928" s="124">
        <v>60</v>
      </c>
      <c r="E928" s="171">
        <v>60</v>
      </c>
      <c r="F928" s="124">
        <v>60</v>
      </c>
      <c r="G928" s="124">
        <v>58</v>
      </c>
      <c r="H928" s="172">
        <v>58</v>
      </c>
      <c r="I928" s="124">
        <v>58</v>
      </c>
      <c r="J928" s="124">
        <v>58</v>
      </c>
      <c r="K928" s="124">
        <v>54</v>
      </c>
      <c r="L928" s="172">
        <v>84</v>
      </c>
      <c r="M928" s="124">
        <v>84</v>
      </c>
      <c r="N928" s="124">
        <v>84</v>
      </c>
      <c r="O928" s="124">
        <v>82</v>
      </c>
      <c r="P928" s="172">
        <v>82</v>
      </c>
      <c r="Q928" s="124">
        <v>82</v>
      </c>
      <c r="R928" s="124">
        <v>77</v>
      </c>
      <c r="S928" s="172">
        <v>77</v>
      </c>
      <c r="T928" s="124">
        <v>77</v>
      </c>
      <c r="U928" s="124">
        <v>75</v>
      </c>
      <c r="V928" s="172">
        <v>75</v>
      </c>
      <c r="W928" s="124">
        <v>75</v>
      </c>
      <c r="X928" s="124">
        <v>75</v>
      </c>
      <c r="Y928" s="124">
        <v>74</v>
      </c>
      <c r="Z928" s="172">
        <v>74</v>
      </c>
      <c r="AA928" s="124">
        <v>74</v>
      </c>
      <c r="AB928" s="124">
        <v>74</v>
      </c>
      <c r="AC928" s="124">
        <v>68</v>
      </c>
      <c r="AD928" s="172">
        <v>68</v>
      </c>
      <c r="AE928" s="124">
        <v>68</v>
      </c>
      <c r="AF928" s="124">
        <v>67</v>
      </c>
      <c r="AG928" s="171">
        <v>67</v>
      </c>
      <c r="AH928" s="124">
        <v>67</v>
      </c>
      <c r="AI928" s="124">
        <v>63</v>
      </c>
      <c r="AJ928" s="172">
        <v>93</v>
      </c>
      <c r="AK928" s="124">
        <v>93</v>
      </c>
      <c r="AL928" s="124">
        <v>93</v>
      </c>
      <c r="AM928" s="124">
        <v>93</v>
      </c>
      <c r="AN928" s="172">
        <v>23</v>
      </c>
      <c r="AO928" s="124">
        <v>23</v>
      </c>
      <c r="AP928" s="124">
        <v>20</v>
      </c>
      <c r="AQ928" s="172">
        <v>15</v>
      </c>
      <c r="AR928" s="124">
        <v>14</v>
      </c>
      <c r="AS928" s="172" t="s">
        <v>18</v>
      </c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</row>
    <row r="929" spans="1:55" ht="15.75" customHeight="1" x14ac:dyDescent="0.25">
      <c r="A929" s="127"/>
      <c r="B929" s="122" t="s">
        <v>6</v>
      </c>
      <c r="C929" s="124"/>
      <c r="D929" s="124"/>
      <c r="E929" s="171"/>
      <c r="F929" s="124"/>
      <c r="G929" s="124"/>
      <c r="H929" s="172"/>
      <c r="I929" s="124"/>
      <c r="J929" s="124"/>
      <c r="K929" s="124">
        <v>30</v>
      </c>
      <c r="L929" s="172"/>
      <c r="M929" s="124"/>
      <c r="N929" s="124"/>
      <c r="O929" s="124"/>
      <c r="P929" s="172"/>
      <c r="Q929" s="124"/>
      <c r="R929" s="124"/>
      <c r="S929" s="172"/>
      <c r="T929" s="124"/>
      <c r="U929" s="124"/>
      <c r="V929" s="172"/>
      <c r="W929" s="124"/>
      <c r="X929" s="124"/>
      <c r="Y929" s="124"/>
      <c r="Z929" s="172"/>
      <c r="AA929" s="124"/>
      <c r="AB929" s="124"/>
      <c r="AC929" s="124"/>
      <c r="AD929" s="172"/>
      <c r="AE929" s="124"/>
      <c r="AF929" s="124"/>
      <c r="AG929" s="171"/>
      <c r="AH929" s="124"/>
      <c r="AI929" s="124">
        <v>30</v>
      </c>
      <c r="AJ929" s="172"/>
      <c r="AK929" s="124"/>
      <c r="AL929" s="124"/>
      <c r="AM929" s="124">
        <v>-70</v>
      </c>
      <c r="AN929" s="172"/>
      <c r="AO929" s="124"/>
      <c r="AP929" s="124">
        <v>-5</v>
      </c>
      <c r="AQ929" s="172"/>
      <c r="AR929" s="124"/>
      <c r="AS929" s="172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</row>
    <row r="930" spans="1:55" ht="15.75" customHeight="1" x14ac:dyDescent="0.25">
      <c r="A930" s="128"/>
      <c r="B930" s="122" t="s">
        <v>8</v>
      </c>
      <c r="C930" s="130"/>
      <c r="D930" s="130">
        <v>350</v>
      </c>
      <c r="E930" s="174">
        <v>350</v>
      </c>
      <c r="F930" s="130">
        <v>350</v>
      </c>
      <c r="G930" s="130">
        <v>350</v>
      </c>
      <c r="H930" s="175">
        <v>350</v>
      </c>
      <c r="I930" s="130">
        <v>350</v>
      </c>
      <c r="J930" s="130">
        <v>350</v>
      </c>
      <c r="K930" s="130">
        <v>350</v>
      </c>
      <c r="L930" s="175">
        <v>350</v>
      </c>
      <c r="M930" s="130">
        <v>350</v>
      </c>
      <c r="N930" s="130">
        <v>350</v>
      </c>
      <c r="O930" s="130">
        <v>350</v>
      </c>
      <c r="P930" s="175">
        <v>350</v>
      </c>
      <c r="Q930" s="130">
        <v>350</v>
      </c>
      <c r="R930" s="130">
        <v>350</v>
      </c>
      <c r="S930" s="175">
        <v>350</v>
      </c>
      <c r="T930" s="130">
        <v>350</v>
      </c>
      <c r="U930" s="130">
        <v>350</v>
      </c>
      <c r="V930" s="175">
        <v>350</v>
      </c>
      <c r="W930" s="130">
        <v>350</v>
      </c>
      <c r="X930" s="130">
        <v>350</v>
      </c>
      <c r="Y930" s="130">
        <v>350</v>
      </c>
      <c r="Z930" s="175">
        <v>350</v>
      </c>
      <c r="AA930" s="130">
        <v>350</v>
      </c>
      <c r="AB930" s="130">
        <v>350</v>
      </c>
      <c r="AC930" s="130">
        <v>350</v>
      </c>
      <c r="AD930" s="175">
        <v>350</v>
      </c>
      <c r="AE930" s="130">
        <v>350</v>
      </c>
      <c r="AF930" s="130">
        <v>350</v>
      </c>
      <c r="AG930" s="174">
        <v>350</v>
      </c>
      <c r="AH930" s="130">
        <v>350</v>
      </c>
      <c r="AI930" s="130">
        <v>350</v>
      </c>
      <c r="AJ930" s="175">
        <v>350</v>
      </c>
      <c r="AK930" s="130">
        <v>350</v>
      </c>
      <c r="AL930" s="130">
        <v>350</v>
      </c>
      <c r="AM930" s="130">
        <v>350</v>
      </c>
      <c r="AN930" s="175">
        <v>350</v>
      </c>
      <c r="AO930" s="130">
        <v>350</v>
      </c>
      <c r="AP930" s="130">
        <v>350</v>
      </c>
      <c r="AQ930" s="175">
        <v>300</v>
      </c>
      <c r="AR930" s="130">
        <v>300</v>
      </c>
      <c r="AS930" s="175" t="s">
        <v>18</v>
      </c>
      <c r="AT930" s="161"/>
      <c r="AU930" s="161"/>
      <c r="AV930" s="161"/>
      <c r="AW930" s="161"/>
      <c r="AX930" s="161"/>
      <c r="AY930" s="161"/>
      <c r="AZ930" s="161"/>
      <c r="BA930" s="161"/>
      <c r="BB930" s="161"/>
      <c r="BC930" s="161"/>
    </row>
    <row r="931" spans="1:55" ht="15.75" customHeight="1" x14ac:dyDescent="0.25">
      <c r="A931" s="127" t="s">
        <v>9</v>
      </c>
      <c r="B931" s="132" t="s">
        <v>10</v>
      </c>
      <c r="C931" s="134"/>
      <c r="D931" s="134" t="s">
        <v>99</v>
      </c>
      <c r="E931" s="177" t="s">
        <v>99</v>
      </c>
      <c r="F931" s="134" t="s">
        <v>99</v>
      </c>
      <c r="G931" s="134" t="s">
        <v>99</v>
      </c>
      <c r="H931" s="178" t="s">
        <v>99</v>
      </c>
      <c r="I931" s="134" t="s">
        <v>99</v>
      </c>
      <c r="J931" s="134" t="s">
        <v>99</v>
      </c>
      <c r="K931" s="134" t="s">
        <v>99</v>
      </c>
      <c r="L931" s="178" t="s">
        <v>99</v>
      </c>
      <c r="M931" s="134" t="s">
        <v>99</v>
      </c>
      <c r="N931" s="134" t="s">
        <v>99</v>
      </c>
      <c r="O931" s="134" t="s">
        <v>99</v>
      </c>
      <c r="P931" s="178" t="s">
        <v>99</v>
      </c>
      <c r="Q931" s="134" t="s">
        <v>99</v>
      </c>
      <c r="R931" s="134" t="s">
        <v>99</v>
      </c>
      <c r="S931" s="178" t="s">
        <v>99</v>
      </c>
      <c r="T931" s="134" t="s">
        <v>99</v>
      </c>
      <c r="U931" s="134" t="s">
        <v>99</v>
      </c>
      <c r="V931" s="178" t="s">
        <v>99</v>
      </c>
      <c r="W931" s="134" t="s">
        <v>99</v>
      </c>
      <c r="X931" s="134" t="s">
        <v>99</v>
      </c>
      <c r="Y931" s="134" t="s">
        <v>99</v>
      </c>
      <c r="Z931" s="178" t="s">
        <v>99</v>
      </c>
      <c r="AA931" s="134" t="s">
        <v>99</v>
      </c>
      <c r="AB931" s="134" t="s">
        <v>99</v>
      </c>
      <c r="AC931" s="134" t="s">
        <v>99</v>
      </c>
      <c r="AD931" s="178" t="s">
        <v>99</v>
      </c>
      <c r="AE931" s="134" t="s">
        <v>99</v>
      </c>
      <c r="AF931" s="134" t="s">
        <v>99</v>
      </c>
      <c r="AG931" s="177" t="s">
        <v>99</v>
      </c>
      <c r="AH931" s="134" t="s">
        <v>99</v>
      </c>
      <c r="AI931" s="134" t="s">
        <v>99</v>
      </c>
      <c r="AJ931" s="178" t="s">
        <v>99</v>
      </c>
      <c r="AK931" s="134" t="s">
        <v>99</v>
      </c>
      <c r="AL931" s="134" t="s">
        <v>99</v>
      </c>
      <c r="AM931" s="134" t="s">
        <v>99</v>
      </c>
      <c r="AN931" s="178" t="s">
        <v>44</v>
      </c>
      <c r="AO931" s="134" t="s">
        <v>44</v>
      </c>
      <c r="AP931" s="134" t="s">
        <v>44</v>
      </c>
      <c r="AQ931" s="178" t="s">
        <v>41</v>
      </c>
      <c r="AR931" s="134" t="s">
        <v>41</v>
      </c>
      <c r="AS931" s="178" t="s">
        <v>18</v>
      </c>
      <c r="AT931" s="189"/>
      <c r="AU931" s="189"/>
      <c r="AV931" s="189"/>
      <c r="AW931" s="189"/>
      <c r="AX931" s="189"/>
      <c r="AY931" s="189"/>
      <c r="AZ931" s="189"/>
      <c r="BA931" s="189"/>
      <c r="BB931" s="189"/>
      <c r="BC931" s="189"/>
    </row>
    <row r="932" spans="1:55" ht="15.75" customHeight="1" x14ac:dyDescent="0.25">
      <c r="A932" s="128">
        <v>64263.157894736847</v>
      </c>
      <c r="B932" s="122" t="s">
        <v>12</v>
      </c>
      <c r="C932" s="124"/>
      <c r="D932" s="124"/>
      <c r="E932" s="171"/>
      <c r="F932" s="124"/>
      <c r="G932" s="124"/>
      <c r="H932" s="172"/>
      <c r="I932" s="124"/>
      <c r="J932" s="124"/>
      <c r="K932" s="124"/>
      <c r="L932" s="172"/>
      <c r="M932" s="124"/>
      <c r="N932" s="124"/>
      <c r="O932" s="124"/>
      <c r="P932" s="172"/>
      <c r="Q932" s="124"/>
      <c r="R932" s="124"/>
      <c r="S932" s="172"/>
      <c r="T932" s="124"/>
      <c r="U932" s="124"/>
      <c r="V932" s="172"/>
      <c r="W932" s="124"/>
      <c r="X932" s="124"/>
      <c r="Y932" s="124"/>
      <c r="Z932" s="172"/>
      <c r="AA932" s="124"/>
      <c r="AB932" s="124"/>
      <c r="AC932" s="124"/>
      <c r="AD932" s="172"/>
      <c r="AE932" s="124"/>
      <c r="AF932" s="124"/>
      <c r="AG932" s="171"/>
      <c r="AH932" s="124"/>
      <c r="AI932" s="124"/>
      <c r="AJ932" s="172"/>
      <c r="AK932" s="124"/>
      <c r="AL932" s="124"/>
      <c r="AM932" s="124"/>
      <c r="AN932" s="172"/>
      <c r="AO932" s="124"/>
      <c r="AP932" s="124"/>
      <c r="AQ932" s="172" t="s">
        <v>100</v>
      </c>
      <c r="AR932" s="124"/>
      <c r="AS932" s="172"/>
      <c r="AT932" s="161"/>
      <c r="AU932" s="161"/>
      <c r="AV932" s="161"/>
      <c r="AW932" s="161"/>
      <c r="AX932" s="161"/>
      <c r="AY932" s="161"/>
      <c r="AZ932" s="161"/>
      <c r="BA932" s="161"/>
      <c r="BB932" s="161"/>
      <c r="BC932" s="161"/>
    </row>
    <row r="933" spans="1:55" ht="15.75" customHeight="1" x14ac:dyDescent="0.25">
      <c r="A933" s="128">
        <v>814</v>
      </c>
      <c r="B933" s="136" t="s">
        <v>13</v>
      </c>
      <c r="C933" s="137"/>
      <c r="D933" s="137"/>
      <c r="E933" s="171"/>
      <c r="F933" s="137"/>
      <c r="G933" s="137">
        <v>97</v>
      </c>
      <c r="H933" s="172">
        <v>0</v>
      </c>
      <c r="I933" s="137">
        <v>0</v>
      </c>
      <c r="J933" s="137">
        <v>0</v>
      </c>
      <c r="K933" s="137">
        <v>73</v>
      </c>
      <c r="L933" s="172">
        <v>0</v>
      </c>
      <c r="M933" s="137">
        <v>0</v>
      </c>
      <c r="N933" s="137">
        <v>0</v>
      </c>
      <c r="O933" s="137">
        <v>59</v>
      </c>
      <c r="P933" s="172">
        <v>0</v>
      </c>
      <c r="Q933" s="137">
        <v>0</v>
      </c>
      <c r="R933" s="137">
        <v>76</v>
      </c>
      <c r="S933" s="172">
        <v>0</v>
      </c>
      <c r="T933" s="137">
        <v>0</v>
      </c>
      <c r="U933" s="137">
        <v>169</v>
      </c>
      <c r="V933" s="172">
        <v>0</v>
      </c>
      <c r="W933" s="137">
        <v>0</v>
      </c>
      <c r="X933" s="137">
        <v>0</v>
      </c>
      <c r="Y933" s="137">
        <v>54</v>
      </c>
      <c r="Z933" s="172">
        <v>0</v>
      </c>
      <c r="AA933" s="137">
        <v>0</v>
      </c>
      <c r="AB933" s="137">
        <v>0</v>
      </c>
      <c r="AC933" s="137">
        <v>89</v>
      </c>
      <c r="AD933" s="172">
        <v>0</v>
      </c>
      <c r="AE933" s="137">
        <v>0</v>
      </c>
      <c r="AF933" s="137">
        <v>33</v>
      </c>
      <c r="AG933" s="171">
        <v>0</v>
      </c>
      <c r="AH933" s="137">
        <v>0</v>
      </c>
      <c r="AI933" s="137">
        <v>77</v>
      </c>
      <c r="AJ933" s="172">
        <v>0</v>
      </c>
      <c r="AK933" s="137">
        <v>0</v>
      </c>
      <c r="AL933" s="137">
        <v>0</v>
      </c>
      <c r="AM933" s="137">
        <v>2</v>
      </c>
      <c r="AN933" s="172">
        <v>0</v>
      </c>
      <c r="AO933" s="137">
        <v>0</v>
      </c>
      <c r="AP933" s="137">
        <v>70</v>
      </c>
      <c r="AQ933" s="172">
        <v>0</v>
      </c>
      <c r="AR933" s="137">
        <v>15</v>
      </c>
      <c r="AS933" s="172" t="s">
        <v>18</v>
      </c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</row>
    <row r="934" spans="1:55" ht="15.75" customHeight="1" x14ac:dyDescent="0.25">
      <c r="A934" s="128">
        <v>29</v>
      </c>
      <c r="B934" s="136" t="s">
        <v>14</v>
      </c>
      <c r="C934" s="137"/>
      <c r="D934" s="137"/>
      <c r="E934" s="171"/>
      <c r="F934" s="137"/>
      <c r="G934" s="137"/>
      <c r="H934" s="172">
        <v>0</v>
      </c>
      <c r="I934" s="137">
        <v>0</v>
      </c>
      <c r="J934" s="137">
        <v>0</v>
      </c>
      <c r="K934" s="137">
        <v>4</v>
      </c>
      <c r="L934" s="172">
        <v>0</v>
      </c>
      <c r="M934" s="137">
        <v>0</v>
      </c>
      <c r="N934" s="137">
        <v>0</v>
      </c>
      <c r="O934" s="137">
        <v>2</v>
      </c>
      <c r="P934" s="172">
        <v>0</v>
      </c>
      <c r="Q934" s="137">
        <v>0</v>
      </c>
      <c r="R934" s="137">
        <v>5</v>
      </c>
      <c r="S934" s="172">
        <v>0</v>
      </c>
      <c r="T934" s="137">
        <v>0</v>
      </c>
      <c r="U934" s="137">
        <v>2</v>
      </c>
      <c r="V934" s="172">
        <v>0</v>
      </c>
      <c r="W934" s="137">
        <v>0</v>
      </c>
      <c r="X934" s="137">
        <v>0</v>
      </c>
      <c r="Y934" s="137">
        <v>1</v>
      </c>
      <c r="Z934" s="172">
        <v>0</v>
      </c>
      <c r="AA934" s="137">
        <v>0</v>
      </c>
      <c r="AB934" s="137">
        <v>0</v>
      </c>
      <c r="AC934" s="137">
        <v>6</v>
      </c>
      <c r="AD934" s="172">
        <v>0</v>
      </c>
      <c r="AE934" s="137">
        <v>0</v>
      </c>
      <c r="AF934" s="137">
        <v>1</v>
      </c>
      <c r="AG934" s="171">
        <v>0</v>
      </c>
      <c r="AH934" s="137">
        <v>0</v>
      </c>
      <c r="AI934" s="137">
        <v>4</v>
      </c>
      <c r="AJ934" s="172">
        <v>0</v>
      </c>
      <c r="AK934" s="137">
        <v>0</v>
      </c>
      <c r="AL934" s="137">
        <v>0</v>
      </c>
      <c r="AM934" s="137">
        <v>0</v>
      </c>
      <c r="AN934" s="172">
        <v>0</v>
      </c>
      <c r="AO934" s="137">
        <v>0</v>
      </c>
      <c r="AP934" s="137">
        <v>3</v>
      </c>
      <c r="AQ934" s="172">
        <v>0</v>
      </c>
      <c r="AR934" s="137">
        <v>1</v>
      </c>
      <c r="AS934" s="172" t="s">
        <v>18</v>
      </c>
      <c r="AT934" s="161"/>
      <c r="AU934" s="161"/>
      <c r="AV934" s="161"/>
      <c r="AW934" s="161"/>
      <c r="AX934" s="161"/>
      <c r="AY934" s="161"/>
      <c r="AZ934" s="161"/>
      <c r="BA934" s="161"/>
      <c r="BB934" s="161"/>
      <c r="BC934" s="161"/>
    </row>
    <row r="935" spans="1:55" ht="15.75" customHeight="1" x14ac:dyDescent="0.25">
      <c r="A935" s="128">
        <v>29</v>
      </c>
      <c r="B935" s="136" t="s">
        <v>15</v>
      </c>
      <c r="C935" s="137"/>
      <c r="D935" s="137"/>
      <c r="E935" s="171"/>
      <c r="F935" s="137"/>
      <c r="G935" s="137"/>
      <c r="H935" s="172">
        <v>0</v>
      </c>
      <c r="I935" s="137">
        <v>0</v>
      </c>
      <c r="J935" s="137">
        <v>0</v>
      </c>
      <c r="K935" s="137">
        <v>4</v>
      </c>
      <c r="L935" s="172">
        <v>0</v>
      </c>
      <c r="M935" s="137">
        <v>0</v>
      </c>
      <c r="N935" s="137">
        <v>0</v>
      </c>
      <c r="O935" s="137">
        <v>2</v>
      </c>
      <c r="P935" s="172">
        <v>0</v>
      </c>
      <c r="Q935" s="137">
        <v>0</v>
      </c>
      <c r="R935" s="137">
        <v>5</v>
      </c>
      <c r="S935" s="172">
        <v>0</v>
      </c>
      <c r="T935" s="137">
        <v>0</v>
      </c>
      <c r="U935" s="137">
        <v>2</v>
      </c>
      <c r="V935" s="172">
        <v>0</v>
      </c>
      <c r="W935" s="137">
        <v>0</v>
      </c>
      <c r="X935" s="137">
        <v>0</v>
      </c>
      <c r="Y935" s="137">
        <v>1</v>
      </c>
      <c r="Z935" s="172">
        <v>0</v>
      </c>
      <c r="AA935" s="137">
        <v>0</v>
      </c>
      <c r="AB935" s="137">
        <v>0</v>
      </c>
      <c r="AC935" s="137">
        <v>6</v>
      </c>
      <c r="AD935" s="172">
        <v>0</v>
      </c>
      <c r="AE935" s="137">
        <v>0</v>
      </c>
      <c r="AF935" s="137">
        <v>1</v>
      </c>
      <c r="AG935" s="171">
        <v>0</v>
      </c>
      <c r="AH935" s="137">
        <v>0</v>
      </c>
      <c r="AI935" s="137">
        <v>4</v>
      </c>
      <c r="AJ935" s="172">
        <v>0</v>
      </c>
      <c r="AK935" s="137">
        <v>0</v>
      </c>
      <c r="AL935" s="137">
        <v>0</v>
      </c>
      <c r="AM935" s="137">
        <v>0</v>
      </c>
      <c r="AN935" s="172">
        <v>0</v>
      </c>
      <c r="AO935" s="137">
        <v>0</v>
      </c>
      <c r="AP935" s="137">
        <v>3</v>
      </c>
      <c r="AQ935" s="172">
        <v>0</v>
      </c>
      <c r="AR935" s="137">
        <v>1</v>
      </c>
      <c r="AS935" s="172" t="s">
        <v>18</v>
      </c>
      <c r="AT935" s="161"/>
      <c r="AU935" s="161"/>
      <c r="AV935" s="161"/>
      <c r="AW935" s="161"/>
      <c r="AX935" s="161"/>
      <c r="AY935" s="161"/>
      <c r="AZ935" s="161"/>
      <c r="BA935" s="161"/>
      <c r="BB935" s="161"/>
      <c r="BC935" s="161"/>
    </row>
    <row r="936" spans="1:55" ht="15.75" customHeight="1" x14ac:dyDescent="0.25">
      <c r="A936" s="128">
        <v>10100</v>
      </c>
      <c r="B936" s="136" t="s">
        <v>16</v>
      </c>
      <c r="C936" s="137"/>
      <c r="D936" s="137"/>
      <c r="E936" s="171"/>
      <c r="F936" s="137"/>
      <c r="G936" s="137"/>
      <c r="H936" s="172">
        <v>0</v>
      </c>
      <c r="I936" s="137">
        <v>0</v>
      </c>
      <c r="J936" s="137">
        <v>0</v>
      </c>
      <c r="K936" s="137">
        <v>1400</v>
      </c>
      <c r="L936" s="172">
        <v>0</v>
      </c>
      <c r="M936" s="137">
        <v>0</v>
      </c>
      <c r="N936" s="137">
        <v>0</v>
      </c>
      <c r="O936" s="137">
        <v>700</v>
      </c>
      <c r="P936" s="172">
        <v>0</v>
      </c>
      <c r="Q936" s="137">
        <v>0</v>
      </c>
      <c r="R936" s="137">
        <v>1750</v>
      </c>
      <c r="S936" s="172">
        <v>0</v>
      </c>
      <c r="T936" s="137">
        <v>0</v>
      </c>
      <c r="U936" s="137">
        <v>700</v>
      </c>
      <c r="V936" s="172">
        <v>0</v>
      </c>
      <c r="W936" s="137">
        <v>0</v>
      </c>
      <c r="X936" s="137">
        <v>0</v>
      </c>
      <c r="Y936" s="137">
        <v>350</v>
      </c>
      <c r="Z936" s="172">
        <v>0</v>
      </c>
      <c r="AA936" s="137">
        <v>0</v>
      </c>
      <c r="AB936" s="137">
        <v>0</v>
      </c>
      <c r="AC936" s="137">
        <v>2100</v>
      </c>
      <c r="AD936" s="172">
        <v>0</v>
      </c>
      <c r="AE936" s="137">
        <v>0</v>
      </c>
      <c r="AF936" s="137">
        <v>350</v>
      </c>
      <c r="AG936" s="171">
        <v>0</v>
      </c>
      <c r="AH936" s="137">
        <v>0</v>
      </c>
      <c r="AI936" s="137">
        <v>1400</v>
      </c>
      <c r="AJ936" s="172">
        <v>0</v>
      </c>
      <c r="AK936" s="137">
        <v>0</v>
      </c>
      <c r="AL936" s="137">
        <v>0</v>
      </c>
      <c r="AM936" s="137">
        <v>0</v>
      </c>
      <c r="AN936" s="172">
        <v>0</v>
      </c>
      <c r="AO936" s="137">
        <v>0</v>
      </c>
      <c r="AP936" s="137">
        <v>1050</v>
      </c>
      <c r="AQ936" s="172">
        <v>0</v>
      </c>
      <c r="AR936" s="137">
        <v>300</v>
      </c>
      <c r="AS936" s="172" t="s">
        <v>18</v>
      </c>
      <c r="AT936" s="161"/>
      <c r="AU936" s="161"/>
      <c r="AV936" s="161"/>
      <c r="AW936" s="161"/>
      <c r="AX936" s="161"/>
      <c r="AY936" s="161"/>
      <c r="AZ936" s="161"/>
      <c r="BA936" s="161"/>
      <c r="BB936" s="161"/>
      <c r="BC936" s="161"/>
    </row>
    <row r="937" spans="1:55" ht="15.75" customHeight="1" x14ac:dyDescent="0.25">
      <c r="A937" s="138">
        <v>0.12407862407862408</v>
      </c>
      <c r="B937" s="136" t="s">
        <v>17</v>
      </c>
      <c r="C937" s="147"/>
      <c r="D937" s="147"/>
      <c r="E937" s="183"/>
      <c r="F937" s="147"/>
      <c r="G937" s="147"/>
      <c r="H937" s="184" t="s">
        <v>18</v>
      </c>
      <c r="I937" s="147" t="s">
        <v>18</v>
      </c>
      <c r="J937" s="147" t="s">
        <v>18</v>
      </c>
      <c r="K937" s="147">
        <v>0.19178082191780821</v>
      </c>
      <c r="L937" s="184" t="s">
        <v>18</v>
      </c>
      <c r="M937" s="147" t="s">
        <v>18</v>
      </c>
      <c r="N937" s="147" t="s">
        <v>18</v>
      </c>
      <c r="O937" s="147">
        <v>0.11864406779661017</v>
      </c>
      <c r="P937" s="184" t="s">
        <v>18</v>
      </c>
      <c r="Q937" s="147" t="s">
        <v>18</v>
      </c>
      <c r="R937" s="147">
        <v>0.23026315789473684</v>
      </c>
      <c r="S937" s="184" t="s">
        <v>18</v>
      </c>
      <c r="T937" s="147" t="s">
        <v>18</v>
      </c>
      <c r="U937" s="147">
        <v>4.142011834319527E-2</v>
      </c>
      <c r="V937" s="184" t="s">
        <v>18</v>
      </c>
      <c r="W937" s="147" t="s">
        <v>18</v>
      </c>
      <c r="X937" s="147" t="s">
        <v>18</v>
      </c>
      <c r="Y937" s="147">
        <v>6.4814814814814811E-2</v>
      </c>
      <c r="Z937" s="184" t="s">
        <v>18</v>
      </c>
      <c r="AA937" s="147" t="s">
        <v>18</v>
      </c>
      <c r="AB937" s="147" t="s">
        <v>18</v>
      </c>
      <c r="AC937" s="147">
        <v>0.23595505617977527</v>
      </c>
      <c r="AD937" s="184" t="s">
        <v>18</v>
      </c>
      <c r="AE937" s="147" t="s">
        <v>18</v>
      </c>
      <c r="AF937" s="147">
        <v>0.10606060606060606</v>
      </c>
      <c r="AG937" s="183" t="s">
        <v>18</v>
      </c>
      <c r="AH937" s="147" t="s">
        <v>18</v>
      </c>
      <c r="AI937" s="147">
        <v>0.18181818181818182</v>
      </c>
      <c r="AJ937" s="184" t="s">
        <v>18</v>
      </c>
      <c r="AK937" s="147" t="s">
        <v>18</v>
      </c>
      <c r="AL937" s="147" t="s">
        <v>18</v>
      </c>
      <c r="AM937" s="147" t="s">
        <v>18</v>
      </c>
      <c r="AN937" s="184" t="s">
        <v>18</v>
      </c>
      <c r="AO937" s="147" t="s">
        <v>18</v>
      </c>
      <c r="AP937" s="147">
        <v>0.15</v>
      </c>
      <c r="AQ937" s="184" t="s">
        <v>18</v>
      </c>
      <c r="AR937" s="147">
        <v>0.2</v>
      </c>
      <c r="AS937" s="184" t="s">
        <v>18</v>
      </c>
      <c r="AT937" s="161"/>
      <c r="AU937" s="161"/>
      <c r="AV937" s="161"/>
      <c r="AW937" s="161"/>
      <c r="AX937" s="161"/>
      <c r="AY937" s="161"/>
      <c r="AZ937" s="161"/>
      <c r="BA937" s="161"/>
      <c r="BB937" s="161"/>
      <c r="BC937" s="161"/>
    </row>
    <row r="938" spans="1:55" ht="15.75" customHeight="1" x14ac:dyDescent="0.25">
      <c r="A938" s="149" t="s">
        <v>1</v>
      </c>
      <c r="B938" s="150" t="s">
        <v>2</v>
      </c>
      <c r="C938" s="130"/>
      <c r="D938" s="130">
        <v>14838</v>
      </c>
      <c r="E938" s="174">
        <v>14838</v>
      </c>
      <c r="F938" s="130">
        <v>14838</v>
      </c>
      <c r="G938" s="130">
        <v>14952</v>
      </c>
      <c r="H938" s="175">
        <v>14952</v>
      </c>
      <c r="I938" s="130">
        <v>14952</v>
      </c>
      <c r="J938" s="130">
        <v>14952</v>
      </c>
      <c r="K938" s="130">
        <v>15105</v>
      </c>
      <c r="L938" s="175">
        <v>15105</v>
      </c>
      <c r="M938" s="130">
        <v>15105</v>
      </c>
      <c r="N938" s="130">
        <v>15105</v>
      </c>
      <c r="O938" s="130">
        <v>15331</v>
      </c>
      <c r="P938" s="175">
        <v>15331</v>
      </c>
      <c r="Q938" s="130">
        <v>15331</v>
      </c>
      <c r="R938" s="130">
        <v>15503</v>
      </c>
      <c r="S938" s="175">
        <v>15503</v>
      </c>
      <c r="T938" s="130">
        <v>15503</v>
      </c>
      <c r="U938" s="130">
        <v>15596</v>
      </c>
      <c r="V938" s="175">
        <v>15596</v>
      </c>
      <c r="W938" s="130">
        <v>15596</v>
      </c>
      <c r="X938" s="130">
        <v>15596</v>
      </c>
      <c r="Y938" s="130">
        <v>15635</v>
      </c>
      <c r="Z938" s="175">
        <v>15635</v>
      </c>
      <c r="AA938" s="130">
        <v>15635</v>
      </c>
      <c r="AB938" s="130">
        <v>15635</v>
      </c>
      <c r="AC938" s="130">
        <v>15707</v>
      </c>
      <c r="AD938" s="175">
        <v>15707</v>
      </c>
      <c r="AE938" s="130">
        <v>15707</v>
      </c>
      <c r="AF938" s="130">
        <v>15773</v>
      </c>
      <c r="AG938" s="174">
        <v>15773</v>
      </c>
      <c r="AH938" s="130">
        <v>15773</v>
      </c>
      <c r="AI938" s="130">
        <v>15821</v>
      </c>
      <c r="AJ938" s="175">
        <v>15821</v>
      </c>
      <c r="AK938" s="130">
        <v>15821</v>
      </c>
      <c r="AL938" s="130">
        <v>15821</v>
      </c>
      <c r="AM938" s="130">
        <v>15912</v>
      </c>
      <c r="AN938" s="175">
        <v>15912</v>
      </c>
      <c r="AO938" s="130">
        <v>15912</v>
      </c>
      <c r="AP938" s="130">
        <v>16002</v>
      </c>
      <c r="AQ938" s="175">
        <v>16002</v>
      </c>
      <c r="AR938" s="130">
        <v>16027</v>
      </c>
      <c r="AS938" s="175" t="s">
        <v>18</v>
      </c>
      <c r="AT938" s="161"/>
      <c r="AU938" s="161"/>
      <c r="AV938" s="161"/>
      <c r="AW938" s="161"/>
      <c r="AX938" s="161"/>
      <c r="AY938" s="161"/>
      <c r="AZ938" s="161"/>
      <c r="BA938" s="161"/>
      <c r="BB938" s="161"/>
      <c r="BC938" s="161"/>
    </row>
    <row r="939" spans="1:55" ht="15.75" customHeight="1" x14ac:dyDescent="0.25">
      <c r="A939" s="121" t="s">
        <v>29</v>
      </c>
      <c r="B939" s="122" t="s">
        <v>4</v>
      </c>
      <c r="C939" s="124"/>
      <c r="D939" s="124">
        <v>1617</v>
      </c>
      <c r="E939" s="171">
        <v>1617</v>
      </c>
      <c r="F939" s="124">
        <v>1617</v>
      </c>
      <c r="G939" s="124">
        <v>1617</v>
      </c>
      <c r="H939" s="172">
        <v>1617</v>
      </c>
      <c r="I939" s="124">
        <v>1617</v>
      </c>
      <c r="J939" s="124">
        <v>1617</v>
      </c>
      <c r="K939" s="124">
        <v>1648</v>
      </c>
      <c r="L939" s="172">
        <v>1648</v>
      </c>
      <c r="M939" s="124">
        <v>1648</v>
      </c>
      <c r="N939" s="124">
        <v>1648</v>
      </c>
      <c r="O939" s="124">
        <v>1676</v>
      </c>
      <c r="P939" s="172">
        <v>1676</v>
      </c>
      <c r="Q939" s="124">
        <v>1676</v>
      </c>
      <c r="R939" s="124">
        <v>1695</v>
      </c>
      <c r="S939" s="172">
        <v>1695</v>
      </c>
      <c r="T939" s="124">
        <v>1695</v>
      </c>
      <c r="U939" s="124">
        <v>1741</v>
      </c>
      <c r="V939" s="172">
        <v>1741</v>
      </c>
      <c r="W939" s="124">
        <v>1741</v>
      </c>
      <c r="X939" s="124">
        <v>1741</v>
      </c>
      <c r="Y939" s="124">
        <v>1744</v>
      </c>
      <c r="Z939" s="172">
        <v>1744</v>
      </c>
      <c r="AA939" s="124">
        <v>1744</v>
      </c>
      <c r="AB939" s="124">
        <v>1744</v>
      </c>
      <c r="AC939" s="124">
        <v>1746</v>
      </c>
      <c r="AD939" s="172">
        <v>1746</v>
      </c>
      <c r="AE939" s="124">
        <v>1746</v>
      </c>
      <c r="AF939" s="124">
        <v>1750</v>
      </c>
      <c r="AG939" s="171">
        <v>1750</v>
      </c>
      <c r="AH939" s="124">
        <v>1750</v>
      </c>
      <c r="AI939" s="124">
        <v>1754</v>
      </c>
      <c r="AJ939" s="172">
        <v>1754</v>
      </c>
      <c r="AK939" s="124">
        <v>1754</v>
      </c>
      <c r="AL939" s="124">
        <v>1754</v>
      </c>
      <c r="AM939" s="124">
        <v>1755</v>
      </c>
      <c r="AN939" s="172">
        <v>1755</v>
      </c>
      <c r="AO939" s="124">
        <v>1755</v>
      </c>
      <c r="AP939" s="124">
        <v>1764</v>
      </c>
      <c r="AQ939" s="172">
        <v>1764</v>
      </c>
      <c r="AR939" s="124">
        <v>1768</v>
      </c>
      <c r="AS939" s="172" t="s">
        <v>18</v>
      </c>
      <c r="AT939" s="161"/>
      <c r="AU939" s="161"/>
      <c r="AV939" s="161"/>
      <c r="AW939" s="161"/>
      <c r="AX939" s="161"/>
      <c r="AY939" s="161"/>
      <c r="AZ939" s="161"/>
      <c r="BA939" s="161"/>
      <c r="BB939" s="161"/>
      <c r="BC939" s="161"/>
    </row>
    <row r="940" spans="1:55" ht="15.75" customHeight="1" x14ac:dyDescent="0.25">
      <c r="A940" s="143">
        <v>4</v>
      </c>
      <c r="B940" s="122" t="s">
        <v>5</v>
      </c>
      <c r="C940" s="124"/>
      <c r="D940" s="124">
        <v>24</v>
      </c>
      <c r="E940" s="171">
        <v>34</v>
      </c>
      <c r="F940" s="124">
        <v>34</v>
      </c>
      <c r="G940" s="124">
        <v>30</v>
      </c>
      <c r="H940" s="172">
        <v>35</v>
      </c>
      <c r="I940" s="124">
        <v>35</v>
      </c>
      <c r="J940" s="124">
        <v>35</v>
      </c>
      <c r="K940" s="124">
        <v>27</v>
      </c>
      <c r="L940" s="172">
        <v>47</v>
      </c>
      <c r="M940" s="124">
        <v>47</v>
      </c>
      <c r="N940" s="124">
        <v>47</v>
      </c>
      <c r="O940" s="124">
        <v>31</v>
      </c>
      <c r="P940" s="172">
        <v>31</v>
      </c>
      <c r="Q940" s="124">
        <v>31</v>
      </c>
      <c r="R940" s="124">
        <v>21</v>
      </c>
      <c r="S940" s="172">
        <v>31</v>
      </c>
      <c r="T940" s="124">
        <v>31</v>
      </c>
      <c r="U940" s="124">
        <v>31</v>
      </c>
      <c r="V940" s="172">
        <v>10</v>
      </c>
      <c r="W940" s="124">
        <v>10</v>
      </c>
      <c r="X940" s="124">
        <v>10</v>
      </c>
      <c r="Y940" s="124">
        <v>8</v>
      </c>
      <c r="Z940" s="172">
        <v>18</v>
      </c>
      <c r="AA940" s="124">
        <v>18</v>
      </c>
      <c r="AB940" s="124">
        <v>18</v>
      </c>
      <c r="AC940" s="124">
        <v>16</v>
      </c>
      <c r="AD940" s="172">
        <v>18</v>
      </c>
      <c r="AE940" s="124">
        <v>18</v>
      </c>
      <c r="AF940" s="124">
        <v>17</v>
      </c>
      <c r="AG940" s="171">
        <v>17</v>
      </c>
      <c r="AH940" s="124">
        <v>17</v>
      </c>
      <c r="AI940" s="124">
        <v>13</v>
      </c>
      <c r="AJ940" s="172">
        <v>13</v>
      </c>
      <c r="AK940" s="124">
        <v>13</v>
      </c>
      <c r="AL940" s="124">
        <v>13</v>
      </c>
      <c r="AM940" s="124">
        <v>12</v>
      </c>
      <c r="AN940" s="172">
        <v>22</v>
      </c>
      <c r="AO940" s="124">
        <v>22</v>
      </c>
      <c r="AP940" s="124">
        <v>20</v>
      </c>
      <c r="AQ940" s="172">
        <v>22</v>
      </c>
      <c r="AR940" s="124">
        <v>21</v>
      </c>
      <c r="AS940" s="172" t="s">
        <v>18</v>
      </c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/>
    </row>
    <row r="941" spans="1:55" ht="15.75" customHeight="1" x14ac:dyDescent="0.25">
      <c r="A941" s="127"/>
      <c r="B941" s="122" t="s">
        <v>6</v>
      </c>
      <c r="C941" s="124"/>
      <c r="D941" s="124">
        <v>10</v>
      </c>
      <c r="E941" s="171"/>
      <c r="F941" s="124"/>
      <c r="G941" s="124">
        <v>5</v>
      </c>
      <c r="H941" s="172"/>
      <c r="I941" s="124"/>
      <c r="J941" s="124"/>
      <c r="K941" s="124">
        <v>20</v>
      </c>
      <c r="L941" s="172"/>
      <c r="M941" s="124"/>
      <c r="N941" s="124"/>
      <c r="O941" s="124"/>
      <c r="P941" s="172"/>
      <c r="Q941" s="124"/>
      <c r="R941" s="124">
        <v>10</v>
      </c>
      <c r="S941" s="172"/>
      <c r="T941" s="124"/>
      <c r="U941" s="124">
        <v>-21</v>
      </c>
      <c r="V941" s="172"/>
      <c r="W941" s="124"/>
      <c r="X941" s="124"/>
      <c r="Y941" s="124">
        <v>10</v>
      </c>
      <c r="Z941" s="172"/>
      <c r="AA941" s="124"/>
      <c r="AB941" s="124"/>
      <c r="AC941" s="124">
        <v>2</v>
      </c>
      <c r="AD941" s="172"/>
      <c r="AE941" s="124"/>
      <c r="AF941" s="124"/>
      <c r="AG941" s="171"/>
      <c r="AH941" s="124"/>
      <c r="AI941" s="124"/>
      <c r="AJ941" s="172"/>
      <c r="AK941" s="124"/>
      <c r="AL941" s="124"/>
      <c r="AM941" s="124">
        <v>10</v>
      </c>
      <c r="AN941" s="172"/>
      <c r="AO941" s="124"/>
      <c r="AP941" s="124">
        <v>2</v>
      </c>
      <c r="AQ941" s="172"/>
      <c r="AR941" s="124"/>
      <c r="AS941" s="172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</row>
    <row r="942" spans="1:55" ht="15.75" customHeight="1" x14ac:dyDescent="0.25">
      <c r="A942" s="128"/>
      <c r="B942" s="122" t="s">
        <v>8</v>
      </c>
      <c r="C942" s="130"/>
      <c r="D942" s="130">
        <v>450</v>
      </c>
      <c r="E942" s="174">
        <v>450</v>
      </c>
      <c r="F942" s="130">
        <v>450</v>
      </c>
      <c r="G942" s="130">
        <v>450</v>
      </c>
      <c r="H942" s="175">
        <v>450</v>
      </c>
      <c r="I942" s="130">
        <v>450</v>
      </c>
      <c r="J942" s="130">
        <v>450</v>
      </c>
      <c r="K942" s="130">
        <v>450</v>
      </c>
      <c r="L942" s="175">
        <v>450</v>
      </c>
      <c r="M942" s="130">
        <v>450</v>
      </c>
      <c r="N942" s="130">
        <v>450</v>
      </c>
      <c r="O942" s="130">
        <v>450</v>
      </c>
      <c r="P942" s="175">
        <v>450</v>
      </c>
      <c r="Q942" s="130">
        <v>450</v>
      </c>
      <c r="R942" s="130">
        <v>450</v>
      </c>
      <c r="S942" s="175">
        <v>450</v>
      </c>
      <c r="T942" s="130">
        <v>450</v>
      </c>
      <c r="U942" s="130">
        <v>450</v>
      </c>
      <c r="V942" s="175">
        <v>450</v>
      </c>
      <c r="W942" s="130">
        <v>450</v>
      </c>
      <c r="X942" s="130">
        <v>450</v>
      </c>
      <c r="Y942" s="130">
        <v>450</v>
      </c>
      <c r="Z942" s="175">
        <v>450</v>
      </c>
      <c r="AA942" s="130">
        <v>450</v>
      </c>
      <c r="AB942" s="130">
        <v>450</v>
      </c>
      <c r="AC942" s="130">
        <v>450</v>
      </c>
      <c r="AD942" s="175">
        <v>450</v>
      </c>
      <c r="AE942" s="130">
        <v>450</v>
      </c>
      <c r="AF942" s="130">
        <v>450</v>
      </c>
      <c r="AG942" s="174">
        <v>450</v>
      </c>
      <c r="AH942" s="130">
        <v>450</v>
      </c>
      <c r="AI942" s="130">
        <v>450</v>
      </c>
      <c r="AJ942" s="175">
        <v>450</v>
      </c>
      <c r="AK942" s="130">
        <v>450</v>
      </c>
      <c r="AL942" s="130">
        <v>450</v>
      </c>
      <c r="AM942" s="130">
        <v>450</v>
      </c>
      <c r="AN942" s="175">
        <v>450</v>
      </c>
      <c r="AO942" s="130">
        <v>450</v>
      </c>
      <c r="AP942" s="130">
        <v>450</v>
      </c>
      <c r="AQ942" s="175">
        <v>450</v>
      </c>
      <c r="AR942" s="130">
        <v>450</v>
      </c>
      <c r="AS942" s="175" t="s">
        <v>18</v>
      </c>
      <c r="AT942" s="161"/>
      <c r="AU942" s="161"/>
      <c r="AV942" s="161"/>
      <c r="AW942" s="161"/>
      <c r="AX942" s="161"/>
      <c r="AY942" s="161"/>
      <c r="AZ942" s="161"/>
      <c r="BA942" s="161"/>
      <c r="BB942" s="161"/>
      <c r="BC942" s="161"/>
    </row>
    <row r="943" spans="1:55" ht="15.75" customHeight="1" x14ac:dyDescent="0.25">
      <c r="A943" s="127" t="s">
        <v>9</v>
      </c>
      <c r="B943" s="132" t="s">
        <v>10</v>
      </c>
      <c r="C943" s="134"/>
      <c r="D943" s="134" t="s">
        <v>130</v>
      </c>
      <c r="E943" s="177" t="s">
        <v>130</v>
      </c>
      <c r="F943" s="134" t="s">
        <v>130</v>
      </c>
      <c r="G943" s="134" t="s">
        <v>130</v>
      </c>
      <c r="H943" s="178" t="s">
        <v>130</v>
      </c>
      <c r="I943" s="134" t="s">
        <v>130</v>
      </c>
      <c r="J943" s="134" t="s">
        <v>130</v>
      </c>
      <c r="K943" s="134" t="s">
        <v>130</v>
      </c>
      <c r="L943" s="178" t="s">
        <v>130</v>
      </c>
      <c r="M943" s="134" t="s">
        <v>130</v>
      </c>
      <c r="N943" s="134" t="s">
        <v>130</v>
      </c>
      <c r="O943" s="134" t="s">
        <v>130</v>
      </c>
      <c r="P943" s="178" t="s">
        <v>130</v>
      </c>
      <c r="Q943" s="134" t="s">
        <v>130</v>
      </c>
      <c r="R943" s="134" t="s">
        <v>130</v>
      </c>
      <c r="S943" s="178" t="s">
        <v>130</v>
      </c>
      <c r="T943" s="134" t="s">
        <v>130</v>
      </c>
      <c r="U943" s="134" t="s">
        <v>130</v>
      </c>
      <c r="V943" s="178" t="s">
        <v>103</v>
      </c>
      <c r="W943" s="134" t="s">
        <v>103</v>
      </c>
      <c r="X943" s="134" t="s">
        <v>103</v>
      </c>
      <c r="Y943" s="134" t="s">
        <v>103</v>
      </c>
      <c r="Z943" s="178" t="s">
        <v>103</v>
      </c>
      <c r="AA943" s="134" t="s">
        <v>103</v>
      </c>
      <c r="AB943" s="134" t="s">
        <v>103</v>
      </c>
      <c r="AC943" s="134" t="s">
        <v>103</v>
      </c>
      <c r="AD943" s="178" t="s">
        <v>103</v>
      </c>
      <c r="AE943" s="134" t="s">
        <v>103</v>
      </c>
      <c r="AF943" s="134" t="s">
        <v>103</v>
      </c>
      <c r="AG943" s="177" t="s">
        <v>103</v>
      </c>
      <c r="AH943" s="134" t="s">
        <v>103</v>
      </c>
      <c r="AI943" s="134" t="s">
        <v>103</v>
      </c>
      <c r="AJ943" s="178" t="s">
        <v>103</v>
      </c>
      <c r="AK943" s="134" t="s">
        <v>103</v>
      </c>
      <c r="AL943" s="134" t="s">
        <v>103</v>
      </c>
      <c r="AM943" s="134" t="s">
        <v>103</v>
      </c>
      <c r="AN943" s="178" t="s">
        <v>103</v>
      </c>
      <c r="AO943" s="134" t="s">
        <v>103</v>
      </c>
      <c r="AP943" s="134" t="s">
        <v>103</v>
      </c>
      <c r="AQ943" s="178" t="s">
        <v>103</v>
      </c>
      <c r="AR943" s="134" t="s">
        <v>103</v>
      </c>
      <c r="AS943" s="178" t="s">
        <v>18</v>
      </c>
      <c r="AT943" s="189"/>
      <c r="AU943" s="189"/>
      <c r="AV943" s="189"/>
      <c r="AW943" s="189"/>
      <c r="AX943" s="189"/>
      <c r="AY943" s="189"/>
      <c r="AZ943" s="189"/>
      <c r="BA943" s="189"/>
      <c r="BB943" s="189"/>
      <c r="BC943" s="189"/>
    </row>
    <row r="944" spans="1:55" ht="15.75" customHeight="1" x14ac:dyDescent="0.25">
      <c r="A944" s="128">
        <v>93868.421052631587</v>
      </c>
      <c r="B944" s="122" t="s">
        <v>12</v>
      </c>
      <c r="C944" s="124"/>
      <c r="D944" s="124"/>
      <c r="E944" s="171"/>
      <c r="F944" s="124"/>
      <c r="G944" s="124"/>
      <c r="H944" s="172"/>
      <c r="I944" s="124"/>
      <c r="J944" s="124"/>
      <c r="K944" s="124"/>
      <c r="L944" s="172"/>
      <c r="M944" s="124"/>
      <c r="N944" s="124"/>
      <c r="O944" s="124"/>
      <c r="P944" s="172"/>
      <c r="Q944" s="124"/>
      <c r="R944" s="124"/>
      <c r="S944" s="172"/>
      <c r="T944" s="124"/>
      <c r="U944" s="124"/>
      <c r="V944" s="172" t="s">
        <v>131</v>
      </c>
      <c r="W944" s="124"/>
      <c r="X944" s="124"/>
      <c r="Y944" s="124"/>
      <c r="Z944" s="172" t="s">
        <v>132</v>
      </c>
      <c r="AA944" s="124"/>
      <c r="AB944" s="124"/>
      <c r="AC944" s="124"/>
      <c r="AD944" s="172"/>
      <c r="AE944" s="124"/>
      <c r="AF944" s="124"/>
      <c r="AG944" s="171"/>
      <c r="AH944" s="124"/>
      <c r="AI944" s="124"/>
      <c r="AJ944" s="172"/>
      <c r="AK944" s="124"/>
      <c r="AL944" s="124"/>
      <c r="AM944" s="124"/>
      <c r="AN944" s="172"/>
      <c r="AO944" s="124"/>
      <c r="AP944" s="124"/>
      <c r="AQ944" s="172"/>
      <c r="AR944" s="124"/>
      <c r="AS944" s="172"/>
      <c r="AT944" s="161"/>
      <c r="AU944" s="161"/>
      <c r="AV944" s="161"/>
      <c r="AW944" s="161"/>
      <c r="AX944" s="161"/>
      <c r="AY944" s="161"/>
      <c r="AZ944" s="161"/>
      <c r="BA944" s="161"/>
      <c r="BB944" s="161"/>
      <c r="BC944" s="161"/>
    </row>
    <row r="945" spans="1:55" ht="15.75" customHeight="1" x14ac:dyDescent="0.25">
      <c r="A945" s="128">
        <v>1189</v>
      </c>
      <c r="B945" s="136" t="s">
        <v>13</v>
      </c>
      <c r="C945" s="137"/>
      <c r="D945" s="137"/>
      <c r="E945" s="171"/>
      <c r="F945" s="137"/>
      <c r="G945" s="137">
        <v>114</v>
      </c>
      <c r="H945" s="172">
        <v>0</v>
      </c>
      <c r="I945" s="137">
        <v>0</v>
      </c>
      <c r="J945" s="137">
        <v>0</v>
      </c>
      <c r="K945" s="137">
        <v>153</v>
      </c>
      <c r="L945" s="172">
        <v>0</v>
      </c>
      <c r="M945" s="137">
        <v>0</v>
      </c>
      <c r="N945" s="137">
        <v>0</v>
      </c>
      <c r="O945" s="137">
        <v>226</v>
      </c>
      <c r="P945" s="172">
        <v>0</v>
      </c>
      <c r="Q945" s="137">
        <v>0</v>
      </c>
      <c r="R945" s="137">
        <v>172</v>
      </c>
      <c r="S945" s="172">
        <v>0</v>
      </c>
      <c r="T945" s="137">
        <v>0</v>
      </c>
      <c r="U945" s="137">
        <v>93</v>
      </c>
      <c r="V945" s="172">
        <v>0</v>
      </c>
      <c r="W945" s="137">
        <v>0</v>
      </c>
      <c r="X945" s="137">
        <v>0</v>
      </c>
      <c r="Y945" s="137">
        <v>39</v>
      </c>
      <c r="Z945" s="172">
        <v>0</v>
      </c>
      <c r="AA945" s="137">
        <v>0</v>
      </c>
      <c r="AB945" s="137">
        <v>0</v>
      </c>
      <c r="AC945" s="137">
        <v>72</v>
      </c>
      <c r="AD945" s="172">
        <v>0</v>
      </c>
      <c r="AE945" s="137">
        <v>0</v>
      </c>
      <c r="AF945" s="137">
        <v>66</v>
      </c>
      <c r="AG945" s="171">
        <v>0</v>
      </c>
      <c r="AH945" s="137">
        <v>0</v>
      </c>
      <c r="AI945" s="137">
        <v>48</v>
      </c>
      <c r="AJ945" s="172">
        <v>0</v>
      </c>
      <c r="AK945" s="137">
        <v>0</v>
      </c>
      <c r="AL945" s="137">
        <v>0</v>
      </c>
      <c r="AM945" s="137">
        <v>91</v>
      </c>
      <c r="AN945" s="172">
        <v>0</v>
      </c>
      <c r="AO945" s="137">
        <v>0</v>
      </c>
      <c r="AP945" s="137">
        <v>90</v>
      </c>
      <c r="AQ945" s="172">
        <v>0</v>
      </c>
      <c r="AR945" s="137">
        <v>25</v>
      </c>
      <c r="AS945" s="172" t="s">
        <v>18</v>
      </c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</row>
    <row r="946" spans="1:55" ht="15.75" customHeight="1" x14ac:dyDescent="0.25">
      <c r="A946" s="128">
        <v>151</v>
      </c>
      <c r="B946" s="136" t="s">
        <v>14</v>
      </c>
      <c r="C946" s="137"/>
      <c r="D946" s="137"/>
      <c r="E946" s="171"/>
      <c r="F946" s="137"/>
      <c r="G946" s="137"/>
      <c r="H946" s="172">
        <v>0</v>
      </c>
      <c r="I946" s="137">
        <v>0</v>
      </c>
      <c r="J946" s="137">
        <v>0</v>
      </c>
      <c r="K946" s="137">
        <v>31</v>
      </c>
      <c r="L946" s="172">
        <v>0</v>
      </c>
      <c r="M946" s="137">
        <v>0</v>
      </c>
      <c r="N946" s="137">
        <v>0</v>
      </c>
      <c r="O946" s="137">
        <v>28</v>
      </c>
      <c r="P946" s="172">
        <v>0</v>
      </c>
      <c r="Q946" s="137">
        <v>0</v>
      </c>
      <c r="R946" s="137">
        <v>19</v>
      </c>
      <c r="S946" s="172">
        <v>0</v>
      </c>
      <c r="T946" s="137">
        <v>0</v>
      </c>
      <c r="U946" s="137">
        <v>46</v>
      </c>
      <c r="V946" s="172">
        <v>0</v>
      </c>
      <c r="W946" s="137">
        <v>0</v>
      </c>
      <c r="X946" s="137">
        <v>0</v>
      </c>
      <c r="Y946" s="137">
        <v>3</v>
      </c>
      <c r="Z946" s="172">
        <v>0</v>
      </c>
      <c r="AA946" s="137">
        <v>0</v>
      </c>
      <c r="AB946" s="137">
        <v>0</v>
      </c>
      <c r="AC946" s="137">
        <v>2</v>
      </c>
      <c r="AD946" s="172">
        <v>0</v>
      </c>
      <c r="AE946" s="137">
        <v>0</v>
      </c>
      <c r="AF946" s="137">
        <v>4</v>
      </c>
      <c r="AG946" s="171">
        <v>0</v>
      </c>
      <c r="AH946" s="137">
        <v>0</v>
      </c>
      <c r="AI946" s="137">
        <v>4</v>
      </c>
      <c r="AJ946" s="172">
        <v>0</v>
      </c>
      <c r="AK946" s="137">
        <v>0</v>
      </c>
      <c r="AL946" s="137">
        <v>0</v>
      </c>
      <c r="AM946" s="137">
        <v>1</v>
      </c>
      <c r="AN946" s="172">
        <v>0</v>
      </c>
      <c r="AO946" s="137">
        <v>0</v>
      </c>
      <c r="AP946" s="137">
        <v>9</v>
      </c>
      <c r="AQ946" s="172">
        <v>0</v>
      </c>
      <c r="AR946" s="137">
        <v>4</v>
      </c>
      <c r="AS946" s="172" t="s">
        <v>18</v>
      </c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</row>
    <row r="947" spans="1:55" ht="15.75" customHeight="1" x14ac:dyDescent="0.25">
      <c r="A947" s="128">
        <v>47</v>
      </c>
      <c r="B947" s="136" t="s">
        <v>15</v>
      </c>
      <c r="C947" s="137"/>
      <c r="D947" s="137"/>
      <c r="E947" s="171"/>
      <c r="F947" s="137"/>
      <c r="G947" s="137"/>
      <c r="H947" s="172">
        <v>0</v>
      </c>
      <c r="I947" s="137">
        <v>0</v>
      </c>
      <c r="J947" s="137">
        <v>0</v>
      </c>
      <c r="K947" s="137">
        <v>8</v>
      </c>
      <c r="L947" s="172">
        <v>0</v>
      </c>
      <c r="M947" s="137">
        <v>0</v>
      </c>
      <c r="N947" s="137">
        <v>0</v>
      </c>
      <c r="O947" s="137">
        <v>16</v>
      </c>
      <c r="P947" s="172">
        <v>0</v>
      </c>
      <c r="Q947" s="137">
        <v>0</v>
      </c>
      <c r="R947" s="137">
        <v>10</v>
      </c>
      <c r="S947" s="172">
        <v>0</v>
      </c>
      <c r="T947" s="137">
        <v>0</v>
      </c>
      <c r="U947" s="137">
        <v>0</v>
      </c>
      <c r="V947" s="172">
        <v>0</v>
      </c>
      <c r="W947" s="137">
        <v>0</v>
      </c>
      <c r="X947" s="137">
        <v>0</v>
      </c>
      <c r="Y947" s="137">
        <v>2</v>
      </c>
      <c r="Z947" s="172">
        <v>0</v>
      </c>
      <c r="AA947" s="137">
        <v>0</v>
      </c>
      <c r="AB947" s="137">
        <v>0</v>
      </c>
      <c r="AC947" s="137">
        <v>2</v>
      </c>
      <c r="AD947" s="172">
        <v>0</v>
      </c>
      <c r="AE947" s="137">
        <v>0</v>
      </c>
      <c r="AF947" s="137">
        <v>1</v>
      </c>
      <c r="AG947" s="171">
        <v>0</v>
      </c>
      <c r="AH947" s="137">
        <v>0</v>
      </c>
      <c r="AI947" s="137">
        <v>4</v>
      </c>
      <c r="AJ947" s="172">
        <v>0</v>
      </c>
      <c r="AK947" s="137">
        <v>0</v>
      </c>
      <c r="AL947" s="137">
        <v>0</v>
      </c>
      <c r="AM947" s="137">
        <v>1</v>
      </c>
      <c r="AN947" s="172">
        <v>0</v>
      </c>
      <c r="AO947" s="137">
        <v>0</v>
      </c>
      <c r="AP947" s="137">
        <v>2</v>
      </c>
      <c r="AQ947" s="172">
        <v>0</v>
      </c>
      <c r="AR947" s="137">
        <v>1</v>
      </c>
      <c r="AS947" s="172" t="s">
        <v>18</v>
      </c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</row>
    <row r="948" spans="1:55" ht="15.75" customHeight="1" x14ac:dyDescent="0.25">
      <c r="A948" s="128">
        <v>21150</v>
      </c>
      <c r="B948" s="136" t="s">
        <v>16</v>
      </c>
      <c r="C948" s="137"/>
      <c r="D948" s="137"/>
      <c r="E948" s="171"/>
      <c r="F948" s="137"/>
      <c r="G948" s="137"/>
      <c r="H948" s="172">
        <v>0</v>
      </c>
      <c r="I948" s="137">
        <v>0</v>
      </c>
      <c r="J948" s="137">
        <v>0</v>
      </c>
      <c r="K948" s="137">
        <v>3600</v>
      </c>
      <c r="L948" s="172">
        <v>0</v>
      </c>
      <c r="M948" s="137">
        <v>0</v>
      </c>
      <c r="N948" s="137">
        <v>0</v>
      </c>
      <c r="O948" s="137">
        <v>7200</v>
      </c>
      <c r="P948" s="172">
        <v>0</v>
      </c>
      <c r="Q948" s="137">
        <v>0</v>
      </c>
      <c r="R948" s="137">
        <v>4500</v>
      </c>
      <c r="S948" s="172">
        <v>0</v>
      </c>
      <c r="T948" s="137">
        <v>0</v>
      </c>
      <c r="U948" s="137">
        <v>0</v>
      </c>
      <c r="V948" s="172">
        <v>0</v>
      </c>
      <c r="W948" s="137">
        <v>0</v>
      </c>
      <c r="X948" s="137">
        <v>0</v>
      </c>
      <c r="Y948" s="137">
        <v>900</v>
      </c>
      <c r="Z948" s="172">
        <v>0</v>
      </c>
      <c r="AA948" s="137">
        <v>0</v>
      </c>
      <c r="AB948" s="137">
        <v>0</v>
      </c>
      <c r="AC948" s="137">
        <v>900</v>
      </c>
      <c r="AD948" s="172">
        <v>0</v>
      </c>
      <c r="AE948" s="137">
        <v>0</v>
      </c>
      <c r="AF948" s="137">
        <v>450</v>
      </c>
      <c r="AG948" s="171">
        <v>0</v>
      </c>
      <c r="AH948" s="137">
        <v>0</v>
      </c>
      <c r="AI948" s="137">
        <v>1800</v>
      </c>
      <c r="AJ948" s="172">
        <v>0</v>
      </c>
      <c r="AK948" s="137">
        <v>0</v>
      </c>
      <c r="AL948" s="137">
        <v>0</v>
      </c>
      <c r="AM948" s="137">
        <v>450</v>
      </c>
      <c r="AN948" s="172">
        <v>0</v>
      </c>
      <c r="AO948" s="137">
        <v>0</v>
      </c>
      <c r="AP948" s="137">
        <v>900</v>
      </c>
      <c r="AQ948" s="172">
        <v>0</v>
      </c>
      <c r="AR948" s="137">
        <v>450</v>
      </c>
      <c r="AS948" s="172" t="s">
        <v>18</v>
      </c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</row>
    <row r="949" spans="1:55" ht="15.75" customHeight="1" x14ac:dyDescent="0.25">
      <c r="A949" s="138">
        <v>0.17788057190916737</v>
      </c>
      <c r="B949" s="139" t="s">
        <v>17</v>
      </c>
      <c r="C949" s="141"/>
      <c r="D949" s="141"/>
      <c r="E949" s="180"/>
      <c r="F949" s="141"/>
      <c r="G949" s="141"/>
      <c r="H949" s="181" t="s">
        <v>18</v>
      </c>
      <c r="I949" s="141" t="s">
        <v>18</v>
      </c>
      <c r="J949" s="141" t="s">
        <v>18</v>
      </c>
      <c r="K949" s="141">
        <v>0.23529411764705882</v>
      </c>
      <c r="L949" s="181" t="s">
        <v>18</v>
      </c>
      <c r="M949" s="141" t="s">
        <v>18</v>
      </c>
      <c r="N949" s="141" t="s">
        <v>18</v>
      </c>
      <c r="O949" s="141">
        <v>0.31858407079646017</v>
      </c>
      <c r="P949" s="181" t="s">
        <v>18</v>
      </c>
      <c r="Q949" s="141" t="s">
        <v>18</v>
      </c>
      <c r="R949" s="141">
        <v>0.26162790697674421</v>
      </c>
      <c r="S949" s="181" t="s">
        <v>18</v>
      </c>
      <c r="T949" s="141" t="s">
        <v>18</v>
      </c>
      <c r="U949" s="141" t="s">
        <v>18</v>
      </c>
      <c r="V949" s="181" t="s">
        <v>18</v>
      </c>
      <c r="W949" s="141" t="s">
        <v>18</v>
      </c>
      <c r="X949" s="141" t="s">
        <v>18</v>
      </c>
      <c r="Y949" s="141">
        <v>0.23076923076923078</v>
      </c>
      <c r="Z949" s="181" t="s">
        <v>18</v>
      </c>
      <c r="AA949" s="141" t="s">
        <v>18</v>
      </c>
      <c r="AB949" s="141" t="s">
        <v>18</v>
      </c>
      <c r="AC949" s="141">
        <v>0.125</v>
      </c>
      <c r="AD949" s="181" t="s">
        <v>18</v>
      </c>
      <c r="AE949" s="141" t="s">
        <v>18</v>
      </c>
      <c r="AF949" s="141">
        <v>6.8181818181818177E-2</v>
      </c>
      <c r="AG949" s="180" t="s">
        <v>18</v>
      </c>
      <c r="AH949" s="141" t="s">
        <v>18</v>
      </c>
      <c r="AI949" s="141">
        <v>0.375</v>
      </c>
      <c r="AJ949" s="181" t="s">
        <v>18</v>
      </c>
      <c r="AK949" s="141" t="s">
        <v>18</v>
      </c>
      <c r="AL949" s="141" t="s">
        <v>18</v>
      </c>
      <c r="AM949" s="141">
        <v>4.9450549450549448E-2</v>
      </c>
      <c r="AN949" s="181" t="s">
        <v>18</v>
      </c>
      <c r="AO949" s="141" t="s">
        <v>18</v>
      </c>
      <c r="AP949" s="141">
        <v>0.1</v>
      </c>
      <c r="AQ949" s="181" t="s">
        <v>18</v>
      </c>
      <c r="AR949" s="141">
        <v>0.18</v>
      </c>
      <c r="AS949" s="181" t="s">
        <v>18</v>
      </c>
      <c r="AT949" s="161"/>
      <c r="AU949" s="161"/>
      <c r="AV949" s="161"/>
      <c r="AW949" s="161"/>
      <c r="AX949" s="161"/>
      <c r="AY949" s="161"/>
      <c r="AZ949" s="161"/>
      <c r="BA949" s="161"/>
      <c r="BB949" s="161"/>
      <c r="BC949" s="161"/>
    </row>
    <row r="950" spans="1:55" ht="15.75" customHeight="1" x14ac:dyDescent="0.25">
      <c r="A950" s="116" t="s">
        <v>1</v>
      </c>
      <c r="B950" s="117" t="s">
        <v>2</v>
      </c>
      <c r="C950" s="119"/>
      <c r="D950" s="119">
        <v>5724</v>
      </c>
      <c r="E950" s="168">
        <v>5724</v>
      </c>
      <c r="F950" s="119">
        <v>5724</v>
      </c>
      <c r="G950" s="119">
        <v>5792</v>
      </c>
      <c r="H950" s="169">
        <v>5792</v>
      </c>
      <c r="I950" s="119">
        <v>5792</v>
      </c>
      <c r="J950" s="119">
        <v>5792</v>
      </c>
      <c r="K950" s="119">
        <v>5833</v>
      </c>
      <c r="L950" s="169">
        <v>5833</v>
      </c>
      <c r="M950" s="119">
        <v>5833</v>
      </c>
      <c r="N950" s="119">
        <v>5833</v>
      </c>
      <c r="O950" s="119">
        <v>5896</v>
      </c>
      <c r="P950" s="169">
        <v>5896</v>
      </c>
      <c r="Q950" s="119">
        <v>5896</v>
      </c>
      <c r="R950" s="119">
        <v>5979</v>
      </c>
      <c r="S950" s="169">
        <v>5979</v>
      </c>
      <c r="T950" s="119">
        <v>5979</v>
      </c>
      <c r="U950" s="119">
        <v>6065</v>
      </c>
      <c r="V950" s="169">
        <v>6065</v>
      </c>
      <c r="W950" s="119">
        <v>6065</v>
      </c>
      <c r="X950" s="119">
        <v>6065</v>
      </c>
      <c r="Y950" s="119">
        <v>6110</v>
      </c>
      <c r="Z950" s="169">
        <v>6110</v>
      </c>
      <c r="AA950" s="119">
        <v>6110</v>
      </c>
      <c r="AB950" s="119">
        <v>6110</v>
      </c>
      <c r="AC950" s="119">
        <v>6179</v>
      </c>
      <c r="AD950" s="169">
        <v>6179</v>
      </c>
      <c r="AE950" s="119">
        <v>6179</v>
      </c>
      <c r="AF950" s="119">
        <v>6203</v>
      </c>
      <c r="AG950" s="168">
        <v>6203</v>
      </c>
      <c r="AH950" s="119">
        <v>6203</v>
      </c>
      <c r="AI950" s="119">
        <v>6307</v>
      </c>
      <c r="AJ950" s="169">
        <v>6307</v>
      </c>
      <c r="AK950" s="119">
        <v>6307</v>
      </c>
      <c r="AL950" s="119">
        <v>6307</v>
      </c>
      <c r="AM950" s="119">
        <v>6330</v>
      </c>
      <c r="AN950" s="169">
        <v>6330</v>
      </c>
      <c r="AO950" s="119">
        <v>6330</v>
      </c>
      <c r="AP950" s="119">
        <v>6400</v>
      </c>
      <c r="AQ950" s="169">
        <v>6400</v>
      </c>
      <c r="AR950" s="119">
        <v>6425</v>
      </c>
      <c r="AS950" s="169" t="s">
        <v>18</v>
      </c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</row>
    <row r="951" spans="1:55" ht="15.75" customHeight="1" x14ac:dyDescent="0.25">
      <c r="A951" s="121" t="s">
        <v>40</v>
      </c>
      <c r="B951" s="122" t="s">
        <v>4</v>
      </c>
      <c r="C951" s="124"/>
      <c r="D951" s="124">
        <v>155</v>
      </c>
      <c r="E951" s="171">
        <v>155</v>
      </c>
      <c r="F951" s="124">
        <v>155</v>
      </c>
      <c r="G951" s="124">
        <v>157</v>
      </c>
      <c r="H951" s="172">
        <v>157</v>
      </c>
      <c r="I951" s="124">
        <v>157</v>
      </c>
      <c r="J951" s="124">
        <v>157</v>
      </c>
      <c r="K951" s="124">
        <v>158</v>
      </c>
      <c r="L951" s="172">
        <v>158</v>
      </c>
      <c r="M951" s="124">
        <v>158</v>
      </c>
      <c r="N951" s="124">
        <v>158</v>
      </c>
      <c r="O951" s="124">
        <v>159</v>
      </c>
      <c r="P951" s="172">
        <v>159</v>
      </c>
      <c r="Q951" s="124">
        <v>159</v>
      </c>
      <c r="R951" s="124">
        <v>163</v>
      </c>
      <c r="S951" s="172">
        <v>163</v>
      </c>
      <c r="T951" s="124">
        <v>163</v>
      </c>
      <c r="U951" s="124">
        <v>165</v>
      </c>
      <c r="V951" s="172">
        <v>165</v>
      </c>
      <c r="W951" s="124">
        <v>165</v>
      </c>
      <c r="X951" s="124">
        <v>165</v>
      </c>
      <c r="Y951" s="124">
        <v>165</v>
      </c>
      <c r="Z951" s="172">
        <v>165</v>
      </c>
      <c r="AA951" s="124">
        <v>165</v>
      </c>
      <c r="AB951" s="124">
        <v>165</v>
      </c>
      <c r="AC951" s="124">
        <v>165</v>
      </c>
      <c r="AD951" s="172">
        <v>165</v>
      </c>
      <c r="AE951" s="124">
        <v>165</v>
      </c>
      <c r="AF951" s="124">
        <v>165</v>
      </c>
      <c r="AG951" s="171">
        <v>165</v>
      </c>
      <c r="AH951" s="124">
        <v>165</v>
      </c>
      <c r="AI951" s="124">
        <v>170</v>
      </c>
      <c r="AJ951" s="172">
        <v>170</v>
      </c>
      <c r="AK951" s="124">
        <v>170</v>
      </c>
      <c r="AL951" s="124">
        <v>170</v>
      </c>
      <c r="AM951" s="124">
        <v>170</v>
      </c>
      <c r="AN951" s="172">
        <v>170</v>
      </c>
      <c r="AO951" s="124">
        <v>170</v>
      </c>
      <c r="AP951" s="124">
        <v>170</v>
      </c>
      <c r="AQ951" s="172">
        <v>170</v>
      </c>
      <c r="AR951" s="124">
        <v>172</v>
      </c>
      <c r="AS951" s="172" t="s">
        <v>18</v>
      </c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</row>
    <row r="952" spans="1:55" ht="15.75" customHeight="1" x14ac:dyDescent="0.25">
      <c r="A952" s="143">
        <v>1</v>
      </c>
      <c r="B952" s="122" t="s">
        <v>5</v>
      </c>
      <c r="C952" s="124"/>
      <c r="D952" s="124">
        <v>7</v>
      </c>
      <c r="E952" s="171">
        <v>7</v>
      </c>
      <c r="F952" s="124">
        <v>7</v>
      </c>
      <c r="G952" s="124">
        <v>5</v>
      </c>
      <c r="H952" s="172">
        <v>5</v>
      </c>
      <c r="I952" s="124">
        <v>5</v>
      </c>
      <c r="J952" s="124">
        <v>5</v>
      </c>
      <c r="K952" s="124">
        <v>4</v>
      </c>
      <c r="L952" s="172">
        <v>9</v>
      </c>
      <c r="M952" s="124">
        <v>9</v>
      </c>
      <c r="N952" s="124">
        <v>9</v>
      </c>
      <c r="O952" s="124">
        <v>8</v>
      </c>
      <c r="P952" s="172">
        <v>8</v>
      </c>
      <c r="Q952" s="124">
        <v>8</v>
      </c>
      <c r="R952" s="124">
        <v>4</v>
      </c>
      <c r="S952" s="172">
        <v>4</v>
      </c>
      <c r="T952" s="124">
        <v>4</v>
      </c>
      <c r="U952" s="124">
        <v>1</v>
      </c>
      <c r="V952" s="172">
        <v>4</v>
      </c>
      <c r="W952" s="124">
        <v>4</v>
      </c>
      <c r="X952" s="124">
        <v>4</v>
      </c>
      <c r="Y952" s="124">
        <v>4</v>
      </c>
      <c r="Z952" s="172">
        <v>15</v>
      </c>
      <c r="AA952" s="124">
        <v>15</v>
      </c>
      <c r="AB952" s="124">
        <v>15</v>
      </c>
      <c r="AC952" s="124">
        <v>15</v>
      </c>
      <c r="AD952" s="172">
        <v>28</v>
      </c>
      <c r="AE952" s="124">
        <v>28</v>
      </c>
      <c r="AF952" s="124">
        <v>28</v>
      </c>
      <c r="AG952" s="171">
        <v>28</v>
      </c>
      <c r="AH952" s="124">
        <v>28</v>
      </c>
      <c r="AI952" s="124">
        <v>23</v>
      </c>
      <c r="AJ952" s="172">
        <v>23</v>
      </c>
      <c r="AK952" s="124">
        <v>23</v>
      </c>
      <c r="AL952" s="124">
        <v>23</v>
      </c>
      <c r="AM952" s="124">
        <v>23</v>
      </c>
      <c r="AN952" s="172">
        <v>18</v>
      </c>
      <c r="AO952" s="124">
        <v>18</v>
      </c>
      <c r="AP952" s="124">
        <v>18</v>
      </c>
      <c r="AQ952" s="172">
        <v>23</v>
      </c>
      <c r="AR952" s="124">
        <v>21</v>
      </c>
      <c r="AS952" s="172" t="s">
        <v>18</v>
      </c>
      <c r="AT952" s="161"/>
      <c r="AU952" s="161"/>
      <c r="AV952" s="161"/>
      <c r="AW952" s="161"/>
      <c r="AX952" s="161"/>
      <c r="AY952" s="161"/>
      <c r="AZ952" s="161"/>
      <c r="BA952" s="161"/>
      <c r="BB952" s="161"/>
      <c r="BC952" s="161"/>
    </row>
    <row r="953" spans="1:55" ht="15.75" customHeight="1" x14ac:dyDescent="0.25">
      <c r="A953" s="144" t="s">
        <v>20</v>
      </c>
      <c r="B953" s="122" t="s">
        <v>6</v>
      </c>
      <c r="C953" s="124"/>
      <c r="D953" s="124"/>
      <c r="E953" s="171"/>
      <c r="F953" s="124"/>
      <c r="G953" s="124"/>
      <c r="H953" s="172"/>
      <c r="I953" s="124"/>
      <c r="J953" s="124"/>
      <c r="K953" s="124">
        <v>5</v>
      </c>
      <c r="L953" s="172"/>
      <c r="M953" s="124"/>
      <c r="N953" s="124"/>
      <c r="O953" s="124"/>
      <c r="P953" s="172"/>
      <c r="Q953" s="124"/>
      <c r="R953" s="124"/>
      <c r="S953" s="172"/>
      <c r="T953" s="124"/>
      <c r="U953" s="124">
        <v>3</v>
      </c>
      <c r="V953" s="172"/>
      <c r="W953" s="124"/>
      <c r="X953" s="124"/>
      <c r="Y953" s="124">
        <v>11</v>
      </c>
      <c r="Z953" s="172"/>
      <c r="AA953" s="124"/>
      <c r="AB953" s="124"/>
      <c r="AC953" s="124">
        <v>13</v>
      </c>
      <c r="AD953" s="172"/>
      <c r="AE953" s="124"/>
      <c r="AF953" s="124"/>
      <c r="AG953" s="171"/>
      <c r="AH953" s="124"/>
      <c r="AI953" s="124"/>
      <c r="AJ953" s="172"/>
      <c r="AK953" s="124"/>
      <c r="AL953" s="124"/>
      <c r="AM953" s="124">
        <v>-5</v>
      </c>
      <c r="AN953" s="172"/>
      <c r="AO953" s="124"/>
      <c r="AP953" s="124">
        <v>5</v>
      </c>
      <c r="AQ953" s="172"/>
      <c r="AR953" s="124"/>
      <c r="AS953" s="172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</row>
    <row r="954" spans="1:55" ht="15.75" customHeight="1" x14ac:dyDescent="0.25">
      <c r="A954" s="145">
        <v>333700</v>
      </c>
      <c r="B954" s="122" t="s">
        <v>8</v>
      </c>
      <c r="C954" s="130"/>
      <c r="D954" s="130">
        <v>280</v>
      </c>
      <c r="E954" s="174">
        <v>280</v>
      </c>
      <c r="F954" s="130">
        <v>280</v>
      </c>
      <c r="G954" s="130">
        <v>280</v>
      </c>
      <c r="H954" s="175">
        <v>280</v>
      </c>
      <c r="I954" s="130">
        <v>280</v>
      </c>
      <c r="J954" s="130">
        <v>280</v>
      </c>
      <c r="K954" s="130">
        <v>280</v>
      </c>
      <c r="L954" s="175">
        <v>280</v>
      </c>
      <c r="M954" s="130">
        <v>280</v>
      </c>
      <c r="N954" s="130">
        <v>280</v>
      </c>
      <c r="O954" s="130">
        <v>280</v>
      </c>
      <c r="P954" s="175">
        <v>280</v>
      </c>
      <c r="Q954" s="130">
        <v>280</v>
      </c>
      <c r="R954" s="130">
        <v>280</v>
      </c>
      <c r="S954" s="175">
        <v>280</v>
      </c>
      <c r="T954" s="130">
        <v>280</v>
      </c>
      <c r="U954" s="130">
        <v>280</v>
      </c>
      <c r="V954" s="175">
        <v>280</v>
      </c>
      <c r="W954" s="130">
        <v>280</v>
      </c>
      <c r="X954" s="130">
        <v>280</v>
      </c>
      <c r="Y954" s="130">
        <v>280</v>
      </c>
      <c r="Z954" s="175">
        <v>280</v>
      </c>
      <c r="AA954" s="130">
        <v>280</v>
      </c>
      <c r="AB954" s="130">
        <v>280</v>
      </c>
      <c r="AC954" s="130">
        <v>280</v>
      </c>
      <c r="AD954" s="175">
        <v>280</v>
      </c>
      <c r="AE954" s="130">
        <v>280</v>
      </c>
      <c r="AF954" s="130">
        <v>280</v>
      </c>
      <c r="AG954" s="174">
        <v>280</v>
      </c>
      <c r="AH954" s="130">
        <v>280</v>
      </c>
      <c r="AI954" s="130">
        <v>280</v>
      </c>
      <c r="AJ954" s="175">
        <v>280</v>
      </c>
      <c r="AK954" s="130">
        <v>280</v>
      </c>
      <c r="AL954" s="130">
        <v>280</v>
      </c>
      <c r="AM954" s="130">
        <v>280</v>
      </c>
      <c r="AN954" s="175">
        <v>280</v>
      </c>
      <c r="AO954" s="130">
        <v>280</v>
      </c>
      <c r="AP954" s="130">
        <v>280</v>
      </c>
      <c r="AQ954" s="175">
        <v>280</v>
      </c>
      <c r="AR954" s="130">
        <v>280</v>
      </c>
      <c r="AS954" s="175" t="s">
        <v>18</v>
      </c>
      <c r="AT954" s="161"/>
      <c r="AU954" s="161"/>
      <c r="AV954" s="161"/>
      <c r="AW954" s="161"/>
      <c r="AX954" s="161"/>
      <c r="AY954" s="161"/>
      <c r="AZ954" s="161"/>
      <c r="BA954" s="161"/>
      <c r="BB954" s="161"/>
      <c r="BC954" s="161"/>
    </row>
    <row r="955" spans="1:55" ht="15.75" customHeight="1" x14ac:dyDescent="0.25">
      <c r="A955" s="127" t="s">
        <v>9</v>
      </c>
      <c r="B955" s="132" t="s">
        <v>10</v>
      </c>
      <c r="C955" s="134"/>
      <c r="D955" s="134" t="s">
        <v>41</v>
      </c>
      <c r="E955" s="177" t="s">
        <v>41</v>
      </c>
      <c r="F955" s="134" t="s">
        <v>41</v>
      </c>
      <c r="G955" s="134" t="s">
        <v>41</v>
      </c>
      <c r="H955" s="178" t="s">
        <v>41</v>
      </c>
      <c r="I955" s="134" t="s">
        <v>41</v>
      </c>
      <c r="J955" s="134" t="s">
        <v>41</v>
      </c>
      <c r="K955" s="134" t="s">
        <v>41</v>
      </c>
      <c r="L955" s="178" t="s">
        <v>41</v>
      </c>
      <c r="M955" s="134" t="s">
        <v>41</v>
      </c>
      <c r="N955" s="134" t="s">
        <v>41</v>
      </c>
      <c r="O955" s="134" t="s">
        <v>41</v>
      </c>
      <c r="P955" s="178" t="s">
        <v>41</v>
      </c>
      <c r="Q955" s="134" t="s">
        <v>41</v>
      </c>
      <c r="R955" s="134" t="s">
        <v>41</v>
      </c>
      <c r="S955" s="178" t="s">
        <v>41</v>
      </c>
      <c r="T955" s="134" t="s">
        <v>41</v>
      </c>
      <c r="U955" s="134" t="s">
        <v>41</v>
      </c>
      <c r="V955" s="178" t="s">
        <v>41</v>
      </c>
      <c r="W955" s="134" t="s">
        <v>41</v>
      </c>
      <c r="X955" s="134" t="s">
        <v>41</v>
      </c>
      <c r="Y955" s="134" t="s">
        <v>41</v>
      </c>
      <c r="Z955" s="178" t="s">
        <v>41</v>
      </c>
      <c r="AA955" s="134" t="s">
        <v>41</v>
      </c>
      <c r="AB955" s="134" t="s">
        <v>41</v>
      </c>
      <c r="AC955" s="134" t="s">
        <v>41</v>
      </c>
      <c r="AD955" s="178" t="s">
        <v>41</v>
      </c>
      <c r="AE955" s="134" t="s">
        <v>41</v>
      </c>
      <c r="AF955" s="134" t="s">
        <v>41</v>
      </c>
      <c r="AG955" s="177" t="s">
        <v>41</v>
      </c>
      <c r="AH955" s="134" t="s">
        <v>41</v>
      </c>
      <c r="AI955" s="134" t="s">
        <v>41</v>
      </c>
      <c r="AJ955" s="178" t="s">
        <v>41</v>
      </c>
      <c r="AK955" s="134" t="s">
        <v>41</v>
      </c>
      <c r="AL955" s="134" t="s">
        <v>41</v>
      </c>
      <c r="AM955" s="134" t="s">
        <v>41</v>
      </c>
      <c r="AN955" s="178" t="s">
        <v>41</v>
      </c>
      <c r="AO955" s="134" t="s">
        <v>41</v>
      </c>
      <c r="AP955" s="134" t="s">
        <v>41</v>
      </c>
      <c r="AQ955" s="178" t="s">
        <v>41</v>
      </c>
      <c r="AR955" s="134" t="s">
        <v>41</v>
      </c>
      <c r="AS955" s="178" t="s">
        <v>18</v>
      </c>
      <c r="AT955" s="189"/>
      <c r="AU955" s="189"/>
      <c r="AV955" s="189"/>
      <c r="AW955" s="189"/>
      <c r="AX955" s="189"/>
      <c r="AY955" s="189"/>
      <c r="AZ955" s="189"/>
      <c r="BA955" s="189"/>
      <c r="BB955" s="189"/>
      <c r="BC955" s="189"/>
    </row>
    <row r="956" spans="1:55" ht="15.75" customHeight="1" x14ac:dyDescent="0.25">
      <c r="A956" s="128">
        <v>55342.105263157893</v>
      </c>
      <c r="B956" s="122" t="s">
        <v>12</v>
      </c>
      <c r="C956" s="124"/>
      <c r="D956" s="124"/>
      <c r="E956" s="171"/>
      <c r="F956" s="124"/>
      <c r="G956" s="124"/>
      <c r="H956" s="172"/>
      <c r="I956" s="124"/>
      <c r="J956" s="124"/>
      <c r="K956" s="124"/>
      <c r="L956" s="172"/>
      <c r="M956" s="124"/>
      <c r="N956" s="124"/>
      <c r="O956" s="124"/>
      <c r="P956" s="172"/>
      <c r="Q956" s="124"/>
      <c r="R956" s="124"/>
      <c r="S956" s="172"/>
      <c r="T956" s="124"/>
      <c r="U956" s="124"/>
      <c r="V956" s="172"/>
      <c r="W956" s="124"/>
      <c r="X956" s="124"/>
      <c r="Y956" s="124"/>
      <c r="Z956" s="172" t="s">
        <v>133</v>
      </c>
      <c r="AA956" s="124"/>
      <c r="AB956" s="124"/>
      <c r="AC956" s="124"/>
      <c r="AD956" s="172"/>
      <c r="AE956" s="124"/>
      <c r="AF956" s="124"/>
      <c r="AG956" s="171"/>
      <c r="AH956" s="124"/>
      <c r="AI956" s="124"/>
      <c r="AJ956" s="172"/>
      <c r="AK956" s="124"/>
      <c r="AL956" s="124"/>
      <c r="AM956" s="124"/>
      <c r="AN956" s="172"/>
      <c r="AO956" s="124"/>
      <c r="AP956" s="124"/>
      <c r="AQ956" s="172"/>
      <c r="AR956" s="124"/>
      <c r="AS956" s="172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</row>
    <row r="957" spans="1:55" ht="15.75" customHeight="1" x14ac:dyDescent="0.25">
      <c r="A957" s="128">
        <v>701</v>
      </c>
      <c r="B957" s="136" t="s">
        <v>13</v>
      </c>
      <c r="C957" s="137"/>
      <c r="D957" s="137"/>
      <c r="E957" s="171"/>
      <c r="F957" s="137"/>
      <c r="G957" s="137">
        <v>68</v>
      </c>
      <c r="H957" s="172">
        <v>0</v>
      </c>
      <c r="I957" s="137">
        <v>0</v>
      </c>
      <c r="J957" s="137">
        <v>0</v>
      </c>
      <c r="K957" s="137">
        <v>41</v>
      </c>
      <c r="L957" s="172">
        <v>0</v>
      </c>
      <c r="M957" s="137">
        <v>0</v>
      </c>
      <c r="N957" s="137">
        <v>0</v>
      </c>
      <c r="O957" s="137">
        <v>63</v>
      </c>
      <c r="P957" s="172">
        <v>0</v>
      </c>
      <c r="Q957" s="137">
        <v>0</v>
      </c>
      <c r="R957" s="137">
        <v>83</v>
      </c>
      <c r="S957" s="172">
        <v>0</v>
      </c>
      <c r="T957" s="137">
        <v>0</v>
      </c>
      <c r="U957" s="137">
        <v>86</v>
      </c>
      <c r="V957" s="172">
        <v>0</v>
      </c>
      <c r="W957" s="137">
        <v>0</v>
      </c>
      <c r="X957" s="137">
        <v>0</v>
      </c>
      <c r="Y957" s="137">
        <v>45</v>
      </c>
      <c r="Z957" s="172">
        <v>0</v>
      </c>
      <c r="AA957" s="137">
        <v>0</v>
      </c>
      <c r="AB957" s="137">
        <v>0</v>
      </c>
      <c r="AC957" s="137">
        <v>69</v>
      </c>
      <c r="AD957" s="172">
        <v>0</v>
      </c>
      <c r="AE957" s="137">
        <v>0</v>
      </c>
      <c r="AF957" s="137">
        <v>24</v>
      </c>
      <c r="AG957" s="171">
        <v>0</v>
      </c>
      <c r="AH957" s="137">
        <v>0</v>
      </c>
      <c r="AI957" s="137">
        <v>104</v>
      </c>
      <c r="AJ957" s="172">
        <v>0</v>
      </c>
      <c r="AK957" s="137">
        <v>0</v>
      </c>
      <c r="AL957" s="137">
        <v>0</v>
      </c>
      <c r="AM957" s="137">
        <v>23</v>
      </c>
      <c r="AN957" s="172">
        <v>0</v>
      </c>
      <c r="AO957" s="137">
        <v>0</v>
      </c>
      <c r="AP957" s="137">
        <v>70</v>
      </c>
      <c r="AQ957" s="172">
        <v>0</v>
      </c>
      <c r="AR957" s="137">
        <v>25</v>
      </c>
      <c r="AS957" s="172" t="s">
        <v>18</v>
      </c>
      <c r="AT957" s="161"/>
      <c r="AU957" s="161"/>
      <c r="AV957" s="161"/>
      <c r="AW957" s="161"/>
      <c r="AX957" s="161"/>
      <c r="AY957" s="161"/>
      <c r="AZ957" s="161"/>
      <c r="BA957" s="161"/>
      <c r="BB957" s="161"/>
      <c r="BC957" s="161"/>
    </row>
    <row r="958" spans="1:55" ht="15.75" customHeight="1" x14ac:dyDescent="0.25">
      <c r="A958" s="128">
        <v>15</v>
      </c>
      <c r="B958" s="136" t="s">
        <v>14</v>
      </c>
      <c r="C958" s="137"/>
      <c r="D958" s="137"/>
      <c r="E958" s="171"/>
      <c r="F958" s="137"/>
      <c r="G958" s="137"/>
      <c r="H958" s="172">
        <v>0</v>
      </c>
      <c r="I958" s="137">
        <v>0</v>
      </c>
      <c r="J958" s="137">
        <v>0</v>
      </c>
      <c r="K958" s="137">
        <v>1</v>
      </c>
      <c r="L958" s="172">
        <v>0</v>
      </c>
      <c r="M958" s="137">
        <v>0</v>
      </c>
      <c r="N958" s="137">
        <v>0</v>
      </c>
      <c r="O958" s="137">
        <v>1</v>
      </c>
      <c r="P958" s="172">
        <v>0</v>
      </c>
      <c r="Q958" s="137">
        <v>0</v>
      </c>
      <c r="R958" s="137">
        <v>4</v>
      </c>
      <c r="S958" s="172">
        <v>0</v>
      </c>
      <c r="T958" s="137">
        <v>0</v>
      </c>
      <c r="U958" s="137">
        <v>2</v>
      </c>
      <c r="V958" s="172">
        <v>0</v>
      </c>
      <c r="W958" s="137">
        <v>0</v>
      </c>
      <c r="X958" s="137">
        <v>0</v>
      </c>
      <c r="Y958" s="137">
        <v>0</v>
      </c>
      <c r="Z958" s="172">
        <v>0</v>
      </c>
      <c r="AA958" s="137">
        <v>0</v>
      </c>
      <c r="AB958" s="137">
        <v>0</v>
      </c>
      <c r="AC958" s="137">
        <v>0</v>
      </c>
      <c r="AD958" s="172">
        <v>0</v>
      </c>
      <c r="AE958" s="137">
        <v>0</v>
      </c>
      <c r="AF958" s="137">
        <v>0</v>
      </c>
      <c r="AG958" s="171">
        <v>0</v>
      </c>
      <c r="AH958" s="137">
        <v>0</v>
      </c>
      <c r="AI958" s="137">
        <v>5</v>
      </c>
      <c r="AJ958" s="172">
        <v>0</v>
      </c>
      <c r="AK958" s="137">
        <v>0</v>
      </c>
      <c r="AL958" s="137">
        <v>0</v>
      </c>
      <c r="AM958" s="137">
        <v>0</v>
      </c>
      <c r="AN958" s="172">
        <v>0</v>
      </c>
      <c r="AO958" s="137">
        <v>0</v>
      </c>
      <c r="AP958" s="137">
        <v>0</v>
      </c>
      <c r="AQ958" s="172">
        <v>0</v>
      </c>
      <c r="AR958" s="137">
        <v>2</v>
      </c>
      <c r="AS958" s="172" t="s">
        <v>18</v>
      </c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</row>
    <row r="959" spans="1:55" ht="15.75" customHeight="1" x14ac:dyDescent="0.25">
      <c r="A959" s="128">
        <v>16</v>
      </c>
      <c r="B959" s="136" t="s">
        <v>15</v>
      </c>
      <c r="C959" s="137"/>
      <c r="D959" s="137"/>
      <c r="E959" s="171"/>
      <c r="F959" s="137"/>
      <c r="G959" s="137"/>
      <c r="H959" s="172">
        <v>0</v>
      </c>
      <c r="I959" s="137">
        <v>0</v>
      </c>
      <c r="J959" s="137">
        <v>0</v>
      </c>
      <c r="K959" s="137">
        <v>1</v>
      </c>
      <c r="L959" s="172">
        <v>0</v>
      </c>
      <c r="M959" s="137">
        <v>0</v>
      </c>
      <c r="N959" s="137">
        <v>0</v>
      </c>
      <c r="O959" s="137">
        <v>1</v>
      </c>
      <c r="P959" s="172">
        <v>0</v>
      </c>
      <c r="Q959" s="137">
        <v>0</v>
      </c>
      <c r="R959" s="137">
        <v>4</v>
      </c>
      <c r="S959" s="172">
        <v>0</v>
      </c>
      <c r="T959" s="137">
        <v>0</v>
      </c>
      <c r="U959" s="137">
        <v>3</v>
      </c>
      <c r="V959" s="172">
        <v>0</v>
      </c>
      <c r="W959" s="137">
        <v>0</v>
      </c>
      <c r="X959" s="137">
        <v>0</v>
      </c>
      <c r="Y959" s="137">
        <v>0</v>
      </c>
      <c r="Z959" s="172">
        <v>0</v>
      </c>
      <c r="AA959" s="137">
        <v>0</v>
      </c>
      <c r="AB959" s="137">
        <v>0</v>
      </c>
      <c r="AC959" s="137">
        <v>0</v>
      </c>
      <c r="AD959" s="172">
        <v>0</v>
      </c>
      <c r="AE959" s="137">
        <v>0</v>
      </c>
      <c r="AF959" s="137">
        <v>0</v>
      </c>
      <c r="AG959" s="171">
        <v>0</v>
      </c>
      <c r="AH959" s="137">
        <v>0</v>
      </c>
      <c r="AI959" s="137">
        <v>5</v>
      </c>
      <c r="AJ959" s="172">
        <v>0</v>
      </c>
      <c r="AK959" s="137">
        <v>0</v>
      </c>
      <c r="AL959" s="137">
        <v>0</v>
      </c>
      <c r="AM959" s="137">
        <v>0</v>
      </c>
      <c r="AN959" s="172">
        <v>0</v>
      </c>
      <c r="AO959" s="137">
        <v>0</v>
      </c>
      <c r="AP959" s="137">
        <v>0</v>
      </c>
      <c r="AQ959" s="172">
        <v>0</v>
      </c>
      <c r="AR959" s="137">
        <v>2</v>
      </c>
      <c r="AS959" s="172" t="s">
        <v>18</v>
      </c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</row>
    <row r="960" spans="1:55" ht="15.75" customHeight="1" x14ac:dyDescent="0.25">
      <c r="A960" s="128">
        <v>4480</v>
      </c>
      <c r="B960" s="136" t="s">
        <v>16</v>
      </c>
      <c r="C960" s="137"/>
      <c r="D960" s="137"/>
      <c r="E960" s="171"/>
      <c r="F960" s="137"/>
      <c r="G960" s="137"/>
      <c r="H960" s="172">
        <v>0</v>
      </c>
      <c r="I960" s="137">
        <v>0</v>
      </c>
      <c r="J960" s="137">
        <v>0</v>
      </c>
      <c r="K960" s="137">
        <v>280</v>
      </c>
      <c r="L960" s="172">
        <v>0</v>
      </c>
      <c r="M960" s="137">
        <v>0</v>
      </c>
      <c r="N960" s="137">
        <v>0</v>
      </c>
      <c r="O960" s="137">
        <v>280</v>
      </c>
      <c r="P960" s="172">
        <v>0</v>
      </c>
      <c r="Q960" s="137">
        <v>0</v>
      </c>
      <c r="R960" s="137">
        <v>1120</v>
      </c>
      <c r="S960" s="172">
        <v>0</v>
      </c>
      <c r="T960" s="137">
        <v>0</v>
      </c>
      <c r="U960" s="137">
        <v>840</v>
      </c>
      <c r="V960" s="172">
        <v>0</v>
      </c>
      <c r="W960" s="137">
        <v>0</v>
      </c>
      <c r="X960" s="137">
        <v>0</v>
      </c>
      <c r="Y960" s="137">
        <v>0</v>
      </c>
      <c r="Z960" s="172">
        <v>0</v>
      </c>
      <c r="AA960" s="137">
        <v>0</v>
      </c>
      <c r="AB960" s="137">
        <v>0</v>
      </c>
      <c r="AC960" s="137">
        <v>0</v>
      </c>
      <c r="AD960" s="172">
        <v>0</v>
      </c>
      <c r="AE960" s="137">
        <v>0</v>
      </c>
      <c r="AF960" s="137">
        <v>0</v>
      </c>
      <c r="AG960" s="171">
        <v>0</v>
      </c>
      <c r="AH960" s="137">
        <v>0</v>
      </c>
      <c r="AI960" s="137">
        <v>1400</v>
      </c>
      <c r="AJ960" s="172">
        <v>0</v>
      </c>
      <c r="AK960" s="137">
        <v>0</v>
      </c>
      <c r="AL960" s="137">
        <v>0</v>
      </c>
      <c r="AM960" s="137">
        <v>0</v>
      </c>
      <c r="AN960" s="172">
        <v>0</v>
      </c>
      <c r="AO960" s="137">
        <v>0</v>
      </c>
      <c r="AP960" s="137">
        <v>0</v>
      </c>
      <c r="AQ960" s="172">
        <v>0</v>
      </c>
      <c r="AR960" s="137">
        <v>560</v>
      </c>
      <c r="AS960" s="172" t="s">
        <v>18</v>
      </c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</row>
    <row r="961" spans="1:55" ht="15.75" customHeight="1" x14ac:dyDescent="0.25">
      <c r="A961" s="138">
        <v>6.3908701854493585E-2</v>
      </c>
      <c r="B961" s="136" t="s">
        <v>17</v>
      </c>
      <c r="C961" s="147"/>
      <c r="D961" s="147"/>
      <c r="E961" s="183"/>
      <c r="F961" s="147"/>
      <c r="G961" s="147"/>
      <c r="H961" s="184" t="s">
        <v>18</v>
      </c>
      <c r="I961" s="147" t="s">
        <v>18</v>
      </c>
      <c r="J961" s="147" t="s">
        <v>18</v>
      </c>
      <c r="K961" s="147">
        <v>6.8292682926829273E-2</v>
      </c>
      <c r="L961" s="184" t="s">
        <v>18</v>
      </c>
      <c r="M961" s="147" t="s">
        <v>18</v>
      </c>
      <c r="N961" s="147" t="s">
        <v>18</v>
      </c>
      <c r="O961" s="147">
        <v>4.4444444444444446E-2</v>
      </c>
      <c r="P961" s="184" t="s">
        <v>18</v>
      </c>
      <c r="Q961" s="147" t="s">
        <v>18</v>
      </c>
      <c r="R961" s="147">
        <v>0.13493975903614458</v>
      </c>
      <c r="S961" s="184" t="s">
        <v>18</v>
      </c>
      <c r="T961" s="147" t="s">
        <v>18</v>
      </c>
      <c r="U961" s="147">
        <v>9.7674418604651161E-2</v>
      </c>
      <c r="V961" s="184" t="s">
        <v>18</v>
      </c>
      <c r="W961" s="147" t="s">
        <v>18</v>
      </c>
      <c r="X961" s="147" t="s">
        <v>18</v>
      </c>
      <c r="Y961" s="147" t="s">
        <v>18</v>
      </c>
      <c r="Z961" s="184" t="s">
        <v>18</v>
      </c>
      <c r="AA961" s="147" t="s">
        <v>18</v>
      </c>
      <c r="AB961" s="147" t="s">
        <v>18</v>
      </c>
      <c r="AC961" s="147" t="s">
        <v>18</v>
      </c>
      <c r="AD961" s="184" t="s">
        <v>18</v>
      </c>
      <c r="AE961" s="147" t="s">
        <v>18</v>
      </c>
      <c r="AF961" s="147" t="s">
        <v>18</v>
      </c>
      <c r="AG961" s="183" t="s">
        <v>18</v>
      </c>
      <c r="AH961" s="147" t="s">
        <v>18</v>
      </c>
      <c r="AI961" s="147">
        <v>0.13461538461538461</v>
      </c>
      <c r="AJ961" s="184" t="s">
        <v>18</v>
      </c>
      <c r="AK961" s="147" t="s">
        <v>18</v>
      </c>
      <c r="AL961" s="147" t="s">
        <v>18</v>
      </c>
      <c r="AM961" s="147" t="s">
        <v>18</v>
      </c>
      <c r="AN961" s="184" t="s">
        <v>18</v>
      </c>
      <c r="AO961" s="147" t="s">
        <v>18</v>
      </c>
      <c r="AP961" s="147" t="s">
        <v>18</v>
      </c>
      <c r="AQ961" s="184" t="s">
        <v>18</v>
      </c>
      <c r="AR961" s="147">
        <v>0.224</v>
      </c>
      <c r="AS961" s="184" t="s">
        <v>18</v>
      </c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</row>
    <row r="962" spans="1:55" ht="15.75" customHeight="1" x14ac:dyDescent="0.25">
      <c r="A962" s="149" t="s">
        <v>1</v>
      </c>
      <c r="B962" s="150" t="s">
        <v>2</v>
      </c>
      <c r="C962" s="130"/>
      <c r="D962" s="130">
        <v>9171</v>
      </c>
      <c r="E962" s="174">
        <v>9171</v>
      </c>
      <c r="F962" s="130">
        <v>9171</v>
      </c>
      <c r="G962" s="130">
        <v>9278</v>
      </c>
      <c r="H962" s="175">
        <v>9278</v>
      </c>
      <c r="I962" s="130">
        <v>9278</v>
      </c>
      <c r="J962" s="130">
        <v>9278</v>
      </c>
      <c r="K962" s="130">
        <v>9333</v>
      </c>
      <c r="L962" s="175">
        <v>9333</v>
      </c>
      <c r="M962" s="130">
        <v>9333</v>
      </c>
      <c r="N962" s="130">
        <v>9333</v>
      </c>
      <c r="O962" s="130">
        <v>9380</v>
      </c>
      <c r="P962" s="175">
        <v>9380</v>
      </c>
      <c r="Q962" s="130">
        <v>9380</v>
      </c>
      <c r="R962" s="130">
        <v>9465</v>
      </c>
      <c r="S962" s="175">
        <v>9465</v>
      </c>
      <c r="T962" s="130">
        <v>9465</v>
      </c>
      <c r="U962" s="130">
        <v>9545</v>
      </c>
      <c r="V962" s="175">
        <v>9545</v>
      </c>
      <c r="W962" s="130">
        <v>9545</v>
      </c>
      <c r="X962" s="130">
        <v>9545</v>
      </c>
      <c r="Y962" s="130">
        <v>9580</v>
      </c>
      <c r="Z962" s="175">
        <v>9580</v>
      </c>
      <c r="AA962" s="130">
        <v>9580</v>
      </c>
      <c r="AB962" s="130">
        <v>9580</v>
      </c>
      <c r="AC962" s="130">
        <v>9635</v>
      </c>
      <c r="AD962" s="175">
        <v>9635</v>
      </c>
      <c r="AE962" s="130">
        <v>9635</v>
      </c>
      <c r="AF962" s="130">
        <v>9662</v>
      </c>
      <c r="AG962" s="174">
        <v>9662</v>
      </c>
      <c r="AH962" s="130">
        <v>9662</v>
      </c>
      <c r="AI962" s="130">
        <v>9689</v>
      </c>
      <c r="AJ962" s="175">
        <v>9689</v>
      </c>
      <c r="AK962" s="130">
        <v>9689</v>
      </c>
      <c r="AL962" s="130">
        <v>9689</v>
      </c>
      <c r="AM962" s="130">
        <v>9709</v>
      </c>
      <c r="AN962" s="175">
        <v>9709</v>
      </c>
      <c r="AO962" s="130">
        <v>9709</v>
      </c>
      <c r="AP962" s="130">
        <v>9731</v>
      </c>
      <c r="AQ962" s="175">
        <v>9731</v>
      </c>
      <c r="AR962" s="130">
        <v>9737</v>
      </c>
      <c r="AS962" s="175" t="s">
        <v>18</v>
      </c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</row>
    <row r="963" spans="1:55" ht="15.75" customHeight="1" x14ac:dyDescent="0.25">
      <c r="A963" s="121" t="s">
        <v>40</v>
      </c>
      <c r="B963" s="122" t="s">
        <v>4</v>
      </c>
      <c r="C963" s="124"/>
      <c r="D963" s="124">
        <v>108</v>
      </c>
      <c r="E963" s="171">
        <v>108</v>
      </c>
      <c r="F963" s="124">
        <v>108</v>
      </c>
      <c r="G963" s="124">
        <v>108</v>
      </c>
      <c r="H963" s="172">
        <v>108</v>
      </c>
      <c r="I963" s="124">
        <v>108</v>
      </c>
      <c r="J963" s="124">
        <v>108</v>
      </c>
      <c r="K963" s="124">
        <v>108</v>
      </c>
      <c r="L963" s="172">
        <v>108</v>
      </c>
      <c r="M963" s="124">
        <v>108</v>
      </c>
      <c r="N963" s="124">
        <v>108</v>
      </c>
      <c r="O963" s="124">
        <v>111</v>
      </c>
      <c r="P963" s="172">
        <v>111</v>
      </c>
      <c r="Q963" s="124">
        <v>111</v>
      </c>
      <c r="R963" s="124">
        <v>111</v>
      </c>
      <c r="S963" s="172">
        <v>111</v>
      </c>
      <c r="T963" s="124">
        <v>111</v>
      </c>
      <c r="U963" s="124">
        <v>112</v>
      </c>
      <c r="V963" s="172">
        <v>112</v>
      </c>
      <c r="W963" s="124">
        <v>112</v>
      </c>
      <c r="X963" s="124">
        <v>112</v>
      </c>
      <c r="Y963" s="124">
        <v>114</v>
      </c>
      <c r="Z963" s="172">
        <v>114</v>
      </c>
      <c r="AA963" s="124">
        <v>114</v>
      </c>
      <c r="AB963" s="124">
        <v>114</v>
      </c>
      <c r="AC963" s="124">
        <v>115</v>
      </c>
      <c r="AD963" s="172">
        <v>115</v>
      </c>
      <c r="AE963" s="124">
        <v>115</v>
      </c>
      <c r="AF963" s="124">
        <v>117</v>
      </c>
      <c r="AG963" s="171">
        <v>117</v>
      </c>
      <c r="AH963" s="124">
        <v>117</v>
      </c>
      <c r="AI963" s="124">
        <v>117</v>
      </c>
      <c r="AJ963" s="172">
        <v>117</v>
      </c>
      <c r="AK963" s="124">
        <v>117</v>
      </c>
      <c r="AL963" s="124">
        <v>117</v>
      </c>
      <c r="AM963" s="124">
        <v>118</v>
      </c>
      <c r="AN963" s="172">
        <v>118</v>
      </c>
      <c r="AO963" s="124">
        <v>118</v>
      </c>
      <c r="AP963" s="124">
        <v>119</v>
      </c>
      <c r="AQ963" s="172">
        <v>119</v>
      </c>
      <c r="AR963" s="124">
        <v>119</v>
      </c>
      <c r="AS963" s="172" t="s">
        <v>18</v>
      </c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</row>
    <row r="964" spans="1:55" ht="15.75" customHeight="1" x14ac:dyDescent="0.25">
      <c r="A964" s="143">
        <v>2</v>
      </c>
      <c r="B964" s="122" t="s">
        <v>5</v>
      </c>
      <c r="C964" s="124"/>
      <c r="D964" s="124">
        <v>6</v>
      </c>
      <c r="E964" s="171">
        <v>6</v>
      </c>
      <c r="F964" s="124">
        <v>6</v>
      </c>
      <c r="G964" s="124">
        <v>3</v>
      </c>
      <c r="H964" s="172">
        <v>3</v>
      </c>
      <c r="I964" s="124">
        <v>3</v>
      </c>
      <c r="J964" s="124">
        <v>3</v>
      </c>
      <c r="K964" s="124">
        <v>2</v>
      </c>
      <c r="L964" s="172">
        <v>10</v>
      </c>
      <c r="M964" s="124">
        <v>10</v>
      </c>
      <c r="N964" s="124">
        <v>10</v>
      </c>
      <c r="O964" s="124">
        <v>7</v>
      </c>
      <c r="P964" s="172">
        <v>7</v>
      </c>
      <c r="Q964" s="124">
        <v>7</v>
      </c>
      <c r="R964" s="124">
        <v>7</v>
      </c>
      <c r="S964" s="172">
        <v>10</v>
      </c>
      <c r="T964" s="124">
        <v>10</v>
      </c>
      <c r="U964" s="124">
        <v>9</v>
      </c>
      <c r="V964" s="172">
        <v>10</v>
      </c>
      <c r="W964" s="124">
        <v>10</v>
      </c>
      <c r="X964" s="124">
        <v>10</v>
      </c>
      <c r="Y964" s="124">
        <v>9</v>
      </c>
      <c r="Z964" s="172">
        <v>10</v>
      </c>
      <c r="AA964" s="124">
        <v>10</v>
      </c>
      <c r="AB964" s="124">
        <v>10</v>
      </c>
      <c r="AC964" s="124">
        <v>9</v>
      </c>
      <c r="AD964" s="172">
        <v>10</v>
      </c>
      <c r="AE964" s="124">
        <v>10</v>
      </c>
      <c r="AF964" s="124">
        <v>9</v>
      </c>
      <c r="AG964" s="171">
        <v>10</v>
      </c>
      <c r="AH964" s="124">
        <v>10</v>
      </c>
      <c r="AI964" s="124">
        <v>10</v>
      </c>
      <c r="AJ964" s="172">
        <v>10</v>
      </c>
      <c r="AK964" s="124">
        <v>10</v>
      </c>
      <c r="AL964" s="124">
        <v>10</v>
      </c>
      <c r="AM964" s="124">
        <v>10</v>
      </c>
      <c r="AN964" s="172">
        <v>10</v>
      </c>
      <c r="AO964" s="124">
        <v>10</v>
      </c>
      <c r="AP964" s="124">
        <v>10</v>
      </c>
      <c r="AQ964" s="172">
        <v>15</v>
      </c>
      <c r="AR964" s="124">
        <v>15</v>
      </c>
      <c r="AS964" s="172" t="s">
        <v>18</v>
      </c>
      <c r="AT964" s="161"/>
      <c r="AU964" s="161"/>
      <c r="AV964" s="161"/>
      <c r="AW964" s="161"/>
      <c r="AX964" s="161"/>
      <c r="AY964" s="161"/>
      <c r="AZ964" s="161"/>
      <c r="BA964" s="161"/>
      <c r="BB964" s="161"/>
      <c r="BC964" s="161"/>
    </row>
    <row r="965" spans="1:55" ht="15.75" customHeight="1" x14ac:dyDescent="0.25">
      <c r="A965" s="127"/>
      <c r="B965" s="122" t="s">
        <v>6</v>
      </c>
      <c r="C965" s="124"/>
      <c r="D965" s="124"/>
      <c r="E965" s="171"/>
      <c r="F965" s="124"/>
      <c r="G965" s="124"/>
      <c r="H965" s="172"/>
      <c r="I965" s="124"/>
      <c r="J965" s="124"/>
      <c r="K965" s="124">
        <v>8</v>
      </c>
      <c r="L965" s="172"/>
      <c r="M965" s="124"/>
      <c r="N965" s="124"/>
      <c r="O965" s="124"/>
      <c r="P965" s="172"/>
      <c r="Q965" s="124"/>
      <c r="R965" s="124">
        <v>3</v>
      </c>
      <c r="S965" s="172"/>
      <c r="T965" s="124"/>
      <c r="U965" s="124">
        <v>1</v>
      </c>
      <c r="V965" s="172"/>
      <c r="W965" s="124"/>
      <c r="X965" s="124"/>
      <c r="Y965" s="124">
        <v>1</v>
      </c>
      <c r="Z965" s="172"/>
      <c r="AA965" s="124"/>
      <c r="AB965" s="124"/>
      <c r="AC965" s="124">
        <v>1</v>
      </c>
      <c r="AD965" s="172"/>
      <c r="AE965" s="124"/>
      <c r="AF965" s="124">
        <v>1</v>
      </c>
      <c r="AG965" s="171"/>
      <c r="AH965" s="124"/>
      <c r="AI965" s="124"/>
      <c r="AJ965" s="172"/>
      <c r="AK965" s="124"/>
      <c r="AL965" s="124"/>
      <c r="AM965" s="124"/>
      <c r="AN965" s="172"/>
      <c r="AO965" s="124"/>
      <c r="AP965" s="124">
        <v>5</v>
      </c>
      <c r="AQ965" s="172"/>
      <c r="AR965" s="124"/>
      <c r="AS965" s="172"/>
      <c r="AT965" s="161"/>
      <c r="AU965" s="161"/>
      <c r="AV965" s="161"/>
      <c r="AW965" s="161"/>
      <c r="AX965" s="161"/>
      <c r="AY965" s="161"/>
      <c r="AZ965" s="161"/>
      <c r="BA965" s="161"/>
      <c r="BB965" s="161"/>
      <c r="BC965" s="161"/>
    </row>
    <row r="966" spans="1:55" ht="15.75" customHeight="1" x14ac:dyDescent="0.25">
      <c r="A966" s="128"/>
      <c r="B966" s="122" t="s">
        <v>8</v>
      </c>
      <c r="C966" s="130"/>
      <c r="D966" s="130">
        <v>500</v>
      </c>
      <c r="E966" s="174">
        <v>500</v>
      </c>
      <c r="F966" s="130">
        <v>500</v>
      </c>
      <c r="G966" s="130">
        <v>500</v>
      </c>
      <c r="H966" s="175">
        <v>500</v>
      </c>
      <c r="I966" s="130">
        <v>500</v>
      </c>
      <c r="J966" s="130">
        <v>500</v>
      </c>
      <c r="K966" s="130">
        <v>500</v>
      </c>
      <c r="L966" s="175">
        <v>800</v>
      </c>
      <c r="M966" s="130">
        <v>800</v>
      </c>
      <c r="N966" s="130">
        <v>800</v>
      </c>
      <c r="O966" s="130">
        <v>800</v>
      </c>
      <c r="P966" s="175">
        <v>800</v>
      </c>
      <c r="Q966" s="130">
        <v>800</v>
      </c>
      <c r="R966" s="130">
        <v>800</v>
      </c>
      <c r="S966" s="175">
        <v>800</v>
      </c>
      <c r="T966" s="130">
        <v>800</v>
      </c>
      <c r="U966" s="130">
        <v>800</v>
      </c>
      <c r="V966" s="175">
        <v>800</v>
      </c>
      <c r="W966" s="130">
        <v>800</v>
      </c>
      <c r="X966" s="130">
        <v>800</v>
      </c>
      <c r="Y966" s="130">
        <v>800</v>
      </c>
      <c r="Z966" s="175">
        <v>800</v>
      </c>
      <c r="AA966" s="130">
        <v>800</v>
      </c>
      <c r="AB966" s="130">
        <v>800</v>
      </c>
      <c r="AC966" s="130">
        <v>800</v>
      </c>
      <c r="AD966" s="175">
        <v>800</v>
      </c>
      <c r="AE966" s="130">
        <v>800</v>
      </c>
      <c r="AF966" s="130">
        <v>800</v>
      </c>
      <c r="AG966" s="174">
        <v>800</v>
      </c>
      <c r="AH966" s="130">
        <v>800</v>
      </c>
      <c r="AI966" s="130">
        <v>800</v>
      </c>
      <c r="AJ966" s="175">
        <v>800</v>
      </c>
      <c r="AK966" s="130">
        <v>800</v>
      </c>
      <c r="AL966" s="130">
        <v>800</v>
      </c>
      <c r="AM966" s="130">
        <v>800</v>
      </c>
      <c r="AN966" s="175">
        <v>800</v>
      </c>
      <c r="AO966" s="130">
        <v>800</v>
      </c>
      <c r="AP966" s="130">
        <v>800</v>
      </c>
      <c r="AQ966" s="175">
        <v>800</v>
      </c>
      <c r="AR966" s="130">
        <v>800</v>
      </c>
      <c r="AS966" s="175" t="s">
        <v>18</v>
      </c>
      <c r="AT966" s="161"/>
      <c r="AU966" s="161"/>
      <c r="AV966" s="161"/>
      <c r="AW966" s="161"/>
      <c r="AX966" s="161"/>
      <c r="AY966" s="161"/>
      <c r="AZ966" s="161"/>
      <c r="BA966" s="161"/>
      <c r="BB966" s="161"/>
      <c r="BC966" s="161"/>
    </row>
    <row r="967" spans="1:55" ht="15.75" customHeight="1" x14ac:dyDescent="0.25">
      <c r="A967" s="127" t="s">
        <v>9</v>
      </c>
      <c r="B967" s="132" t="s">
        <v>10</v>
      </c>
      <c r="C967" s="134"/>
      <c r="D967" s="134" t="s">
        <v>134</v>
      </c>
      <c r="E967" s="177" t="s">
        <v>134</v>
      </c>
      <c r="F967" s="134" t="s">
        <v>134</v>
      </c>
      <c r="G967" s="134" t="s">
        <v>134</v>
      </c>
      <c r="H967" s="178" t="s">
        <v>134</v>
      </c>
      <c r="I967" s="134" t="s">
        <v>134</v>
      </c>
      <c r="J967" s="134" t="s">
        <v>134</v>
      </c>
      <c r="K967" s="134" t="s">
        <v>134</v>
      </c>
      <c r="L967" s="178" t="s">
        <v>105</v>
      </c>
      <c r="M967" s="134" t="s">
        <v>105</v>
      </c>
      <c r="N967" s="134" t="s">
        <v>105</v>
      </c>
      <c r="O967" s="134" t="s">
        <v>105</v>
      </c>
      <c r="P967" s="178" t="s">
        <v>105</v>
      </c>
      <c r="Q967" s="134" t="s">
        <v>105</v>
      </c>
      <c r="R967" s="134" t="s">
        <v>105</v>
      </c>
      <c r="S967" s="178" t="s">
        <v>105</v>
      </c>
      <c r="T967" s="134" t="s">
        <v>105</v>
      </c>
      <c r="U967" s="134" t="s">
        <v>105</v>
      </c>
      <c r="V967" s="178" t="s">
        <v>105</v>
      </c>
      <c r="W967" s="134" t="s">
        <v>105</v>
      </c>
      <c r="X967" s="134" t="s">
        <v>105</v>
      </c>
      <c r="Y967" s="134" t="s">
        <v>105</v>
      </c>
      <c r="Z967" s="178" t="s">
        <v>105</v>
      </c>
      <c r="AA967" s="134" t="s">
        <v>105</v>
      </c>
      <c r="AB967" s="134" t="s">
        <v>105</v>
      </c>
      <c r="AC967" s="134" t="s">
        <v>105</v>
      </c>
      <c r="AD967" s="178" t="s">
        <v>105</v>
      </c>
      <c r="AE967" s="134" t="s">
        <v>105</v>
      </c>
      <c r="AF967" s="134" t="s">
        <v>105</v>
      </c>
      <c r="AG967" s="177" t="s">
        <v>105</v>
      </c>
      <c r="AH967" s="134" t="s">
        <v>105</v>
      </c>
      <c r="AI967" s="134" t="s">
        <v>105</v>
      </c>
      <c r="AJ967" s="178" t="s">
        <v>105</v>
      </c>
      <c r="AK967" s="134" t="s">
        <v>105</v>
      </c>
      <c r="AL967" s="134" t="s">
        <v>105</v>
      </c>
      <c r="AM967" s="134" t="s">
        <v>105</v>
      </c>
      <c r="AN967" s="178" t="s">
        <v>105</v>
      </c>
      <c r="AO967" s="134" t="s">
        <v>105</v>
      </c>
      <c r="AP967" s="134" t="s">
        <v>105</v>
      </c>
      <c r="AQ967" s="178" t="s">
        <v>105</v>
      </c>
      <c r="AR967" s="134" t="s">
        <v>105</v>
      </c>
      <c r="AS967" s="178" t="s">
        <v>18</v>
      </c>
      <c r="AT967" s="189"/>
      <c r="AU967" s="189"/>
      <c r="AV967" s="189"/>
      <c r="AW967" s="189"/>
      <c r="AX967" s="189"/>
      <c r="AY967" s="189"/>
      <c r="AZ967" s="189"/>
      <c r="BA967" s="189"/>
      <c r="BB967" s="189"/>
      <c r="BC967" s="189"/>
    </row>
    <row r="968" spans="1:55" ht="15.75" customHeight="1" x14ac:dyDescent="0.25">
      <c r="A968" s="128">
        <v>44684.210526315794</v>
      </c>
      <c r="B968" s="122" t="s">
        <v>12</v>
      </c>
      <c r="C968" s="124"/>
      <c r="D968" s="124"/>
      <c r="E968" s="171"/>
      <c r="F968" s="124"/>
      <c r="G968" s="124"/>
      <c r="H968" s="172"/>
      <c r="I968" s="124"/>
      <c r="J968" s="124"/>
      <c r="K968" s="124"/>
      <c r="L968" s="172" t="s">
        <v>135</v>
      </c>
      <c r="M968" s="124"/>
      <c r="N968" s="124"/>
      <c r="O968" s="124"/>
      <c r="P968" s="172" t="s">
        <v>136</v>
      </c>
      <c r="Q968" s="124"/>
      <c r="R968" s="124"/>
      <c r="S968" s="172"/>
      <c r="T968" s="124"/>
      <c r="U968" s="124"/>
      <c r="V968" s="172"/>
      <c r="W968" s="124"/>
      <c r="X968" s="124"/>
      <c r="Y968" s="124"/>
      <c r="Z968" s="172"/>
      <c r="AA968" s="124"/>
      <c r="AB968" s="124"/>
      <c r="AC968" s="124"/>
      <c r="AD968" s="172" t="s">
        <v>137</v>
      </c>
      <c r="AE968" s="124"/>
      <c r="AF968" s="124"/>
      <c r="AG968" s="171"/>
      <c r="AH968" s="124"/>
      <c r="AI968" s="124"/>
      <c r="AJ968" s="172" t="s">
        <v>106</v>
      </c>
      <c r="AK968" s="124"/>
      <c r="AL968" s="124"/>
      <c r="AM968" s="124"/>
      <c r="AN968" s="172"/>
      <c r="AO968" s="124"/>
      <c r="AP968" s="124"/>
      <c r="AQ968" s="172"/>
      <c r="AR968" s="124"/>
      <c r="AS968" s="172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</row>
    <row r="969" spans="1:55" ht="15.75" customHeight="1" x14ac:dyDescent="0.25">
      <c r="A969" s="128">
        <v>566</v>
      </c>
      <c r="B969" s="136" t="s">
        <v>13</v>
      </c>
      <c r="C969" s="137"/>
      <c r="D969" s="137"/>
      <c r="E969" s="171"/>
      <c r="F969" s="137"/>
      <c r="G969" s="137">
        <v>107</v>
      </c>
      <c r="H969" s="172">
        <v>0</v>
      </c>
      <c r="I969" s="137">
        <v>0</v>
      </c>
      <c r="J969" s="137">
        <v>0</v>
      </c>
      <c r="K969" s="137">
        <v>55</v>
      </c>
      <c r="L969" s="172">
        <v>0</v>
      </c>
      <c r="M969" s="137">
        <v>0</v>
      </c>
      <c r="N969" s="137">
        <v>0</v>
      </c>
      <c r="O969" s="137">
        <v>47</v>
      </c>
      <c r="P969" s="172">
        <v>0</v>
      </c>
      <c r="Q969" s="137">
        <v>0</v>
      </c>
      <c r="R969" s="137">
        <v>85</v>
      </c>
      <c r="S969" s="172">
        <v>0</v>
      </c>
      <c r="T969" s="137">
        <v>0</v>
      </c>
      <c r="U969" s="137">
        <v>80</v>
      </c>
      <c r="V969" s="172">
        <v>0</v>
      </c>
      <c r="W969" s="137">
        <v>0</v>
      </c>
      <c r="X969" s="137">
        <v>0</v>
      </c>
      <c r="Y969" s="137">
        <v>35</v>
      </c>
      <c r="Z969" s="172">
        <v>0</v>
      </c>
      <c r="AA969" s="137">
        <v>0</v>
      </c>
      <c r="AB969" s="137">
        <v>0</v>
      </c>
      <c r="AC969" s="137">
        <v>55</v>
      </c>
      <c r="AD969" s="172">
        <v>0</v>
      </c>
      <c r="AE969" s="137">
        <v>0</v>
      </c>
      <c r="AF969" s="137">
        <v>27</v>
      </c>
      <c r="AG969" s="171">
        <v>0</v>
      </c>
      <c r="AH969" s="137">
        <v>0</v>
      </c>
      <c r="AI969" s="137">
        <v>27</v>
      </c>
      <c r="AJ969" s="172">
        <v>0</v>
      </c>
      <c r="AK969" s="137">
        <v>0</v>
      </c>
      <c r="AL969" s="137">
        <v>0</v>
      </c>
      <c r="AM969" s="137">
        <v>20</v>
      </c>
      <c r="AN969" s="172">
        <v>0</v>
      </c>
      <c r="AO969" s="137">
        <v>0</v>
      </c>
      <c r="AP969" s="137">
        <v>22</v>
      </c>
      <c r="AQ969" s="172">
        <v>0</v>
      </c>
      <c r="AR969" s="137">
        <v>6</v>
      </c>
      <c r="AS969" s="172" t="s">
        <v>18</v>
      </c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</row>
    <row r="970" spans="1:55" ht="15.75" customHeight="1" x14ac:dyDescent="0.25">
      <c r="A970" s="128">
        <v>11</v>
      </c>
      <c r="B970" s="136" t="s">
        <v>14</v>
      </c>
      <c r="C970" s="137"/>
      <c r="D970" s="137"/>
      <c r="E970" s="171"/>
      <c r="F970" s="137"/>
      <c r="G970" s="137"/>
      <c r="H970" s="172">
        <v>0</v>
      </c>
      <c r="I970" s="137">
        <v>0</v>
      </c>
      <c r="J970" s="137">
        <v>0</v>
      </c>
      <c r="K970" s="137">
        <v>0</v>
      </c>
      <c r="L970" s="172">
        <v>0</v>
      </c>
      <c r="M970" s="137">
        <v>0</v>
      </c>
      <c r="N970" s="137">
        <v>0</v>
      </c>
      <c r="O970" s="137">
        <v>3</v>
      </c>
      <c r="P970" s="172">
        <v>0</v>
      </c>
      <c r="Q970" s="137">
        <v>0</v>
      </c>
      <c r="R970" s="137">
        <v>0</v>
      </c>
      <c r="S970" s="172">
        <v>0</v>
      </c>
      <c r="T970" s="137">
        <v>0</v>
      </c>
      <c r="U970" s="137">
        <v>1</v>
      </c>
      <c r="V970" s="172">
        <v>0</v>
      </c>
      <c r="W970" s="137">
        <v>0</v>
      </c>
      <c r="X970" s="137">
        <v>0</v>
      </c>
      <c r="Y970" s="137">
        <v>2</v>
      </c>
      <c r="Z970" s="172">
        <v>0</v>
      </c>
      <c r="AA970" s="137">
        <v>0</v>
      </c>
      <c r="AB970" s="137">
        <v>0</v>
      </c>
      <c r="AC970" s="137">
        <v>1</v>
      </c>
      <c r="AD970" s="172">
        <v>0</v>
      </c>
      <c r="AE970" s="137">
        <v>0</v>
      </c>
      <c r="AF970" s="137">
        <v>2</v>
      </c>
      <c r="AG970" s="171">
        <v>0</v>
      </c>
      <c r="AH970" s="137">
        <v>0</v>
      </c>
      <c r="AI970" s="137">
        <v>0</v>
      </c>
      <c r="AJ970" s="172">
        <v>0</v>
      </c>
      <c r="AK970" s="137">
        <v>0</v>
      </c>
      <c r="AL970" s="137">
        <v>0</v>
      </c>
      <c r="AM970" s="137">
        <v>1</v>
      </c>
      <c r="AN970" s="172">
        <v>0</v>
      </c>
      <c r="AO970" s="137">
        <v>0</v>
      </c>
      <c r="AP970" s="137">
        <v>1</v>
      </c>
      <c r="AQ970" s="172">
        <v>0</v>
      </c>
      <c r="AR970" s="137">
        <v>0</v>
      </c>
      <c r="AS970" s="172" t="s">
        <v>18</v>
      </c>
      <c r="AT970" s="161"/>
      <c r="AU970" s="161"/>
      <c r="AV970" s="161"/>
      <c r="AW970" s="161"/>
      <c r="AX970" s="161"/>
      <c r="AY970" s="161"/>
      <c r="AZ970" s="161"/>
      <c r="BA970" s="161"/>
      <c r="BB970" s="161"/>
      <c r="BC970" s="161"/>
    </row>
    <row r="971" spans="1:55" ht="15.75" customHeight="1" x14ac:dyDescent="0.25">
      <c r="A971" s="128">
        <v>8</v>
      </c>
      <c r="B971" s="136" t="s">
        <v>15</v>
      </c>
      <c r="C971" s="137"/>
      <c r="D971" s="137"/>
      <c r="E971" s="171"/>
      <c r="F971" s="137"/>
      <c r="G971" s="137"/>
      <c r="H971" s="172">
        <v>0</v>
      </c>
      <c r="I971" s="137">
        <v>0</v>
      </c>
      <c r="J971" s="137">
        <v>0</v>
      </c>
      <c r="K971" s="137">
        <v>1</v>
      </c>
      <c r="L971" s="172">
        <v>0</v>
      </c>
      <c r="M971" s="137">
        <v>0</v>
      </c>
      <c r="N971" s="137">
        <v>0</v>
      </c>
      <c r="O971" s="137">
        <v>3</v>
      </c>
      <c r="P971" s="172">
        <v>0</v>
      </c>
      <c r="Q971" s="137">
        <v>0</v>
      </c>
      <c r="R971" s="137">
        <v>0</v>
      </c>
      <c r="S971" s="172">
        <v>0</v>
      </c>
      <c r="T971" s="137">
        <v>0</v>
      </c>
      <c r="U971" s="137">
        <v>1</v>
      </c>
      <c r="V971" s="172">
        <v>0</v>
      </c>
      <c r="W971" s="137">
        <v>0</v>
      </c>
      <c r="X971" s="137">
        <v>0</v>
      </c>
      <c r="Y971" s="137">
        <v>1</v>
      </c>
      <c r="Z971" s="172">
        <v>0</v>
      </c>
      <c r="AA971" s="137">
        <v>0</v>
      </c>
      <c r="AB971" s="137">
        <v>0</v>
      </c>
      <c r="AC971" s="137">
        <v>1</v>
      </c>
      <c r="AD971" s="172">
        <v>0</v>
      </c>
      <c r="AE971" s="137">
        <v>0</v>
      </c>
      <c r="AF971" s="137">
        <v>1</v>
      </c>
      <c r="AG971" s="171">
        <v>0</v>
      </c>
      <c r="AH971" s="137">
        <v>0</v>
      </c>
      <c r="AI971" s="137">
        <v>0</v>
      </c>
      <c r="AJ971" s="172">
        <v>0</v>
      </c>
      <c r="AK971" s="137">
        <v>0</v>
      </c>
      <c r="AL971" s="137">
        <v>0</v>
      </c>
      <c r="AM971" s="137">
        <v>0</v>
      </c>
      <c r="AN971" s="172">
        <v>0</v>
      </c>
      <c r="AO971" s="137">
        <v>0</v>
      </c>
      <c r="AP971" s="137">
        <v>0</v>
      </c>
      <c r="AQ971" s="172">
        <v>0</v>
      </c>
      <c r="AR971" s="137">
        <v>0</v>
      </c>
      <c r="AS971" s="172" t="s">
        <v>18</v>
      </c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</row>
    <row r="972" spans="1:55" ht="15.75" customHeight="1" x14ac:dyDescent="0.25">
      <c r="A972" s="128">
        <v>6100</v>
      </c>
      <c r="B972" s="136" t="s">
        <v>16</v>
      </c>
      <c r="C972" s="137"/>
      <c r="D972" s="137"/>
      <c r="E972" s="171"/>
      <c r="F972" s="137"/>
      <c r="G972" s="137"/>
      <c r="H972" s="172">
        <v>0</v>
      </c>
      <c r="I972" s="137">
        <v>0</v>
      </c>
      <c r="J972" s="137">
        <v>0</v>
      </c>
      <c r="K972" s="137">
        <v>500</v>
      </c>
      <c r="L972" s="172">
        <v>0</v>
      </c>
      <c r="M972" s="137">
        <v>0</v>
      </c>
      <c r="N972" s="137">
        <v>0</v>
      </c>
      <c r="O972" s="137">
        <v>2400</v>
      </c>
      <c r="P972" s="172">
        <v>0</v>
      </c>
      <c r="Q972" s="137">
        <v>0</v>
      </c>
      <c r="R972" s="137">
        <v>0</v>
      </c>
      <c r="S972" s="172">
        <v>0</v>
      </c>
      <c r="T972" s="137">
        <v>0</v>
      </c>
      <c r="U972" s="137">
        <v>800</v>
      </c>
      <c r="V972" s="172">
        <v>0</v>
      </c>
      <c r="W972" s="137">
        <v>0</v>
      </c>
      <c r="X972" s="137">
        <v>0</v>
      </c>
      <c r="Y972" s="137">
        <v>800</v>
      </c>
      <c r="Z972" s="172">
        <v>0</v>
      </c>
      <c r="AA972" s="137">
        <v>0</v>
      </c>
      <c r="AB972" s="137">
        <v>0</v>
      </c>
      <c r="AC972" s="137">
        <v>800</v>
      </c>
      <c r="AD972" s="172">
        <v>0</v>
      </c>
      <c r="AE972" s="137">
        <v>0</v>
      </c>
      <c r="AF972" s="137">
        <v>800</v>
      </c>
      <c r="AG972" s="171">
        <v>0</v>
      </c>
      <c r="AH972" s="137">
        <v>0</v>
      </c>
      <c r="AI972" s="137">
        <v>0</v>
      </c>
      <c r="AJ972" s="172">
        <v>0</v>
      </c>
      <c r="AK972" s="137">
        <v>0</v>
      </c>
      <c r="AL972" s="137">
        <v>0</v>
      </c>
      <c r="AM972" s="137">
        <v>0</v>
      </c>
      <c r="AN972" s="172">
        <v>0</v>
      </c>
      <c r="AO972" s="137">
        <v>0</v>
      </c>
      <c r="AP972" s="137">
        <v>0</v>
      </c>
      <c r="AQ972" s="172">
        <v>0</v>
      </c>
      <c r="AR972" s="137">
        <v>0</v>
      </c>
      <c r="AS972" s="172" t="s">
        <v>18</v>
      </c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</row>
    <row r="973" spans="1:55" ht="15.75" customHeight="1" x14ac:dyDescent="0.25">
      <c r="A973" s="138">
        <v>0.10777385159010601</v>
      </c>
      <c r="B973" s="136" t="s">
        <v>17</v>
      </c>
      <c r="C973" s="147"/>
      <c r="D973" s="147"/>
      <c r="E973" s="183"/>
      <c r="F973" s="147"/>
      <c r="G973" s="147"/>
      <c r="H973" s="184" t="s">
        <v>18</v>
      </c>
      <c r="I973" s="147" t="s">
        <v>18</v>
      </c>
      <c r="J973" s="147" t="s">
        <v>18</v>
      </c>
      <c r="K973" s="147">
        <v>9.0909090909090912E-2</v>
      </c>
      <c r="L973" s="184" t="s">
        <v>18</v>
      </c>
      <c r="M973" s="147" t="s">
        <v>18</v>
      </c>
      <c r="N973" s="147" t="s">
        <v>18</v>
      </c>
      <c r="O973" s="147">
        <v>0.51063829787234039</v>
      </c>
      <c r="P973" s="184" t="s">
        <v>18</v>
      </c>
      <c r="Q973" s="147" t="s">
        <v>18</v>
      </c>
      <c r="R973" s="147" t="s">
        <v>18</v>
      </c>
      <c r="S973" s="184" t="s">
        <v>18</v>
      </c>
      <c r="T973" s="147" t="s">
        <v>18</v>
      </c>
      <c r="U973" s="147">
        <v>0.1</v>
      </c>
      <c r="V973" s="184" t="s">
        <v>18</v>
      </c>
      <c r="W973" s="147" t="s">
        <v>18</v>
      </c>
      <c r="X973" s="147" t="s">
        <v>18</v>
      </c>
      <c r="Y973" s="147">
        <v>0.22857142857142856</v>
      </c>
      <c r="Z973" s="184" t="s">
        <v>18</v>
      </c>
      <c r="AA973" s="147" t="s">
        <v>18</v>
      </c>
      <c r="AB973" s="147" t="s">
        <v>18</v>
      </c>
      <c r="AC973" s="147">
        <v>0.14545454545454545</v>
      </c>
      <c r="AD973" s="184" t="s">
        <v>18</v>
      </c>
      <c r="AE973" s="147" t="s">
        <v>18</v>
      </c>
      <c r="AF973" s="147">
        <v>0.29629629629629628</v>
      </c>
      <c r="AG973" s="183" t="s">
        <v>18</v>
      </c>
      <c r="AH973" s="147" t="s">
        <v>18</v>
      </c>
      <c r="AI973" s="147" t="s">
        <v>18</v>
      </c>
      <c r="AJ973" s="184" t="s">
        <v>18</v>
      </c>
      <c r="AK973" s="147" t="s">
        <v>18</v>
      </c>
      <c r="AL973" s="147" t="s">
        <v>18</v>
      </c>
      <c r="AM973" s="147" t="s">
        <v>18</v>
      </c>
      <c r="AN973" s="184" t="s">
        <v>18</v>
      </c>
      <c r="AO973" s="147" t="s">
        <v>18</v>
      </c>
      <c r="AP973" s="147" t="s">
        <v>18</v>
      </c>
      <c r="AQ973" s="184" t="s">
        <v>18</v>
      </c>
      <c r="AR973" s="147" t="s">
        <v>18</v>
      </c>
      <c r="AS973" s="184" t="s">
        <v>18</v>
      </c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</row>
    <row r="974" spans="1:55" ht="15.75" customHeight="1" x14ac:dyDescent="0.25">
      <c r="A974" s="149" t="s">
        <v>1</v>
      </c>
      <c r="B974" s="150" t="s">
        <v>2</v>
      </c>
      <c r="C974" s="130"/>
      <c r="D974" s="130">
        <v>4957</v>
      </c>
      <c r="E974" s="174">
        <v>4957</v>
      </c>
      <c r="F974" s="130">
        <v>4957</v>
      </c>
      <c r="G974" s="130">
        <v>4997</v>
      </c>
      <c r="H974" s="175">
        <v>4997</v>
      </c>
      <c r="I974" s="130">
        <v>4997</v>
      </c>
      <c r="J974" s="130">
        <v>4997</v>
      </c>
      <c r="K974" s="130">
        <v>5037</v>
      </c>
      <c r="L974" s="175">
        <v>5037</v>
      </c>
      <c r="M974" s="130">
        <v>5037</v>
      </c>
      <c r="N974" s="130">
        <v>5037</v>
      </c>
      <c r="O974" s="130">
        <v>5176</v>
      </c>
      <c r="P974" s="175">
        <v>5176</v>
      </c>
      <c r="Q974" s="130">
        <v>5176</v>
      </c>
      <c r="R974" s="130">
        <v>5285</v>
      </c>
      <c r="S974" s="175">
        <v>5285</v>
      </c>
      <c r="T974" s="130">
        <v>5285</v>
      </c>
      <c r="U974" s="130">
        <v>5534</v>
      </c>
      <c r="V974" s="175">
        <v>5534</v>
      </c>
      <c r="W974" s="130">
        <v>5534</v>
      </c>
      <c r="X974" s="130">
        <v>5534</v>
      </c>
      <c r="Y974" s="130">
        <v>5659</v>
      </c>
      <c r="Z974" s="175">
        <v>5659</v>
      </c>
      <c r="AA974" s="130">
        <v>5659</v>
      </c>
      <c r="AB974" s="130">
        <v>5659</v>
      </c>
      <c r="AC974" s="130">
        <v>5768</v>
      </c>
      <c r="AD974" s="175">
        <v>5768</v>
      </c>
      <c r="AE974" s="130">
        <v>5768</v>
      </c>
      <c r="AF974" s="130">
        <v>5857</v>
      </c>
      <c r="AG974" s="174">
        <v>5857</v>
      </c>
      <c r="AH974" s="130">
        <v>5857</v>
      </c>
      <c r="AI974" s="130">
        <v>5919</v>
      </c>
      <c r="AJ974" s="175">
        <v>5919</v>
      </c>
      <c r="AK974" s="130">
        <v>5919</v>
      </c>
      <c r="AL974" s="130">
        <v>5919</v>
      </c>
      <c r="AM974" s="130">
        <v>6001</v>
      </c>
      <c r="AN974" s="175">
        <v>6001</v>
      </c>
      <c r="AO974" s="130">
        <v>6001</v>
      </c>
      <c r="AP974" s="130">
        <v>6076</v>
      </c>
      <c r="AQ974" s="175">
        <v>6076</v>
      </c>
      <c r="AR974" s="130">
        <v>6110</v>
      </c>
      <c r="AS974" s="175" t="s">
        <v>18</v>
      </c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</row>
    <row r="975" spans="1:55" ht="15.75" customHeight="1" x14ac:dyDescent="0.25">
      <c r="A975" s="121" t="s">
        <v>40</v>
      </c>
      <c r="B975" s="122" t="s">
        <v>4</v>
      </c>
      <c r="C975" s="124"/>
      <c r="D975" s="124">
        <v>226</v>
      </c>
      <c r="E975" s="171">
        <v>226</v>
      </c>
      <c r="F975" s="124">
        <v>226</v>
      </c>
      <c r="G975" s="124">
        <v>229</v>
      </c>
      <c r="H975" s="172">
        <v>229</v>
      </c>
      <c r="I975" s="124">
        <v>229</v>
      </c>
      <c r="J975" s="124">
        <v>229</v>
      </c>
      <c r="K975" s="124">
        <v>234</v>
      </c>
      <c r="L975" s="172">
        <v>234</v>
      </c>
      <c r="M975" s="124">
        <v>234</v>
      </c>
      <c r="N975" s="124">
        <v>234</v>
      </c>
      <c r="O975" s="124">
        <v>253</v>
      </c>
      <c r="P975" s="172">
        <v>253</v>
      </c>
      <c r="Q975" s="124">
        <v>253</v>
      </c>
      <c r="R975" s="124">
        <v>276</v>
      </c>
      <c r="S975" s="172">
        <v>276</v>
      </c>
      <c r="T975" s="124">
        <v>276</v>
      </c>
      <c r="U975" s="124">
        <v>285</v>
      </c>
      <c r="V975" s="172">
        <v>285</v>
      </c>
      <c r="W975" s="124">
        <v>285</v>
      </c>
      <c r="X975" s="124">
        <v>285</v>
      </c>
      <c r="Y975" s="124">
        <v>293</v>
      </c>
      <c r="Z975" s="172">
        <v>293</v>
      </c>
      <c r="AA975" s="124">
        <v>293</v>
      </c>
      <c r="AB975" s="124">
        <v>293</v>
      </c>
      <c r="AC975" s="124">
        <v>302</v>
      </c>
      <c r="AD975" s="172">
        <v>302</v>
      </c>
      <c r="AE975" s="124">
        <v>302</v>
      </c>
      <c r="AF975" s="124">
        <v>305</v>
      </c>
      <c r="AG975" s="171">
        <v>305</v>
      </c>
      <c r="AH975" s="124">
        <v>305</v>
      </c>
      <c r="AI975" s="124">
        <v>311</v>
      </c>
      <c r="AJ975" s="172">
        <v>311</v>
      </c>
      <c r="AK975" s="124">
        <v>311</v>
      </c>
      <c r="AL975" s="124">
        <v>311</v>
      </c>
      <c r="AM975" s="124">
        <v>313</v>
      </c>
      <c r="AN975" s="172">
        <v>313</v>
      </c>
      <c r="AO975" s="124">
        <v>313</v>
      </c>
      <c r="AP975" s="124">
        <v>322</v>
      </c>
      <c r="AQ975" s="172">
        <v>322</v>
      </c>
      <c r="AR975" s="124">
        <v>325</v>
      </c>
      <c r="AS975" s="172" t="s">
        <v>18</v>
      </c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</row>
    <row r="976" spans="1:55" ht="15.75" customHeight="1" x14ac:dyDescent="0.25">
      <c r="A976" s="143">
        <v>3</v>
      </c>
      <c r="B976" s="122" t="s">
        <v>5</v>
      </c>
      <c r="C976" s="124"/>
      <c r="D976" s="124">
        <v>17</v>
      </c>
      <c r="E976" s="171">
        <v>31</v>
      </c>
      <c r="F976" s="124">
        <v>31</v>
      </c>
      <c r="G976" s="124">
        <v>31</v>
      </c>
      <c r="H976" s="172">
        <v>59</v>
      </c>
      <c r="I976" s="124">
        <v>59</v>
      </c>
      <c r="J976" s="124">
        <v>59</v>
      </c>
      <c r="K976" s="124">
        <v>55</v>
      </c>
      <c r="L976" s="172">
        <v>40</v>
      </c>
      <c r="M976" s="124">
        <v>40</v>
      </c>
      <c r="N976" s="124">
        <v>40</v>
      </c>
      <c r="O976" s="124">
        <v>29</v>
      </c>
      <c r="P976" s="172">
        <v>29</v>
      </c>
      <c r="Q976" s="124">
        <v>29</v>
      </c>
      <c r="R976" s="124">
        <v>14</v>
      </c>
      <c r="S976" s="172">
        <v>44</v>
      </c>
      <c r="T976" s="124">
        <v>44</v>
      </c>
      <c r="U976" s="124">
        <v>35</v>
      </c>
      <c r="V976" s="172">
        <v>45</v>
      </c>
      <c r="W976" s="124">
        <v>45</v>
      </c>
      <c r="X976" s="124">
        <v>45</v>
      </c>
      <c r="Y976" s="124">
        <v>37</v>
      </c>
      <c r="Z976" s="172">
        <v>37</v>
      </c>
      <c r="AA976" s="124">
        <v>37</v>
      </c>
      <c r="AB976" s="124">
        <v>37</v>
      </c>
      <c r="AC976" s="124">
        <v>30</v>
      </c>
      <c r="AD976" s="172">
        <v>37</v>
      </c>
      <c r="AE976" s="124">
        <v>37</v>
      </c>
      <c r="AF976" s="124">
        <v>35</v>
      </c>
      <c r="AG976" s="171">
        <v>35</v>
      </c>
      <c r="AH976" s="124">
        <v>35</v>
      </c>
      <c r="AI976" s="124">
        <v>31</v>
      </c>
      <c r="AJ976" s="172">
        <v>31</v>
      </c>
      <c r="AK976" s="124">
        <v>31</v>
      </c>
      <c r="AL976" s="124">
        <v>31</v>
      </c>
      <c r="AM976" s="124">
        <v>29</v>
      </c>
      <c r="AN976" s="172">
        <v>29</v>
      </c>
      <c r="AO976" s="124">
        <v>29</v>
      </c>
      <c r="AP976" s="124">
        <v>24</v>
      </c>
      <c r="AQ976" s="172">
        <v>30</v>
      </c>
      <c r="AR976" s="124">
        <v>27</v>
      </c>
      <c r="AS976" s="172" t="s">
        <v>18</v>
      </c>
      <c r="AT976" s="161"/>
      <c r="AU976" s="161"/>
      <c r="AV976" s="161"/>
      <c r="AW976" s="161"/>
      <c r="AX976" s="161"/>
      <c r="AY976" s="161"/>
      <c r="AZ976" s="161"/>
      <c r="BA976" s="161"/>
      <c r="BB976" s="161"/>
      <c r="BC976" s="161"/>
    </row>
    <row r="977" spans="1:55" ht="15.75" customHeight="1" x14ac:dyDescent="0.25">
      <c r="A977" s="127"/>
      <c r="B977" s="122" t="s">
        <v>6</v>
      </c>
      <c r="C977" s="124"/>
      <c r="D977" s="124">
        <v>14</v>
      </c>
      <c r="E977" s="171"/>
      <c r="F977" s="124"/>
      <c r="G977" s="124">
        <v>28</v>
      </c>
      <c r="H977" s="172"/>
      <c r="I977" s="124"/>
      <c r="J977" s="124"/>
      <c r="K977" s="124">
        <v>-15</v>
      </c>
      <c r="L977" s="172"/>
      <c r="M977" s="124"/>
      <c r="N977" s="124"/>
      <c r="O977" s="124"/>
      <c r="P977" s="172"/>
      <c r="Q977" s="124"/>
      <c r="R977" s="124">
        <v>30</v>
      </c>
      <c r="S977" s="172"/>
      <c r="T977" s="124"/>
      <c r="U977" s="124">
        <v>10</v>
      </c>
      <c r="V977" s="172"/>
      <c r="W977" s="124"/>
      <c r="X977" s="124"/>
      <c r="Y977" s="124"/>
      <c r="Z977" s="172"/>
      <c r="AA977" s="124"/>
      <c r="AB977" s="124"/>
      <c r="AC977" s="124">
        <v>7</v>
      </c>
      <c r="AD977" s="172"/>
      <c r="AE977" s="124"/>
      <c r="AF977" s="124"/>
      <c r="AG977" s="171"/>
      <c r="AH977" s="124"/>
      <c r="AI977" s="124"/>
      <c r="AJ977" s="172"/>
      <c r="AK977" s="124"/>
      <c r="AL977" s="124"/>
      <c r="AM977" s="124"/>
      <c r="AN977" s="172"/>
      <c r="AO977" s="124"/>
      <c r="AP977" s="124">
        <v>6</v>
      </c>
      <c r="AQ977" s="172"/>
      <c r="AR977" s="124"/>
      <c r="AS977" s="172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</row>
    <row r="978" spans="1:55" ht="15.75" customHeight="1" x14ac:dyDescent="0.25">
      <c r="A978" s="128"/>
      <c r="B978" s="122" t="s">
        <v>8</v>
      </c>
      <c r="C978" s="130"/>
      <c r="D978" s="130">
        <v>880</v>
      </c>
      <c r="E978" s="174">
        <v>880</v>
      </c>
      <c r="F978" s="130">
        <v>880</v>
      </c>
      <c r="G978" s="130">
        <v>880</v>
      </c>
      <c r="H978" s="175">
        <v>880</v>
      </c>
      <c r="I978" s="130">
        <v>880</v>
      </c>
      <c r="J978" s="130">
        <v>880</v>
      </c>
      <c r="K978" s="130">
        <v>880</v>
      </c>
      <c r="L978" s="175">
        <v>400</v>
      </c>
      <c r="M978" s="130">
        <v>400</v>
      </c>
      <c r="N978" s="130">
        <v>400</v>
      </c>
      <c r="O978" s="130">
        <v>400</v>
      </c>
      <c r="P978" s="175">
        <v>400</v>
      </c>
      <c r="Q978" s="130">
        <v>400</v>
      </c>
      <c r="R978" s="130">
        <v>400</v>
      </c>
      <c r="S978" s="175">
        <v>400</v>
      </c>
      <c r="T978" s="130">
        <v>400</v>
      </c>
      <c r="U978" s="130">
        <v>400</v>
      </c>
      <c r="V978" s="175">
        <v>400</v>
      </c>
      <c r="W978" s="130">
        <v>400</v>
      </c>
      <c r="X978" s="130">
        <v>400</v>
      </c>
      <c r="Y978" s="130">
        <v>400</v>
      </c>
      <c r="Z978" s="175">
        <v>400</v>
      </c>
      <c r="AA978" s="130">
        <v>400</v>
      </c>
      <c r="AB978" s="130">
        <v>400</v>
      </c>
      <c r="AC978" s="130">
        <v>400</v>
      </c>
      <c r="AD978" s="175">
        <v>400</v>
      </c>
      <c r="AE978" s="130">
        <v>400</v>
      </c>
      <c r="AF978" s="130">
        <v>400</v>
      </c>
      <c r="AG978" s="174">
        <v>400</v>
      </c>
      <c r="AH978" s="130">
        <v>400</v>
      </c>
      <c r="AI978" s="130">
        <v>400</v>
      </c>
      <c r="AJ978" s="175">
        <v>400</v>
      </c>
      <c r="AK978" s="130">
        <v>400</v>
      </c>
      <c r="AL978" s="130">
        <v>400</v>
      </c>
      <c r="AM978" s="130">
        <v>400</v>
      </c>
      <c r="AN978" s="175">
        <v>400</v>
      </c>
      <c r="AO978" s="130">
        <v>400</v>
      </c>
      <c r="AP978" s="130">
        <v>400</v>
      </c>
      <c r="AQ978" s="175">
        <v>400</v>
      </c>
      <c r="AR978" s="130">
        <v>400</v>
      </c>
      <c r="AS978" s="175" t="s">
        <v>18</v>
      </c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</row>
    <row r="979" spans="1:55" ht="15.75" customHeight="1" x14ac:dyDescent="0.25">
      <c r="A979" s="127" t="s">
        <v>9</v>
      </c>
      <c r="B979" s="132" t="s">
        <v>10</v>
      </c>
      <c r="C979" s="134"/>
      <c r="D979" s="134" t="s">
        <v>138</v>
      </c>
      <c r="E979" s="177" t="s">
        <v>138</v>
      </c>
      <c r="F979" s="134" t="s">
        <v>138</v>
      </c>
      <c r="G979" s="134" t="s">
        <v>138</v>
      </c>
      <c r="H979" s="178" t="s">
        <v>138</v>
      </c>
      <c r="I979" s="134" t="s">
        <v>138</v>
      </c>
      <c r="J979" s="134" t="s">
        <v>138</v>
      </c>
      <c r="K979" s="134" t="s">
        <v>138</v>
      </c>
      <c r="L979" s="178" t="s">
        <v>43</v>
      </c>
      <c r="M979" s="134" t="s">
        <v>43</v>
      </c>
      <c r="N979" s="134" t="s">
        <v>43</v>
      </c>
      <c r="O979" s="134" t="s">
        <v>43</v>
      </c>
      <c r="P979" s="178" t="s">
        <v>43</v>
      </c>
      <c r="Q979" s="134" t="s">
        <v>43</v>
      </c>
      <c r="R979" s="134" t="s">
        <v>43</v>
      </c>
      <c r="S979" s="178" t="s">
        <v>43</v>
      </c>
      <c r="T979" s="134" t="s">
        <v>43</v>
      </c>
      <c r="U979" s="134" t="s">
        <v>43</v>
      </c>
      <c r="V979" s="178" t="s">
        <v>43</v>
      </c>
      <c r="W979" s="134" t="s">
        <v>43</v>
      </c>
      <c r="X979" s="134" t="s">
        <v>43</v>
      </c>
      <c r="Y979" s="134" t="s">
        <v>43</v>
      </c>
      <c r="Z979" s="178" t="s">
        <v>43</v>
      </c>
      <c r="AA979" s="134" t="s">
        <v>43</v>
      </c>
      <c r="AB979" s="134" t="s">
        <v>43</v>
      </c>
      <c r="AC979" s="134" t="s">
        <v>43</v>
      </c>
      <c r="AD979" s="178" t="s">
        <v>43</v>
      </c>
      <c r="AE979" s="134" t="s">
        <v>43</v>
      </c>
      <c r="AF979" s="134" t="s">
        <v>43</v>
      </c>
      <c r="AG979" s="177" t="s">
        <v>43</v>
      </c>
      <c r="AH979" s="134" t="s">
        <v>43</v>
      </c>
      <c r="AI979" s="134" t="s">
        <v>43</v>
      </c>
      <c r="AJ979" s="178" t="s">
        <v>43</v>
      </c>
      <c r="AK979" s="134" t="s">
        <v>43</v>
      </c>
      <c r="AL979" s="134" t="s">
        <v>43</v>
      </c>
      <c r="AM979" s="134" t="s">
        <v>43</v>
      </c>
      <c r="AN979" s="178" t="s">
        <v>43</v>
      </c>
      <c r="AO979" s="134" t="s">
        <v>43</v>
      </c>
      <c r="AP979" s="134" t="s">
        <v>43</v>
      </c>
      <c r="AQ979" s="178" t="s">
        <v>43</v>
      </c>
      <c r="AR979" s="134" t="s">
        <v>43</v>
      </c>
      <c r="AS979" s="178" t="s">
        <v>18</v>
      </c>
      <c r="AT979" s="189"/>
      <c r="AU979" s="189"/>
      <c r="AV979" s="189"/>
      <c r="AW979" s="189"/>
      <c r="AX979" s="189"/>
      <c r="AY979" s="189"/>
      <c r="AZ979" s="189"/>
      <c r="BA979" s="189"/>
      <c r="BB979" s="189"/>
      <c r="BC979" s="189"/>
    </row>
    <row r="980" spans="1:55" ht="15.75" customHeight="1" x14ac:dyDescent="0.25">
      <c r="A980" s="128">
        <v>91026.31578947368</v>
      </c>
      <c r="B980" s="122" t="s">
        <v>12</v>
      </c>
      <c r="C980" s="124"/>
      <c r="D980" s="124"/>
      <c r="E980" s="171"/>
      <c r="F980" s="124"/>
      <c r="G980" s="124"/>
      <c r="H980" s="172"/>
      <c r="I980" s="124"/>
      <c r="J980" s="124"/>
      <c r="K980" s="124"/>
      <c r="L980" s="172" t="s">
        <v>139</v>
      </c>
      <c r="M980" s="124"/>
      <c r="N980" s="124"/>
      <c r="O980" s="124"/>
      <c r="P980" s="172" t="s">
        <v>140</v>
      </c>
      <c r="Q980" s="124"/>
      <c r="R980" s="124"/>
      <c r="S980" s="172" t="s">
        <v>32</v>
      </c>
      <c r="T980" s="124"/>
      <c r="U980" s="124"/>
      <c r="V980" s="172"/>
      <c r="W980" s="124"/>
      <c r="X980" s="124"/>
      <c r="Y980" s="124"/>
      <c r="Z980" s="172"/>
      <c r="AA980" s="124"/>
      <c r="AB980" s="124"/>
      <c r="AC980" s="124"/>
      <c r="AD980" s="172"/>
      <c r="AE980" s="124"/>
      <c r="AF980" s="124"/>
      <c r="AG980" s="171"/>
      <c r="AH980" s="124"/>
      <c r="AI980" s="124"/>
      <c r="AJ980" s="172"/>
      <c r="AK980" s="124"/>
      <c r="AL980" s="124"/>
      <c r="AM980" s="124"/>
      <c r="AN980" s="172"/>
      <c r="AO980" s="124"/>
      <c r="AP980" s="124"/>
      <c r="AQ980" s="172"/>
      <c r="AR980" s="124"/>
      <c r="AS980" s="172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</row>
    <row r="981" spans="1:55" ht="15.75" customHeight="1" x14ac:dyDescent="0.25">
      <c r="A981" s="128">
        <v>1153</v>
      </c>
      <c r="B981" s="136" t="s">
        <v>13</v>
      </c>
      <c r="C981" s="137"/>
      <c r="D981" s="137"/>
      <c r="E981" s="171"/>
      <c r="F981" s="137"/>
      <c r="G981" s="137">
        <v>40</v>
      </c>
      <c r="H981" s="172">
        <v>0</v>
      </c>
      <c r="I981" s="137">
        <v>0</v>
      </c>
      <c r="J981" s="137">
        <v>0</v>
      </c>
      <c r="K981" s="137">
        <v>40</v>
      </c>
      <c r="L981" s="172">
        <v>0</v>
      </c>
      <c r="M981" s="137">
        <v>0</v>
      </c>
      <c r="N981" s="137">
        <v>0</v>
      </c>
      <c r="O981" s="137">
        <v>139</v>
      </c>
      <c r="P981" s="172">
        <v>0</v>
      </c>
      <c r="Q981" s="137">
        <v>0</v>
      </c>
      <c r="R981" s="137">
        <v>109</v>
      </c>
      <c r="S981" s="172">
        <v>0</v>
      </c>
      <c r="T981" s="137">
        <v>0</v>
      </c>
      <c r="U981" s="137">
        <v>249</v>
      </c>
      <c r="V981" s="172">
        <v>0</v>
      </c>
      <c r="W981" s="137">
        <v>0</v>
      </c>
      <c r="X981" s="137">
        <v>0</v>
      </c>
      <c r="Y981" s="137">
        <v>125</v>
      </c>
      <c r="Z981" s="172">
        <v>0</v>
      </c>
      <c r="AA981" s="137">
        <v>0</v>
      </c>
      <c r="AB981" s="137">
        <v>0</v>
      </c>
      <c r="AC981" s="137">
        <v>109</v>
      </c>
      <c r="AD981" s="172">
        <v>0</v>
      </c>
      <c r="AE981" s="137">
        <v>0</v>
      </c>
      <c r="AF981" s="137">
        <v>89</v>
      </c>
      <c r="AG981" s="171">
        <v>0</v>
      </c>
      <c r="AH981" s="137">
        <v>0</v>
      </c>
      <c r="AI981" s="137">
        <v>62</v>
      </c>
      <c r="AJ981" s="172">
        <v>0</v>
      </c>
      <c r="AK981" s="137">
        <v>0</v>
      </c>
      <c r="AL981" s="137">
        <v>0</v>
      </c>
      <c r="AM981" s="137">
        <v>82</v>
      </c>
      <c r="AN981" s="172">
        <v>0</v>
      </c>
      <c r="AO981" s="137">
        <v>0</v>
      </c>
      <c r="AP981" s="137">
        <v>75</v>
      </c>
      <c r="AQ981" s="172">
        <v>0</v>
      </c>
      <c r="AR981" s="137">
        <v>34</v>
      </c>
      <c r="AS981" s="172" t="s">
        <v>18</v>
      </c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</row>
    <row r="982" spans="1:55" ht="15.75" customHeight="1" x14ac:dyDescent="0.25">
      <c r="A982" s="128">
        <v>96</v>
      </c>
      <c r="B982" s="136" t="s">
        <v>14</v>
      </c>
      <c r="C982" s="137"/>
      <c r="D982" s="137"/>
      <c r="E982" s="171"/>
      <c r="F982" s="137"/>
      <c r="G982" s="137"/>
      <c r="H982" s="172">
        <v>0</v>
      </c>
      <c r="I982" s="137">
        <v>0</v>
      </c>
      <c r="J982" s="137">
        <v>0</v>
      </c>
      <c r="K982" s="137">
        <v>5</v>
      </c>
      <c r="L982" s="172">
        <v>0</v>
      </c>
      <c r="M982" s="137">
        <v>0</v>
      </c>
      <c r="N982" s="137">
        <v>0</v>
      </c>
      <c r="O982" s="137">
        <v>19</v>
      </c>
      <c r="P982" s="172">
        <v>0</v>
      </c>
      <c r="Q982" s="137">
        <v>0</v>
      </c>
      <c r="R982" s="137">
        <v>23</v>
      </c>
      <c r="S982" s="172">
        <v>0</v>
      </c>
      <c r="T982" s="137">
        <v>0</v>
      </c>
      <c r="U982" s="137">
        <v>9</v>
      </c>
      <c r="V982" s="172">
        <v>0</v>
      </c>
      <c r="W982" s="137">
        <v>0</v>
      </c>
      <c r="X982" s="137">
        <v>0</v>
      </c>
      <c r="Y982" s="137">
        <v>8</v>
      </c>
      <c r="Z982" s="172">
        <v>0</v>
      </c>
      <c r="AA982" s="137">
        <v>0</v>
      </c>
      <c r="AB982" s="137">
        <v>0</v>
      </c>
      <c r="AC982" s="137">
        <v>9</v>
      </c>
      <c r="AD982" s="172">
        <v>0</v>
      </c>
      <c r="AE982" s="137">
        <v>0</v>
      </c>
      <c r="AF982" s="137">
        <v>3</v>
      </c>
      <c r="AG982" s="171">
        <v>0</v>
      </c>
      <c r="AH982" s="137">
        <v>0</v>
      </c>
      <c r="AI982" s="137">
        <v>6</v>
      </c>
      <c r="AJ982" s="172">
        <v>0</v>
      </c>
      <c r="AK982" s="137">
        <v>0</v>
      </c>
      <c r="AL982" s="137">
        <v>0</v>
      </c>
      <c r="AM982" s="137">
        <v>2</v>
      </c>
      <c r="AN982" s="172">
        <v>0</v>
      </c>
      <c r="AO982" s="137">
        <v>0</v>
      </c>
      <c r="AP982" s="137">
        <v>9</v>
      </c>
      <c r="AQ982" s="172">
        <v>0</v>
      </c>
      <c r="AR982" s="137">
        <v>3</v>
      </c>
      <c r="AS982" s="172" t="s">
        <v>18</v>
      </c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</row>
    <row r="983" spans="1:55" ht="15.75" customHeight="1" x14ac:dyDescent="0.25">
      <c r="A983" s="128">
        <v>70</v>
      </c>
      <c r="B983" s="136" t="s">
        <v>15</v>
      </c>
      <c r="C983" s="137"/>
      <c r="D983" s="137"/>
      <c r="E983" s="171"/>
      <c r="F983" s="137"/>
      <c r="G983" s="137"/>
      <c r="H983" s="172">
        <v>0</v>
      </c>
      <c r="I983" s="137">
        <v>0</v>
      </c>
      <c r="J983" s="137">
        <v>0</v>
      </c>
      <c r="K983" s="137">
        <v>4</v>
      </c>
      <c r="L983" s="172">
        <v>0</v>
      </c>
      <c r="M983" s="137">
        <v>0</v>
      </c>
      <c r="N983" s="137">
        <v>0</v>
      </c>
      <c r="O983" s="137">
        <v>11</v>
      </c>
      <c r="P983" s="172">
        <v>0</v>
      </c>
      <c r="Q983" s="137">
        <v>0</v>
      </c>
      <c r="R983" s="137">
        <v>15</v>
      </c>
      <c r="S983" s="172">
        <v>0</v>
      </c>
      <c r="T983" s="137">
        <v>0</v>
      </c>
      <c r="U983" s="137">
        <v>9</v>
      </c>
      <c r="V983" s="172">
        <v>0</v>
      </c>
      <c r="W983" s="137">
        <v>0</v>
      </c>
      <c r="X983" s="137">
        <v>0</v>
      </c>
      <c r="Y983" s="137">
        <v>8</v>
      </c>
      <c r="Z983" s="172">
        <v>0</v>
      </c>
      <c r="AA983" s="137">
        <v>0</v>
      </c>
      <c r="AB983" s="137">
        <v>0</v>
      </c>
      <c r="AC983" s="137">
        <v>7</v>
      </c>
      <c r="AD983" s="172">
        <v>0</v>
      </c>
      <c r="AE983" s="137">
        <v>0</v>
      </c>
      <c r="AF983" s="137">
        <v>2</v>
      </c>
      <c r="AG983" s="171">
        <v>0</v>
      </c>
      <c r="AH983" s="137">
        <v>0</v>
      </c>
      <c r="AI983" s="137">
        <v>4</v>
      </c>
      <c r="AJ983" s="172">
        <v>0</v>
      </c>
      <c r="AK983" s="137">
        <v>0</v>
      </c>
      <c r="AL983" s="137">
        <v>0</v>
      </c>
      <c r="AM983" s="137">
        <v>2</v>
      </c>
      <c r="AN983" s="172">
        <v>0</v>
      </c>
      <c r="AO983" s="137">
        <v>0</v>
      </c>
      <c r="AP983" s="137">
        <v>5</v>
      </c>
      <c r="AQ983" s="172">
        <v>0</v>
      </c>
      <c r="AR983" s="137">
        <v>3</v>
      </c>
      <c r="AS983" s="172" t="s">
        <v>18</v>
      </c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</row>
    <row r="984" spans="1:55" ht="15.75" customHeight="1" x14ac:dyDescent="0.25">
      <c r="A984" s="128">
        <v>29920</v>
      </c>
      <c r="B984" s="136" t="s">
        <v>16</v>
      </c>
      <c r="C984" s="137"/>
      <c r="D984" s="137"/>
      <c r="E984" s="171"/>
      <c r="F984" s="137"/>
      <c r="G984" s="137"/>
      <c r="H984" s="172">
        <v>0</v>
      </c>
      <c r="I984" s="137">
        <v>0</v>
      </c>
      <c r="J984" s="137">
        <v>0</v>
      </c>
      <c r="K984" s="137">
        <v>3520</v>
      </c>
      <c r="L984" s="172">
        <v>0</v>
      </c>
      <c r="M984" s="137">
        <v>0</v>
      </c>
      <c r="N984" s="137">
        <v>0</v>
      </c>
      <c r="O984" s="137">
        <v>4400</v>
      </c>
      <c r="P984" s="172">
        <v>0</v>
      </c>
      <c r="Q984" s="137">
        <v>0</v>
      </c>
      <c r="R984" s="137">
        <v>6000</v>
      </c>
      <c r="S984" s="172">
        <v>0</v>
      </c>
      <c r="T984" s="137">
        <v>0</v>
      </c>
      <c r="U984" s="137">
        <v>3600</v>
      </c>
      <c r="V984" s="172">
        <v>0</v>
      </c>
      <c r="W984" s="137">
        <v>0</v>
      </c>
      <c r="X984" s="137">
        <v>0</v>
      </c>
      <c r="Y984" s="137">
        <v>3200</v>
      </c>
      <c r="Z984" s="172">
        <v>0</v>
      </c>
      <c r="AA984" s="137">
        <v>0</v>
      </c>
      <c r="AB984" s="137">
        <v>0</v>
      </c>
      <c r="AC984" s="137">
        <v>2800</v>
      </c>
      <c r="AD984" s="172">
        <v>0</v>
      </c>
      <c r="AE984" s="137">
        <v>0</v>
      </c>
      <c r="AF984" s="137">
        <v>800</v>
      </c>
      <c r="AG984" s="171">
        <v>0</v>
      </c>
      <c r="AH984" s="137">
        <v>0</v>
      </c>
      <c r="AI984" s="137">
        <v>1600</v>
      </c>
      <c r="AJ984" s="172">
        <v>0</v>
      </c>
      <c r="AK984" s="137">
        <v>0</v>
      </c>
      <c r="AL984" s="137">
        <v>0</v>
      </c>
      <c r="AM984" s="137">
        <v>800</v>
      </c>
      <c r="AN984" s="172">
        <v>0</v>
      </c>
      <c r="AO984" s="137">
        <v>0</v>
      </c>
      <c r="AP984" s="137">
        <v>2000</v>
      </c>
      <c r="AQ984" s="172">
        <v>0</v>
      </c>
      <c r="AR984" s="137">
        <v>1200</v>
      </c>
      <c r="AS984" s="172" t="s">
        <v>18</v>
      </c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</row>
    <row r="985" spans="1:55" ht="15.75" customHeight="1" x14ac:dyDescent="0.25">
      <c r="A985" s="138">
        <v>0.25949696444058978</v>
      </c>
      <c r="B985" s="136" t="s">
        <v>17</v>
      </c>
      <c r="C985" s="147"/>
      <c r="D985" s="147"/>
      <c r="E985" s="183"/>
      <c r="F985" s="147"/>
      <c r="G985" s="147"/>
      <c r="H985" s="184" t="s">
        <v>18</v>
      </c>
      <c r="I985" s="147" t="s">
        <v>18</v>
      </c>
      <c r="J985" s="147" t="s">
        <v>18</v>
      </c>
      <c r="K985" s="147">
        <v>0.88</v>
      </c>
      <c r="L985" s="184" t="s">
        <v>18</v>
      </c>
      <c r="M985" s="147" t="s">
        <v>18</v>
      </c>
      <c r="N985" s="147" t="s">
        <v>18</v>
      </c>
      <c r="O985" s="147">
        <v>0.31654676258992803</v>
      </c>
      <c r="P985" s="184" t="s">
        <v>18</v>
      </c>
      <c r="Q985" s="147" t="s">
        <v>18</v>
      </c>
      <c r="R985" s="147">
        <v>0.55045871559633031</v>
      </c>
      <c r="S985" s="184" t="s">
        <v>18</v>
      </c>
      <c r="T985" s="147" t="s">
        <v>18</v>
      </c>
      <c r="U985" s="147">
        <v>0.14457831325301204</v>
      </c>
      <c r="V985" s="184" t="s">
        <v>18</v>
      </c>
      <c r="W985" s="147" t="s">
        <v>18</v>
      </c>
      <c r="X985" s="147" t="s">
        <v>18</v>
      </c>
      <c r="Y985" s="147">
        <v>0.25600000000000001</v>
      </c>
      <c r="Z985" s="184" t="s">
        <v>18</v>
      </c>
      <c r="AA985" s="147" t="s">
        <v>18</v>
      </c>
      <c r="AB985" s="147" t="s">
        <v>18</v>
      </c>
      <c r="AC985" s="147">
        <v>0.25688073394495414</v>
      </c>
      <c r="AD985" s="184" t="s">
        <v>18</v>
      </c>
      <c r="AE985" s="147" t="s">
        <v>18</v>
      </c>
      <c r="AF985" s="147">
        <v>8.98876404494382E-2</v>
      </c>
      <c r="AG985" s="183" t="s">
        <v>18</v>
      </c>
      <c r="AH985" s="147" t="s">
        <v>18</v>
      </c>
      <c r="AI985" s="147">
        <v>0.25806451612903225</v>
      </c>
      <c r="AJ985" s="184" t="s">
        <v>18</v>
      </c>
      <c r="AK985" s="147" t="s">
        <v>18</v>
      </c>
      <c r="AL985" s="147" t="s">
        <v>18</v>
      </c>
      <c r="AM985" s="147">
        <v>9.7560975609756101E-2</v>
      </c>
      <c r="AN985" s="184" t="s">
        <v>18</v>
      </c>
      <c r="AO985" s="147" t="s">
        <v>18</v>
      </c>
      <c r="AP985" s="147">
        <v>0.26666666666666666</v>
      </c>
      <c r="AQ985" s="184" t="s">
        <v>18</v>
      </c>
      <c r="AR985" s="147">
        <v>0.35294117647058826</v>
      </c>
      <c r="AS985" s="184" t="s">
        <v>18</v>
      </c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</row>
    <row r="986" spans="1:55" ht="15.75" customHeight="1" x14ac:dyDescent="0.25">
      <c r="A986" s="149" t="s">
        <v>1</v>
      </c>
      <c r="B986" s="150" t="s">
        <v>2</v>
      </c>
      <c r="C986" s="130"/>
      <c r="D986" s="130">
        <v>5582</v>
      </c>
      <c r="E986" s="174">
        <v>5582</v>
      </c>
      <c r="F986" s="130">
        <v>5582</v>
      </c>
      <c r="G986" s="130">
        <v>5675</v>
      </c>
      <c r="H986" s="175">
        <v>5675</v>
      </c>
      <c r="I986" s="130">
        <v>5675</v>
      </c>
      <c r="J986" s="130">
        <v>5675</v>
      </c>
      <c r="K986" s="130">
        <v>5753</v>
      </c>
      <c r="L986" s="175">
        <v>5753</v>
      </c>
      <c r="M986" s="130">
        <v>5753</v>
      </c>
      <c r="N986" s="130">
        <v>5753</v>
      </c>
      <c r="O986" s="130">
        <v>5841</v>
      </c>
      <c r="P986" s="175">
        <v>5841</v>
      </c>
      <c r="Q986" s="130">
        <v>5841</v>
      </c>
      <c r="R986" s="130">
        <v>5913</v>
      </c>
      <c r="S986" s="175">
        <v>5913</v>
      </c>
      <c r="T986" s="130">
        <v>5913</v>
      </c>
      <c r="U986" s="130">
        <v>6061</v>
      </c>
      <c r="V986" s="175">
        <v>6061</v>
      </c>
      <c r="W986" s="130">
        <v>6061</v>
      </c>
      <c r="X986" s="130">
        <v>6061</v>
      </c>
      <c r="Y986" s="130">
        <v>6098</v>
      </c>
      <c r="Z986" s="175">
        <v>6098</v>
      </c>
      <c r="AA986" s="130">
        <v>6098</v>
      </c>
      <c r="AB986" s="130">
        <v>6098</v>
      </c>
      <c r="AC986" s="130">
        <v>6211</v>
      </c>
      <c r="AD986" s="175">
        <v>6211</v>
      </c>
      <c r="AE986" s="130">
        <v>6211</v>
      </c>
      <c r="AF986" s="130">
        <v>6234</v>
      </c>
      <c r="AG986" s="174">
        <v>6234</v>
      </c>
      <c r="AH986" s="130">
        <v>6234</v>
      </c>
      <c r="AI986" s="130">
        <v>6279</v>
      </c>
      <c r="AJ986" s="175">
        <v>6279</v>
      </c>
      <c r="AK986" s="130">
        <v>6279</v>
      </c>
      <c r="AL986" s="130">
        <v>6279</v>
      </c>
      <c r="AM986" s="130">
        <v>6355</v>
      </c>
      <c r="AN986" s="175">
        <v>6355</v>
      </c>
      <c r="AO986" s="130">
        <v>6355</v>
      </c>
      <c r="AP986" s="130">
        <v>6464</v>
      </c>
      <c r="AQ986" s="175">
        <v>6464</v>
      </c>
      <c r="AR986" s="130">
        <v>6499</v>
      </c>
      <c r="AS986" s="175" t="s">
        <v>18</v>
      </c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</row>
    <row r="987" spans="1:55" ht="15.75" customHeight="1" x14ac:dyDescent="0.25">
      <c r="A987" s="121" t="s">
        <v>40</v>
      </c>
      <c r="B987" s="122" t="s">
        <v>4</v>
      </c>
      <c r="C987" s="124"/>
      <c r="D987" s="124">
        <v>491</v>
      </c>
      <c r="E987" s="171">
        <v>491</v>
      </c>
      <c r="F987" s="124">
        <v>491</v>
      </c>
      <c r="G987" s="124">
        <v>494</v>
      </c>
      <c r="H987" s="172">
        <v>494</v>
      </c>
      <c r="I987" s="124">
        <v>494</v>
      </c>
      <c r="J987" s="124">
        <v>494</v>
      </c>
      <c r="K987" s="124">
        <v>504</v>
      </c>
      <c r="L987" s="172">
        <v>504</v>
      </c>
      <c r="M987" s="124">
        <v>504</v>
      </c>
      <c r="N987" s="124">
        <v>504</v>
      </c>
      <c r="O987" s="124">
        <v>510</v>
      </c>
      <c r="P987" s="172">
        <v>510</v>
      </c>
      <c r="Q987" s="124">
        <v>510</v>
      </c>
      <c r="R987" s="124">
        <v>514</v>
      </c>
      <c r="S987" s="172">
        <v>514</v>
      </c>
      <c r="T987" s="124">
        <v>514</v>
      </c>
      <c r="U987" s="124">
        <v>525</v>
      </c>
      <c r="V987" s="172">
        <v>525</v>
      </c>
      <c r="W987" s="124">
        <v>525</v>
      </c>
      <c r="X987" s="124">
        <v>525</v>
      </c>
      <c r="Y987" s="124">
        <v>533</v>
      </c>
      <c r="Z987" s="172">
        <v>533</v>
      </c>
      <c r="AA987" s="124">
        <v>533</v>
      </c>
      <c r="AB987" s="124">
        <v>533</v>
      </c>
      <c r="AC987" s="124">
        <v>544</v>
      </c>
      <c r="AD987" s="172">
        <v>544</v>
      </c>
      <c r="AE987" s="124">
        <v>544</v>
      </c>
      <c r="AF987" s="124">
        <v>548</v>
      </c>
      <c r="AG987" s="171">
        <v>548</v>
      </c>
      <c r="AH987" s="124">
        <v>548</v>
      </c>
      <c r="AI987" s="124">
        <v>553</v>
      </c>
      <c r="AJ987" s="172">
        <v>553</v>
      </c>
      <c r="AK987" s="124">
        <v>553</v>
      </c>
      <c r="AL987" s="124">
        <v>553</v>
      </c>
      <c r="AM987" s="124">
        <v>560</v>
      </c>
      <c r="AN987" s="172">
        <v>560</v>
      </c>
      <c r="AO987" s="124">
        <v>560</v>
      </c>
      <c r="AP987" s="124">
        <v>569</v>
      </c>
      <c r="AQ987" s="172">
        <v>569</v>
      </c>
      <c r="AR987" s="124">
        <v>572</v>
      </c>
      <c r="AS987" s="172" t="s">
        <v>18</v>
      </c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</row>
    <row r="988" spans="1:55" ht="15.75" customHeight="1" x14ac:dyDescent="0.25">
      <c r="A988" s="143">
        <v>4</v>
      </c>
      <c r="B988" s="122" t="s">
        <v>5</v>
      </c>
      <c r="C988" s="124"/>
      <c r="D988" s="124">
        <v>47</v>
      </c>
      <c r="E988" s="171">
        <v>47</v>
      </c>
      <c r="F988" s="124">
        <v>47</v>
      </c>
      <c r="G988" s="124">
        <v>44</v>
      </c>
      <c r="H988" s="172">
        <v>44</v>
      </c>
      <c r="I988" s="124">
        <v>44</v>
      </c>
      <c r="J988" s="124">
        <v>44</v>
      </c>
      <c r="K988" s="124">
        <v>40</v>
      </c>
      <c r="L988" s="172">
        <v>70</v>
      </c>
      <c r="M988" s="124">
        <v>70</v>
      </c>
      <c r="N988" s="124">
        <v>70</v>
      </c>
      <c r="O988" s="124">
        <v>64</v>
      </c>
      <c r="P988" s="172">
        <v>64</v>
      </c>
      <c r="Q988" s="124">
        <v>64</v>
      </c>
      <c r="R988" s="124">
        <v>60</v>
      </c>
      <c r="S988" s="172">
        <v>60</v>
      </c>
      <c r="T988" s="124">
        <v>60</v>
      </c>
      <c r="U988" s="124">
        <v>49</v>
      </c>
      <c r="V988" s="172">
        <v>60</v>
      </c>
      <c r="W988" s="124">
        <v>60</v>
      </c>
      <c r="X988" s="124">
        <v>60</v>
      </c>
      <c r="Y988" s="124">
        <v>60</v>
      </c>
      <c r="Z988" s="172">
        <v>60</v>
      </c>
      <c r="AA988" s="124">
        <v>60</v>
      </c>
      <c r="AB988" s="124">
        <v>60</v>
      </c>
      <c r="AC988" s="124">
        <v>50</v>
      </c>
      <c r="AD988" s="172">
        <v>60</v>
      </c>
      <c r="AE988" s="124">
        <v>60</v>
      </c>
      <c r="AF988" s="124">
        <v>56</v>
      </c>
      <c r="AG988" s="171">
        <v>56</v>
      </c>
      <c r="AH988" s="124">
        <v>56</v>
      </c>
      <c r="AI988" s="124">
        <v>56</v>
      </c>
      <c r="AJ988" s="172">
        <v>20</v>
      </c>
      <c r="AK988" s="124">
        <v>20</v>
      </c>
      <c r="AL988" s="124">
        <v>20</v>
      </c>
      <c r="AM988" s="124">
        <v>15</v>
      </c>
      <c r="AN988" s="172">
        <v>15</v>
      </c>
      <c r="AO988" s="124">
        <v>15</v>
      </c>
      <c r="AP988" s="124">
        <v>9</v>
      </c>
      <c r="AQ988" s="172">
        <v>9</v>
      </c>
      <c r="AR988" s="124">
        <v>9</v>
      </c>
      <c r="AS988" s="172" t="s">
        <v>18</v>
      </c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</row>
    <row r="989" spans="1:55" ht="15.75" customHeight="1" x14ac:dyDescent="0.25">
      <c r="A989" s="127"/>
      <c r="B989" s="122" t="s">
        <v>6</v>
      </c>
      <c r="C989" s="124"/>
      <c r="D989" s="124"/>
      <c r="E989" s="171"/>
      <c r="F989" s="124"/>
      <c r="G989" s="124"/>
      <c r="H989" s="172"/>
      <c r="I989" s="124"/>
      <c r="J989" s="124"/>
      <c r="K989" s="124">
        <v>30</v>
      </c>
      <c r="L989" s="172"/>
      <c r="M989" s="124"/>
      <c r="N989" s="124"/>
      <c r="O989" s="124"/>
      <c r="P989" s="172"/>
      <c r="Q989" s="124"/>
      <c r="R989" s="124"/>
      <c r="S989" s="172"/>
      <c r="T989" s="124"/>
      <c r="U989" s="124">
        <v>11</v>
      </c>
      <c r="V989" s="172"/>
      <c r="W989" s="124"/>
      <c r="X989" s="124"/>
      <c r="Y989" s="124"/>
      <c r="Z989" s="172"/>
      <c r="AA989" s="124"/>
      <c r="AB989" s="124"/>
      <c r="AC989" s="124">
        <v>10</v>
      </c>
      <c r="AD989" s="172"/>
      <c r="AE989" s="124"/>
      <c r="AF989" s="124"/>
      <c r="AG989" s="171"/>
      <c r="AH989" s="124"/>
      <c r="AI989" s="124">
        <v>-36</v>
      </c>
      <c r="AJ989" s="172"/>
      <c r="AK989" s="124"/>
      <c r="AL989" s="124"/>
      <c r="AM989" s="124"/>
      <c r="AN989" s="172"/>
      <c r="AO989" s="124"/>
      <c r="AP989" s="124"/>
      <c r="AQ989" s="172"/>
      <c r="AR989" s="124"/>
      <c r="AS989" s="172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</row>
    <row r="990" spans="1:55" ht="15.75" customHeight="1" x14ac:dyDescent="0.25">
      <c r="A990" s="128"/>
      <c r="B990" s="122" t="s">
        <v>8</v>
      </c>
      <c r="C990" s="130"/>
      <c r="D990" s="130">
        <v>350</v>
      </c>
      <c r="E990" s="174">
        <v>350</v>
      </c>
      <c r="F990" s="130">
        <v>350</v>
      </c>
      <c r="G990" s="130">
        <v>350</v>
      </c>
      <c r="H990" s="175">
        <v>350</v>
      </c>
      <c r="I990" s="130">
        <v>350</v>
      </c>
      <c r="J990" s="130">
        <v>350</v>
      </c>
      <c r="K990" s="130">
        <v>350</v>
      </c>
      <c r="L990" s="175">
        <v>350</v>
      </c>
      <c r="M990" s="130">
        <v>350</v>
      </c>
      <c r="N990" s="130">
        <v>350</v>
      </c>
      <c r="O990" s="130">
        <v>350</v>
      </c>
      <c r="P990" s="175">
        <v>350</v>
      </c>
      <c r="Q990" s="130">
        <v>350</v>
      </c>
      <c r="R990" s="130">
        <v>350</v>
      </c>
      <c r="S990" s="175">
        <v>350</v>
      </c>
      <c r="T990" s="130">
        <v>350</v>
      </c>
      <c r="U990" s="130">
        <v>350</v>
      </c>
      <c r="V990" s="175">
        <v>350</v>
      </c>
      <c r="W990" s="130">
        <v>350</v>
      </c>
      <c r="X990" s="130">
        <v>350</v>
      </c>
      <c r="Y990" s="130">
        <v>350</v>
      </c>
      <c r="Z990" s="175">
        <v>350</v>
      </c>
      <c r="AA990" s="130">
        <v>350</v>
      </c>
      <c r="AB990" s="130">
        <v>350</v>
      </c>
      <c r="AC990" s="130">
        <v>350</v>
      </c>
      <c r="AD990" s="175">
        <v>350</v>
      </c>
      <c r="AE990" s="130">
        <v>350</v>
      </c>
      <c r="AF990" s="130">
        <v>350</v>
      </c>
      <c r="AG990" s="174">
        <v>350</v>
      </c>
      <c r="AH990" s="130">
        <v>350</v>
      </c>
      <c r="AI990" s="130">
        <v>350</v>
      </c>
      <c r="AJ990" s="175">
        <v>350</v>
      </c>
      <c r="AK990" s="130">
        <v>350</v>
      </c>
      <c r="AL990" s="130">
        <v>350</v>
      </c>
      <c r="AM990" s="130">
        <v>350</v>
      </c>
      <c r="AN990" s="175">
        <v>350</v>
      </c>
      <c r="AO990" s="130">
        <v>350</v>
      </c>
      <c r="AP990" s="130">
        <v>350</v>
      </c>
      <c r="AQ990" s="175">
        <v>350</v>
      </c>
      <c r="AR990" s="130">
        <v>350</v>
      </c>
      <c r="AS990" s="175" t="s">
        <v>18</v>
      </c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61"/>
    </row>
    <row r="991" spans="1:55" ht="15.75" customHeight="1" x14ac:dyDescent="0.25">
      <c r="A991" s="127" t="s">
        <v>9</v>
      </c>
      <c r="B991" s="132" t="s">
        <v>10</v>
      </c>
      <c r="C991" s="134"/>
      <c r="D991" s="134" t="s">
        <v>22</v>
      </c>
      <c r="E991" s="177" t="s">
        <v>22</v>
      </c>
      <c r="F991" s="134" t="s">
        <v>22</v>
      </c>
      <c r="G991" s="134" t="s">
        <v>22</v>
      </c>
      <c r="H991" s="178" t="s">
        <v>22</v>
      </c>
      <c r="I991" s="134" t="s">
        <v>22</v>
      </c>
      <c r="J991" s="134" t="s">
        <v>22</v>
      </c>
      <c r="K991" s="134" t="s">
        <v>99</v>
      </c>
      <c r="L991" s="178" t="s">
        <v>99</v>
      </c>
      <c r="M991" s="134" t="s">
        <v>99</v>
      </c>
      <c r="N991" s="134" t="s">
        <v>99</v>
      </c>
      <c r="O991" s="134" t="s">
        <v>99</v>
      </c>
      <c r="P991" s="178" t="s">
        <v>99</v>
      </c>
      <c r="Q991" s="134" t="s">
        <v>99</v>
      </c>
      <c r="R991" s="134" t="s">
        <v>99</v>
      </c>
      <c r="S991" s="178" t="s">
        <v>99</v>
      </c>
      <c r="T991" s="134" t="s">
        <v>99</v>
      </c>
      <c r="U991" s="134" t="s">
        <v>99</v>
      </c>
      <c r="V991" s="178" t="s">
        <v>99</v>
      </c>
      <c r="W991" s="134" t="s">
        <v>99</v>
      </c>
      <c r="X991" s="134" t="s">
        <v>99</v>
      </c>
      <c r="Y991" s="134" t="s">
        <v>99</v>
      </c>
      <c r="Z991" s="178" t="s">
        <v>99</v>
      </c>
      <c r="AA991" s="134" t="s">
        <v>99</v>
      </c>
      <c r="AB991" s="134" t="s">
        <v>99</v>
      </c>
      <c r="AC991" s="134" t="s">
        <v>99</v>
      </c>
      <c r="AD991" s="178" t="s">
        <v>99</v>
      </c>
      <c r="AE991" s="134" t="s">
        <v>99</v>
      </c>
      <c r="AF991" s="134" t="s">
        <v>99</v>
      </c>
      <c r="AG991" s="177" t="s">
        <v>99</v>
      </c>
      <c r="AH991" s="134" t="s">
        <v>99</v>
      </c>
      <c r="AI991" s="134" t="s">
        <v>99</v>
      </c>
      <c r="AJ991" s="178" t="s">
        <v>44</v>
      </c>
      <c r="AK991" s="134" t="s">
        <v>44</v>
      </c>
      <c r="AL991" s="134" t="s">
        <v>44</v>
      </c>
      <c r="AM991" s="134" t="s">
        <v>44</v>
      </c>
      <c r="AN991" s="178" t="s">
        <v>44</v>
      </c>
      <c r="AO991" s="134" t="s">
        <v>44</v>
      </c>
      <c r="AP991" s="134" t="s">
        <v>44</v>
      </c>
      <c r="AQ991" s="178" t="s">
        <v>44</v>
      </c>
      <c r="AR991" s="134" t="s">
        <v>44</v>
      </c>
      <c r="AS991" s="178" t="s">
        <v>18</v>
      </c>
      <c r="AT991" s="189"/>
      <c r="AU991" s="189"/>
      <c r="AV991" s="189"/>
      <c r="AW991" s="189"/>
      <c r="AX991" s="189"/>
      <c r="AY991" s="189"/>
      <c r="AZ991" s="189"/>
      <c r="BA991" s="189"/>
      <c r="BB991" s="189"/>
      <c r="BC991" s="189"/>
    </row>
    <row r="992" spans="1:55" ht="15.75" customHeight="1" x14ac:dyDescent="0.25">
      <c r="A992" s="128">
        <v>72394.736842105267</v>
      </c>
      <c r="B992" s="122" t="s">
        <v>12</v>
      </c>
      <c r="C992" s="124"/>
      <c r="D992" s="124"/>
      <c r="E992" s="171"/>
      <c r="F992" s="124"/>
      <c r="G992" s="124"/>
      <c r="H992" s="172"/>
      <c r="I992" s="124"/>
      <c r="J992" s="124"/>
      <c r="K992" s="124"/>
      <c r="L992" s="172"/>
      <c r="M992" s="124"/>
      <c r="N992" s="124"/>
      <c r="O992" s="124"/>
      <c r="P992" s="172" t="s">
        <v>141</v>
      </c>
      <c r="Q992" s="124"/>
      <c r="R992" s="124"/>
      <c r="S992" s="172"/>
      <c r="T992" s="124"/>
      <c r="U992" s="124"/>
      <c r="V992" s="172"/>
      <c r="W992" s="124"/>
      <c r="X992" s="124"/>
      <c r="Y992" s="124"/>
      <c r="Z992" s="172"/>
      <c r="AA992" s="124"/>
      <c r="AB992" s="124"/>
      <c r="AC992" s="124"/>
      <c r="AD992" s="172"/>
      <c r="AE992" s="124"/>
      <c r="AF992" s="124"/>
      <c r="AG992" s="171"/>
      <c r="AH992" s="124"/>
      <c r="AI992" s="124"/>
      <c r="AJ992" s="172" t="s">
        <v>109</v>
      </c>
      <c r="AK992" s="124"/>
      <c r="AL992" s="124"/>
      <c r="AM992" s="124"/>
      <c r="AN992" s="172"/>
      <c r="AO992" s="124"/>
      <c r="AP992" s="124"/>
      <c r="AQ992" s="172"/>
      <c r="AR992" s="124"/>
      <c r="AS992" s="172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</row>
    <row r="993" spans="1:55" ht="15.75" customHeight="1" x14ac:dyDescent="0.25">
      <c r="A993" s="128">
        <v>917</v>
      </c>
      <c r="B993" s="136" t="s">
        <v>13</v>
      </c>
      <c r="C993" s="137"/>
      <c r="D993" s="137"/>
      <c r="E993" s="171"/>
      <c r="F993" s="137"/>
      <c r="G993" s="137">
        <v>93</v>
      </c>
      <c r="H993" s="172">
        <v>0</v>
      </c>
      <c r="I993" s="137">
        <v>0</v>
      </c>
      <c r="J993" s="137">
        <v>0</v>
      </c>
      <c r="K993" s="137">
        <v>78</v>
      </c>
      <c r="L993" s="172">
        <v>0</v>
      </c>
      <c r="M993" s="137">
        <v>0</v>
      </c>
      <c r="N993" s="137">
        <v>0</v>
      </c>
      <c r="O993" s="137">
        <v>88</v>
      </c>
      <c r="P993" s="172">
        <v>0</v>
      </c>
      <c r="Q993" s="137">
        <v>0</v>
      </c>
      <c r="R993" s="137">
        <v>72</v>
      </c>
      <c r="S993" s="172">
        <v>0</v>
      </c>
      <c r="T993" s="137">
        <v>0</v>
      </c>
      <c r="U993" s="137">
        <v>148</v>
      </c>
      <c r="V993" s="172">
        <v>0</v>
      </c>
      <c r="W993" s="137">
        <v>0</v>
      </c>
      <c r="X993" s="137">
        <v>0</v>
      </c>
      <c r="Y993" s="137">
        <v>37</v>
      </c>
      <c r="Z993" s="172">
        <v>0</v>
      </c>
      <c r="AA993" s="137">
        <v>0</v>
      </c>
      <c r="AB993" s="137">
        <v>0</v>
      </c>
      <c r="AC993" s="137">
        <v>113</v>
      </c>
      <c r="AD993" s="172">
        <v>0</v>
      </c>
      <c r="AE993" s="137">
        <v>0</v>
      </c>
      <c r="AF993" s="137">
        <v>23</v>
      </c>
      <c r="AG993" s="171">
        <v>0</v>
      </c>
      <c r="AH993" s="137">
        <v>0</v>
      </c>
      <c r="AI993" s="137">
        <v>45</v>
      </c>
      <c r="AJ993" s="172">
        <v>0</v>
      </c>
      <c r="AK993" s="137">
        <v>0</v>
      </c>
      <c r="AL993" s="137">
        <v>0</v>
      </c>
      <c r="AM993" s="137">
        <v>76</v>
      </c>
      <c r="AN993" s="172">
        <v>0</v>
      </c>
      <c r="AO993" s="137">
        <v>0</v>
      </c>
      <c r="AP993" s="137">
        <v>109</v>
      </c>
      <c r="AQ993" s="172">
        <v>0</v>
      </c>
      <c r="AR993" s="137">
        <v>35</v>
      </c>
      <c r="AS993" s="172" t="s">
        <v>18</v>
      </c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</row>
    <row r="994" spans="1:55" ht="15.75" customHeight="1" x14ac:dyDescent="0.25">
      <c r="A994" s="128">
        <v>78</v>
      </c>
      <c r="B994" s="136" t="s">
        <v>14</v>
      </c>
      <c r="C994" s="137"/>
      <c r="D994" s="137"/>
      <c r="E994" s="171"/>
      <c r="F994" s="137"/>
      <c r="G994" s="137"/>
      <c r="H994" s="172">
        <v>0</v>
      </c>
      <c r="I994" s="137">
        <v>0</v>
      </c>
      <c r="J994" s="137">
        <v>0</v>
      </c>
      <c r="K994" s="137">
        <v>10</v>
      </c>
      <c r="L994" s="172">
        <v>0</v>
      </c>
      <c r="M994" s="137">
        <v>0</v>
      </c>
      <c r="N994" s="137">
        <v>0</v>
      </c>
      <c r="O994" s="137">
        <v>6</v>
      </c>
      <c r="P994" s="172">
        <v>0</v>
      </c>
      <c r="Q994" s="137">
        <v>0</v>
      </c>
      <c r="R994" s="137">
        <v>4</v>
      </c>
      <c r="S994" s="172">
        <v>0</v>
      </c>
      <c r="T994" s="137">
        <v>0</v>
      </c>
      <c r="U994" s="137">
        <v>11</v>
      </c>
      <c r="V994" s="172">
        <v>0</v>
      </c>
      <c r="W994" s="137">
        <v>0</v>
      </c>
      <c r="X994" s="137">
        <v>0</v>
      </c>
      <c r="Y994" s="137">
        <v>8</v>
      </c>
      <c r="Z994" s="172">
        <v>0</v>
      </c>
      <c r="AA994" s="137">
        <v>0</v>
      </c>
      <c r="AB994" s="137">
        <v>0</v>
      </c>
      <c r="AC994" s="137">
        <v>11</v>
      </c>
      <c r="AD994" s="172">
        <v>0</v>
      </c>
      <c r="AE994" s="137">
        <v>0</v>
      </c>
      <c r="AF994" s="137">
        <v>4</v>
      </c>
      <c r="AG994" s="171">
        <v>0</v>
      </c>
      <c r="AH994" s="137">
        <v>0</v>
      </c>
      <c r="AI994" s="137">
        <v>5</v>
      </c>
      <c r="AJ994" s="172">
        <v>0</v>
      </c>
      <c r="AK994" s="137">
        <v>0</v>
      </c>
      <c r="AL994" s="137">
        <v>0</v>
      </c>
      <c r="AM994" s="137">
        <v>7</v>
      </c>
      <c r="AN994" s="172">
        <v>0</v>
      </c>
      <c r="AO994" s="137">
        <v>0</v>
      </c>
      <c r="AP994" s="137">
        <v>9</v>
      </c>
      <c r="AQ994" s="172">
        <v>0</v>
      </c>
      <c r="AR994" s="137">
        <v>3</v>
      </c>
      <c r="AS994" s="172" t="s">
        <v>18</v>
      </c>
      <c r="AT994" s="161"/>
      <c r="AU994" s="161"/>
      <c r="AV994" s="161"/>
      <c r="AW994" s="161"/>
      <c r="AX994" s="161"/>
      <c r="AY994" s="161"/>
      <c r="AZ994" s="161"/>
      <c r="BA994" s="161"/>
      <c r="BB994" s="161"/>
      <c r="BC994" s="161"/>
    </row>
    <row r="995" spans="1:55" ht="15.75" customHeight="1" x14ac:dyDescent="0.25">
      <c r="A995" s="128">
        <v>50</v>
      </c>
      <c r="B995" s="136" t="s">
        <v>15</v>
      </c>
      <c r="C995" s="137"/>
      <c r="D995" s="137"/>
      <c r="E995" s="171"/>
      <c r="F995" s="137"/>
      <c r="G995" s="137"/>
      <c r="H995" s="172">
        <v>0</v>
      </c>
      <c r="I995" s="137">
        <v>0</v>
      </c>
      <c r="J995" s="137">
        <v>0</v>
      </c>
      <c r="K995" s="137">
        <v>4</v>
      </c>
      <c r="L995" s="172">
        <v>0</v>
      </c>
      <c r="M995" s="137">
        <v>0</v>
      </c>
      <c r="N995" s="137">
        <v>0</v>
      </c>
      <c r="O995" s="137">
        <v>6</v>
      </c>
      <c r="P995" s="172">
        <v>0</v>
      </c>
      <c r="Q995" s="137">
        <v>0</v>
      </c>
      <c r="R995" s="137">
        <v>4</v>
      </c>
      <c r="S995" s="172">
        <v>0</v>
      </c>
      <c r="T995" s="137">
        <v>0</v>
      </c>
      <c r="U995" s="137">
        <v>11</v>
      </c>
      <c r="V995" s="172">
        <v>0</v>
      </c>
      <c r="W995" s="137">
        <v>0</v>
      </c>
      <c r="X995" s="137">
        <v>0</v>
      </c>
      <c r="Y995" s="137">
        <v>0</v>
      </c>
      <c r="Z995" s="172">
        <v>0</v>
      </c>
      <c r="AA995" s="137">
        <v>0</v>
      </c>
      <c r="AB995" s="137">
        <v>0</v>
      </c>
      <c r="AC995" s="137">
        <v>10</v>
      </c>
      <c r="AD995" s="172">
        <v>0</v>
      </c>
      <c r="AE995" s="137">
        <v>0</v>
      </c>
      <c r="AF995" s="137">
        <v>4</v>
      </c>
      <c r="AG995" s="171">
        <v>0</v>
      </c>
      <c r="AH995" s="137">
        <v>0</v>
      </c>
      <c r="AI995" s="137">
        <v>0</v>
      </c>
      <c r="AJ995" s="172">
        <v>0</v>
      </c>
      <c r="AK995" s="137">
        <v>0</v>
      </c>
      <c r="AL995" s="137">
        <v>0</v>
      </c>
      <c r="AM995" s="137">
        <v>5</v>
      </c>
      <c r="AN995" s="172">
        <v>0</v>
      </c>
      <c r="AO995" s="137">
        <v>0</v>
      </c>
      <c r="AP995" s="137">
        <v>6</v>
      </c>
      <c r="AQ995" s="172">
        <v>0</v>
      </c>
      <c r="AR995" s="137">
        <v>0</v>
      </c>
      <c r="AS995" s="172" t="s">
        <v>18</v>
      </c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</row>
    <row r="996" spans="1:55" ht="15.75" customHeight="1" x14ac:dyDescent="0.25">
      <c r="A996" s="128">
        <v>17500</v>
      </c>
      <c r="B996" s="136" t="s">
        <v>16</v>
      </c>
      <c r="C996" s="137"/>
      <c r="D996" s="137"/>
      <c r="E996" s="171"/>
      <c r="F996" s="137"/>
      <c r="G996" s="137"/>
      <c r="H996" s="172">
        <v>0</v>
      </c>
      <c r="I996" s="137">
        <v>0</v>
      </c>
      <c r="J996" s="137">
        <v>0</v>
      </c>
      <c r="K996" s="137">
        <v>1400</v>
      </c>
      <c r="L996" s="172">
        <v>0</v>
      </c>
      <c r="M996" s="137">
        <v>0</v>
      </c>
      <c r="N996" s="137">
        <v>0</v>
      </c>
      <c r="O996" s="137">
        <v>2100</v>
      </c>
      <c r="P996" s="172">
        <v>0</v>
      </c>
      <c r="Q996" s="137">
        <v>0</v>
      </c>
      <c r="R996" s="137">
        <v>1400</v>
      </c>
      <c r="S996" s="172">
        <v>0</v>
      </c>
      <c r="T996" s="137">
        <v>0</v>
      </c>
      <c r="U996" s="137">
        <v>3850</v>
      </c>
      <c r="V996" s="172">
        <v>0</v>
      </c>
      <c r="W996" s="137">
        <v>0</v>
      </c>
      <c r="X996" s="137">
        <v>0</v>
      </c>
      <c r="Y996" s="137">
        <v>0</v>
      </c>
      <c r="Z996" s="172">
        <v>0</v>
      </c>
      <c r="AA996" s="137">
        <v>0</v>
      </c>
      <c r="AB996" s="137">
        <v>0</v>
      </c>
      <c r="AC996" s="137">
        <v>3500</v>
      </c>
      <c r="AD996" s="172">
        <v>0</v>
      </c>
      <c r="AE996" s="137">
        <v>0</v>
      </c>
      <c r="AF996" s="137">
        <v>1400</v>
      </c>
      <c r="AG996" s="171">
        <v>0</v>
      </c>
      <c r="AH996" s="137">
        <v>0</v>
      </c>
      <c r="AI996" s="137">
        <v>0</v>
      </c>
      <c r="AJ996" s="172">
        <v>0</v>
      </c>
      <c r="AK996" s="137">
        <v>0</v>
      </c>
      <c r="AL996" s="137">
        <v>0</v>
      </c>
      <c r="AM996" s="137">
        <v>1750</v>
      </c>
      <c r="AN996" s="172">
        <v>0</v>
      </c>
      <c r="AO996" s="137">
        <v>0</v>
      </c>
      <c r="AP996" s="137">
        <v>2100</v>
      </c>
      <c r="AQ996" s="172">
        <v>0</v>
      </c>
      <c r="AR996" s="137">
        <v>0</v>
      </c>
      <c r="AS996" s="172" t="s">
        <v>18</v>
      </c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/>
    </row>
    <row r="997" spans="1:55" ht="15.75" customHeight="1" x14ac:dyDescent="0.25">
      <c r="A997" s="138">
        <v>0.19083969465648856</v>
      </c>
      <c r="B997" s="139" t="s">
        <v>17</v>
      </c>
      <c r="C997" s="141"/>
      <c r="D997" s="141"/>
      <c r="E997" s="180"/>
      <c r="F997" s="141"/>
      <c r="G997" s="141"/>
      <c r="H997" s="181"/>
      <c r="I997" s="141" t="s">
        <v>18</v>
      </c>
      <c r="J997" s="141" t="s">
        <v>18</v>
      </c>
      <c r="K997" s="141">
        <v>0.17948717948717949</v>
      </c>
      <c r="L997" s="181" t="s">
        <v>18</v>
      </c>
      <c r="M997" s="141" t="s">
        <v>18</v>
      </c>
      <c r="N997" s="141" t="s">
        <v>18</v>
      </c>
      <c r="O997" s="141">
        <v>0.23863636363636365</v>
      </c>
      <c r="P997" s="181" t="s">
        <v>18</v>
      </c>
      <c r="Q997" s="141" t="s">
        <v>18</v>
      </c>
      <c r="R997" s="141">
        <v>0.19444444444444445</v>
      </c>
      <c r="S997" s="181" t="s">
        <v>18</v>
      </c>
      <c r="T997" s="141" t="s">
        <v>18</v>
      </c>
      <c r="U997" s="141">
        <v>0.26013513513513514</v>
      </c>
      <c r="V997" s="181" t="s">
        <v>18</v>
      </c>
      <c r="W997" s="141" t="s">
        <v>18</v>
      </c>
      <c r="X997" s="141" t="s">
        <v>18</v>
      </c>
      <c r="Y997" s="141" t="s">
        <v>18</v>
      </c>
      <c r="Z997" s="181" t="s">
        <v>18</v>
      </c>
      <c r="AA997" s="141" t="s">
        <v>18</v>
      </c>
      <c r="AB997" s="141" t="s">
        <v>18</v>
      </c>
      <c r="AC997" s="141">
        <v>0.30973451327433627</v>
      </c>
      <c r="AD997" s="181" t="s">
        <v>18</v>
      </c>
      <c r="AE997" s="141" t="s">
        <v>18</v>
      </c>
      <c r="AF997" s="141">
        <v>0.60869565217391308</v>
      </c>
      <c r="AG997" s="180" t="s">
        <v>18</v>
      </c>
      <c r="AH997" s="141" t="s">
        <v>18</v>
      </c>
      <c r="AI997" s="141" t="s">
        <v>18</v>
      </c>
      <c r="AJ997" s="181" t="s">
        <v>18</v>
      </c>
      <c r="AK997" s="141" t="s">
        <v>18</v>
      </c>
      <c r="AL997" s="141" t="s">
        <v>18</v>
      </c>
      <c r="AM997" s="141">
        <v>0.23026315789473684</v>
      </c>
      <c r="AN997" s="181" t="s">
        <v>18</v>
      </c>
      <c r="AO997" s="141" t="s">
        <v>18</v>
      </c>
      <c r="AP997" s="141">
        <v>0.19266055045871561</v>
      </c>
      <c r="AQ997" s="181" t="s">
        <v>18</v>
      </c>
      <c r="AR997" s="141" t="s">
        <v>18</v>
      </c>
      <c r="AS997" s="181" t="s">
        <v>18</v>
      </c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</row>
    <row r="998" spans="1:55" ht="15.75" customHeight="1" x14ac:dyDescent="0.25">
      <c r="A998" s="116" t="s">
        <v>1</v>
      </c>
      <c r="B998" s="117" t="s">
        <v>2</v>
      </c>
      <c r="C998" s="119"/>
      <c r="D998" s="119">
        <v>15547</v>
      </c>
      <c r="E998" s="168">
        <v>15547</v>
      </c>
      <c r="F998" s="119">
        <v>15547</v>
      </c>
      <c r="G998" s="119">
        <v>15684</v>
      </c>
      <c r="H998" s="169">
        <v>15684</v>
      </c>
      <c r="I998" s="119">
        <v>15684</v>
      </c>
      <c r="J998" s="119">
        <v>15684</v>
      </c>
      <c r="K998" s="119">
        <v>15736</v>
      </c>
      <c r="L998" s="169">
        <v>15736</v>
      </c>
      <c r="M998" s="119">
        <v>15736</v>
      </c>
      <c r="N998" s="119">
        <v>15736</v>
      </c>
      <c r="O998" s="119">
        <v>15907</v>
      </c>
      <c r="P998" s="169">
        <v>15907</v>
      </c>
      <c r="Q998" s="119">
        <v>15907</v>
      </c>
      <c r="R998" s="119">
        <v>16049</v>
      </c>
      <c r="S998" s="169">
        <v>16049</v>
      </c>
      <c r="T998" s="119">
        <v>16049</v>
      </c>
      <c r="U998" s="119">
        <v>16251</v>
      </c>
      <c r="V998" s="169">
        <v>16251</v>
      </c>
      <c r="W998" s="119">
        <v>16251</v>
      </c>
      <c r="X998" s="119">
        <v>16251</v>
      </c>
      <c r="Y998" s="119">
        <v>16533</v>
      </c>
      <c r="Z998" s="169">
        <v>16533</v>
      </c>
      <c r="AA998" s="119">
        <v>16533</v>
      </c>
      <c r="AB998" s="119">
        <v>16533</v>
      </c>
      <c r="AC998" s="119">
        <v>17051</v>
      </c>
      <c r="AD998" s="169">
        <v>17051</v>
      </c>
      <c r="AE998" s="119">
        <v>17051</v>
      </c>
      <c r="AF998" s="119">
        <v>17165</v>
      </c>
      <c r="AG998" s="168">
        <v>17165</v>
      </c>
      <c r="AH998" s="119">
        <v>17165</v>
      </c>
      <c r="AI998" s="119">
        <v>17489</v>
      </c>
      <c r="AJ998" s="169">
        <v>17489</v>
      </c>
      <c r="AK998" s="119">
        <v>17489</v>
      </c>
      <c r="AL998" s="119">
        <v>17489</v>
      </c>
      <c r="AM998" s="119">
        <v>17637</v>
      </c>
      <c r="AN998" s="169">
        <v>17637</v>
      </c>
      <c r="AO998" s="119">
        <v>17637</v>
      </c>
      <c r="AP998" s="119">
        <v>17868</v>
      </c>
      <c r="AQ998" s="169">
        <v>17868</v>
      </c>
      <c r="AR998" s="119">
        <v>17923</v>
      </c>
      <c r="AS998" s="169" t="s">
        <v>18</v>
      </c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</row>
    <row r="999" spans="1:55" ht="15.75" customHeight="1" x14ac:dyDescent="0.25">
      <c r="A999" s="121" t="s">
        <v>46</v>
      </c>
      <c r="B999" s="122" t="s">
        <v>4</v>
      </c>
      <c r="C999" s="124"/>
      <c r="D999" s="124">
        <v>245</v>
      </c>
      <c r="E999" s="171">
        <v>245</v>
      </c>
      <c r="F999" s="124">
        <v>245</v>
      </c>
      <c r="G999" s="124">
        <v>247</v>
      </c>
      <c r="H999" s="172">
        <v>247</v>
      </c>
      <c r="I999" s="124">
        <v>247</v>
      </c>
      <c r="J999" s="124">
        <v>247</v>
      </c>
      <c r="K999" s="124">
        <v>248</v>
      </c>
      <c r="L999" s="172">
        <v>248</v>
      </c>
      <c r="M999" s="124">
        <v>248</v>
      </c>
      <c r="N999" s="124">
        <v>248</v>
      </c>
      <c r="O999" s="124">
        <v>249</v>
      </c>
      <c r="P999" s="172">
        <v>249</v>
      </c>
      <c r="Q999" s="124">
        <v>249</v>
      </c>
      <c r="R999" s="124">
        <v>252</v>
      </c>
      <c r="S999" s="172">
        <v>252</v>
      </c>
      <c r="T999" s="124">
        <v>252</v>
      </c>
      <c r="U999" s="124">
        <v>255</v>
      </c>
      <c r="V999" s="172">
        <v>255</v>
      </c>
      <c r="W999" s="124">
        <v>255</v>
      </c>
      <c r="X999" s="124">
        <v>255</v>
      </c>
      <c r="Y999" s="124">
        <v>277</v>
      </c>
      <c r="Z999" s="172">
        <v>277</v>
      </c>
      <c r="AA999" s="124">
        <v>277</v>
      </c>
      <c r="AB999" s="124">
        <v>277</v>
      </c>
      <c r="AC999" s="124">
        <v>286</v>
      </c>
      <c r="AD999" s="172">
        <v>286</v>
      </c>
      <c r="AE999" s="124">
        <v>286</v>
      </c>
      <c r="AF999" s="124">
        <v>293</v>
      </c>
      <c r="AG999" s="171">
        <v>293</v>
      </c>
      <c r="AH999" s="124">
        <v>293</v>
      </c>
      <c r="AI999" s="124">
        <v>301</v>
      </c>
      <c r="AJ999" s="172">
        <v>301</v>
      </c>
      <c r="AK999" s="124">
        <v>301</v>
      </c>
      <c r="AL999" s="124">
        <v>301</v>
      </c>
      <c r="AM999" s="124">
        <v>306</v>
      </c>
      <c r="AN999" s="172">
        <v>306</v>
      </c>
      <c r="AO999" s="124">
        <v>306</v>
      </c>
      <c r="AP999" s="124">
        <v>311</v>
      </c>
      <c r="AQ999" s="172">
        <v>311</v>
      </c>
      <c r="AR999" s="124">
        <v>312</v>
      </c>
      <c r="AS999" s="172" t="s">
        <v>18</v>
      </c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</row>
    <row r="1000" spans="1:55" ht="15.75" customHeight="1" x14ac:dyDescent="0.25">
      <c r="A1000" s="126"/>
      <c r="B1000" s="122" t="s">
        <v>5</v>
      </c>
      <c r="C1000" s="124"/>
      <c r="D1000" s="124">
        <v>10</v>
      </c>
      <c r="E1000" s="171">
        <v>10</v>
      </c>
      <c r="F1000" s="124">
        <v>10</v>
      </c>
      <c r="G1000" s="124">
        <v>8</v>
      </c>
      <c r="H1000" s="172">
        <v>14</v>
      </c>
      <c r="I1000" s="124">
        <v>14</v>
      </c>
      <c r="J1000" s="124">
        <v>14</v>
      </c>
      <c r="K1000" s="124">
        <v>14</v>
      </c>
      <c r="L1000" s="172">
        <v>14</v>
      </c>
      <c r="M1000" s="124">
        <v>14</v>
      </c>
      <c r="N1000" s="124">
        <v>14</v>
      </c>
      <c r="O1000" s="124">
        <v>13</v>
      </c>
      <c r="P1000" s="172">
        <v>13</v>
      </c>
      <c r="Q1000" s="124">
        <v>13</v>
      </c>
      <c r="R1000" s="124">
        <v>11</v>
      </c>
      <c r="S1000" s="172">
        <v>16</v>
      </c>
      <c r="T1000" s="124">
        <v>16</v>
      </c>
      <c r="U1000" s="124">
        <v>13</v>
      </c>
      <c r="V1000" s="172">
        <v>30</v>
      </c>
      <c r="W1000" s="124">
        <v>30</v>
      </c>
      <c r="X1000" s="124">
        <v>30</v>
      </c>
      <c r="Y1000" s="124">
        <v>22</v>
      </c>
      <c r="Z1000" s="172">
        <v>22</v>
      </c>
      <c r="AA1000" s="124">
        <v>22</v>
      </c>
      <c r="AB1000" s="124">
        <v>22</v>
      </c>
      <c r="AC1000" s="124">
        <v>13</v>
      </c>
      <c r="AD1000" s="172">
        <v>30</v>
      </c>
      <c r="AE1000" s="124">
        <v>30</v>
      </c>
      <c r="AF1000" s="124">
        <v>27</v>
      </c>
      <c r="AG1000" s="171">
        <v>27</v>
      </c>
      <c r="AH1000" s="124">
        <v>27</v>
      </c>
      <c r="AI1000" s="124">
        <v>19</v>
      </c>
      <c r="AJ1000" s="172">
        <v>30</v>
      </c>
      <c r="AK1000" s="124">
        <v>30</v>
      </c>
      <c r="AL1000" s="124">
        <v>30</v>
      </c>
      <c r="AM1000" s="124">
        <v>25</v>
      </c>
      <c r="AN1000" s="172">
        <v>28</v>
      </c>
      <c r="AO1000" s="124">
        <v>28</v>
      </c>
      <c r="AP1000" s="124">
        <v>23</v>
      </c>
      <c r="AQ1000" s="172">
        <v>28</v>
      </c>
      <c r="AR1000" s="124">
        <v>27</v>
      </c>
      <c r="AS1000" s="172" t="s">
        <v>18</v>
      </c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</row>
    <row r="1001" spans="1:55" ht="15.75" customHeight="1" x14ac:dyDescent="0.25">
      <c r="A1001" s="127"/>
      <c r="B1001" s="122" t="s">
        <v>6</v>
      </c>
      <c r="C1001" s="124"/>
      <c r="D1001" s="124"/>
      <c r="E1001" s="171"/>
      <c r="F1001" s="124"/>
      <c r="G1001" s="124">
        <v>6</v>
      </c>
      <c r="H1001" s="172"/>
      <c r="I1001" s="124"/>
      <c r="J1001" s="124"/>
      <c r="K1001" s="124"/>
      <c r="L1001" s="172"/>
      <c r="M1001" s="124"/>
      <c r="N1001" s="124"/>
      <c r="O1001" s="124"/>
      <c r="P1001" s="172"/>
      <c r="Q1001" s="124"/>
      <c r="R1001" s="124">
        <v>5</v>
      </c>
      <c r="S1001" s="172"/>
      <c r="T1001" s="124"/>
      <c r="U1001" s="124">
        <v>17</v>
      </c>
      <c r="V1001" s="172"/>
      <c r="W1001" s="124"/>
      <c r="X1001" s="124"/>
      <c r="Y1001" s="124"/>
      <c r="Z1001" s="172"/>
      <c r="AA1001" s="124"/>
      <c r="AB1001" s="124"/>
      <c r="AC1001" s="124">
        <v>17</v>
      </c>
      <c r="AD1001" s="172"/>
      <c r="AE1001" s="124"/>
      <c r="AF1001" s="124"/>
      <c r="AG1001" s="171"/>
      <c r="AH1001" s="124"/>
      <c r="AI1001" s="124">
        <v>11</v>
      </c>
      <c r="AJ1001" s="172"/>
      <c r="AK1001" s="124"/>
      <c r="AL1001" s="124"/>
      <c r="AM1001" s="124">
        <v>3</v>
      </c>
      <c r="AN1001" s="172"/>
      <c r="AO1001" s="124"/>
      <c r="AP1001" s="124">
        <v>5</v>
      </c>
      <c r="AQ1001" s="172"/>
      <c r="AR1001" s="124"/>
      <c r="AS1001" s="172"/>
      <c r="AT1001" s="161"/>
      <c r="AU1001" s="161"/>
      <c r="AV1001" s="161"/>
      <c r="AW1001" s="161"/>
      <c r="AX1001" s="161"/>
      <c r="AY1001" s="161"/>
      <c r="AZ1001" s="161"/>
      <c r="BA1001" s="161"/>
      <c r="BB1001" s="161"/>
      <c r="BC1001" s="161"/>
    </row>
    <row r="1002" spans="1:55" ht="15.75" customHeight="1" x14ac:dyDescent="0.25">
      <c r="A1002" s="128"/>
      <c r="B1002" s="122" t="s">
        <v>8</v>
      </c>
      <c r="C1002" s="130"/>
      <c r="D1002" s="130">
        <v>750</v>
      </c>
      <c r="E1002" s="174">
        <v>750</v>
      </c>
      <c r="F1002" s="130">
        <v>750</v>
      </c>
      <c r="G1002" s="130">
        <v>750</v>
      </c>
      <c r="H1002" s="175">
        <v>750</v>
      </c>
      <c r="I1002" s="130">
        <v>750</v>
      </c>
      <c r="J1002" s="130">
        <v>750</v>
      </c>
      <c r="K1002" s="130">
        <v>750</v>
      </c>
      <c r="L1002" s="175">
        <v>750</v>
      </c>
      <c r="M1002" s="130">
        <v>750</v>
      </c>
      <c r="N1002" s="130">
        <v>750</v>
      </c>
      <c r="O1002" s="130">
        <v>750</v>
      </c>
      <c r="P1002" s="175">
        <v>750</v>
      </c>
      <c r="Q1002" s="130">
        <v>750</v>
      </c>
      <c r="R1002" s="130">
        <v>750</v>
      </c>
      <c r="S1002" s="175">
        <v>750</v>
      </c>
      <c r="T1002" s="130">
        <v>750</v>
      </c>
      <c r="U1002" s="130">
        <v>750</v>
      </c>
      <c r="V1002" s="175">
        <v>750</v>
      </c>
      <c r="W1002" s="130">
        <v>750</v>
      </c>
      <c r="X1002" s="130">
        <v>750</v>
      </c>
      <c r="Y1002" s="130">
        <v>750</v>
      </c>
      <c r="Z1002" s="175">
        <v>750</v>
      </c>
      <c r="AA1002" s="130">
        <v>750</v>
      </c>
      <c r="AB1002" s="130">
        <v>750</v>
      </c>
      <c r="AC1002" s="130">
        <v>750</v>
      </c>
      <c r="AD1002" s="175">
        <v>750</v>
      </c>
      <c r="AE1002" s="130">
        <v>750</v>
      </c>
      <c r="AF1002" s="130">
        <v>750</v>
      </c>
      <c r="AG1002" s="174">
        <v>750</v>
      </c>
      <c r="AH1002" s="130">
        <v>750</v>
      </c>
      <c r="AI1002" s="130">
        <v>750</v>
      </c>
      <c r="AJ1002" s="175">
        <v>750</v>
      </c>
      <c r="AK1002" s="130">
        <v>750</v>
      </c>
      <c r="AL1002" s="130">
        <v>750</v>
      </c>
      <c r="AM1002" s="130">
        <v>750</v>
      </c>
      <c r="AN1002" s="175">
        <v>750</v>
      </c>
      <c r="AO1002" s="130">
        <v>750</v>
      </c>
      <c r="AP1002" s="130">
        <v>750</v>
      </c>
      <c r="AQ1002" s="175">
        <v>750</v>
      </c>
      <c r="AR1002" s="130">
        <v>750</v>
      </c>
      <c r="AS1002" s="175" t="s">
        <v>18</v>
      </c>
      <c r="AT1002" s="161"/>
      <c r="AU1002" s="161"/>
      <c r="AV1002" s="161"/>
      <c r="AW1002" s="161"/>
      <c r="AX1002" s="161"/>
      <c r="AY1002" s="161"/>
      <c r="AZ1002" s="161"/>
      <c r="BA1002" s="161"/>
      <c r="BB1002" s="161"/>
      <c r="BC1002" s="161"/>
    </row>
    <row r="1003" spans="1:55" ht="15.75" customHeight="1" x14ac:dyDescent="0.25">
      <c r="A1003" s="127" t="s">
        <v>9</v>
      </c>
      <c r="B1003" s="132" t="s">
        <v>10</v>
      </c>
      <c r="C1003" s="134"/>
      <c r="D1003" s="134" t="s">
        <v>142</v>
      </c>
      <c r="E1003" s="177" t="s">
        <v>142</v>
      </c>
      <c r="F1003" s="134" t="s">
        <v>142</v>
      </c>
      <c r="G1003" s="134" t="s">
        <v>142</v>
      </c>
      <c r="H1003" s="178" t="s">
        <v>142</v>
      </c>
      <c r="I1003" s="134" t="s">
        <v>142</v>
      </c>
      <c r="J1003" s="134" t="s">
        <v>142</v>
      </c>
      <c r="K1003" s="134" t="s">
        <v>142</v>
      </c>
      <c r="L1003" s="178" t="s">
        <v>142</v>
      </c>
      <c r="M1003" s="134" t="s">
        <v>142</v>
      </c>
      <c r="N1003" s="134" t="s">
        <v>142</v>
      </c>
      <c r="O1003" s="134" t="s">
        <v>142</v>
      </c>
      <c r="P1003" s="178" t="s">
        <v>142</v>
      </c>
      <c r="Q1003" s="134" t="s">
        <v>142</v>
      </c>
      <c r="R1003" s="134" t="s">
        <v>142</v>
      </c>
      <c r="S1003" s="178" t="s">
        <v>142</v>
      </c>
      <c r="T1003" s="134" t="s">
        <v>142</v>
      </c>
      <c r="U1003" s="134" t="s">
        <v>142</v>
      </c>
      <c r="V1003" s="178" t="s">
        <v>25</v>
      </c>
      <c r="W1003" s="134" t="s">
        <v>25</v>
      </c>
      <c r="X1003" s="134" t="s">
        <v>25</v>
      </c>
      <c r="Y1003" s="134" t="s">
        <v>25</v>
      </c>
      <c r="Z1003" s="178" t="s">
        <v>25</v>
      </c>
      <c r="AA1003" s="134" t="s">
        <v>25</v>
      </c>
      <c r="AB1003" s="134" t="s">
        <v>25</v>
      </c>
      <c r="AC1003" s="134" t="s">
        <v>25</v>
      </c>
      <c r="AD1003" s="178" t="s">
        <v>25</v>
      </c>
      <c r="AE1003" s="134" t="s">
        <v>25</v>
      </c>
      <c r="AF1003" s="134" t="s">
        <v>25</v>
      </c>
      <c r="AG1003" s="177" t="s">
        <v>25</v>
      </c>
      <c r="AH1003" s="134" t="s">
        <v>25</v>
      </c>
      <c r="AI1003" s="134" t="s">
        <v>25</v>
      </c>
      <c r="AJ1003" s="178" t="s">
        <v>25</v>
      </c>
      <c r="AK1003" s="134" t="s">
        <v>25</v>
      </c>
      <c r="AL1003" s="134" t="s">
        <v>25</v>
      </c>
      <c r="AM1003" s="134" t="s">
        <v>25</v>
      </c>
      <c r="AN1003" s="178" t="s">
        <v>25</v>
      </c>
      <c r="AO1003" s="134" t="s">
        <v>25</v>
      </c>
      <c r="AP1003" s="134" t="s">
        <v>25</v>
      </c>
      <c r="AQ1003" s="178" t="s">
        <v>25</v>
      </c>
      <c r="AR1003" s="134" t="s">
        <v>25</v>
      </c>
      <c r="AS1003" s="178" t="s">
        <v>18</v>
      </c>
      <c r="AT1003" s="189"/>
      <c r="AU1003" s="189"/>
      <c r="AV1003" s="189"/>
      <c r="AW1003" s="189"/>
      <c r="AX1003" s="189"/>
      <c r="AY1003" s="189"/>
      <c r="AZ1003" s="189"/>
      <c r="BA1003" s="189"/>
      <c r="BB1003" s="189"/>
      <c r="BC1003" s="189"/>
    </row>
    <row r="1004" spans="1:55" ht="15.75" customHeight="1" x14ac:dyDescent="0.25">
      <c r="A1004" s="128">
        <v>187578.94736842107</v>
      </c>
      <c r="B1004" s="122" t="s">
        <v>12</v>
      </c>
      <c r="C1004" s="124"/>
      <c r="D1004" s="124"/>
      <c r="E1004" s="171"/>
      <c r="F1004" s="124"/>
      <c r="G1004" s="124"/>
      <c r="H1004" s="172"/>
      <c r="I1004" s="124"/>
      <c r="J1004" s="124"/>
      <c r="K1004" s="124"/>
      <c r="L1004" s="172"/>
      <c r="M1004" s="124"/>
      <c r="N1004" s="124"/>
      <c r="O1004" s="124"/>
      <c r="P1004" s="172"/>
      <c r="Q1004" s="124"/>
      <c r="R1004" s="124"/>
      <c r="S1004" s="172"/>
      <c r="T1004" s="124"/>
      <c r="U1004" s="124"/>
      <c r="V1004" s="172" t="s">
        <v>143</v>
      </c>
      <c r="W1004" s="124"/>
      <c r="X1004" s="124"/>
      <c r="Y1004" s="124"/>
      <c r="Z1004" s="172"/>
      <c r="AA1004" s="124"/>
      <c r="AB1004" s="124"/>
      <c r="AC1004" s="124"/>
      <c r="AD1004" s="172"/>
      <c r="AE1004" s="124"/>
      <c r="AF1004" s="124"/>
      <c r="AG1004" s="171"/>
      <c r="AH1004" s="124"/>
      <c r="AI1004" s="124"/>
      <c r="AJ1004" s="172"/>
      <c r="AK1004" s="124"/>
      <c r="AL1004" s="124"/>
      <c r="AM1004" s="124"/>
      <c r="AN1004" s="172"/>
      <c r="AO1004" s="124"/>
      <c r="AP1004" s="124"/>
      <c r="AQ1004" s="172"/>
      <c r="AR1004" s="124"/>
      <c r="AS1004" s="172"/>
      <c r="AT1004" s="161"/>
      <c r="AU1004" s="161"/>
      <c r="AV1004" s="161"/>
      <c r="AW1004" s="161"/>
      <c r="AX1004" s="161"/>
      <c r="AY1004" s="161"/>
      <c r="AZ1004" s="161"/>
      <c r="BA1004" s="161"/>
      <c r="BB1004" s="161"/>
      <c r="BC1004" s="161"/>
    </row>
    <row r="1005" spans="1:55" ht="15.75" customHeight="1" x14ac:dyDescent="0.25">
      <c r="A1005" s="128">
        <v>2376</v>
      </c>
      <c r="B1005" s="136" t="s">
        <v>13</v>
      </c>
      <c r="C1005" s="137"/>
      <c r="D1005" s="137"/>
      <c r="E1005" s="171"/>
      <c r="F1005" s="137"/>
      <c r="G1005" s="137">
        <v>137</v>
      </c>
      <c r="H1005" s="172">
        <v>0</v>
      </c>
      <c r="I1005" s="137">
        <v>0</v>
      </c>
      <c r="J1005" s="137">
        <v>0</v>
      </c>
      <c r="K1005" s="137">
        <v>52</v>
      </c>
      <c r="L1005" s="172">
        <v>0</v>
      </c>
      <c r="M1005" s="137">
        <v>0</v>
      </c>
      <c r="N1005" s="137">
        <v>0</v>
      </c>
      <c r="O1005" s="137">
        <v>171</v>
      </c>
      <c r="P1005" s="172">
        <v>0</v>
      </c>
      <c r="Q1005" s="137">
        <v>0</v>
      </c>
      <c r="R1005" s="137">
        <v>142</v>
      </c>
      <c r="S1005" s="172">
        <v>0</v>
      </c>
      <c r="T1005" s="137">
        <v>0</v>
      </c>
      <c r="U1005" s="137">
        <v>202</v>
      </c>
      <c r="V1005" s="172">
        <v>0</v>
      </c>
      <c r="W1005" s="137">
        <v>0</v>
      </c>
      <c r="X1005" s="137">
        <v>0</v>
      </c>
      <c r="Y1005" s="137">
        <v>282</v>
      </c>
      <c r="Z1005" s="172">
        <v>0</v>
      </c>
      <c r="AA1005" s="137">
        <v>0</v>
      </c>
      <c r="AB1005" s="137">
        <v>0</v>
      </c>
      <c r="AC1005" s="137">
        <v>518</v>
      </c>
      <c r="AD1005" s="172">
        <v>0</v>
      </c>
      <c r="AE1005" s="137">
        <v>0</v>
      </c>
      <c r="AF1005" s="137">
        <v>114</v>
      </c>
      <c r="AG1005" s="171">
        <v>0</v>
      </c>
      <c r="AH1005" s="137">
        <v>0</v>
      </c>
      <c r="AI1005" s="137">
        <v>324</v>
      </c>
      <c r="AJ1005" s="172">
        <v>0</v>
      </c>
      <c r="AK1005" s="137">
        <v>0</v>
      </c>
      <c r="AL1005" s="137">
        <v>0</v>
      </c>
      <c r="AM1005" s="137">
        <v>148</v>
      </c>
      <c r="AN1005" s="172">
        <v>0</v>
      </c>
      <c r="AO1005" s="137">
        <v>0</v>
      </c>
      <c r="AP1005" s="137">
        <v>231</v>
      </c>
      <c r="AQ1005" s="172">
        <v>0</v>
      </c>
      <c r="AR1005" s="137">
        <v>55</v>
      </c>
      <c r="AS1005" s="172" t="s">
        <v>18</v>
      </c>
      <c r="AT1005" s="161"/>
      <c r="AU1005" s="161"/>
      <c r="AV1005" s="161"/>
      <c r="AW1005" s="161"/>
      <c r="AX1005" s="161"/>
      <c r="AY1005" s="161"/>
      <c r="AZ1005" s="161"/>
      <c r="BA1005" s="161"/>
      <c r="BB1005" s="161"/>
      <c r="BC1005" s="161"/>
    </row>
    <row r="1006" spans="1:55" ht="15.75" customHeight="1" x14ac:dyDescent="0.25">
      <c r="A1006" s="128">
        <v>65</v>
      </c>
      <c r="B1006" s="136" t="s">
        <v>14</v>
      </c>
      <c r="C1006" s="137"/>
      <c r="D1006" s="137"/>
      <c r="E1006" s="171"/>
      <c r="F1006" s="137"/>
      <c r="G1006" s="137"/>
      <c r="H1006" s="172">
        <v>0</v>
      </c>
      <c r="I1006" s="137">
        <v>0</v>
      </c>
      <c r="J1006" s="137">
        <v>0</v>
      </c>
      <c r="K1006" s="137">
        <v>1</v>
      </c>
      <c r="L1006" s="172">
        <v>0</v>
      </c>
      <c r="M1006" s="137">
        <v>0</v>
      </c>
      <c r="N1006" s="137">
        <v>0</v>
      </c>
      <c r="O1006" s="137">
        <v>1</v>
      </c>
      <c r="P1006" s="172">
        <v>0</v>
      </c>
      <c r="Q1006" s="137">
        <v>0</v>
      </c>
      <c r="R1006" s="137">
        <v>3</v>
      </c>
      <c r="S1006" s="172">
        <v>0</v>
      </c>
      <c r="T1006" s="137">
        <v>0</v>
      </c>
      <c r="U1006" s="137">
        <v>3</v>
      </c>
      <c r="V1006" s="172">
        <v>0</v>
      </c>
      <c r="W1006" s="137">
        <v>0</v>
      </c>
      <c r="X1006" s="137">
        <v>0</v>
      </c>
      <c r="Y1006" s="137">
        <v>22</v>
      </c>
      <c r="Z1006" s="172">
        <v>0</v>
      </c>
      <c r="AA1006" s="137">
        <v>0</v>
      </c>
      <c r="AB1006" s="137">
        <v>0</v>
      </c>
      <c r="AC1006" s="137">
        <v>9</v>
      </c>
      <c r="AD1006" s="172">
        <v>0</v>
      </c>
      <c r="AE1006" s="137">
        <v>0</v>
      </c>
      <c r="AF1006" s="137">
        <v>7</v>
      </c>
      <c r="AG1006" s="171">
        <v>0</v>
      </c>
      <c r="AH1006" s="137">
        <v>0</v>
      </c>
      <c r="AI1006" s="137">
        <v>8</v>
      </c>
      <c r="AJ1006" s="172">
        <v>0</v>
      </c>
      <c r="AK1006" s="137">
        <v>0</v>
      </c>
      <c r="AL1006" s="137">
        <v>0</v>
      </c>
      <c r="AM1006" s="137">
        <v>5</v>
      </c>
      <c r="AN1006" s="172">
        <v>0</v>
      </c>
      <c r="AO1006" s="137">
        <v>0</v>
      </c>
      <c r="AP1006" s="137">
        <v>5</v>
      </c>
      <c r="AQ1006" s="172">
        <v>0</v>
      </c>
      <c r="AR1006" s="137">
        <v>1</v>
      </c>
      <c r="AS1006" s="172" t="s">
        <v>18</v>
      </c>
      <c r="AT1006" s="161"/>
      <c r="AU1006" s="161"/>
      <c r="AV1006" s="161"/>
      <c r="AW1006" s="161"/>
      <c r="AX1006" s="161"/>
      <c r="AY1006" s="161"/>
      <c r="AZ1006" s="161"/>
      <c r="BA1006" s="161"/>
      <c r="BB1006" s="161"/>
      <c r="BC1006" s="161"/>
    </row>
    <row r="1007" spans="1:55" ht="15.75" customHeight="1" x14ac:dyDescent="0.25">
      <c r="A1007" s="128">
        <v>45</v>
      </c>
      <c r="B1007" s="136" t="s">
        <v>15</v>
      </c>
      <c r="C1007" s="137"/>
      <c r="D1007" s="137"/>
      <c r="E1007" s="171"/>
      <c r="F1007" s="137"/>
      <c r="G1007" s="137"/>
      <c r="H1007" s="172">
        <v>0</v>
      </c>
      <c r="I1007" s="137">
        <v>0</v>
      </c>
      <c r="J1007" s="137">
        <v>0</v>
      </c>
      <c r="K1007" s="137">
        <v>0</v>
      </c>
      <c r="L1007" s="172">
        <v>0</v>
      </c>
      <c r="M1007" s="137">
        <v>0</v>
      </c>
      <c r="N1007" s="137">
        <v>0</v>
      </c>
      <c r="O1007" s="137">
        <v>1</v>
      </c>
      <c r="P1007" s="172">
        <v>0</v>
      </c>
      <c r="Q1007" s="137">
        <v>0</v>
      </c>
      <c r="R1007" s="137">
        <v>2</v>
      </c>
      <c r="S1007" s="172">
        <v>0</v>
      </c>
      <c r="T1007" s="137">
        <v>0</v>
      </c>
      <c r="U1007" s="137">
        <v>3</v>
      </c>
      <c r="V1007" s="172">
        <v>0</v>
      </c>
      <c r="W1007" s="137">
        <v>0</v>
      </c>
      <c r="X1007" s="137">
        <v>0</v>
      </c>
      <c r="Y1007" s="137">
        <v>8</v>
      </c>
      <c r="Z1007" s="172">
        <v>0</v>
      </c>
      <c r="AA1007" s="137">
        <v>0</v>
      </c>
      <c r="AB1007" s="137">
        <v>0</v>
      </c>
      <c r="AC1007" s="137">
        <v>9</v>
      </c>
      <c r="AD1007" s="172">
        <v>0</v>
      </c>
      <c r="AE1007" s="137">
        <v>0</v>
      </c>
      <c r="AF1007" s="137">
        <v>3</v>
      </c>
      <c r="AG1007" s="171">
        <v>0</v>
      </c>
      <c r="AH1007" s="137">
        <v>0</v>
      </c>
      <c r="AI1007" s="137">
        <v>8</v>
      </c>
      <c r="AJ1007" s="172">
        <v>0</v>
      </c>
      <c r="AK1007" s="137">
        <v>0</v>
      </c>
      <c r="AL1007" s="137">
        <v>0</v>
      </c>
      <c r="AM1007" s="137">
        <v>5</v>
      </c>
      <c r="AN1007" s="172">
        <v>0</v>
      </c>
      <c r="AO1007" s="137">
        <v>0</v>
      </c>
      <c r="AP1007" s="137">
        <v>5</v>
      </c>
      <c r="AQ1007" s="172">
        <v>0</v>
      </c>
      <c r="AR1007" s="137">
        <v>1</v>
      </c>
      <c r="AS1007" s="172" t="s">
        <v>18</v>
      </c>
      <c r="AT1007" s="161"/>
      <c r="AU1007" s="161"/>
      <c r="AV1007" s="161"/>
      <c r="AW1007" s="161"/>
      <c r="AX1007" s="161"/>
      <c r="AY1007" s="161"/>
      <c r="AZ1007" s="161"/>
      <c r="BA1007" s="161"/>
      <c r="BB1007" s="161"/>
      <c r="BC1007" s="161"/>
    </row>
    <row r="1008" spans="1:55" ht="15.75" customHeight="1" x14ac:dyDescent="0.25">
      <c r="A1008" s="128">
        <v>33750</v>
      </c>
      <c r="B1008" s="136" t="s">
        <v>16</v>
      </c>
      <c r="C1008" s="137"/>
      <c r="D1008" s="137"/>
      <c r="E1008" s="171"/>
      <c r="F1008" s="137"/>
      <c r="G1008" s="137"/>
      <c r="H1008" s="172">
        <v>0</v>
      </c>
      <c r="I1008" s="137">
        <v>0</v>
      </c>
      <c r="J1008" s="137">
        <v>0</v>
      </c>
      <c r="K1008" s="137">
        <v>0</v>
      </c>
      <c r="L1008" s="172">
        <v>0</v>
      </c>
      <c r="M1008" s="137">
        <v>0</v>
      </c>
      <c r="N1008" s="137">
        <v>0</v>
      </c>
      <c r="O1008" s="137">
        <v>750</v>
      </c>
      <c r="P1008" s="172">
        <v>0</v>
      </c>
      <c r="Q1008" s="137">
        <v>0</v>
      </c>
      <c r="R1008" s="137">
        <v>1500</v>
      </c>
      <c r="S1008" s="172">
        <v>0</v>
      </c>
      <c r="T1008" s="137">
        <v>0</v>
      </c>
      <c r="U1008" s="137">
        <v>2250</v>
      </c>
      <c r="V1008" s="172">
        <v>0</v>
      </c>
      <c r="W1008" s="137">
        <v>0</v>
      </c>
      <c r="X1008" s="137">
        <v>0</v>
      </c>
      <c r="Y1008" s="137">
        <v>6000</v>
      </c>
      <c r="Z1008" s="172">
        <v>0</v>
      </c>
      <c r="AA1008" s="137">
        <v>0</v>
      </c>
      <c r="AB1008" s="137">
        <v>0</v>
      </c>
      <c r="AC1008" s="137">
        <v>6750</v>
      </c>
      <c r="AD1008" s="172">
        <v>0</v>
      </c>
      <c r="AE1008" s="137">
        <v>0</v>
      </c>
      <c r="AF1008" s="137">
        <v>2250</v>
      </c>
      <c r="AG1008" s="171">
        <v>0</v>
      </c>
      <c r="AH1008" s="137">
        <v>0</v>
      </c>
      <c r="AI1008" s="137">
        <v>6000</v>
      </c>
      <c r="AJ1008" s="172">
        <v>0</v>
      </c>
      <c r="AK1008" s="137">
        <v>0</v>
      </c>
      <c r="AL1008" s="137">
        <v>0</v>
      </c>
      <c r="AM1008" s="137">
        <v>3750</v>
      </c>
      <c r="AN1008" s="172">
        <v>0</v>
      </c>
      <c r="AO1008" s="137">
        <v>0</v>
      </c>
      <c r="AP1008" s="137">
        <v>3750</v>
      </c>
      <c r="AQ1008" s="172">
        <v>0</v>
      </c>
      <c r="AR1008" s="137">
        <v>750</v>
      </c>
      <c r="AS1008" s="172" t="s">
        <v>18</v>
      </c>
      <c r="AT1008" s="161"/>
      <c r="AU1008" s="161"/>
      <c r="AV1008" s="161"/>
      <c r="AW1008" s="161"/>
      <c r="AX1008" s="161"/>
      <c r="AY1008" s="161"/>
      <c r="AZ1008" s="161"/>
      <c r="BA1008" s="161"/>
      <c r="BB1008" s="161"/>
      <c r="BC1008" s="161"/>
    </row>
    <row r="1009" spans="1:55" ht="15.75" customHeight="1" x14ac:dyDescent="0.25">
      <c r="A1009" s="138">
        <v>0.14204545454545456</v>
      </c>
      <c r="B1009" s="139" t="s">
        <v>17</v>
      </c>
      <c r="C1009" s="141"/>
      <c r="D1009" s="141"/>
      <c r="E1009" s="180"/>
      <c r="F1009" s="141"/>
      <c r="G1009" s="141"/>
      <c r="H1009" s="181" t="s">
        <v>18</v>
      </c>
      <c r="I1009" s="141" t="s">
        <v>18</v>
      </c>
      <c r="J1009" s="141" t="s">
        <v>18</v>
      </c>
      <c r="K1009" s="141" t="s">
        <v>18</v>
      </c>
      <c r="L1009" s="181" t="s">
        <v>18</v>
      </c>
      <c r="M1009" s="141" t="s">
        <v>18</v>
      </c>
      <c r="N1009" s="141" t="s">
        <v>18</v>
      </c>
      <c r="O1009" s="141">
        <v>4.3859649122807015E-2</v>
      </c>
      <c r="P1009" s="181" t="s">
        <v>18</v>
      </c>
      <c r="Q1009" s="141" t="s">
        <v>18</v>
      </c>
      <c r="R1009" s="141">
        <v>0.10563380281690141</v>
      </c>
      <c r="S1009" s="181" t="s">
        <v>18</v>
      </c>
      <c r="T1009" s="141" t="s">
        <v>18</v>
      </c>
      <c r="U1009" s="141">
        <v>0.11138613861386139</v>
      </c>
      <c r="V1009" s="181" t="s">
        <v>18</v>
      </c>
      <c r="W1009" s="141" t="s">
        <v>18</v>
      </c>
      <c r="X1009" s="141" t="s">
        <v>18</v>
      </c>
      <c r="Y1009" s="141">
        <v>0.21276595744680851</v>
      </c>
      <c r="Z1009" s="181" t="s">
        <v>18</v>
      </c>
      <c r="AA1009" s="141" t="s">
        <v>18</v>
      </c>
      <c r="AB1009" s="141" t="s">
        <v>18</v>
      </c>
      <c r="AC1009" s="141">
        <v>0.1303088803088803</v>
      </c>
      <c r="AD1009" s="181" t="s">
        <v>18</v>
      </c>
      <c r="AE1009" s="141" t="s">
        <v>18</v>
      </c>
      <c r="AF1009" s="141">
        <v>0.19736842105263158</v>
      </c>
      <c r="AG1009" s="180" t="s">
        <v>18</v>
      </c>
      <c r="AH1009" s="141" t="s">
        <v>18</v>
      </c>
      <c r="AI1009" s="141">
        <v>0.18518518518518517</v>
      </c>
      <c r="AJ1009" s="181" t="s">
        <v>18</v>
      </c>
      <c r="AK1009" s="141" t="s">
        <v>18</v>
      </c>
      <c r="AL1009" s="141" t="s">
        <v>18</v>
      </c>
      <c r="AM1009" s="141">
        <v>0.2533783783783784</v>
      </c>
      <c r="AN1009" s="181" t="s">
        <v>18</v>
      </c>
      <c r="AO1009" s="141" t="s">
        <v>18</v>
      </c>
      <c r="AP1009" s="141">
        <v>0.16233766233766234</v>
      </c>
      <c r="AQ1009" s="181" t="s">
        <v>18</v>
      </c>
      <c r="AR1009" s="141">
        <v>0.13636363636363635</v>
      </c>
      <c r="AS1009" s="181" t="s">
        <v>18</v>
      </c>
      <c r="AT1009" s="161"/>
      <c r="AU1009" s="161"/>
      <c r="AV1009" s="161"/>
      <c r="AW1009" s="161"/>
      <c r="AX1009" s="161"/>
      <c r="AY1009" s="161"/>
      <c r="AZ1009" s="161"/>
      <c r="BA1009" s="161"/>
      <c r="BB1009" s="161"/>
      <c r="BC1009" s="161"/>
    </row>
    <row r="1010" spans="1:55" ht="15.75" customHeight="1" x14ac:dyDescent="0.25">
      <c r="A1010" s="116" t="s">
        <v>1</v>
      </c>
      <c r="B1010" s="117" t="s">
        <v>2</v>
      </c>
      <c r="C1010" s="119"/>
      <c r="D1010" s="119">
        <v>11328</v>
      </c>
      <c r="E1010" s="168">
        <v>11328</v>
      </c>
      <c r="F1010" s="119">
        <v>11328</v>
      </c>
      <c r="G1010" s="119">
        <v>11513</v>
      </c>
      <c r="H1010" s="169">
        <v>11513</v>
      </c>
      <c r="I1010" s="119">
        <v>11513</v>
      </c>
      <c r="J1010" s="119">
        <v>11513</v>
      </c>
      <c r="K1010" s="119">
        <v>11581</v>
      </c>
      <c r="L1010" s="169">
        <v>11581</v>
      </c>
      <c r="M1010" s="119">
        <v>11581</v>
      </c>
      <c r="N1010" s="119">
        <v>11581</v>
      </c>
      <c r="O1010" s="119">
        <v>11581</v>
      </c>
      <c r="P1010" s="169">
        <v>11581</v>
      </c>
      <c r="Q1010" s="119">
        <v>11581</v>
      </c>
      <c r="R1010" s="119">
        <v>11761</v>
      </c>
      <c r="S1010" s="169">
        <v>11761</v>
      </c>
      <c r="T1010" s="119">
        <v>11761</v>
      </c>
      <c r="U1010" s="119">
        <v>11929</v>
      </c>
      <c r="V1010" s="169">
        <v>11929</v>
      </c>
      <c r="W1010" s="119">
        <v>11929</v>
      </c>
      <c r="X1010" s="119">
        <v>11929</v>
      </c>
      <c r="Y1010" s="119">
        <v>11965</v>
      </c>
      <c r="Z1010" s="169">
        <v>11965</v>
      </c>
      <c r="AA1010" s="119">
        <v>11965</v>
      </c>
      <c r="AB1010" s="119">
        <v>11965</v>
      </c>
      <c r="AC1010" s="119">
        <v>12082</v>
      </c>
      <c r="AD1010" s="169">
        <v>12082</v>
      </c>
      <c r="AE1010" s="119">
        <v>12082</v>
      </c>
      <c r="AF1010" s="119">
        <v>12169</v>
      </c>
      <c r="AG1010" s="168">
        <v>12169</v>
      </c>
      <c r="AH1010" s="119">
        <v>12169</v>
      </c>
      <c r="AI1010" s="119">
        <v>12297</v>
      </c>
      <c r="AJ1010" s="169">
        <v>12297</v>
      </c>
      <c r="AK1010" s="119">
        <v>12297</v>
      </c>
      <c r="AL1010" s="119">
        <v>12297</v>
      </c>
      <c r="AM1010" s="119">
        <v>12346</v>
      </c>
      <c r="AN1010" s="169">
        <v>12346</v>
      </c>
      <c r="AO1010" s="119">
        <v>12346</v>
      </c>
      <c r="AP1010" s="119">
        <v>12487</v>
      </c>
      <c r="AQ1010" s="169">
        <v>12487</v>
      </c>
      <c r="AR1010" s="119">
        <v>12519</v>
      </c>
      <c r="AS1010" s="169" t="s">
        <v>18</v>
      </c>
      <c r="AT1010" s="161"/>
      <c r="AU1010" s="161"/>
      <c r="AV1010" s="161"/>
      <c r="AW1010" s="161"/>
      <c r="AX1010" s="161"/>
      <c r="AY1010" s="161"/>
      <c r="AZ1010" s="161"/>
      <c r="BA1010" s="161"/>
      <c r="BB1010" s="161"/>
      <c r="BC1010" s="161"/>
    </row>
    <row r="1011" spans="1:55" ht="15.75" customHeight="1" x14ac:dyDescent="0.25">
      <c r="A1011" s="121" t="s">
        <v>47</v>
      </c>
      <c r="B1011" s="122" t="s">
        <v>4</v>
      </c>
      <c r="C1011" s="124"/>
      <c r="D1011" s="124">
        <v>301</v>
      </c>
      <c r="E1011" s="171">
        <v>301</v>
      </c>
      <c r="F1011" s="124">
        <v>301</v>
      </c>
      <c r="G1011" s="124">
        <v>306</v>
      </c>
      <c r="H1011" s="172">
        <v>306</v>
      </c>
      <c r="I1011" s="124">
        <v>306</v>
      </c>
      <c r="J1011" s="124">
        <v>306</v>
      </c>
      <c r="K1011" s="124">
        <v>315</v>
      </c>
      <c r="L1011" s="172">
        <v>315</v>
      </c>
      <c r="M1011" s="124">
        <v>315</v>
      </c>
      <c r="N1011" s="124">
        <v>315</v>
      </c>
      <c r="O1011" s="124">
        <v>315</v>
      </c>
      <c r="P1011" s="172">
        <v>315</v>
      </c>
      <c r="Q1011" s="124">
        <v>315</v>
      </c>
      <c r="R1011" s="124">
        <v>332</v>
      </c>
      <c r="S1011" s="172">
        <v>332</v>
      </c>
      <c r="T1011" s="124">
        <v>332</v>
      </c>
      <c r="U1011" s="124">
        <v>342</v>
      </c>
      <c r="V1011" s="172">
        <v>342</v>
      </c>
      <c r="W1011" s="124">
        <v>342</v>
      </c>
      <c r="X1011" s="124">
        <v>342</v>
      </c>
      <c r="Y1011" s="124">
        <v>345</v>
      </c>
      <c r="Z1011" s="172">
        <v>345</v>
      </c>
      <c r="AA1011" s="124">
        <v>345</v>
      </c>
      <c r="AB1011" s="124">
        <v>345</v>
      </c>
      <c r="AC1011" s="124">
        <v>351</v>
      </c>
      <c r="AD1011" s="172">
        <v>351</v>
      </c>
      <c r="AE1011" s="124">
        <v>351</v>
      </c>
      <c r="AF1011" s="124">
        <v>354</v>
      </c>
      <c r="AG1011" s="171">
        <v>354</v>
      </c>
      <c r="AH1011" s="124">
        <v>354</v>
      </c>
      <c r="AI1011" s="124">
        <v>362</v>
      </c>
      <c r="AJ1011" s="172">
        <v>362</v>
      </c>
      <c r="AK1011" s="124">
        <v>362</v>
      </c>
      <c r="AL1011" s="124">
        <v>362</v>
      </c>
      <c r="AM1011" s="124">
        <v>365</v>
      </c>
      <c r="AN1011" s="172">
        <v>365</v>
      </c>
      <c r="AO1011" s="124">
        <v>365</v>
      </c>
      <c r="AP1011" s="124">
        <v>369</v>
      </c>
      <c r="AQ1011" s="172">
        <v>369</v>
      </c>
      <c r="AR1011" s="124">
        <v>371</v>
      </c>
      <c r="AS1011" s="172" t="s">
        <v>18</v>
      </c>
      <c r="AT1011" s="161"/>
      <c r="AU1011" s="161"/>
      <c r="AV1011" s="161"/>
      <c r="AW1011" s="161"/>
      <c r="AX1011" s="161"/>
      <c r="AY1011" s="161"/>
      <c r="AZ1011" s="161"/>
      <c r="BA1011" s="161"/>
      <c r="BB1011" s="161"/>
      <c r="BC1011" s="161"/>
    </row>
    <row r="1012" spans="1:55" ht="15.75" customHeight="1" x14ac:dyDescent="0.25">
      <c r="A1012" s="126"/>
      <c r="B1012" s="122" t="s">
        <v>5</v>
      </c>
      <c r="C1012" s="124"/>
      <c r="D1012" s="124">
        <v>23</v>
      </c>
      <c r="E1012" s="171">
        <v>23</v>
      </c>
      <c r="F1012" s="124">
        <v>23</v>
      </c>
      <c r="G1012" s="124">
        <v>18</v>
      </c>
      <c r="H1012" s="172">
        <v>40</v>
      </c>
      <c r="I1012" s="124">
        <v>40</v>
      </c>
      <c r="J1012" s="124">
        <v>40</v>
      </c>
      <c r="K1012" s="124">
        <v>36</v>
      </c>
      <c r="L1012" s="172">
        <v>40</v>
      </c>
      <c r="M1012" s="124">
        <v>40</v>
      </c>
      <c r="N1012" s="124">
        <v>40</v>
      </c>
      <c r="O1012" s="124">
        <v>48</v>
      </c>
      <c r="P1012" s="172">
        <v>64</v>
      </c>
      <c r="Q1012" s="124">
        <v>64</v>
      </c>
      <c r="R1012" s="124">
        <v>59</v>
      </c>
      <c r="S1012" s="172">
        <v>59</v>
      </c>
      <c r="T1012" s="124">
        <v>59</v>
      </c>
      <c r="U1012" s="124">
        <v>53</v>
      </c>
      <c r="V1012" s="172">
        <v>40</v>
      </c>
      <c r="W1012" s="124">
        <v>40</v>
      </c>
      <c r="X1012" s="124">
        <v>40</v>
      </c>
      <c r="Y1012" s="124">
        <v>40</v>
      </c>
      <c r="Z1012" s="172">
        <v>40</v>
      </c>
      <c r="AA1012" s="124">
        <v>40</v>
      </c>
      <c r="AB1012" s="124">
        <v>40</v>
      </c>
      <c r="AC1012" s="124">
        <v>37</v>
      </c>
      <c r="AD1012" s="172">
        <v>37</v>
      </c>
      <c r="AE1012" s="124">
        <v>37</v>
      </c>
      <c r="AF1012" s="124">
        <v>36</v>
      </c>
      <c r="AG1012" s="171">
        <v>36</v>
      </c>
      <c r="AH1012" s="124">
        <v>36</v>
      </c>
      <c r="AI1012" s="124">
        <v>32</v>
      </c>
      <c r="AJ1012" s="172">
        <v>32</v>
      </c>
      <c r="AK1012" s="124">
        <v>32</v>
      </c>
      <c r="AL1012" s="124">
        <v>32</v>
      </c>
      <c r="AM1012" s="124">
        <v>31</v>
      </c>
      <c r="AN1012" s="172">
        <v>31</v>
      </c>
      <c r="AO1012" s="124">
        <v>31</v>
      </c>
      <c r="AP1012" s="124">
        <v>27</v>
      </c>
      <c r="AQ1012" s="172">
        <v>27</v>
      </c>
      <c r="AR1012" s="124">
        <v>25</v>
      </c>
      <c r="AS1012" s="172" t="s">
        <v>18</v>
      </c>
      <c r="AT1012" s="161"/>
      <c r="AU1012" s="161"/>
      <c r="AV1012" s="161"/>
      <c r="AW1012" s="161"/>
      <c r="AX1012" s="161"/>
      <c r="AY1012" s="161"/>
      <c r="AZ1012" s="161"/>
      <c r="BA1012" s="161"/>
      <c r="BB1012" s="161"/>
      <c r="BC1012" s="161"/>
    </row>
    <row r="1013" spans="1:55" ht="15.75" customHeight="1" x14ac:dyDescent="0.25">
      <c r="A1013" s="127"/>
      <c r="B1013" s="122" t="s">
        <v>6</v>
      </c>
      <c r="C1013" s="124"/>
      <c r="D1013" s="124"/>
      <c r="E1013" s="171"/>
      <c r="F1013" s="124"/>
      <c r="G1013" s="124">
        <v>22</v>
      </c>
      <c r="H1013" s="172"/>
      <c r="I1013" s="124"/>
      <c r="J1013" s="124"/>
      <c r="K1013" s="124">
        <v>4</v>
      </c>
      <c r="L1013" s="172"/>
      <c r="M1013" s="124"/>
      <c r="N1013" s="124"/>
      <c r="O1013" s="124">
        <v>16</v>
      </c>
      <c r="P1013" s="172"/>
      <c r="Q1013" s="124"/>
      <c r="R1013" s="124"/>
      <c r="S1013" s="172"/>
      <c r="T1013" s="124"/>
      <c r="U1013" s="124">
        <v>-13</v>
      </c>
      <c r="V1013" s="172"/>
      <c r="W1013" s="124"/>
      <c r="X1013" s="124"/>
      <c r="Y1013" s="124"/>
      <c r="Z1013" s="172"/>
      <c r="AA1013" s="124"/>
      <c r="AB1013" s="124"/>
      <c r="AC1013" s="124"/>
      <c r="AD1013" s="172"/>
      <c r="AE1013" s="124"/>
      <c r="AF1013" s="124"/>
      <c r="AG1013" s="171"/>
      <c r="AH1013" s="124"/>
      <c r="AI1013" s="124"/>
      <c r="AJ1013" s="172"/>
      <c r="AK1013" s="124"/>
      <c r="AL1013" s="124"/>
      <c r="AM1013" s="124"/>
      <c r="AN1013" s="172"/>
      <c r="AO1013" s="124"/>
      <c r="AP1013" s="124"/>
      <c r="AQ1013" s="172"/>
      <c r="AR1013" s="124"/>
      <c r="AS1013" s="172"/>
      <c r="AT1013" s="161"/>
      <c r="AU1013" s="161"/>
      <c r="AV1013" s="161"/>
      <c r="AW1013" s="161"/>
      <c r="AX1013" s="161"/>
      <c r="AY1013" s="161"/>
      <c r="AZ1013" s="161"/>
      <c r="BA1013" s="161"/>
      <c r="BB1013" s="161"/>
      <c r="BC1013" s="161"/>
    </row>
    <row r="1014" spans="1:55" ht="15.75" customHeight="1" x14ac:dyDescent="0.25">
      <c r="A1014" s="128"/>
      <c r="B1014" s="122" t="s">
        <v>8</v>
      </c>
      <c r="C1014" s="130"/>
      <c r="D1014" s="130">
        <v>1100</v>
      </c>
      <c r="E1014" s="174">
        <v>1100</v>
      </c>
      <c r="F1014" s="130">
        <v>1100</v>
      </c>
      <c r="G1014" s="130">
        <v>1100</v>
      </c>
      <c r="H1014" s="175">
        <v>1100</v>
      </c>
      <c r="I1014" s="130">
        <v>1100</v>
      </c>
      <c r="J1014" s="130">
        <v>1100</v>
      </c>
      <c r="K1014" s="130">
        <v>1100</v>
      </c>
      <c r="L1014" s="175">
        <v>1100</v>
      </c>
      <c r="M1014" s="130">
        <v>1100</v>
      </c>
      <c r="N1014" s="130">
        <v>1100</v>
      </c>
      <c r="O1014" s="130">
        <v>1100</v>
      </c>
      <c r="P1014" s="175">
        <v>1100</v>
      </c>
      <c r="Q1014" s="130">
        <v>1100</v>
      </c>
      <c r="R1014" s="130">
        <v>1100</v>
      </c>
      <c r="S1014" s="175">
        <v>1100</v>
      </c>
      <c r="T1014" s="130">
        <v>1100</v>
      </c>
      <c r="U1014" s="130">
        <v>1100</v>
      </c>
      <c r="V1014" s="175">
        <v>1100</v>
      </c>
      <c r="W1014" s="130">
        <v>1100</v>
      </c>
      <c r="X1014" s="130">
        <v>1100</v>
      </c>
      <c r="Y1014" s="130">
        <v>1100</v>
      </c>
      <c r="Z1014" s="175">
        <v>1100</v>
      </c>
      <c r="AA1014" s="130">
        <v>1100</v>
      </c>
      <c r="AB1014" s="130">
        <v>1100</v>
      </c>
      <c r="AC1014" s="130">
        <v>1100</v>
      </c>
      <c r="AD1014" s="175">
        <v>1100</v>
      </c>
      <c r="AE1014" s="130">
        <v>1100</v>
      </c>
      <c r="AF1014" s="130">
        <v>1100</v>
      </c>
      <c r="AG1014" s="174">
        <v>1100</v>
      </c>
      <c r="AH1014" s="130">
        <v>1100</v>
      </c>
      <c r="AI1014" s="130">
        <v>1100</v>
      </c>
      <c r="AJ1014" s="175">
        <v>1100</v>
      </c>
      <c r="AK1014" s="130">
        <v>1100</v>
      </c>
      <c r="AL1014" s="130">
        <v>1100</v>
      </c>
      <c r="AM1014" s="130">
        <v>1100</v>
      </c>
      <c r="AN1014" s="175">
        <v>1100</v>
      </c>
      <c r="AO1014" s="130">
        <v>1100</v>
      </c>
      <c r="AP1014" s="130">
        <v>1100</v>
      </c>
      <c r="AQ1014" s="175">
        <v>1100</v>
      </c>
      <c r="AR1014" s="130">
        <v>1100</v>
      </c>
      <c r="AS1014" s="175" t="s">
        <v>18</v>
      </c>
      <c r="AT1014" s="161"/>
      <c r="AU1014" s="161"/>
      <c r="AV1014" s="161"/>
      <c r="AW1014" s="161"/>
      <c r="AX1014" s="161"/>
      <c r="AY1014" s="161"/>
      <c r="AZ1014" s="161"/>
      <c r="BA1014" s="161"/>
      <c r="BB1014" s="161"/>
      <c r="BC1014" s="161"/>
    </row>
    <row r="1015" spans="1:55" ht="15.75" customHeight="1" x14ac:dyDescent="0.25">
      <c r="A1015" s="127" t="s">
        <v>9</v>
      </c>
      <c r="B1015" s="132" t="s">
        <v>10</v>
      </c>
      <c r="C1015" s="134"/>
      <c r="D1015" s="134" t="s">
        <v>110</v>
      </c>
      <c r="E1015" s="177" t="s">
        <v>110</v>
      </c>
      <c r="F1015" s="134" t="s">
        <v>110</v>
      </c>
      <c r="G1015" s="134" t="s">
        <v>110</v>
      </c>
      <c r="H1015" s="178" t="s">
        <v>110</v>
      </c>
      <c r="I1015" s="134" t="s">
        <v>110</v>
      </c>
      <c r="J1015" s="134" t="s">
        <v>110</v>
      </c>
      <c r="K1015" s="134" t="s">
        <v>110</v>
      </c>
      <c r="L1015" s="178" t="s">
        <v>110</v>
      </c>
      <c r="M1015" s="134" t="s">
        <v>110</v>
      </c>
      <c r="N1015" s="134" t="s">
        <v>110</v>
      </c>
      <c r="O1015" s="134" t="s">
        <v>110</v>
      </c>
      <c r="P1015" s="178" t="s">
        <v>110</v>
      </c>
      <c r="Q1015" s="134" t="s">
        <v>110</v>
      </c>
      <c r="R1015" s="134" t="s">
        <v>110</v>
      </c>
      <c r="S1015" s="178" t="s">
        <v>110</v>
      </c>
      <c r="T1015" s="134" t="s">
        <v>110</v>
      </c>
      <c r="U1015" s="134" t="s">
        <v>110</v>
      </c>
      <c r="V1015" s="178" t="s">
        <v>110</v>
      </c>
      <c r="W1015" s="134" t="s">
        <v>110</v>
      </c>
      <c r="X1015" s="134" t="s">
        <v>110</v>
      </c>
      <c r="Y1015" s="134" t="s">
        <v>110</v>
      </c>
      <c r="Z1015" s="178" t="s">
        <v>110</v>
      </c>
      <c r="AA1015" s="134" t="s">
        <v>110</v>
      </c>
      <c r="AB1015" s="134" t="s">
        <v>110</v>
      </c>
      <c r="AC1015" s="134" t="s">
        <v>110</v>
      </c>
      <c r="AD1015" s="178" t="s">
        <v>110</v>
      </c>
      <c r="AE1015" s="134" t="s">
        <v>110</v>
      </c>
      <c r="AF1015" s="134" t="s">
        <v>110</v>
      </c>
      <c r="AG1015" s="177" t="s">
        <v>110</v>
      </c>
      <c r="AH1015" s="134" t="s">
        <v>110</v>
      </c>
      <c r="AI1015" s="134" t="s">
        <v>110</v>
      </c>
      <c r="AJ1015" s="178" t="s">
        <v>110</v>
      </c>
      <c r="AK1015" s="134" t="s">
        <v>110</v>
      </c>
      <c r="AL1015" s="134" t="s">
        <v>110</v>
      </c>
      <c r="AM1015" s="134" t="s">
        <v>110</v>
      </c>
      <c r="AN1015" s="178" t="s">
        <v>110</v>
      </c>
      <c r="AO1015" s="134" t="s">
        <v>110</v>
      </c>
      <c r="AP1015" s="134" t="s">
        <v>110</v>
      </c>
      <c r="AQ1015" s="178" t="s">
        <v>110</v>
      </c>
      <c r="AR1015" s="134" t="s">
        <v>110</v>
      </c>
      <c r="AS1015" s="178" t="s">
        <v>18</v>
      </c>
      <c r="AT1015" s="189"/>
      <c r="AU1015" s="189"/>
      <c r="AV1015" s="189"/>
      <c r="AW1015" s="189"/>
      <c r="AX1015" s="189"/>
      <c r="AY1015" s="189"/>
      <c r="AZ1015" s="189"/>
      <c r="BA1015" s="189"/>
      <c r="BB1015" s="189"/>
      <c r="BC1015" s="189"/>
    </row>
    <row r="1016" spans="1:55" ht="15.75" customHeight="1" x14ac:dyDescent="0.25">
      <c r="A1016" s="128">
        <v>94026.31578947368</v>
      </c>
      <c r="B1016" s="122" t="s">
        <v>12</v>
      </c>
      <c r="C1016" s="124"/>
      <c r="D1016" s="124"/>
      <c r="E1016" s="171"/>
      <c r="F1016" s="124"/>
      <c r="G1016" s="124"/>
      <c r="H1016" s="172"/>
      <c r="I1016" s="124"/>
      <c r="J1016" s="124"/>
      <c r="K1016" s="124"/>
      <c r="L1016" s="172"/>
      <c r="M1016" s="124"/>
      <c r="N1016" s="124"/>
      <c r="O1016" s="124"/>
      <c r="P1016" s="172"/>
      <c r="Q1016" s="124"/>
      <c r="R1016" s="124"/>
      <c r="S1016" s="172" t="s">
        <v>144</v>
      </c>
      <c r="T1016" s="124"/>
      <c r="U1016" s="124"/>
      <c r="V1016" s="172"/>
      <c r="W1016" s="124"/>
      <c r="X1016" s="124"/>
      <c r="Y1016" s="124"/>
      <c r="Z1016" s="172"/>
      <c r="AA1016" s="124"/>
      <c r="AB1016" s="124"/>
      <c r="AC1016" s="124"/>
      <c r="AD1016" s="172"/>
      <c r="AE1016" s="124"/>
      <c r="AF1016" s="124"/>
      <c r="AG1016" s="171"/>
      <c r="AH1016" s="124"/>
      <c r="AI1016" s="124"/>
      <c r="AJ1016" s="172"/>
      <c r="AK1016" s="124"/>
      <c r="AL1016" s="124"/>
      <c r="AM1016" s="124"/>
      <c r="AN1016" s="172"/>
      <c r="AO1016" s="124"/>
      <c r="AP1016" s="124"/>
      <c r="AQ1016" s="172"/>
      <c r="AR1016" s="124"/>
      <c r="AS1016" s="172"/>
      <c r="AT1016" s="161"/>
      <c r="AU1016" s="161"/>
      <c r="AV1016" s="161"/>
      <c r="AW1016" s="161"/>
      <c r="AX1016" s="161"/>
      <c r="AY1016" s="161"/>
      <c r="AZ1016" s="161"/>
      <c r="BA1016" s="161"/>
      <c r="BB1016" s="161"/>
      <c r="BC1016" s="161"/>
    </row>
    <row r="1017" spans="1:55" ht="15.75" customHeight="1" x14ac:dyDescent="0.25">
      <c r="A1017" s="128">
        <v>1191</v>
      </c>
      <c r="B1017" s="136" t="s">
        <v>13</v>
      </c>
      <c r="C1017" s="137"/>
      <c r="D1017" s="137"/>
      <c r="E1017" s="171"/>
      <c r="F1017" s="137"/>
      <c r="G1017" s="137">
        <v>185</v>
      </c>
      <c r="H1017" s="172">
        <v>0</v>
      </c>
      <c r="I1017" s="137">
        <v>0</v>
      </c>
      <c r="J1017" s="137">
        <v>0</v>
      </c>
      <c r="K1017" s="137">
        <v>68</v>
      </c>
      <c r="L1017" s="172">
        <v>0</v>
      </c>
      <c r="M1017" s="137">
        <v>0</v>
      </c>
      <c r="N1017" s="137">
        <v>0</v>
      </c>
      <c r="O1017" s="137">
        <v>0</v>
      </c>
      <c r="P1017" s="172">
        <v>0</v>
      </c>
      <c r="Q1017" s="137">
        <v>0</v>
      </c>
      <c r="R1017" s="137">
        <v>180</v>
      </c>
      <c r="S1017" s="172">
        <v>0</v>
      </c>
      <c r="T1017" s="137">
        <v>0</v>
      </c>
      <c r="U1017" s="137">
        <v>168</v>
      </c>
      <c r="V1017" s="172">
        <v>0</v>
      </c>
      <c r="W1017" s="137">
        <v>0</v>
      </c>
      <c r="X1017" s="137">
        <v>0</v>
      </c>
      <c r="Y1017" s="137">
        <v>36</v>
      </c>
      <c r="Z1017" s="172">
        <v>0</v>
      </c>
      <c r="AA1017" s="137">
        <v>0</v>
      </c>
      <c r="AB1017" s="137">
        <v>0</v>
      </c>
      <c r="AC1017" s="137">
        <v>117</v>
      </c>
      <c r="AD1017" s="172">
        <v>0</v>
      </c>
      <c r="AE1017" s="137">
        <v>0</v>
      </c>
      <c r="AF1017" s="137">
        <v>87</v>
      </c>
      <c r="AG1017" s="171">
        <v>0</v>
      </c>
      <c r="AH1017" s="137">
        <v>0</v>
      </c>
      <c r="AI1017" s="137">
        <v>128</v>
      </c>
      <c r="AJ1017" s="172">
        <v>0</v>
      </c>
      <c r="AK1017" s="137">
        <v>0</v>
      </c>
      <c r="AL1017" s="137">
        <v>0</v>
      </c>
      <c r="AM1017" s="137">
        <v>49</v>
      </c>
      <c r="AN1017" s="172">
        <v>0</v>
      </c>
      <c r="AO1017" s="137">
        <v>0</v>
      </c>
      <c r="AP1017" s="137">
        <v>141</v>
      </c>
      <c r="AQ1017" s="172">
        <v>0</v>
      </c>
      <c r="AR1017" s="137">
        <v>32</v>
      </c>
      <c r="AS1017" s="172" t="s">
        <v>18</v>
      </c>
      <c r="AT1017" s="161"/>
      <c r="AU1017" s="161"/>
      <c r="AV1017" s="161"/>
      <c r="AW1017" s="161"/>
      <c r="AX1017" s="161"/>
      <c r="AY1017" s="161"/>
      <c r="AZ1017" s="161"/>
      <c r="BA1017" s="161"/>
      <c r="BB1017" s="161"/>
      <c r="BC1017" s="161"/>
    </row>
    <row r="1018" spans="1:55" ht="15.75" customHeight="1" x14ac:dyDescent="0.25">
      <c r="A1018" s="128">
        <v>65</v>
      </c>
      <c r="B1018" s="136" t="s">
        <v>14</v>
      </c>
      <c r="C1018" s="137"/>
      <c r="D1018" s="137"/>
      <c r="E1018" s="171"/>
      <c r="F1018" s="137"/>
      <c r="G1018" s="137"/>
      <c r="H1018" s="172">
        <v>0</v>
      </c>
      <c r="I1018" s="137">
        <v>0</v>
      </c>
      <c r="J1018" s="137">
        <v>0</v>
      </c>
      <c r="K1018" s="137">
        <v>9</v>
      </c>
      <c r="L1018" s="172">
        <v>0</v>
      </c>
      <c r="M1018" s="137">
        <v>0</v>
      </c>
      <c r="N1018" s="137">
        <v>0</v>
      </c>
      <c r="O1018" s="137">
        <v>0</v>
      </c>
      <c r="P1018" s="172">
        <v>0</v>
      </c>
      <c r="Q1018" s="137">
        <v>0</v>
      </c>
      <c r="R1018" s="137">
        <v>17</v>
      </c>
      <c r="S1018" s="172">
        <v>0</v>
      </c>
      <c r="T1018" s="137">
        <v>0</v>
      </c>
      <c r="U1018" s="137">
        <v>10</v>
      </c>
      <c r="V1018" s="172">
        <v>0</v>
      </c>
      <c r="W1018" s="137">
        <v>0</v>
      </c>
      <c r="X1018" s="137">
        <v>0</v>
      </c>
      <c r="Y1018" s="137">
        <v>3</v>
      </c>
      <c r="Z1018" s="172">
        <v>0</v>
      </c>
      <c r="AA1018" s="137">
        <v>0</v>
      </c>
      <c r="AB1018" s="137">
        <v>0</v>
      </c>
      <c r="AC1018" s="137">
        <v>6</v>
      </c>
      <c r="AD1018" s="172">
        <v>0</v>
      </c>
      <c r="AE1018" s="137">
        <v>0</v>
      </c>
      <c r="AF1018" s="137">
        <v>3</v>
      </c>
      <c r="AG1018" s="171">
        <v>0</v>
      </c>
      <c r="AH1018" s="137">
        <v>0</v>
      </c>
      <c r="AI1018" s="137">
        <v>8</v>
      </c>
      <c r="AJ1018" s="172">
        <v>0</v>
      </c>
      <c r="AK1018" s="137">
        <v>0</v>
      </c>
      <c r="AL1018" s="137">
        <v>0</v>
      </c>
      <c r="AM1018" s="137">
        <v>3</v>
      </c>
      <c r="AN1018" s="172">
        <v>0</v>
      </c>
      <c r="AO1018" s="137">
        <v>0</v>
      </c>
      <c r="AP1018" s="137">
        <v>4</v>
      </c>
      <c r="AQ1018" s="172">
        <v>0</v>
      </c>
      <c r="AR1018" s="137">
        <v>2</v>
      </c>
      <c r="AS1018" s="172" t="s">
        <v>18</v>
      </c>
      <c r="AT1018" s="161"/>
      <c r="AU1018" s="161"/>
      <c r="AV1018" s="161"/>
      <c r="AW1018" s="161"/>
      <c r="AX1018" s="161"/>
      <c r="AY1018" s="161"/>
      <c r="AZ1018" s="161"/>
      <c r="BA1018" s="161"/>
      <c r="BB1018" s="161"/>
      <c r="BC1018" s="161"/>
    </row>
    <row r="1019" spans="1:55" ht="15.75" customHeight="1" x14ac:dyDescent="0.25">
      <c r="A1019" s="128">
        <v>22</v>
      </c>
      <c r="B1019" s="136" t="s">
        <v>15</v>
      </c>
      <c r="C1019" s="137"/>
      <c r="D1019" s="137"/>
      <c r="E1019" s="171"/>
      <c r="F1019" s="137"/>
      <c r="G1019" s="137"/>
      <c r="H1019" s="172">
        <v>0</v>
      </c>
      <c r="I1019" s="137">
        <v>0</v>
      </c>
      <c r="J1019" s="137">
        <v>0</v>
      </c>
      <c r="K1019" s="137">
        <v>4</v>
      </c>
      <c r="L1019" s="172">
        <v>0</v>
      </c>
      <c r="M1019" s="137">
        <v>0</v>
      </c>
      <c r="N1019" s="137">
        <v>0</v>
      </c>
      <c r="O1019" s="137">
        <v>-8</v>
      </c>
      <c r="P1019" s="172">
        <v>0</v>
      </c>
      <c r="Q1019" s="137">
        <v>0</v>
      </c>
      <c r="R1019" s="137">
        <v>5</v>
      </c>
      <c r="S1019" s="172">
        <v>0</v>
      </c>
      <c r="T1019" s="137">
        <v>0</v>
      </c>
      <c r="U1019" s="137">
        <v>6</v>
      </c>
      <c r="V1019" s="172">
        <v>0</v>
      </c>
      <c r="W1019" s="137">
        <v>0</v>
      </c>
      <c r="X1019" s="137">
        <v>0</v>
      </c>
      <c r="Y1019" s="137">
        <v>0</v>
      </c>
      <c r="Z1019" s="172">
        <v>0</v>
      </c>
      <c r="AA1019" s="137">
        <v>0</v>
      </c>
      <c r="AB1019" s="137">
        <v>0</v>
      </c>
      <c r="AC1019" s="137">
        <v>3</v>
      </c>
      <c r="AD1019" s="172">
        <v>0</v>
      </c>
      <c r="AE1019" s="137">
        <v>0</v>
      </c>
      <c r="AF1019" s="137">
        <v>1</v>
      </c>
      <c r="AG1019" s="171">
        <v>0</v>
      </c>
      <c r="AH1019" s="137">
        <v>0</v>
      </c>
      <c r="AI1019" s="137">
        <v>4</v>
      </c>
      <c r="AJ1019" s="172">
        <v>0</v>
      </c>
      <c r="AK1019" s="137">
        <v>0</v>
      </c>
      <c r="AL1019" s="137">
        <v>0</v>
      </c>
      <c r="AM1019" s="137">
        <v>1</v>
      </c>
      <c r="AN1019" s="172">
        <v>0</v>
      </c>
      <c r="AO1019" s="137">
        <v>0</v>
      </c>
      <c r="AP1019" s="137">
        <v>4</v>
      </c>
      <c r="AQ1019" s="172">
        <v>0</v>
      </c>
      <c r="AR1019" s="137">
        <v>2</v>
      </c>
      <c r="AS1019" s="172" t="s">
        <v>18</v>
      </c>
      <c r="AT1019" s="161"/>
      <c r="AU1019" s="161"/>
      <c r="AV1019" s="161"/>
      <c r="AW1019" s="161"/>
      <c r="AX1019" s="161"/>
      <c r="AY1019" s="161"/>
      <c r="AZ1019" s="161"/>
      <c r="BA1019" s="161"/>
      <c r="BB1019" s="161"/>
      <c r="BC1019" s="161"/>
    </row>
    <row r="1020" spans="1:55" ht="15.75" customHeight="1" x14ac:dyDescent="0.25">
      <c r="A1020" s="128">
        <v>24200</v>
      </c>
      <c r="B1020" s="136" t="s">
        <v>16</v>
      </c>
      <c r="C1020" s="137"/>
      <c r="D1020" s="137"/>
      <c r="E1020" s="171"/>
      <c r="F1020" s="137"/>
      <c r="G1020" s="137"/>
      <c r="H1020" s="172">
        <v>0</v>
      </c>
      <c r="I1020" s="137">
        <v>0</v>
      </c>
      <c r="J1020" s="137">
        <v>0</v>
      </c>
      <c r="K1020" s="137">
        <v>4400</v>
      </c>
      <c r="L1020" s="172">
        <v>0</v>
      </c>
      <c r="M1020" s="137">
        <v>0</v>
      </c>
      <c r="N1020" s="137">
        <v>0</v>
      </c>
      <c r="O1020" s="137">
        <v>-8800</v>
      </c>
      <c r="P1020" s="172">
        <v>0</v>
      </c>
      <c r="Q1020" s="137">
        <v>0</v>
      </c>
      <c r="R1020" s="137">
        <v>5500</v>
      </c>
      <c r="S1020" s="172">
        <v>0</v>
      </c>
      <c r="T1020" s="137">
        <v>0</v>
      </c>
      <c r="U1020" s="137">
        <v>6600</v>
      </c>
      <c r="V1020" s="172">
        <v>0</v>
      </c>
      <c r="W1020" s="137">
        <v>0</v>
      </c>
      <c r="X1020" s="137">
        <v>0</v>
      </c>
      <c r="Y1020" s="137">
        <v>0</v>
      </c>
      <c r="Z1020" s="172">
        <v>0</v>
      </c>
      <c r="AA1020" s="137">
        <v>0</v>
      </c>
      <c r="AB1020" s="137">
        <v>0</v>
      </c>
      <c r="AC1020" s="137">
        <v>3300</v>
      </c>
      <c r="AD1020" s="172">
        <v>0</v>
      </c>
      <c r="AE1020" s="137">
        <v>0</v>
      </c>
      <c r="AF1020" s="137">
        <v>1100</v>
      </c>
      <c r="AG1020" s="171">
        <v>0</v>
      </c>
      <c r="AH1020" s="137">
        <v>0</v>
      </c>
      <c r="AI1020" s="137">
        <v>4400</v>
      </c>
      <c r="AJ1020" s="172">
        <v>0</v>
      </c>
      <c r="AK1020" s="137">
        <v>0</v>
      </c>
      <c r="AL1020" s="137">
        <v>0</v>
      </c>
      <c r="AM1020" s="137">
        <v>1100</v>
      </c>
      <c r="AN1020" s="172">
        <v>0</v>
      </c>
      <c r="AO1020" s="137">
        <v>0</v>
      </c>
      <c r="AP1020" s="137">
        <v>4400</v>
      </c>
      <c r="AQ1020" s="172">
        <v>0</v>
      </c>
      <c r="AR1020" s="137">
        <v>2200</v>
      </c>
      <c r="AS1020" s="172" t="s">
        <v>18</v>
      </c>
      <c r="AT1020" s="161"/>
      <c r="AU1020" s="161"/>
      <c r="AV1020" s="161"/>
      <c r="AW1020" s="161"/>
      <c r="AX1020" s="161"/>
      <c r="AY1020" s="161"/>
      <c r="AZ1020" s="161"/>
      <c r="BA1020" s="161"/>
      <c r="BB1020" s="161"/>
      <c r="BC1020" s="161"/>
    </row>
    <row r="1021" spans="1:55" ht="15.75" customHeight="1" x14ac:dyDescent="0.25">
      <c r="A1021" s="138">
        <v>0.20319059613769941</v>
      </c>
      <c r="B1021" s="139" t="s">
        <v>17</v>
      </c>
      <c r="C1021" s="141"/>
      <c r="D1021" s="141"/>
      <c r="E1021" s="180"/>
      <c r="F1021" s="141"/>
      <c r="G1021" s="141"/>
      <c r="H1021" s="181" t="s">
        <v>18</v>
      </c>
      <c r="I1021" s="141" t="s">
        <v>18</v>
      </c>
      <c r="J1021" s="141" t="s">
        <v>18</v>
      </c>
      <c r="K1021" s="141">
        <v>0.6470588235294118</v>
      </c>
      <c r="L1021" s="181" t="s">
        <v>18</v>
      </c>
      <c r="M1021" s="141" t="s">
        <v>18</v>
      </c>
      <c r="N1021" s="141" t="s">
        <v>18</v>
      </c>
      <c r="O1021" s="141" t="e">
        <v>#DIV/0!</v>
      </c>
      <c r="P1021" s="181" t="s">
        <v>18</v>
      </c>
      <c r="Q1021" s="141" t="s">
        <v>18</v>
      </c>
      <c r="R1021" s="141">
        <v>0.30555555555555558</v>
      </c>
      <c r="S1021" s="181" t="s">
        <v>18</v>
      </c>
      <c r="T1021" s="141" t="s">
        <v>18</v>
      </c>
      <c r="U1021" s="141">
        <v>0.39285714285714285</v>
      </c>
      <c r="V1021" s="181" t="s">
        <v>18</v>
      </c>
      <c r="W1021" s="141" t="s">
        <v>18</v>
      </c>
      <c r="X1021" s="141" t="s">
        <v>18</v>
      </c>
      <c r="Y1021" s="141" t="s">
        <v>18</v>
      </c>
      <c r="Z1021" s="181" t="s">
        <v>18</v>
      </c>
      <c r="AA1021" s="141" t="s">
        <v>18</v>
      </c>
      <c r="AB1021" s="141" t="s">
        <v>18</v>
      </c>
      <c r="AC1021" s="141">
        <v>0.28205128205128205</v>
      </c>
      <c r="AD1021" s="181" t="s">
        <v>18</v>
      </c>
      <c r="AE1021" s="141" t="s">
        <v>18</v>
      </c>
      <c r="AF1021" s="141">
        <v>0.12643678160919541</v>
      </c>
      <c r="AG1021" s="180" t="s">
        <v>18</v>
      </c>
      <c r="AH1021" s="141" t="s">
        <v>18</v>
      </c>
      <c r="AI1021" s="141">
        <v>0.34375</v>
      </c>
      <c r="AJ1021" s="181" t="s">
        <v>18</v>
      </c>
      <c r="AK1021" s="141" t="s">
        <v>18</v>
      </c>
      <c r="AL1021" s="141" t="s">
        <v>18</v>
      </c>
      <c r="AM1021" s="141">
        <v>0.22448979591836735</v>
      </c>
      <c r="AN1021" s="181" t="s">
        <v>18</v>
      </c>
      <c r="AO1021" s="141" t="s">
        <v>18</v>
      </c>
      <c r="AP1021" s="141">
        <v>0.31205673758865249</v>
      </c>
      <c r="AQ1021" s="181" t="s">
        <v>18</v>
      </c>
      <c r="AR1021" s="141">
        <v>0.6875</v>
      </c>
      <c r="AS1021" s="181" t="s">
        <v>18</v>
      </c>
      <c r="AT1021" s="161"/>
      <c r="AU1021" s="161"/>
      <c r="AV1021" s="161"/>
      <c r="AW1021" s="161"/>
      <c r="AX1021" s="161"/>
      <c r="AY1021" s="161"/>
      <c r="AZ1021" s="161"/>
      <c r="BA1021" s="161"/>
      <c r="BB1021" s="161"/>
      <c r="BC1021" s="161"/>
    </row>
    <row r="1022" spans="1:55" ht="15.75" customHeight="1" x14ac:dyDescent="0.2">
      <c r="A1022" s="151"/>
      <c r="B1022" s="152" t="s">
        <v>0</v>
      </c>
      <c r="C1022" s="153">
        <v>45911</v>
      </c>
      <c r="D1022" s="153">
        <v>45912</v>
      </c>
      <c r="E1022" s="153">
        <v>45913</v>
      </c>
      <c r="F1022" s="153">
        <v>45914</v>
      </c>
      <c r="G1022" s="153">
        <v>45915</v>
      </c>
      <c r="H1022" s="153">
        <v>45916</v>
      </c>
      <c r="I1022" s="153">
        <v>45917</v>
      </c>
      <c r="J1022" s="153">
        <v>45918</v>
      </c>
      <c r="K1022" s="153">
        <v>45919</v>
      </c>
      <c r="L1022" s="153">
        <v>45920</v>
      </c>
      <c r="M1022" s="153">
        <v>45921</v>
      </c>
      <c r="N1022" s="153">
        <v>45922</v>
      </c>
      <c r="O1022" s="153">
        <v>45923</v>
      </c>
      <c r="P1022" s="153">
        <v>45924</v>
      </c>
      <c r="Q1022" s="153">
        <v>45925</v>
      </c>
      <c r="R1022" s="153">
        <v>45926</v>
      </c>
      <c r="S1022" s="153">
        <v>45927</v>
      </c>
      <c r="T1022" s="153">
        <v>45928</v>
      </c>
      <c r="U1022" s="153">
        <v>45929</v>
      </c>
      <c r="V1022" s="153">
        <v>45930</v>
      </c>
      <c r="W1022" s="153">
        <v>45931</v>
      </c>
      <c r="X1022" s="153">
        <v>45932</v>
      </c>
      <c r="Y1022" s="153">
        <v>45933</v>
      </c>
      <c r="Z1022" s="153">
        <v>45934</v>
      </c>
      <c r="AA1022" s="153">
        <v>45935</v>
      </c>
      <c r="AB1022" s="153">
        <v>45936</v>
      </c>
      <c r="AC1022" s="153">
        <v>45937</v>
      </c>
      <c r="AD1022" s="153">
        <v>45938</v>
      </c>
      <c r="AE1022" s="153">
        <v>45939</v>
      </c>
      <c r="AF1022" s="153">
        <v>45940</v>
      </c>
      <c r="AG1022" s="153">
        <v>45941</v>
      </c>
      <c r="AH1022" s="153">
        <v>45942</v>
      </c>
      <c r="AI1022" s="190">
        <v>45943</v>
      </c>
      <c r="AJ1022" s="153">
        <v>45944</v>
      </c>
      <c r="AK1022" s="153">
        <v>45945</v>
      </c>
      <c r="AL1022" s="153">
        <v>45946</v>
      </c>
      <c r="AM1022" s="153">
        <v>45947</v>
      </c>
      <c r="AN1022" s="153">
        <v>45948</v>
      </c>
      <c r="AO1022" s="153">
        <v>45949</v>
      </c>
      <c r="AP1022" s="153">
        <v>45950</v>
      </c>
      <c r="AQ1022" s="153">
        <v>45951</v>
      </c>
      <c r="AR1022" s="153">
        <v>45952</v>
      </c>
      <c r="AS1022" s="153">
        <v>45953</v>
      </c>
      <c r="AT1022" s="153">
        <v>45954</v>
      </c>
      <c r="AU1022" s="153">
        <v>45955</v>
      </c>
      <c r="AV1022" s="153">
        <v>45956</v>
      </c>
      <c r="AW1022" s="153">
        <v>45957</v>
      </c>
      <c r="AX1022" s="153">
        <v>45958</v>
      </c>
      <c r="AY1022" s="188"/>
      <c r="AZ1022" s="188"/>
      <c r="BA1022" s="188"/>
      <c r="BB1022" s="188"/>
      <c r="BC1022" s="188"/>
    </row>
    <row r="1023" spans="1:55" ht="15.75" customHeight="1" x14ac:dyDescent="0.25">
      <c r="A1023" s="116" t="s">
        <v>1</v>
      </c>
      <c r="B1023" s="117" t="s">
        <v>53</v>
      </c>
      <c r="C1023" s="119"/>
      <c r="D1023" s="119"/>
      <c r="E1023" s="119"/>
      <c r="F1023" s="119"/>
      <c r="G1023" s="119"/>
      <c r="H1023" s="119"/>
      <c r="I1023" s="119"/>
      <c r="J1023" s="168">
        <v>4562</v>
      </c>
      <c r="K1023" s="119">
        <v>4562</v>
      </c>
      <c r="L1023" s="119">
        <v>4562</v>
      </c>
      <c r="M1023" s="119">
        <v>4605</v>
      </c>
      <c r="N1023" s="119">
        <v>4612</v>
      </c>
      <c r="O1023" s="119">
        <v>4616</v>
      </c>
      <c r="P1023" s="119">
        <v>4655</v>
      </c>
      <c r="Q1023" s="119">
        <v>4663</v>
      </c>
      <c r="R1023" s="119">
        <v>4676</v>
      </c>
      <c r="S1023" s="119">
        <v>4690</v>
      </c>
      <c r="T1023" s="119">
        <v>4705</v>
      </c>
      <c r="U1023" s="119">
        <v>4705</v>
      </c>
      <c r="V1023" s="119">
        <v>4707</v>
      </c>
      <c r="W1023" s="119">
        <v>4717</v>
      </c>
      <c r="X1023" s="119">
        <v>4724</v>
      </c>
      <c r="Y1023" s="119">
        <v>4745</v>
      </c>
      <c r="Z1023" s="119">
        <v>4749</v>
      </c>
      <c r="AA1023" s="119">
        <v>4763</v>
      </c>
      <c r="AB1023" s="119">
        <v>4766</v>
      </c>
      <c r="AC1023" s="119">
        <v>4768</v>
      </c>
      <c r="AD1023" s="119">
        <v>4769</v>
      </c>
      <c r="AE1023" s="119">
        <v>4775</v>
      </c>
      <c r="AF1023" s="119">
        <v>4808</v>
      </c>
      <c r="AG1023" s="119">
        <v>4826</v>
      </c>
      <c r="AH1023" s="119">
        <v>4847</v>
      </c>
      <c r="AI1023" s="119">
        <v>4848</v>
      </c>
      <c r="AJ1023" s="119">
        <v>4855</v>
      </c>
      <c r="AK1023" s="119">
        <v>4862</v>
      </c>
      <c r="AL1023" s="119">
        <v>4870</v>
      </c>
      <c r="AM1023" s="119">
        <v>4884</v>
      </c>
      <c r="AN1023" s="168">
        <v>4896</v>
      </c>
      <c r="AO1023" s="119">
        <v>4900</v>
      </c>
      <c r="AP1023" s="119">
        <v>4901</v>
      </c>
      <c r="AQ1023" s="119">
        <v>4909</v>
      </c>
      <c r="AR1023" s="119"/>
      <c r="AS1023" s="119"/>
      <c r="AT1023" s="119"/>
      <c r="AU1023" s="119"/>
      <c r="AV1023" s="119"/>
      <c r="AW1023" s="119"/>
      <c r="AX1023" s="119"/>
      <c r="AY1023" s="161"/>
      <c r="AZ1023" s="161"/>
      <c r="BA1023" s="161"/>
      <c r="BB1023" s="161"/>
      <c r="BC1023" s="161"/>
    </row>
    <row r="1024" spans="1:55" ht="15.75" customHeight="1" x14ac:dyDescent="0.25">
      <c r="A1024" s="121" t="s">
        <v>54</v>
      </c>
      <c r="B1024" s="122" t="s">
        <v>55</v>
      </c>
      <c r="C1024" s="124"/>
      <c r="D1024" s="124"/>
      <c r="E1024" s="124"/>
      <c r="F1024" s="124"/>
      <c r="G1024" s="124"/>
      <c r="H1024" s="124"/>
      <c r="I1024" s="124"/>
      <c r="J1024" s="171">
        <v>1278</v>
      </c>
      <c r="K1024" s="124">
        <v>1278</v>
      </c>
      <c r="L1024" s="124">
        <v>1278</v>
      </c>
      <c r="M1024" s="124">
        <v>1296</v>
      </c>
      <c r="N1024" s="124">
        <v>1298</v>
      </c>
      <c r="O1024" s="124">
        <v>1300</v>
      </c>
      <c r="P1024" s="124">
        <v>1318</v>
      </c>
      <c r="Q1024" s="124">
        <v>1322</v>
      </c>
      <c r="R1024" s="124">
        <v>1327</v>
      </c>
      <c r="S1024" s="124">
        <v>1328</v>
      </c>
      <c r="T1024" s="124">
        <v>1331</v>
      </c>
      <c r="U1024" s="124">
        <v>1331</v>
      </c>
      <c r="V1024" s="124">
        <v>1331</v>
      </c>
      <c r="W1024" s="124">
        <v>1332</v>
      </c>
      <c r="X1024" s="124">
        <v>1332</v>
      </c>
      <c r="Y1024" s="124">
        <v>1332</v>
      </c>
      <c r="Z1024" s="124">
        <v>1332</v>
      </c>
      <c r="AA1024" s="124">
        <v>1345</v>
      </c>
      <c r="AB1024" s="124">
        <v>1345</v>
      </c>
      <c r="AC1024" s="124">
        <v>1346</v>
      </c>
      <c r="AD1024" s="124">
        <v>1346</v>
      </c>
      <c r="AE1024" s="124">
        <v>1347</v>
      </c>
      <c r="AF1024" s="124">
        <v>1358</v>
      </c>
      <c r="AG1024" s="124">
        <v>1362</v>
      </c>
      <c r="AH1024" s="124">
        <v>1368</v>
      </c>
      <c r="AI1024" s="124">
        <v>1368</v>
      </c>
      <c r="AJ1024" s="124">
        <v>1371</v>
      </c>
      <c r="AK1024" s="124">
        <v>1374</v>
      </c>
      <c r="AL1024" s="124">
        <v>1377</v>
      </c>
      <c r="AM1024" s="124">
        <v>1382</v>
      </c>
      <c r="AN1024" s="171">
        <v>1384</v>
      </c>
      <c r="AO1024" s="124">
        <v>1385</v>
      </c>
      <c r="AP1024" s="124">
        <v>1385</v>
      </c>
      <c r="AQ1024" s="124">
        <v>1387</v>
      </c>
      <c r="AR1024" s="124"/>
      <c r="AS1024" s="124"/>
      <c r="AT1024" s="124"/>
      <c r="AU1024" s="124"/>
      <c r="AV1024" s="124"/>
      <c r="AW1024" s="124"/>
      <c r="AX1024" s="124"/>
      <c r="AY1024" s="161"/>
      <c r="AZ1024" s="161"/>
      <c r="BA1024" s="161"/>
      <c r="BB1024" s="161"/>
      <c r="BC1024" s="161"/>
    </row>
    <row r="1025" spans="1:55" ht="15.75" customHeight="1" x14ac:dyDescent="0.25">
      <c r="A1025" s="126">
        <v>347000</v>
      </c>
      <c r="B1025" s="122" t="s">
        <v>56</v>
      </c>
      <c r="C1025" s="124"/>
      <c r="D1025" s="124"/>
      <c r="E1025" s="124"/>
      <c r="F1025" s="124"/>
      <c r="G1025" s="124"/>
      <c r="H1025" s="124"/>
      <c r="I1025" s="124"/>
      <c r="J1025" s="171">
        <v>2120</v>
      </c>
      <c r="K1025" s="124">
        <v>2120</v>
      </c>
      <c r="L1025" s="124">
        <v>2120</v>
      </c>
      <c r="M1025" s="124">
        <v>2129</v>
      </c>
      <c r="N1025" s="124">
        <v>2135</v>
      </c>
      <c r="O1025" s="124">
        <v>2135</v>
      </c>
      <c r="P1025" s="124">
        <v>2138</v>
      </c>
      <c r="Q1025" s="124">
        <v>2138</v>
      </c>
      <c r="R1025" s="124">
        <v>2141</v>
      </c>
      <c r="S1025" s="124">
        <v>2153</v>
      </c>
      <c r="T1025" s="124">
        <v>2162</v>
      </c>
      <c r="U1025" s="124">
        <v>2162</v>
      </c>
      <c r="V1025" s="124">
        <v>2164</v>
      </c>
      <c r="W1025" s="124">
        <v>2172</v>
      </c>
      <c r="X1025" s="124">
        <v>2172</v>
      </c>
      <c r="Y1025" s="124">
        <v>2188</v>
      </c>
      <c r="Z1025" s="124">
        <v>2190</v>
      </c>
      <c r="AA1025" s="124">
        <v>2194</v>
      </c>
      <c r="AB1025" s="124">
        <v>2197</v>
      </c>
      <c r="AC1025" s="124">
        <v>2197</v>
      </c>
      <c r="AD1025" s="124">
        <v>2198</v>
      </c>
      <c r="AE1025" s="124">
        <v>2202</v>
      </c>
      <c r="AF1025" s="124">
        <v>2213</v>
      </c>
      <c r="AG1025" s="124">
        <v>2223</v>
      </c>
      <c r="AH1025" s="124">
        <v>2231</v>
      </c>
      <c r="AI1025" s="124">
        <v>2233</v>
      </c>
      <c r="AJ1025" s="124">
        <v>2234</v>
      </c>
      <c r="AK1025" s="124">
        <v>2235</v>
      </c>
      <c r="AL1025" s="124">
        <v>2237</v>
      </c>
      <c r="AM1025" s="124">
        <v>2241</v>
      </c>
      <c r="AN1025" s="171">
        <v>2249</v>
      </c>
      <c r="AO1025" s="124">
        <v>2251</v>
      </c>
      <c r="AP1025" s="124">
        <v>2252</v>
      </c>
      <c r="AQ1025" s="124">
        <v>2256</v>
      </c>
      <c r="AR1025" s="124"/>
      <c r="AS1025" s="124"/>
      <c r="AT1025" s="124"/>
      <c r="AU1025" s="124"/>
      <c r="AV1025" s="124"/>
      <c r="AW1025" s="124"/>
      <c r="AX1025" s="124"/>
      <c r="AY1025" s="161"/>
      <c r="AZ1025" s="161"/>
      <c r="BA1025" s="161"/>
      <c r="BB1025" s="161"/>
      <c r="BC1025" s="161"/>
    </row>
    <row r="1026" spans="1:55" ht="15.75" customHeight="1" x14ac:dyDescent="0.25">
      <c r="A1026" s="127" t="s">
        <v>9</v>
      </c>
      <c r="B1026" s="122" t="s">
        <v>6</v>
      </c>
      <c r="C1026" s="124"/>
      <c r="D1026" s="124"/>
      <c r="E1026" s="124"/>
      <c r="F1026" s="124"/>
      <c r="G1026" s="124"/>
      <c r="H1026" s="124"/>
      <c r="I1026" s="124"/>
      <c r="J1026" s="171"/>
      <c r="K1026" s="124"/>
      <c r="L1026" s="124"/>
      <c r="M1026" s="124"/>
      <c r="N1026" s="124"/>
      <c r="O1026" s="124"/>
      <c r="P1026" s="124"/>
      <c r="Q1026" s="124"/>
      <c r="R1026" s="124"/>
      <c r="S1026" s="124"/>
      <c r="T1026" s="124"/>
      <c r="U1026" s="124"/>
      <c r="V1026" s="124"/>
      <c r="W1026" s="124"/>
      <c r="X1026" s="124"/>
      <c r="Y1026" s="124"/>
      <c r="Z1026" s="124"/>
      <c r="AA1026" s="124"/>
      <c r="AB1026" s="124"/>
      <c r="AC1026" s="124"/>
      <c r="AD1026" s="124"/>
      <c r="AE1026" s="124"/>
      <c r="AF1026" s="124"/>
      <c r="AG1026" s="124"/>
      <c r="AH1026" s="124"/>
      <c r="AI1026" s="124"/>
      <c r="AJ1026" s="124"/>
      <c r="AK1026" s="124"/>
      <c r="AL1026" s="124"/>
      <c r="AM1026" s="124"/>
      <c r="AN1026" s="171"/>
      <c r="AO1026" s="124"/>
      <c r="AP1026" s="124"/>
      <c r="AQ1026" s="124"/>
      <c r="AR1026" s="124"/>
      <c r="AS1026" s="124"/>
      <c r="AT1026" s="124"/>
      <c r="AU1026" s="124"/>
      <c r="AV1026" s="124"/>
      <c r="AW1026" s="124"/>
      <c r="AX1026" s="124"/>
      <c r="AY1026" s="161"/>
      <c r="AZ1026" s="161"/>
      <c r="BA1026" s="161"/>
      <c r="BB1026" s="161"/>
      <c r="BC1026" s="161"/>
    </row>
    <row r="1027" spans="1:55" ht="15.75" customHeight="1" x14ac:dyDescent="0.25">
      <c r="A1027" s="128">
        <v>316875</v>
      </c>
      <c r="B1027" s="122" t="s">
        <v>8</v>
      </c>
      <c r="C1027" s="124"/>
      <c r="D1027" s="124"/>
      <c r="E1027" s="124"/>
      <c r="F1027" s="124"/>
      <c r="G1027" s="124"/>
      <c r="H1027" s="124"/>
      <c r="I1027" s="124"/>
      <c r="J1027" s="171"/>
      <c r="K1027" s="124"/>
      <c r="L1027" s="124"/>
      <c r="M1027" s="124"/>
      <c r="N1027" s="124"/>
      <c r="O1027" s="124"/>
      <c r="P1027" s="124"/>
      <c r="Q1027" s="124"/>
      <c r="R1027" s="124"/>
      <c r="S1027" s="124"/>
      <c r="T1027" s="124"/>
      <c r="U1027" s="124"/>
      <c r="V1027" s="124"/>
      <c r="W1027" s="124"/>
      <c r="X1027" s="124"/>
      <c r="Y1027" s="124"/>
      <c r="Z1027" s="124"/>
      <c r="AA1027" s="124"/>
      <c r="AB1027" s="124"/>
      <c r="AC1027" s="124"/>
      <c r="AD1027" s="124"/>
      <c r="AE1027" s="124"/>
      <c r="AF1027" s="124"/>
      <c r="AG1027" s="124"/>
      <c r="AH1027" s="124"/>
      <c r="AI1027" s="124"/>
      <c r="AJ1027" s="124"/>
      <c r="AK1027" s="124"/>
      <c r="AL1027" s="124"/>
      <c r="AM1027" s="124"/>
      <c r="AN1027" s="171"/>
      <c r="AO1027" s="124"/>
      <c r="AP1027" s="124"/>
      <c r="AQ1027" s="124"/>
      <c r="AR1027" s="124"/>
      <c r="AS1027" s="124"/>
      <c r="AT1027" s="124"/>
      <c r="AU1027" s="124"/>
      <c r="AV1027" s="124"/>
      <c r="AW1027" s="124"/>
      <c r="AX1027" s="124"/>
      <c r="AY1027" s="161"/>
      <c r="AZ1027" s="161"/>
      <c r="BA1027" s="161"/>
      <c r="BB1027" s="161"/>
      <c r="BC1027" s="161"/>
    </row>
    <row r="1028" spans="1:55" ht="15.75" customHeight="1" x14ac:dyDescent="0.25">
      <c r="A1028" s="126"/>
      <c r="B1028" s="132" t="s">
        <v>57</v>
      </c>
      <c r="C1028" s="134"/>
      <c r="D1028" s="134"/>
      <c r="E1028" s="134"/>
      <c r="F1028" s="134"/>
      <c r="G1028" s="134"/>
      <c r="H1028" s="134"/>
      <c r="I1028" s="134"/>
      <c r="J1028" s="177"/>
      <c r="K1028" s="134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  <c r="AC1028" s="134"/>
      <c r="AD1028" s="134"/>
      <c r="AE1028" s="134"/>
      <c r="AF1028" s="134"/>
      <c r="AG1028" s="134"/>
      <c r="AH1028" s="134"/>
      <c r="AI1028" s="134"/>
      <c r="AJ1028" s="134"/>
      <c r="AK1028" s="134"/>
      <c r="AL1028" s="134"/>
      <c r="AM1028" s="134"/>
      <c r="AN1028" s="177"/>
      <c r="AO1028" s="134"/>
      <c r="AP1028" s="134"/>
      <c r="AQ1028" s="134"/>
      <c r="AR1028" s="134"/>
      <c r="AS1028" s="134"/>
      <c r="AT1028" s="134"/>
      <c r="AU1028" s="134"/>
      <c r="AV1028" s="134"/>
      <c r="AW1028" s="134"/>
      <c r="AX1028" s="134"/>
      <c r="AY1028" s="189"/>
      <c r="AZ1028" s="189"/>
      <c r="BA1028" s="189"/>
      <c r="BB1028" s="189"/>
      <c r="BC1028" s="189"/>
    </row>
    <row r="1029" spans="1:55" ht="15.75" customHeight="1" x14ac:dyDescent="0.25">
      <c r="A1029" s="154"/>
      <c r="B1029" s="122" t="s">
        <v>58</v>
      </c>
      <c r="C1029" s="124"/>
      <c r="D1029" s="124"/>
      <c r="E1029" s="124"/>
      <c r="F1029" s="124"/>
      <c r="G1029" s="124"/>
      <c r="H1029" s="124"/>
      <c r="I1029" s="124"/>
      <c r="J1029" s="171"/>
      <c r="K1029" s="124"/>
      <c r="L1029" s="124"/>
      <c r="M1029" s="124"/>
      <c r="N1029" s="124"/>
      <c r="O1029" s="124"/>
      <c r="P1029" s="124"/>
      <c r="Q1029" s="124"/>
      <c r="R1029" s="124"/>
      <c r="S1029" s="124"/>
      <c r="T1029" s="124"/>
      <c r="U1029" s="124"/>
      <c r="V1029" s="124"/>
      <c r="W1029" s="124"/>
      <c r="X1029" s="124"/>
      <c r="Y1029" s="124"/>
      <c r="Z1029" s="124"/>
      <c r="AA1029" s="124"/>
      <c r="AB1029" s="124"/>
      <c r="AC1029" s="124"/>
      <c r="AD1029" s="124"/>
      <c r="AE1029" s="124"/>
      <c r="AF1029" s="124"/>
      <c r="AG1029" s="124"/>
      <c r="AH1029" s="124"/>
      <c r="AI1029" s="124"/>
      <c r="AJ1029" s="124"/>
      <c r="AK1029" s="124"/>
      <c r="AL1029" s="124"/>
      <c r="AM1029" s="124"/>
      <c r="AN1029" s="171"/>
      <c r="AO1029" s="124"/>
      <c r="AP1029" s="124"/>
      <c r="AQ1029" s="124"/>
      <c r="AR1029" s="124"/>
      <c r="AS1029" s="124"/>
      <c r="AT1029" s="124"/>
      <c r="AU1029" s="124"/>
      <c r="AV1029" s="124"/>
      <c r="AW1029" s="124"/>
      <c r="AX1029" s="124"/>
      <c r="AY1029" s="161"/>
      <c r="AZ1029" s="161"/>
      <c r="BA1029" s="161"/>
      <c r="BB1029" s="161"/>
      <c r="BC1029" s="161"/>
    </row>
    <row r="1030" spans="1:55" ht="15.75" customHeight="1" x14ac:dyDescent="0.25">
      <c r="A1030" s="128">
        <v>347</v>
      </c>
      <c r="B1030" s="155" t="s">
        <v>59</v>
      </c>
      <c r="C1030" s="156"/>
      <c r="D1030" s="156"/>
      <c r="E1030" s="156"/>
      <c r="F1030" s="156"/>
      <c r="G1030" s="156"/>
      <c r="H1030" s="156"/>
      <c r="I1030" s="156"/>
      <c r="J1030" s="171">
        <v>0</v>
      </c>
      <c r="K1030" s="156">
        <v>0</v>
      </c>
      <c r="L1030" s="156">
        <v>0</v>
      </c>
      <c r="M1030" s="156">
        <v>43</v>
      </c>
      <c r="N1030" s="156">
        <v>7</v>
      </c>
      <c r="O1030" s="156">
        <v>4</v>
      </c>
      <c r="P1030" s="156">
        <v>39</v>
      </c>
      <c r="Q1030" s="156">
        <v>8</v>
      </c>
      <c r="R1030" s="156">
        <v>13</v>
      </c>
      <c r="S1030" s="156">
        <v>14</v>
      </c>
      <c r="T1030" s="156">
        <v>15</v>
      </c>
      <c r="U1030" s="156">
        <v>0</v>
      </c>
      <c r="V1030" s="156">
        <v>2</v>
      </c>
      <c r="W1030" s="156">
        <v>10</v>
      </c>
      <c r="X1030" s="156">
        <v>7</v>
      </c>
      <c r="Y1030" s="156">
        <v>21</v>
      </c>
      <c r="Z1030" s="156">
        <v>4</v>
      </c>
      <c r="AA1030" s="156">
        <v>14</v>
      </c>
      <c r="AB1030" s="156">
        <v>3</v>
      </c>
      <c r="AC1030" s="156">
        <v>2</v>
      </c>
      <c r="AD1030" s="156">
        <v>1</v>
      </c>
      <c r="AE1030" s="156">
        <v>6</v>
      </c>
      <c r="AF1030" s="156">
        <v>33</v>
      </c>
      <c r="AG1030" s="156">
        <v>18</v>
      </c>
      <c r="AH1030" s="156">
        <v>21</v>
      </c>
      <c r="AI1030" s="156">
        <v>1</v>
      </c>
      <c r="AJ1030" s="156">
        <v>7</v>
      </c>
      <c r="AK1030" s="156">
        <v>7</v>
      </c>
      <c r="AL1030" s="156">
        <v>8</v>
      </c>
      <c r="AM1030" s="156">
        <v>14</v>
      </c>
      <c r="AN1030" s="171">
        <v>12</v>
      </c>
      <c r="AO1030" s="156">
        <v>4</v>
      </c>
      <c r="AP1030" s="156">
        <v>1</v>
      </c>
      <c r="AQ1030" s="156">
        <v>8</v>
      </c>
      <c r="AR1030" s="156" t="s">
        <v>18</v>
      </c>
      <c r="AS1030" s="156" t="s">
        <v>18</v>
      </c>
      <c r="AT1030" s="156" t="s">
        <v>18</v>
      </c>
      <c r="AU1030" s="156" t="s">
        <v>18</v>
      </c>
      <c r="AV1030" s="156" t="s">
        <v>18</v>
      </c>
      <c r="AW1030" s="156" t="s">
        <v>18</v>
      </c>
      <c r="AX1030" s="156" t="s">
        <v>18</v>
      </c>
      <c r="AY1030" s="161"/>
      <c r="AZ1030" s="161"/>
      <c r="BA1030" s="161"/>
      <c r="BB1030" s="161"/>
      <c r="BC1030" s="161"/>
    </row>
    <row r="1031" spans="1:55" ht="15.75" customHeight="1" x14ac:dyDescent="0.25">
      <c r="A1031" s="128">
        <v>107</v>
      </c>
      <c r="B1031" s="155" t="s">
        <v>60</v>
      </c>
      <c r="C1031" s="156"/>
      <c r="D1031" s="156"/>
      <c r="E1031" s="156"/>
      <c r="F1031" s="156"/>
      <c r="G1031" s="156"/>
      <c r="H1031" s="156"/>
      <c r="I1031" s="156"/>
      <c r="J1031" s="171">
        <v>0</v>
      </c>
      <c r="K1031" s="156">
        <v>0</v>
      </c>
      <c r="L1031" s="156">
        <v>0</v>
      </c>
      <c r="M1031" s="156">
        <v>18</v>
      </c>
      <c r="N1031" s="156">
        <v>2</v>
      </c>
      <c r="O1031" s="156">
        <v>2</v>
      </c>
      <c r="P1031" s="156">
        <v>18</v>
      </c>
      <c r="Q1031" s="156">
        <v>4</v>
      </c>
      <c r="R1031" s="156">
        <v>5</v>
      </c>
      <c r="S1031" s="156">
        <v>1</v>
      </c>
      <c r="T1031" s="156">
        <v>3</v>
      </c>
      <c r="U1031" s="156">
        <v>0</v>
      </c>
      <c r="V1031" s="156">
        <v>0</v>
      </c>
      <c r="W1031" s="156">
        <v>1</v>
      </c>
      <c r="X1031" s="156">
        <v>0</v>
      </c>
      <c r="Y1031" s="156">
        <v>0</v>
      </c>
      <c r="Z1031" s="156">
        <v>0</v>
      </c>
      <c r="AA1031" s="156">
        <v>13</v>
      </c>
      <c r="AB1031" s="156">
        <v>0</v>
      </c>
      <c r="AC1031" s="156">
        <v>1</v>
      </c>
      <c r="AD1031" s="156">
        <v>0</v>
      </c>
      <c r="AE1031" s="156">
        <v>1</v>
      </c>
      <c r="AF1031" s="156">
        <v>11</v>
      </c>
      <c r="AG1031" s="156">
        <v>4</v>
      </c>
      <c r="AH1031" s="156">
        <v>6</v>
      </c>
      <c r="AI1031" s="156">
        <v>0</v>
      </c>
      <c r="AJ1031" s="156">
        <v>3</v>
      </c>
      <c r="AK1031" s="156">
        <v>3</v>
      </c>
      <c r="AL1031" s="156">
        <v>3</v>
      </c>
      <c r="AM1031" s="156">
        <v>5</v>
      </c>
      <c r="AN1031" s="171">
        <v>2</v>
      </c>
      <c r="AO1031" s="156">
        <v>1</v>
      </c>
      <c r="AP1031" s="156">
        <v>0</v>
      </c>
      <c r="AQ1031" s="156">
        <v>2</v>
      </c>
      <c r="AR1031" s="156" t="s">
        <v>18</v>
      </c>
      <c r="AS1031" s="156" t="s">
        <v>18</v>
      </c>
      <c r="AT1031" s="156" t="s">
        <v>18</v>
      </c>
      <c r="AU1031" s="156" t="s">
        <v>18</v>
      </c>
      <c r="AV1031" s="156" t="s">
        <v>18</v>
      </c>
      <c r="AW1031" s="156" t="s">
        <v>18</v>
      </c>
      <c r="AX1031" s="156" t="s">
        <v>18</v>
      </c>
      <c r="AY1031" s="161"/>
      <c r="AZ1031" s="161"/>
      <c r="BA1031" s="161"/>
      <c r="BB1031" s="161"/>
      <c r="BC1031" s="161"/>
    </row>
    <row r="1032" spans="1:55" ht="15.75" customHeight="1" x14ac:dyDescent="0.25">
      <c r="A1032" s="128">
        <v>131</v>
      </c>
      <c r="B1032" s="155" t="s">
        <v>61</v>
      </c>
      <c r="C1032" s="156"/>
      <c r="D1032" s="156"/>
      <c r="E1032" s="156"/>
      <c r="F1032" s="156"/>
      <c r="G1032" s="156"/>
      <c r="H1032" s="156"/>
      <c r="I1032" s="156"/>
      <c r="J1032" s="171">
        <v>0</v>
      </c>
      <c r="K1032" s="156">
        <v>0</v>
      </c>
      <c r="L1032" s="156">
        <v>0</v>
      </c>
      <c r="M1032" s="156">
        <v>9</v>
      </c>
      <c r="N1032" s="156">
        <v>6</v>
      </c>
      <c r="O1032" s="156">
        <v>0</v>
      </c>
      <c r="P1032" s="156">
        <v>3</v>
      </c>
      <c r="Q1032" s="156">
        <v>0</v>
      </c>
      <c r="R1032" s="156">
        <v>3</v>
      </c>
      <c r="S1032" s="156">
        <v>12</v>
      </c>
      <c r="T1032" s="156">
        <v>9</v>
      </c>
      <c r="U1032" s="156">
        <v>0</v>
      </c>
      <c r="V1032" s="156">
        <v>2</v>
      </c>
      <c r="W1032" s="156">
        <v>8</v>
      </c>
      <c r="X1032" s="156">
        <v>0</v>
      </c>
      <c r="Y1032" s="156">
        <v>16</v>
      </c>
      <c r="Z1032" s="156">
        <v>2</v>
      </c>
      <c r="AA1032" s="156">
        <v>4</v>
      </c>
      <c r="AB1032" s="156">
        <v>3</v>
      </c>
      <c r="AC1032" s="156">
        <v>0</v>
      </c>
      <c r="AD1032" s="156">
        <v>1</v>
      </c>
      <c r="AE1032" s="156">
        <v>4</v>
      </c>
      <c r="AF1032" s="156">
        <v>11</v>
      </c>
      <c r="AG1032" s="156">
        <v>10</v>
      </c>
      <c r="AH1032" s="156">
        <v>8</v>
      </c>
      <c r="AI1032" s="156">
        <v>2</v>
      </c>
      <c r="AJ1032" s="156">
        <v>1</v>
      </c>
      <c r="AK1032" s="156">
        <v>1</v>
      </c>
      <c r="AL1032" s="156">
        <v>2</v>
      </c>
      <c r="AM1032" s="156">
        <v>4</v>
      </c>
      <c r="AN1032" s="171">
        <v>8</v>
      </c>
      <c r="AO1032" s="156">
        <v>2</v>
      </c>
      <c r="AP1032" s="156">
        <v>1</v>
      </c>
      <c r="AQ1032" s="156">
        <v>4</v>
      </c>
      <c r="AR1032" s="156" t="s">
        <v>18</v>
      </c>
      <c r="AS1032" s="156" t="s">
        <v>18</v>
      </c>
      <c r="AT1032" s="156" t="s">
        <v>18</v>
      </c>
      <c r="AU1032" s="156" t="s">
        <v>18</v>
      </c>
      <c r="AV1032" s="156" t="s">
        <v>18</v>
      </c>
      <c r="AW1032" s="156" t="s">
        <v>18</v>
      </c>
      <c r="AX1032" s="156" t="s">
        <v>18</v>
      </c>
      <c r="AY1032" s="161"/>
      <c r="AZ1032" s="161"/>
      <c r="BA1032" s="161"/>
      <c r="BB1032" s="161"/>
      <c r="BC1032" s="161"/>
    </row>
    <row r="1033" spans="1:55" ht="15.75" customHeight="1" x14ac:dyDescent="0.25">
      <c r="A1033" s="128">
        <v>0</v>
      </c>
      <c r="B1033" s="155" t="s">
        <v>16</v>
      </c>
      <c r="C1033" s="156"/>
      <c r="D1033" s="156"/>
      <c r="E1033" s="156"/>
      <c r="F1033" s="156"/>
      <c r="G1033" s="156"/>
      <c r="H1033" s="156"/>
      <c r="I1033" s="156"/>
      <c r="J1033" s="171" t="s">
        <v>18</v>
      </c>
      <c r="K1033" s="156" t="s">
        <v>18</v>
      </c>
      <c r="L1033" s="156" t="s">
        <v>18</v>
      </c>
      <c r="M1033" s="156" t="s">
        <v>18</v>
      </c>
      <c r="N1033" s="156" t="s">
        <v>18</v>
      </c>
      <c r="O1033" s="156" t="s">
        <v>18</v>
      </c>
      <c r="P1033" s="156" t="s">
        <v>18</v>
      </c>
      <c r="Q1033" s="156" t="s">
        <v>18</v>
      </c>
      <c r="R1033" s="156" t="s">
        <v>18</v>
      </c>
      <c r="S1033" s="156" t="s">
        <v>18</v>
      </c>
      <c r="T1033" s="156" t="s">
        <v>18</v>
      </c>
      <c r="U1033" s="156" t="s">
        <v>18</v>
      </c>
      <c r="V1033" s="156" t="s">
        <v>18</v>
      </c>
      <c r="W1033" s="156" t="s">
        <v>18</v>
      </c>
      <c r="X1033" s="156" t="s">
        <v>18</v>
      </c>
      <c r="Y1033" s="156" t="s">
        <v>18</v>
      </c>
      <c r="Z1033" s="156" t="s">
        <v>18</v>
      </c>
      <c r="AA1033" s="156" t="s">
        <v>18</v>
      </c>
      <c r="AB1033" s="156" t="s">
        <v>18</v>
      </c>
      <c r="AC1033" s="156" t="s">
        <v>18</v>
      </c>
      <c r="AD1033" s="156" t="s">
        <v>18</v>
      </c>
      <c r="AE1033" s="156" t="s">
        <v>18</v>
      </c>
      <c r="AF1033" s="156" t="s">
        <v>18</v>
      </c>
      <c r="AG1033" s="156" t="s">
        <v>18</v>
      </c>
      <c r="AH1033" s="156" t="s">
        <v>18</v>
      </c>
      <c r="AI1033" s="156" t="s">
        <v>18</v>
      </c>
      <c r="AJ1033" s="156" t="s">
        <v>18</v>
      </c>
      <c r="AK1033" s="156" t="s">
        <v>18</v>
      </c>
      <c r="AL1033" s="156" t="s">
        <v>18</v>
      </c>
      <c r="AM1033" s="156" t="s">
        <v>18</v>
      </c>
      <c r="AN1033" s="171" t="s">
        <v>18</v>
      </c>
      <c r="AO1033" s="156" t="s">
        <v>18</v>
      </c>
      <c r="AP1033" s="156" t="s">
        <v>18</v>
      </c>
      <c r="AQ1033" s="156" t="s">
        <v>18</v>
      </c>
      <c r="AR1033" s="156" t="s">
        <v>18</v>
      </c>
      <c r="AS1033" s="156" t="s">
        <v>18</v>
      </c>
      <c r="AT1033" s="156" t="s">
        <v>18</v>
      </c>
      <c r="AU1033" s="156" t="s">
        <v>18</v>
      </c>
      <c r="AV1033" s="156" t="s">
        <v>18</v>
      </c>
      <c r="AW1033" s="156" t="s">
        <v>18</v>
      </c>
      <c r="AX1033" s="156" t="s">
        <v>18</v>
      </c>
      <c r="AY1033" s="161"/>
      <c r="AZ1033" s="161"/>
      <c r="BA1033" s="161"/>
      <c r="BB1033" s="161"/>
      <c r="BC1033" s="161"/>
    </row>
    <row r="1034" spans="1:55" ht="15.75" customHeight="1" x14ac:dyDescent="0.25">
      <c r="A1034" s="138">
        <v>0</v>
      </c>
      <c r="B1034" s="157" t="s">
        <v>17</v>
      </c>
      <c r="C1034" s="158"/>
      <c r="D1034" s="158"/>
      <c r="E1034" s="158"/>
      <c r="F1034" s="158"/>
      <c r="G1034" s="158"/>
      <c r="H1034" s="158"/>
      <c r="I1034" s="158"/>
      <c r="J1034" s="180" t="s">
        <v>18</v>
      </c>
      <c r="K1034" s="158" t="s">
        <v>18</v>
      </c>
      <c r="L1034" s="158" t="s">
        <v>18</v>
      </c>
      <c r="M1034" s="158" t="s">
        <v>18</v>
      </c>
      <c r="N1034" s="158" t="s">
        <v>18</v>
      </c>
      <c r="O1034" s="158" t="s">
        <v>18</v>
      </c>
      <c r="P1034" s="158" t="s">
        <v>18</v>
      </c>
      <c r="Q1034" s="158" t="s">
        <v>18</v>
      </c>
      <c r="R1034" s="158" t="s">
        <v>18</v>
      </c>
      <c r="S1034" s="158" t="s">
        <v>18</v>
      </c>
      <c r="T1034" s="158" t="s">
        <v>18</v>
      </c>
      <c r="U1034" s="158" t="s">
        <v>18</v>
      </c>
      <c r="V1034" s="158" t="s">
        <v>18</v>
      </c>
      <c r="W1034" s="158" t="s">
        <v>18</v>
      </c>
      <c r="X1034" s="158" t="s">
        <v>18</v>
      </c>
      <c r="Y1034" s="158" t="s">
        <v>18</v>
      </c>
      <c r="Z1034" s="158" t="s">
        <v>18</v>
      </c>
      <c r="AA1034" s="158" t="s">
        <v>18</v>
      </c>
      <c r="AB1034" s="158" t="s">
        <v>18</v>
      </c>
      <c r="AC1034" s="158" t="s">
        <v>18</v>
      </c>
      <c r="AD1034" s="158" t="s">
        <v>18</v>
      </c>
      <c r="AE1034" s="158" t="s">
        <v>18</v>
      </c>
      <c r="AF1034" s="158" t="s">
        <v>18</v>
      </c>
      <c r="AG1034" s="158" t="s">
        <v>18</v>
      </c>
      <c r="AH1034" s="158" t="s">
        <v>18</v>
      </c>
      <c r="AI1034" s="158" t="s">
        <v>18</v>
      </c>
      <c r="AJ1034" s="158" t="s">
        <v>18</v>
      </c>
      <c r="AK1034" s="158" t="s">
        <v>18</v>
      </c>
      <c r="AL1034" s="158" t="s">
        <v>18</v>
      </c>
      <c r="AM1034" s="158" t="s">
        <v>18</v>
      </c>
      <c r="AN1034" s="180" t="s">
        <v>18</v>
      </c>
      <c r="AO1034" s="158" t="s">
        <v>18</v>
      </c>
      <c r="AP1034" s="158" t="s">
        <v>18</v>
      </c>
      <c r="AQ1034" s="158" t="s">
        <v>18</v>
      </c>
      <c r="AR1034" s="158" t="s">
        <v>18</v>
      </c>
      <c r="AS1034" s="158" t="s">
        <v>18</v>
      </c>
      <c r="AT1034" s="158" t="s">
        <v>18</v>
      </c>
      <c r="AU1034" s="158" t="s">
        <v>18</v>
      </c>
      <c r="AV1034" s="158" t="s">
        <v>18</v>
      </c>
      <c r="AW1034" s="158" t="s">
        <v>18</v>
      </c>
      <c r="AX1034" s="158" t="s">
        <v>18</v>
      </c>
      <c r="AY1034" s="161"/>
      <c r="AZ1034" s="161"/>
      <c r="BA1034" s="161"/>
      <c r="BB1034" s="161"/>
      <c r="BC1034" s="161"/>
    </row>
    <row r="1035" spans="1:55" ht="15.75" customHeight="1" x14ac:dyDescent="0.25">
      <c r="A1035" s="116" t="s">
        <v>145</v>
      </c>
      <c r="B1035" s="117" t="s">
        <v>53</v>
      </c>
      <c r="C1035" s="119"/>
      <c r="D1035" s="119"/>
      <c r="E1035" s="168">
        <v>14757</v>
      </c>
      <c r="F1035" s="119">
        <v>14771</v>
      </c>
      <c r="G1035" s="119">
        <v>14817</v>
      </c>
      <c r="H1035" s="119">
        <v>14817</v>
      </c>
      <c r="I1035" s="119">
        <v>14825</v>
      </c>
      <c r="J1035" s="119">
        <v>14825</v>
      </c>
      <c r="K1035" s="119">
        <v>14825</v>
      </c>
      <c r="L1035" s="119">
        <v>14899</v>
      </c>
      <c r="M1035" s="119">
        <v>14899</v>
      </c>
      <c r="N1035" s="119">
        <v>14919</v>
      </c>
      <c r="O1035" s="119">
        <v>14933</v>
      </c>
      <c r="P1035" s="119">
        <v>14949</v>
      </c>
      <c r="Q1035" s="119">
        <v>14953</v>
      </c>
      <c r="R1035" s="119">
        <v>14965</v>
      </c>
      <c r="S1035" s="119">
        <v>14991</v>
      </c>
      <c r="T1035" s="119">
        <v>15013</v>
      </c>
      <c r="U1035" s="119">
        <v>15013</v>
      </c>
      <c r="V1035" s="119">
        <v>15019</v>
      </c>
      <c r="W1035" s="119">
        <v>15019</v>
      </c>
      <c r="X1035" s="119">
        <v>15033</v>
      </c>
      <c r="Y1035" s="119">
        <v>15045</v>
      </c>
      <c r="Z1035" s="119">
        <v>15057</v>
      </c>
      <c r="AA1035" s="119">
        <v>15069</v>
      </c>
      <c r="AB1035" s="119">
        <v>15077</v>
      </c>
      <c r="AC1035" s="119">
        <v>15091</v>
      </c>
      <c r="AD1035" s="119">
        <v>15101</v>
      </c>
      <c r="AE1035" s="119">
        <v>15105</v>
      </c>
      <c r="AF1035" s="119">
        <v>15123</v>
      </c>
      <c r="AG1035" s="119">
        <v>15137</v>
      </c>
      <c r="AH1035" s="119">
        <v>15161</v>
      </c>
      <c r="AI1035" s="119">
        <v>15169</v>
      </c>
      <c r="AJ1035" s="119">
        <v>15183</v>
      </c>
      <c r="AK1035" s="119">
        <v>15183</v>
      </c>
      <c r="AL1035" s="119">
        <v>15195</v>
      </c>
      <c r="AM1035" s="168">
        <v>15211</v>
      </c>
      <c r="AN1035" s="119">
        <v>15227</v>
      </c>
      <c r="AO1035" s="119">
        <v>15245</v>
      </c>
      <c r="AP1035" s="119">
        <v>15257</v>
      </c>
      <c r="AQ1035" s="119">
        <v>15273</v>
      </c>
      <c r="AR1035" s="119"/>
      <c r="AS1035" s="119"/>
      <c r="AT1035" s="119"/>
      <c r="AU1035" s="119"/>
      <c r="AV1035" s="119"/>
      <c r="AW1035" s="119"/>
      <c r="AX1035" s="119"/>
      <c r="AY1035" s="161"/>
      <c r="AZ1035" s="161"/>
      <c r="BA1035" s="161"/>
      <c r="BB1035" s="161"/>
      <c r="BC1035" s="161"/>
    </row>
    <row r="1036" spans="1:55" ht="15.75" customHeight="1" x14ac:dyDescent="0.25">
      <c r="A1036" s="191" t="s">
        <v>54</v>
      </c>
      <c r="B1036" s="122" t="s">
        <v>55</v>
      </c>
      <c r="C1036" s="124"/>
      <c r="D1036" s="124"/>
      <c r="E1036" s="171">
        <v>5926</v>
      </c>
      <c r="F1036" s="124">
        <v>5926</v>
      </c>
      <c r="G1036" s="124">
        <v>5943</v>
      </c>
      <c r="H1036" s="124">
        <v>5943</v>
      </c>
      <c r="I1036" s="124">
        <v>5943</v>
      </c>
      <c r="J1036" s="124">
        <v>5943</v>
      </c>
      <c r="K1036" s="124">
        <v>5943</v>
      </c>
      <c r="L1036" s="124">
        <v>5943</v>
      </c>
      <c r="M1036" s="124">
        <v>5943</v>
      </c>
      <c r="N1036" s="124">
        <v>5943</v>
      </c>
      <c r="O1036" s="124">
        <v>5943</v>
      </c>
      <c r="P1036" s="124">
        <v>5943</v>
      </c>
      <c r="Q1036" s="124">
        <v>5988</v>
      </c>
      <c r="R1036" s="124">
        <v>5990</v>
      </c>
      <c r="S1036" s="124">
        <v>6001</v>
      </c>
      <c r="T1036" s="124">
        <v>6011</v>
      </c>
      <c r="U1036" s="124">
        <v>6011</v>
      </c>
      <c r="V1036" s="124">
        <v>6012</v>
      </c>
      <c r="W1036" s="124">
        <v>6012</v>
      </c>
      <c r="X1036" s="124">
        <v>6012</v>
      </c>
      <c r="Y1036" s="124">
        <v>6012</v>
      </c>
      <c r="Z1036" s="124">
        <v>6012</v>
      </c>
      <c r="AA1036" s="124">
        <v>6031</v>
      </c>
      <c r="AB1036" s="124">
        <v>6032</v>
      </c>
      <c r="AC1036" s="124">
        <v>6033</v>
      </c>
      <c r="AD1036" s="124">
        <v>6038</v>
      </c>
      <c r="AE1036" s="124">
        <v>6041</v>
      </c>
      <c r="AF1036" s="124">
        <v>6041</v>
      </c>
      <c r="AG1036" s="124">
        <v>6041</v>
      </c>
      <c r="AH1036" s="124">
        <v>6041</v>
      </c>
      <c r="AI1036" s="124">
        <v>6055</v>
      </c>
      <c r="AJ1036" s="124">
        <v>6055</v>
      </c>
      <c r="AK1036" s="124">
        <v>6055</v>
      </c>
      <c r="AL1036" s="124">
        <v>6066</v>
      </c>
      <c r="AM1036" s="171">
        <v>6071</v>
      </c>
      <c r="AN1036" s="124">
        <v>6071</v>
      </c>
      <c r="AO1036" s="124">
        <v>6086</v>
      </c>
      <c r="AP1036" s="124"/>
      <c r="AQ1036" s="124"/>
      <c r="AR1036" s="124"/>
      <c r="AS1036" s="124"/>
      <c r="AT1036" s="124"/>
      <c r="AU1036" s="124"/>
      <c r="AV1036" s="124"/>
      <c r="AW1036" s="124"/>
      <c r="AX1036" s="124"/>
      <c r="AY1036" s="161"/>
      <c r="AZ1036" s="161"/>
      <c r="BA1036" s="161"/>
      <c r="BB1036" s="161"/>
      <c r="BC1036" s="161"/>
    </row>
    <row r="1037" spans="1:55" ht="15.75" customHeight="1" x14ac:dyDescent="0.25">
      <c r="A1037" s="126">
        <v>512000</v>
      </c>
      <c r="B1037" s="122" t="s">
        <v>56</v>
      </c>
      <c r="C1037" s="124"/>
      <c r="D1037" s="124"/>
      <c r="E1037" s="171">
        <v>2470</v>
      </c>
      <c r="F1037" s="124">
        <v>2470</v>
      </c>
      <c r="G1037" s="124">
        <v>2496</v>
      </c>
      <c r="H1037" s="124">
        <v>2496</v>
      </c>
      <c r="I1037" s="124">
        <v>2496</v>
      </c>
      <c r="J1037" s="124">
        <v>2496</v>
      </c>
      <c r="K1037" s="124">
        <v>2496</v>
      </c>
      <c r="L1037" s="124">
        <v>2496</v>
      </c>
      <c r="M1037" s="124">
        <v>2496</v>
      </c>
      <c r="N1037" s="124">
        <v>2496</v>
      </c>
      <c r="O1037" s="124">
        <v>2496</v>
      </c>
      <c r="P1037" s="124">
        <v>2496</v>
      </c>
      <c r="Q1037" s="124">
        <v>2525</v>
      </c>
      <c r="R1037" s="124">
        <v>2529</v>
      </c>
      <c r="S1037" s="124">
        <v>2531</v>
      </c>
      <c r="T1037" s="124">
        <v>2532</v>
      </c>
      <c r="U1037" s="124">
        <v>2532</v>
      </c>
      <c r="V1037" s="124">
        <v>2534</v>
      </c>
      <c r="W1037" s="124">
        <v>2534</v>
      </c>
      <c r="X1037" s="124">
        <v>2534</v>
      </c>
      <c r="Y1037" s="124">
        <v>2534</v>
      </c>
      <c r="Z1037" s="124">
        <v>2534</v>
      </c>
      <c r="AA1037" s="124">
        <v>2540</v>
      </c>
      <c r="AB1037" s="124">
        <v>2543</v>
      </c>
      <c r="AC1037" s="124">
        <v>2549</v>
      </c>
      <c r="AD1037" s="124">
        <v>2549</v>
      </c>
      <c r="AE1037" s="124">
        <v>2549</v>
      </c>
      <c r="AF1037" s="124">
        <v>2549</v>
      </c>
      <c r="AG1037" s="124">
        <v>2549</v>
      </c>
      <c r="AH1037" s="124">
        <v>2549</v>
      </c>
      <c r="AI1037" s="124">
        <v>2568</v>
      </c>
      <c r="AJ1037" s="124">
        <v>2568</v>
      </c>
      <c r="AK1037" s="124">
        <v>2568</v>
      </c>
      <c r="AL1037" s="124">
        <v>2570</v>
      </c>
      <c r="AM1037" s="171">
        <v>2573</v>
      </c>
      <c r="AN1037" s="124">
        <v>2573</v>
      </c>
      <c r="AO1037" s="124">
        <v>2575</v>
      </c>
      <c r="AP1037" s="124"/>
      <c r="AQ1037" s="124"/>
      <c r="AR1037" s="124"/>
      <c r="AS1037" s="124"/>
      <c r="AT1037" s="124"/>
      <c r="AU1037" s="124"/>
      <c r="AV1037" s="124"/>
      <c r="AW1037" s="124"/>
      <c r="AX1037" s="124"/>
      <c r="AY1037" s="161"/>
      <c r="AZ1037" s="161"/>
      <c r="BA1037" s="161"/>
      <c r="BB1037" s="161"/>
      <c r="BC1037" s="161"/>
    </row>
    <row r="1038" spans="1:55" ht="15.75" customHeight="1" x14ac:dyDescent="0.25">
      <c r="A1038" s="127" t="s">
        <v>9</v>
      </c>
      <c r="B1038" s="122" t="s">
        <v>6</v>
      </c>
      <c r="C1038" s="124"/>
      <c r="D1038" s="124"/>
      <c r="E1038" s="171"/>
      <c r="F1038" s="124"/>
      <c r="G1038" s="124"/>
      <c r="H1038" s="124"/>
      <c r="I1038" s="124"/>
      <c r="J1038" s="124"/>
      <c r="K1038" s="124"/>
      <c r="L1038" s="124"/>
      <c r="M1038" s="124"/>
      <c r="N1038" s="124"/>
      <c r="O1038" s="124"/>
      <c r="P1038" s="124"/>
      <c r="Q1038" s="124"/>
      <c r="R1038" s="124"/>
      <c r="S1038" s="124"/>
      <c r="T1038" s="124"/>
      <c r="U1038" s="124"/>
      <c r="V1038" s="124"/>
      <c r="W1038" s="124"/>
      <c r="X1038" s="124"/>
      <c r="Y1038" s="124"/>
      <c r="Z1038" s="124"/>
      <c r="AA1038" s="124"/>
      <c r="AB1038" s="124"/>
      <c r="AC1038" s="124"/>
      <c r="AD1038" s="124"/>
      <c r="AE1038" s="124"/>
      <c r="AF1038" s="124"/>
      <c r="AG1038" s="124"/>
      <c r="AH1038" s="124"/>
      <c r="AI1038" s="124"/>
      <c r="AJ1038" s="124"/>
      <c r="AK1038" s="124"/>
      <c r="AL1038" s="124"/>
      <c r="AM1038" s="171"/>
      <c r="AN1038" s="124"/>
      <c r="AO1038" s="124"/>
      <c r="AP1038" s="124"/>
      <c r="AQ1038" s="124"/>
      <c r="AR1038" s="124"/>
      <c r="AS1038" s="124"/>
      <c r="AT1038" s="124"/>
      <c r="AU1038" s="124"/>
      <c r="AV1038" s="124"/>
      <c r="AW1038" s="124"/>
      <c r="AX1038" s="124"/>
      <c r="AY1038" s="161"/>
      <c r="AZ1038" s="161"/>
      <c r="BA1038" s="161"/>
      <c r="BB1038" s="161"/>
      <c r="BC1038" s="161"/>
    </row>
    <row r="1039" spans="1:55" ht="15.75" customHeight="1" x14ac:dyDescent="0.25">
      <c r="A1039" s="128">
        <v>415135.13513513515</v>
      </c>
      <c r="B1039" s="122" t="s">
        <v>8</v>
      </c>
      <c r="C1039" s="124"/>
      <c r="D1039" s="124"/>
      <c r="E1039" s="171"/>
      <c r="F1039" s="124"/>
      <c r="G1039" s="124"/>
      <c r="H1039" s="124"/>
      <c r="I1039" s="124"/>
      <c r="J1039" s="124"/>
      <c r="K1039" s="124"/>
      <c r="L1039" s="124"/>
      <c r="M1039" s="124"/>
      <c r="N1039" s="124"/>
      <c r="O1039" s="124"/>
      <c r="P1039" s="124"/>
      <c r="Q1039" s="124"/>
      <c r="R1039" s="124"/>
      <c r="S1039" s="124"/>
      <c r="T1039" s="124"/>
      <c r="U1039" s="124"/>
      <c r="V1039" s="124"/>
      <c r="W1039" s="124"/>
      <c r="X1039" s="124"/>
      <c r="Y1039" s="124"/>
      <c r="Z1039" s="124"/>
      <c r="AA1039" s="124"/>
      <c r="AB1039" s="124"/>
      <c r="AC1039" s="124"/>
      <c r="AD1039" s="124"/>
      <c r="AE1039" s="124"/>
      <c r="AF1039" s="124"/>
      <c r="AG1039" s="124"/>
      <c r="AH1039" s="124"/>
      <c r="AI1039" s="124"/>
      <c r="AJ1039" s="124"/>
      <c r="AK1039" s="124"/>
      <c r="AL1039" s="124"/>
      <c r="AM1039" s="171"/>
      <c r="AN1039" s="124"/>
      <c r="AO1039" s="124"/>
      <c r="AP1039" s="124"/>
      <c r="AQ1039" s="124"/>
      <c r="AR1039" s="124"/>
      <c r="AS1039" s="124"/>
      <c r="AT1039" s="124"/>
      <c r="AU1039" s="124"/>
      <c r="AV1039" s="124"/>
      <c r="AW1039" s="124"/>
      <c r="AX1039" s="124"/>
      <c r="AY1039" s="161"/>
      <c r="AZ1039" s="161"/>
      <c r="BA1039" s="161"/>
      <c r="BB1039" s="161"/>
      <c r="BC1039" s="161"/>
    </row>
    <row r="1040" spans="1:55" ht="15.75" customHeight="1" x14ac:dyDescent="0.25">
      <c r="A1040" s="126"/>
      <c r="B1040" s="132" t="s">
        <v>57</v>
      </c>
      <c r="C1040" s="134"/>
      <c r="D1040" s="134"/>
      <c r="E1040" s="177"/>
      <c r="F1040" s="134"/>
      <c r="G1040" s="134"/>
      <c r="H1040" s="134"/>
      <c r="I1040" s="134"/>
      <c r="J1040" s="134"/>
      <c r="K1040" s="134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  <c r="AC1040" s="134"/>
      <c r="AD1040" s="134"/>
      <c r="AE1040" s="134"/>
      <c r="AF1040" s="134"/>
      <c r="AG1040" s="134"/>
      <c r="AH1040" s="134"/>
      <c r="AI1040" s="134"/>
      <c r="AJ1040" s="134"/>
      <c r="AK1040" s="134"/>
      <c r="AL1040" s="134"/>
      <c r="AM1040" s="177"/>
      <c r="AN1040" s="134"/>
      <c r="AO1040" s="134"/>
      <c r="AP1040" s="134"/>
      <c r="AQ1040" s="134"/>
      <c r="AR1040" s="134"/>
      <c r="AS1040" s="134"/>
      <c r="AT1040" s="134"/>
      <c r="AU1040" s="134"/>
      <c r="AV1040" s="134"/>
      <c r="AW1040" s="134"/>
      <c r="AX1040" s="134"/>
      <c r="AY1040" s="189"/>
      <c r="AZ1040" s="189"/>
      <c r="BA1040" s="189"/>
      <c r="BB1040" s="189"/>
      <c r="BC1040" s="189"/>
    </row>
    <row r="1041" spans="1:55" ht="15.75" customHeight="1" x14ac:dyDescent="0.25">
      <c r="A1041" s="154"/>
      <c r="B1041" s="122" t="s">
        <v>58</v>
      </c>
      <c r="C1041" s="124"/>
      <c r="D1041" s="124"/>
      <c r="E1041" s="171"/>
      <c r="F1041" s="124"/>
      <c r="G1041" s="124"/>
      <c r="H1041" s="124"/>
      <c r="I1041" s="124"/>
      <c r="J1041" s="124"/>
      <c r="K1041" s="124"/>
      <c r="L1041" s="124"/>
      <c r="M1041" s="124"/>
      <c r="N1041" s="124"/>
      <c r="O1041" s="124"/>
      <c r="P1041" s="124"/>
      <c r="Q1041" s="124"/>
      <c r="R1041" s="124"/>
      <c r="S1041" s="124"/>
      <c r="T1041" s="124"/>
      <c r="U1041" s="124"/>
      <c r="V1041" s="124"/>
      <c r="W1041" s="124"/>
      <c r="X1041" s="124"/>
      <c r="Y1041" s="124"/>
      <c r="Z1041" s="124"/>
      <c r="AA1041" s="124"/>
      <c r="AB1041" s="124"/>
      <c r="AC1041" s="124"/>
      <c r="AD1041" s="124"/>
      <c r="AE1041" s="124"/>
      <c r="AF1041" s="124"/>
      <c r="AG1041" s="124"/>
      <c r="AH1041" s="124"/>
      <c r="AI1041" s="124"/>
      <c r="AJ1041" s="124"/>
      <c r="AK1041" s="124"/>
      <c r="AL1041" s="124"/>
      <c r="AM1041" s="171"/>
      <c r="AN1041" s="124"/>
      <c r="AO1041" s="124"/>
      <c r="AP1041" s="124"/>
      <c r="AQ1041" s="124"/>
      <c r="AR1041" s="124"/>
      <c r="AS1041" s="124"/>
      <c r="AT1041" s="124"/>
      <c r="AU1041" s="124"/>
      <c r="AV1041" s="124"/>
      <c r="AW1041" s="124"/>
      <c r="AX1041" s="124"/>
      <c r="AY1041" s="161"/>
      <c r="AZ1041" s="161"/>
      <c r="BA1041" s="161"/>
      <c r="BB1041" s="161"/>
      <c r="BC1041" s="161"/>
    </row>
    <row r="1042" spans="1:55" ht="15.75" customHeight="1" x14ac:dyDescent="0.25">
      <c r="A1042" s="128">
        <v>512</v>
      </c>
      <c r="B1042" s="155" t="s">
        <v>59</v>
      </c>
      <c r="C1042" s="156"/>
      <c r="D1042" s="156"/>
      <c r="E1042" s="171">
        <v>24</v>
      </c>
      <c r="F1042" s="156">
        <v>14</v>
      </c>
      <c r="G1042" s="156">
        <v>46</v>
      </c>
      <c r="H1042" s="156">
        <v>0</v>
      </c>
      <c r="I1042" s="156">
        <v>8</v>
      </c>
      <c r="J1042" s="156">
        <v>0</v>
      </c>
      <c r="K1042" s="156">
        <v>0</v>
      </c>
      <c r="L1042" s="156">
        <v>74</v>
      </c>
      <c r="M1042" s="156">
        <v>0</v>
      </c>
      <c r="N1042" s="156">
        <v>20</v>
      </c>
      <c r="O1042" s="156">
        <v>14</v>
      </c>
      <c r="P1042" s="156">
        <v>16</v>
      </c>
      <c r="Q1042" s="156">
        <v>4</v>
      </c>
      <c r="R1042" s="156">
        <v>12</v>
      </c>
      <c r="S1042" s="156">
        <v>26</v>
      </c>
      <c r="T1042" s="156">
        <v>22</v>
      </c>
      <c r="U1042" s="156">
        <v>0</v>
      </c>
      <c r="V1042" s="156">
        <v>6</v>
      </c>
      <c r="W1042" s="156">
        <v>0</v>
      </c>
      <c r="X1042" s="156">
        <v>14</v>
      </c>
      <c r="Y1042" s="156">
        <v>12</v>
      </c>
      <c r="Z1042" s="156">
        <v>12</v>
      </c>
      <c r="AA1042" s="156">
        <v>12</v>
      </c>
      <c r="AB1042" s="156">
        <v>8</v>
      </c>
      <c r="AC1042" s="156">
        <v>14</v>
      </c>
      <c r="AD1042" s="156">
        <v>10</v>
      </c>
      <c r="AE1042" s="156">
        <v>4</v>
      </c>
      <c r="AF1042" s="156">
        <v>18</v>
      </c>
      <c r="AG1042" s="156">
        <v>14</v>
      </c>
      <c r="AH1042" s="156">
        <v>24</v>
      </c>
      <c r="AI1042" s="156">
        <v>8</v>
      </c>
      <c r="AJ1042" s="156">
        <v>14</v>
      </c>
      <c r="AK1042" s="156">
        <v>0</v>
      </c>
      <c r="AL1042" s="156">
        <v>12</v>
      </c>
      <c r="AM1042" s="171">
        <v>16</v>
      </c>
      <c r="AN1042" s="156">
        <v>16</v>
      </c>
      <c r="AO1042" s="156">
        <v>18</v>
      </c>
      <c r="AP1042" s="156">
        <v>12</v>
      </c>
      <c r="AQ1042" s="156">
        <v>16</v>
      </c>
      <c r="AR1042" s="156" t="s">
        <v>18</v>
      </c>
      <c r="AS1042" s="156" t="s">
        <v>18</v>
      </c>
      <c r="AT1042" s="156" t="s">
        <v>18</v>
      </c>
      <c r="AU1042" s="156" t="s">
        <v>18</v>
      </c>
      <c r="AV1042" s="156" t="s">
        <v>18</v>
      </c>
      <c r="AW1042" s="156" t="s">
        <v>18</v>
      </c>
      <c r="AX1042" s="156" t="s">
        <v>18</v>
      </c>
      <c r="AY1042" s="161"/>
      <c r="AZ1042" s="161"/>
      <c r="BA1042" s="161"/>
      <c r="BB1042" s="161"/>
      <c r="BC1042" s="161"/>
    </row>
    <row r="1043" spans="1:55" ht="15.75" customHeight="1" x14ac:dyDescent="0.25">
      <c r="A1043" s="128">
        <v>160</v>
      </c>
      <c r="B1043" s="155" t="s">
        <v>60</v>
      </c>
      <c r="C1043" s="156"/>
      <c r="D1043" s="156"/>
      <c r="E1043" s="171">
        <v>0</v>
      </c>
      <c r="F1043" s="156">
        <v>0</v>
      </c>
      <c r="G1043" s="156">
        <v>17</v>
      </c>
      <c r="H1043" s="156">
        <v>0</v>
      </c>
      <c r="I1043" s="156">
        <v>0</v>
      </c>
      <c r="J1043" s="156">
        <v>0</v>
      </c>
      <c r="K1043" s="156">
        <v>0</v>
      </c>
      <c r="L1043" s="156">
        <v>0</v>
      </c>
      <c r="M1043" s="156">
        <v>0</v>
      </c>
      <c r="N1043" s="156">
        <v>0</v>
      </c>
      <c r="O1043" s="156">
        <v>0</v>
      </c>
      <c r="P1043" s="156">
        <v>0</v>
      </c>
      <c r="Q1043" s="156">
        <v>45</v>
      </c>
      <c r="R1043" s="156">
        <v>2</v>
      </c>
      <c r="S1043" s="156">
        <v>11</v>
      </c>
      <c r="T1043" s="156">
        <v>10</v>
      </c>
      <c r="U1043" s="156">
        <v>0</v>
      </c>
      <c r="V1043" s="156">
        <v>1</v>
      </c>
      <c r="W1043" s="156">
        <v>0</v>
      </c>
      <c r="X1043" s="156">
        <v>0</v>
      </c>
      <c r="Y1043" s="156">
        <v>0</v>
      </c>
      <c r="Z1043" s="156">
        <v>0</v>
      </c>
      <c r="AA1043" s="156">
        <v>19</v>
      </c>
      <c r="AB1043" s="156">
        <v>1</v>
      </c>
      <c r="AC1043" s="156">
        <v>1</v>
      </c>
      <c r="AD1043" s="156">
        <v>5</v>
      </c>
      <c r="AE1043" s="156">
        <v>3</v>
      </c>
      <c r="AF1043" s="156">
        <v>0</v>
      </c>
      <c r="AG1043" s="156">
        <v>0</v>
      </c>
      <c r="AH1043" s="156">
        <v>0</v>
      </c>
      <c r="AI1043" s="156">
        <v>14</v>
      </c>
      <c r="AJ1043" s="156">
        <v>0</v>
      </c>
      <c r="AK1043" s="156">
        <v>0</v>
      </c>
      <c r="AL1043" s="156">
        <v>11</v>
      </c>
      <c r="AM1043" s="171">
        <v>5</v>
      </c>
      <c r="AN1043" s="156">
        <v>0</v>
      </c>
      <c r="AO1043" s="156">
        <v>15</v>
      </c>
      <c r="AP1043" s="156" t="s">
        <v>18</v>
      </c>
      <c r="AQ1043" s="156" t="s">
        <v>18</v>
      </c>
      <c r="AR1043" s="156" t="s">
        <v>18</v>
      </c>
      <c r="AS1043" s="156" t="s">
        <v>18</v>
      </c>
      <c r="AT1043" s="156" t="s">
        <v>18</v>
      </c>
      <c r="AU1043" s="156" t="s">
        <v>18</v>
      </c>
      <c r="AV1043" s="156" t="s">
        <v>18</v>
      </c>
      <c r="AW1043" s="156" t="s">
        <v>18</v>
      </c>
      <c r="AX1043" s="156" t="s">
        <v>18</v>
      </c>
      <c r="AY1043" s="161"/>
      <c r="AZ1043" s="161"/>
      <c r="BA1043" s="161"/>
      <c r="BB1043" s="161"/>
      <c r="BC1043" s="161"/>
    </row>
    <row r="1044" spans="1:55" ht="15.75" customHeight="1" x14ac:dyDescent="0.25">
      <c r="A1044" s="128">
        <v>105</v>
      </c>
      <c r="B1044" s="155" t="s">
        <v>61</v>
      </c>
      <c r="C1044" s="156"/>
      <c r="D1044" s="156"/>
      <c r="E1044" s="171">
        <v>0</v>
      </c>
      <c r="F1044" s="156">
        <v>0</v>
      </c>
      <c r="G1044" s="156">
        <v>26</v>
      </c>
      <c r="H1044" s="156">
        <v>0</v>
      </c>
      <c r="I1044" s="156">
        <v>0</v>
      </c>
      <c r="J1044" s="156">
        <v>0</v>
      </c>
      <c r="K1044" s="156">
        <v>0</v>
      </c>
      <c r="L1044" s="156">
        <v>0</v>
      </c>
      <c r="M1044" s="156">
        <v>0</v>
      </c>
      <c r="N1044" s="156">
        <v>0</v>
      </c>
      <c r="O1044" s="156">
        <v>0</v>
      </c>
      <c r="P1044" s="156">
        <v>0</v>
      </c>
      <c r="Q1044" s="156">
        <v>29</v>
      </c>
      <c r="R1044" s="156">
        <v>4</v>
      </c>
      <c r="S1044" s="156">
        <v>2</v>
      </c>
      <c r="T1044" s="156">
        <v>1</v>
      </c>
      <c r="U1044" s="156">
        <v>0</v>
      </c>
      <c r="V1044" s="156">
        <v>2</v>
      </c>
      <c r="W1044" s="156">
        <v>0</v>
      </c>
      <c r="X1044" s="156">
        <v>0</v>
      </c>
      <c r="Y1044" s="156">
        <v>0</v>
      </c>
      <c r="Z1044" s="156">
        <v>0</v>
      </c>
      <c r="AA1044" s="156">
        <v>6</v>
      </c>
      <c r="AB1044" s="156">
        <v>3</v>
      </c>
      <c r="AC1044" s="156">
        <v>6</v>
      </c>
      <c r="AD1044" s="156">
        <v>0</v>
      </c>
      <c r="AE1044" s="156">
        <v>0</v>
      </c>
      <c r="AF1044" s="156">
        <v>0</v>
      </c>
      <c r="AG1044" s="156">
        <v>0</v>
      </c>
      <c r="AH1044" s="156">
        <v>0</v>
      </c>
      <c r="AI1044" s="156">
        <v>19</v>
      </c>
      <c r="AJ1044" s="156">
        <v>0</v>
      </c>
      <c r="AK1044" s="156">
        <v>0</v>
      </c>
      <c r="AL1044" s="156">
        <v>2</v>
      </c>
      <c r="AM1044" s="171">
        <v>3</v>
      </c>
      <c r="AN1044" s="156">
        <v>0</v>
      </c>
      <c r="AO1044" s="156">
        <v>2</v>
      </c>
      <c r="AP1044" s="156" t="s">
        <v>18</v>
      </c>
      <c r="AQ1044" s="156" t="s">
        <v>18</v>
      </c>
      <c r="AR1044" s="156" t="s">
        <v>18</v>
      </c>
      <c r="AS1044" s="156" t="s">
        <v>18</v>
      </c>
      <c r="AT1044" s="156" t="s">
        <v>18</v>
      </c>
      <c r="AU1044" s="156" t="s">
        <v>18</v>
      </c>
      <c r="AV1044" s="156" t="s">
        <v>18</v>
      </c>
      <c r="AW1044" s="156" t="s">
        <v>18</v>
      </c>
      <c r="AX1044" s="156" t="s">
        <v>18</v>
      </c>
      <c r="AY1044" s="161"/>
      <c r="AZ1044" s="161"/>
      <c r="BA1044" s="161"/>
      <c r="BB1044" s="161"/>
      <c r="BC1044" s="161"/>
    </row>
    <row r="1045" spans="1:55" ht="15.75" customHeight="1" x14ac:dyDescent="0.25">
      <c r="A1045" s="128">
        <v>0</v>
      </c>
      <c r="B1045" s="155" t="s">
        <v>16</v>
      </c>
      <c r="C1045" s="156"/>
      <c r="D1045" s="156"/>
      <c r="E1045" s="171" t="s">
        <v>18</v>
      </c>
      <c r="F1045" s="156" t="s">
        <v>18</v>
      </c>
      <c r="G1045" s="156" t="s">
        <v>18</v>
      </c>
      <c r="H1045" s="156" t="s">
        <v>18</v>
      </c>
      <c r="I1045" s="156" t="s">
        <v>18</v>
      </c>
      <c r="J1045" s="156" t="s">
        <v>18</v>
      </c>
      <c r="K1045" s="156" t="s">
        <v>18</v>
      </c>
      <c r="L1045" s="156" t="s">
        <v>18</v>
      </c>
      <c r="M1045" s="156" t="s">
        <v>18</v>
      </c>
      <c r="N1045" s="156" t="s">
        <v>18</v>
      </c>
      <c r="O1045" s="156" t="s">
        <v>18</v>
      </c>
      <c r="P1045" s="156" t="s">
        <v>18</v>
      </c>
      <c r="Q1045" s="156" t="s">
        <v>18</v>
      </c>
      <c r="R1045" s="156" t="s">
        <v>18</v>
      </c>
      <c r="S1045" s="156" t="s">
        <v>18</v>
      </c>
      <c r="T1045" s="156" t="s">
        <v>18</v>
      </c>
      <c r="U1045" s="156" t="s">
        <v>18</v>
      </c>
      <c r="V1045" s="156" t="s">
        <v>18</v>
      </c>
      <c r="W1045" s="156" t="s">
        <v>18</v>
      </c>
      <c r="X1045" s="156" t="s">
        <v>18</v>
      </c>
      <c r="Y1045" s="156" t="s">
        <v>18</v>
      </c>
      <c r="Z1045" s="156" t="s">
        <v>18</v>
      </c>
      <c r="AA1045" s="156" t="s">
        <v>18</v>
      </c>
      <c r="AB1045" s="156" t="s">
        <v>18</v>
      </c>
      <c r="AC1045" s="156" t="s">
        <v>18</v>
      </c>
      <c r="AD1045" s="156" t="s">
        <v>18</v>
      </c>
      <c r="AE1045" s="156" t="s">
        <v>18</v>
      </c>
      <c r="AF1045" s="156" t="s">
        <v>18</v>
      </c>
      <c r="AG1045" s="156" t="s">
        <v>18</v>
      </c>
      <c r="AH1045" s="156" t="s">
        <v>18</v>
      </c>
      <c r="AI1045" s="156" t="s">
        <v>18</v>
      </c>
      <c r="AJ1045" s="156" t="s">
        <v>18</v>
      </c>
      <c r="AK1045" s="156" t="s">
        <v>18</v>
      </c>
      <c r="AL1045" s="156" t="s">
        <v>18</v>
      </c>
      <c r="AM1045" s="171" t="s">
        <v>18</v>
      </c>
      <c r="AN1045" s="156" t="s">
        <v>18</v>
      </c>
      <c r="AO1045" s="156" t="s">
        <v>18</v>
      </c>
      <c r="AP1045" s="156" t="s">
        <v>18</v>
      </c>
      <c r="AQ1045" s="156" t="s">
        <v>18</v>
      </c>
      <c r="AR1045" s="156" t="s">
        <v>18</v>
      </c>
      <c r="AS1045" s="156" t="s">
        <v>18</v>
      </c>
      <c r="AT1045" s="156" t="s">
        <v>18</v>
      </c>
      <c r="AU1045" s="156" t="s">
        <v>18</v>
      </c>
      <c r="AV1045" s="156" t="s">
        <v>18</v>
      </c>
      <c r="AW1045" s="156" t="s">
        <v>18</v>
      </c>
      <c r="AX1045" s="156" t="s">
        <v>18</v>
      </c>
      <c r="AY1045" s="161"/>
      <c r="AZ1045" s="161"/>
      <c r="BA1045" s="161"/>
      <c r="BB1045" s="161"/>
      <c r="BC1045" s="161"/>
    </row>
    <row r="1046" spans="1:55" ht="15.75" customHeight="1" x14ac:dyDescent="0.25">
      <c r="A1046" s="138">
        <v>0</v>
      </c>
      <c r="B1046" s="157" t="s">
        <v>17</v>
      </c>
      <c r="C1046" s="158"/>
      <c r="D1046" s="158"/>
      <c r="E1046" s="180" t="s">
        <v>18</v>
      </c>
      <c r="F1046" s="158" t="s">
        <v>18</v>
      </c>
      <c r="G1046" s="158" t="s">
        <v>18</v>
      </c>
      <c r="H1046" s="158" t="s">
        <v>18</v>
      </c>
      <c r="I1046" s="158" t="s">
        <v>18</v>
      </c>
      <c r="J1046" s="158" t="s">
        <v>18</v>
      </c>
      <c r="K1046" s="158" t="s">
        <v>18</v>
      </c>
      <c r="L1046" s="158" t="s">
        <v>18</v>
      </c>
      <c r="M1046" s="158" t="s">
        <v>18</v>
      </c>
      <c r="N1046" s="158" t="s">
        <v>18</v>
      </c>
      <c r="O1046" s="158" t="s">
        <v>18</v>
      </c>
      <c r="P1046" s="158" t="s">
        <v>18</v>
      </c>
      <c r="Q1046" s="158" t="s">
        <v>18</v>
      </c>
      <c r="R1046" s="158" t="s">
        <v>18</v>
      </c>
      <c r="S1046" s="158" t="s">
        <v>18</v>
      </c>
      <c r="T1046" s="158" t="s">
        <v>18</v>
      </c>
      <c r="U1046" s="158" t="s">
        <v>18</v>
      </c>
      <c r="V1046" s="158" t="s">
        <v>18</v>
      </c>
      <c r="W1046" s="158" t="s">
        <v>18</v>
      </c>
      <c r="X1046" s="158" t="s">
        <v>18</v>
      </c>
      <c r="Y1046" s="158" t="s">
        <v>18</v>
      </c>
      <c r="Z1046" s="158" t="s">
        <v>18</v>
      </c>
      <c r="AA1046" s="158" t="s">
        <v>18</v>
      </c>
      <c r="AB1046" s="158" t="s">
        <v>18</v>
      </c>
      <c r="AC1046" s="158" t="s">
        <v>18</v>
      </c>
      <c r="AD1046" s="158" t="s">
        <v>18</v>
      </c>
      <c r="AE1046" s="158" t="s">
        <v>18</v>
      </c>
      <c r="AF1046" s="158" t="s">
        <v>18</v>
      </c>
      <c r="AG1046" s="158" t="s">
        <v>18</v>
      </c>
      <c r="AH1046" s="158" t="s">
        <v>18</v>
      </c>
      <c r="AI1046" s="158" t="s">
        <v>18</v>
      </c>
      <c r="AJ1046" s="158" t="s">
        <v>18</v>
      </c>
      <c r="AK1046" s="158" t="s">
        <v>18</v>
      </c>
      <c r="AL1046" s="158" t="s">
        <v>18</v>
      </c>
      <c r="AM1046" s="180" t="s">
        <v>18</v>
      </c>
      <c r="AN1046" s="158" t="s">
        <v>18</v>
      </c>
      <c r="AO1046" s="158" t="s">
        <v>18</v>
      </c>
      <c r="AP1046" s="158" t="s">
        <v>18</v>
      </c>
      <c r="AQ1046" s="158" t="s">
        <v>18</v>
      </c>
      <c r="AR1046" s="158" t="s">
        <v>18</v>
      </c>
      <c r="AS1046" s="158" t="s">
        <v>18</v>
      </c>
      <c r="AT1046" s="158" t="s">
        <v>18</v>
      </c>
      <c r="AU1046" s="158" t="s">
        <v>18</v>
      </c>
      <c r="AV1046" s="158" t="s">
        <v>18</v>
      </c>
      <c r="AW1046" s="158" t="s">
        <v>18</v>
      </c>
      <c r="AX1046" s="158" t="s">
        <v>18</v>
      </c>
      <c r="AY1046" s="161"/>
      <c r="AZ1046" s="161"/>
      <c r="BA1046" s="161"/>
      <c r="BB1046" s="161"/>
      <c r="BC1046" s="161"/>
    </row>
    <row r="1047" spans="1:55" ht="15.75" customHeight="1" x14ac:dyDescent="0.25">
      <c r="A1047" s="116" t="s">
        <v>145</v>
      </c>
      <c r="B1047" s="117" t="s">
        <v>53</v>
      </c>
      <c r="C1047" s="119"/>
      <c r="D1047" s="119"/>
      <c r="E1047" s="168">
        <v>5165</v>
      </c>
      <c r="F1047" s="119">
        <v>5167</v>
      </c>
      <c r="G1047" s="119">
        <v>5172</v>
      </c>
      <c r="H1047" s="119">
        <v>5172</v>
      </c>
      <c r="I1047" s="119">
        <v>5173</v>
      </c>
      <c r="J1047" s="119">
        <v>5173</v>
      </c>
      <c r="K1047" s="119">
        <v>5173</v>
      </c>
      <c r="L1047" s="119">
        <v>5184</v>
      </c>
      <c r="M1047" s="119">
        <v>5184</v>
      </c>
      <c r="N1047" s="119">
        <v>5187</v>
      </c>
      <c r="O1047" s="119">
        <v>5189</v>
      </c>
      <c r="P1047" s="119">
        <v>5191</v>
      </c>
      <c r="Q1047" s="119">
        <v>5192</v>
      </c>
      <c r="R1047" s="119">
        <v>5192</v>
      </c>
      <c r="S1047" s="119">
        <v>5192</v>
      </c>
      <c r="T1047" s="119">
        <v>5197</v>
      </c>
      <c r="U1047" s="119">
        <v>5197</v>
      </c>
      <c r="V1047" s="119">
        <v>5198</v>
      </c>
      <c r="W1047" s="119">
        <v>5199</v>
      </c>
      <c r="X1047" s="119">
        <v>5201</v>
      </c>
      <c r="Y1047" s="119">
        <v>5203</v>
      </c>
      <c r="Z1047" s="119">
        <v>5206</v>
      </c>
      <c r="AA1047" s="119">
        <v>5213</v>
      </c>
      <c r="AB1047" s="119">
        <v>5217</v>
      </c>
      <c r="AC1047" s="119">
        <v>5219</v>
      </c>
      <c r="AD1047" s="119">
        <v>5221</v>
      </c>
      <c r="AE1047" s="119">
        <v>5221</v>
      </c>
      <c r="AF1047" s="119">
        <v>5222</v>
      </c>
      <c r="AG1047" s="119">
        <v>5236</v>
      </c>
      <c r="AH1047" s="119">
        <v>5244</v>
      </c>
      <c r="AI1047" s="119">
        <v>5247</v>
      </c>
      <c r="AJ1047" s="119">
        <v>5253</v>
      </c>
      <c r="AK1047" s="119">
        <v>5258</v>
      </c>
      <c r="AL1047" s="119">
        <v>5259</v>
      </c>
      <c r="AM1047" s="168">
        <v>5266</v>
      </c>
      <c r="AN1047" s="119">
        <v>5281</v>
      </c>
      <c r="AO1047" s="119">
        <v>5284</v>
      </c>
      <c r="AP1047" s="119">
        <v>5294</v>
      </c>
      <c r="AQ1047" s="119">
        <v>5297</v>
      </c>
      <c r="AR1047" s="119"/>
      <c r="AS1047" s="119"/>
      <c r="AT1047" s="119"/>
      <c r="AU1047" s="119"/>
      <c r="AV1047" s="119"/>
      <c r="AW1047" s="119"/>
      <c r="AX1047" s="119"/>
      <c r="AY1047" s="161"/>
      <c r="AZ1047" s="161"/>
      <c r="BA1047" s="161"/>
      <c r="BB1047" s="161"/>
      <c r="BC1047" s="161"/>
    </row>
    <row r="1048" spans="1:55" ht="15.75" customHeight="1" x14ac:dyDescent="0.25">
      <c r="A1048" s="191" t="s">
        <v>146</v>
      </c>
      <c r="B1048" s="122" t="s">
        <v>147</v>
      </c>
      <c r="C1048" s="124"/>
      <c r="D1048" s="124"/>
      <c r="E1048" s="171">
        <v>3559</v>
      </c>
      <c r="F1048" s="124">
        <v>3561</v>
      </c>
      <c r="G1048" s="124">
        <v>3566</v>
      </c>
      <c r="H1048" s="124">
        <v>3566</v>
      </c>
      <c r="I1048" s="124">
        <v>3567</v>
      </c>
      <c r="J1048" s="124">
        <v>3567</v>
      </c>
      <c r="K1048" s="124">
        <v>3567</v>
      </c>
      <c r="L1048" s="124">
        <v>3578</v>
      </c>
      <c r="M1048" s="124">
        <v>3578</v>
      </c>
      <c r="N1048" s="124">
        <v>3581</v>
      </c>
      <c r="O1048" s="124">
        <v>3583</v>
      </c>
      <c r="P1048" s="124">
        <v>3585</v>
      </c>
      <c r="Q1048" s="124">
        <v>3586</v>
      </c>
      <c r="R1048" s="124">
        <v>3586</v>
      </c>
      <c r="S1048" s="124">
        <v>3586</v>
      </c>
      <c r="T1048" s="124">
        <v>3591</v>
      </c>
      <c r="U1048" s="124">
        <v>3591</v>
      </c>
      <c r="V1048" s="124">
        <v>3592</v>
      </c>
      <c r="W1048" s="124">
        <v>3593</v>
      </c>
      <c r="X1048" s="124">
        <v>3595</v>
      </c>
      <c r="Y1048" s="124">
        <v>3597</v>
      </c>
      <c r="Z1048" s="124">
        <v>3600</v>
      </c>
      <c r="AA1048" s="124">
        <v>3607</v>
      </c>
      <c r="AB1048" s="124">
        <v>3611</v>
      </c>
      <c r="AC1048" s="124">
        <v>3613</v>
      </c>
      <c r="AD1048" s="124">
        <v>3615</v>
      </c>
      <c r="AE1048" s="124">
        <v>3615</v>
      </c>
      <c r="AF1048" s="124">
        <v>3616</v>
      </c>
      <c r="AG1048" s="124">
        <v>3630</v>
      </c>
      <c r="AH1048" s="124">
        <v>3638</v>
      </c>
      <c r="AI1048" s="124">
        <v>3641</v>
      </c>
      <c r="AJ1048" s="124">
        <v>3647</v>
      </c>
      <c r="AK1048" s="124">
        <v>3652</v>
      </c>
      <c r="AL1048" s="124">
        <v>3653</v>
      </c>
      <c r="AM1048" s="171">
        <v>3660</v>
      </c>
      <c r="AN1048" s="124">
        <v>3675</v>
      </c>
      <c r="AO1048" s="124">
        <v>3678</v>
      </c>
      <c r="AP1048" s="124">
        <v>3688</v>
      </c>
      <c r="AQ1048" s="124">
        <v>3691</v>
      </c>
      <c r="AR1048" s="124"/>
      <c r="AS1048" s="124"/>
      <c r="AT1048" s="124"/>
      <c r="AU1048" s="124"/>
      <c r="AV1048" s="124"/>
      <c r="AW1048" s="124"/>
      <c r="AX1048" s="124"/>
      <c r="AY1048" s="161"/>
      <c r="AZ1048" s="161"/>
      <c r="BA1048" s="161"/>
      <c r="BB1048" s="161"/>
      <c r="BC1048" s="161"/>
    </row>
    <row r="1049" spans="1:55" ht="15.75" customHeight="1" x14ac:dyDescent="0.25">
      <c r="A1049" s="127">
        <v>119000</v>
      </c>
      <c r="B1049" s="122" t="s">
        <v>6</v>
      </c>
      <c r="C1049" s="124"/>
      <c r="D1049" s="124"/>
      <c r="E1049" s="171"/>
      <c r="F1049" s="124"/>
      <c r="G1049" s="124"/>
      <c r="H1049" s="124"/>
      <c r="I1049" s="124"/>
      <c r="J1049" s="124"/>
      <c r="K1049" s="124"/>
      <c r="L1049" s="124"/>
      <c r="M1049" s="124"/>
      <c r="N1049" s="124"/>
      <c r="O1049" s="124"/>
      <c r="P1049" s="124"/>
      <c r="Q1049" s="124"/>
      <c r="R1049" s="124"/>
      <c r="S1049" s="124"/>
      <c r="T1049" s="124"/>
      <c r="U1049" s="124"/>
      <c r="V1049" s="124"/>
      <c r="W1049" s="124"/>
      <c r="X1049" s="124"/>
      <c r="Y1049" s="124"/>
      <c r="Z1049" s="124"/>
      <c r="AA1049" s="124"/>
      <c r="AB1049" s="124"/>
      <c r="AC1049" s="124"/>
      <c r="AD1049" s="124"/>
      <c r="AE1049" s="124"/>
      <c r="AF1049" s="124"/>
      <c r="AG1049" s="124"/>
      <c r="AH1049" s="124"/>
      <c r="AI1049" s="124"/>
      <c r="AJ1049" s="124"/>
      <c r="AK1049" s="124"/>
      <c r="AL1049" s="124"/>
      <c r="AM1049" s="171"/>
      <c r="AN1049" s="124"/>
      <c r="AO1049" s="124"/>
      <c r="AP1049" s="124"/>
      <c r="AQ1049" s="124"/>
      <c r="AR1049" s="124"/>
      <c r="AS1049" s="124"/>
      <c r="AT1049" s="124"/>
      <c r="AU1049" s="124"/>
      <c r="AV1049" s="124"/>
      <c r="AW1049" s="124"/>
      <c r="AX1049" s="124"/>
      <c r="AY1049" s="161"/>
      <c r="AZ1049" s="161"/>
      <c r="BA1049" s="161"/>
      <c r="BB1049" s="161"/>
      <c r="BC1049" s="161"/>
    </row>
    <row r="1050" spans="1:55" ht="15.75" customHeight="1" x14ac:dyDescent="0.25">
      <c r="A1050" s="161" t="s">
        <v>9</v>
      </c>
      <c r="B1050" s="122" t="s">
        <v>8</v>
      </c>
      <c r="C1050" s="124"/>
      <c r="D1050" s="124"/>
      <c r="E1050" s="171"/>
      <c r="F1050" s="124"/>
      <c r="G1050" s="124"/>
      <c r="H1050" s="124"/>
      <c r="I1050" s="124"/>
      <c r="J1050" s="124"/>
      <c r="K1050" s="124"/>
      <c r="L1050" s="124"/>
      <c r="M1050" s="124"/>
      <c r="N1050" s="124"/>
      <c r="O1050" s="124"/>
      <c r="P1050" s="124"/>
      <c r="Q1050" s="124"/>
      <c r="R1050" s="124"/>
      <c r="S1050" s="124"/>
      <c r="T1050" s="124"/>
      <c r="U1050" s="124"/>
      <c r="V1050" s="124"/>
      <c r="W1050" s="124"/>
      <c r="X1050" s="124"/>
      <c r="Y1050" s="124"/>
      <c r="Z1050" s="124"/>
      <c r="AA1050" s="124"/>
      <c r="AB1050" s="124"/>
      <c r="AC1050" s="124"/>
      <c r="AD1050" s="124"/>
      <c r="AE1050" s="124"/>
      <c r="AF1050" s="124"/>
      <c r="AG1050" s="124"/>
      <c r="AH1050" s="124"/>
      <c r="AI1050" s="124"/>
      <c r="AJ1050" s="124"/>
      <c r="AK1050" s="124"/>
      <c r="AL1050" s="124"/>
      <c r="AM1050" s="171"/>
      <c r="AN1050" s="124"/>
      <c r="AO1050" s="124"/>
      <c r="AP1050" s="124"/>
      <c r="AQ1050" s="124"/>
      <c r="AR1050" s="124"/>
      <c r="AS1050" s="124"/>
      <c r="AT1050" s="124"/>
      <c r="AU1050" s="124"/>
      <c r="AV1050" s="124"/>
      <c r="AW1050" s="124"/>
      <c r="AX1050" s="124"/>
      <c r="AY1050" s="161"/>
      <c r="AZ1050" s="161"/>
      <c r="BA1050" s="161"/>
      <c r="BB1050" s="161"/>
      <c r="BC1050" s="161"/>
    </row>
    <row r="1051" spans="1:55" ht="15.75" customHeight="1" x14ac:dyDescent="0.25">
      <c r="A1051" s="128">
        <v>96486.486486486479</v>
      </c>
      <c r="B1051" s="132" t="s">
        <v>57</v>
      </c>
      <c r="C1051" s="134"/>
      <c r="D1051" s="134"/>
      <c r="E1051" s="177"/>
      <c r="F1051" s="134"/>
      <c r="G1051" s="134"/>
      <c r="H1051" s="134"/>
      <c r="I1051" s="134"/>
      <c r="J1051" s="134"/>
      <c r="K1051" s="134"/>
      <c r="L1051" s="134"/>
      <c r="M1051" s="134"/>
      <c r="N1051" s="134"/>
      <c r="O1051" s="134"/>
      <c r="P1051" s="134"/>
      <c r="Q1051" s="134"/>
      <c r="R1051" s="134"/>
      <c r="S1051" s="134"/>
      <c r="T1051" s="134"/>
      <c r="U1051" s="134"/>
      <c r="V1051" s="134"/>
      <c r="W1051" s="134"/>
      <c r="X1051" s="134"/>
      <c r="Y1051" s="134"/>
      <c r="Z1051" s="134"/>
      <c r="AA1051" s="134"/>
      <c r="AB1051" s="134"/>
      <c r="AC1051" s="134"/>
      <c r="AD1051" s="134"/>
      <c r="AE1051" s="134"/>
      <c r="AF1051" s="134"/>
      <c r="AG1051" s="134"/>
      <c r="AH1051" s="134"/>
      <c r="AI1051" s="134"/>
      <c r="AJ1051" s="134"/>
      <c r="AK1051" s="134"/>
      <c r="AL1051" s="134"/>
      <c r="AM1051" s="177"/>
      <c r="AN1051" s="134"/>
      <c r="AO1051" s="134"/>
      <c r="AP1051" s="134"/>
      <c r="AQ1051" s="134"/>
      <c r="AR1051" s="134"/>
      <c r="AS1051" s="134"/>
      <c r="AT1051" s="134"/>
      <c r="AU1051" s="134"/>
      <c r="AV1051" s="134"/>
      <c r="AW1051" s="134"/>
      <c r="AX1051" s="134"/>
      <c r="AY1051" s="189"/>
      <c r="AZ1051" s="189"/>
      <c r="BA1051" s="189"/>
      <c r="BB1051" s="189"/>
      <c r="BC1051" s="189"/>
    </row>
    <row r="1052" spans="1:55" ht="15.75" customHeight="1" x14ac:dyDescent="0.25">
      <c r="A1052" s="154"/>
      <c r="B1052" s="122" t="s">
        <v>58</v>
      </c>
      <c r="C1052" s="124"/>
      <c r="D1052" s="124"/>
      <c r="E1052" s="171"/>
      <c r="F1052" s="124"/>
      <c r="G1052" s="124"/>
      <c r="H1052" s="124"/>
      <c r="I1052" s="124"/>
      <c r="J1052" s="124"/>
      <c r="K1052" s="124"/>
      <c r="L1052" s="124"/>
      <c r="M1052" s="124"/>
      <c r="N1052" s="124"/>
      <c r="O1052" s="124"/>
      <c r="P1052" s="124"/>
      <c r="Q1052" s="124"/>
      <c r="R1052" s="124"/>
      <c r="S1052" s="124"/>
      <c r="T1052" s="124"/>
      <c r="U1052" s="124"/>
      <c r="V1052" s="124"/>
      <c r="W1052" s="124"/>
      <c r="X1052" s="124"/>
      <c r="Y1052" s="124"/>
      <c r="Z1052" s="124"/>
      <c r="AA1052" s="124"/>
      <c r="AB1052" s="124"/>
      <c r="AC1052" s="124"/>
      <c r="AD1052" s="124"/>
      <c r="AE1052" s="124"/>
      <c r="AF1052" s="124"/>
      <c r="AG1052" s="124"/>
      <c r="AH1052" s="124"/>
      <c r="AI1052" s="124"/>
      <c r="AJ1052" s="124"/>
      <c r="AK1052" s="124"/>
      <c r="AL1052" s="124"/>
      <c r="AM1052" s="171"/>
      <c r="AN1052" s="124"/>
      <c r="AO1052" s="124"/>
      <c r="AP1052" s="124"/>
      <c r="AQ1052" s="124"/>
      <c r="AR1052" s="124"/>
      <c r="AS1052" s="124"/>
      <c r="AT1052" s="124"/>
      <c r="AU1052" s="124"/>
      <c r="AV1052" s="124"/>
      <c r="AW1052" s="124"/>
      <c r="AX1052" s="124"/>
      <c r="AY1052" s="161"/>
      <c r="AZ1052" s="161"/>
      <c r="BA1052" s="161"/>
      <c r="BB1052" s="161"/>
      <c r="BC1052" s="161"/>
    </row>
    <row r="1053" spans="1:55" ht="15.75" customHeight="1" x14ac:dyDescent="0.25">
      <c r="A1053" s="128">
        <v>119</v>
      </c>
      <c r="B1053" s="155" t="s">
        <v>59</v>
      </c>
      <c r="C1053" s="156"/>
      <c r="D1053" s="156"/>
      <c r="E1053" s="171">
        <v>0</v>
      </c>
      <c r="F1053" s="156">
        <v>2</v>
      </c>
      <c r="G1053" s="156">
        <v>5</v>
      </c>
      <c r="H1053" s="156">
        <v>0</v>
      </c>
      <c r="I1053" s="156">
        <v>1</v>
      </c>
      <c r="J1053" s="156">
        <v>0</v>
      </c>
      <c r="K1053" s="156">
        <v>0</v>
      </c>
      <c r="L1053" s="156">
        <v>11</v>
      </c>
      <c r="M1053" s="156">
        <v>0</v>
      </c>
      <c r="N1053" s="156">
        <v>3</v>
      </c>
      <c r="O1053" s="156">
        <v>2</v>
      </c>
      <c r="P1053" s="156">
        <v>2</v>
      </c>
      <c r="Q1053" s="156">
        <v>1</v>
      </c>
      <c r="R1053" s="156">
        <v>0</v>
      </c>
      <c r="S1053" s="156">
        <v>0</v>
      </c>
      <c r="T1053" s="156">
        <v>5</v>
      </c>
      <c r="U1053" s="156">
        <v>0</v>
      </c>
      <c r="V1053" s="156">
        <v>1</v>
      </c>
      <c r="W1053" s="156">
        <v>1</v>
      </c>
      <c r="X1053" s="156">
        <v>2</v>
      </c>
      <c r="Y1053" s="156">
        <v>2</v>
      </c>
      <c r="Z1053" s="156">
        <v>3</v>
      </c>
      <c r="AA1053" s="156">
        <v>7</v>
      </c>
      <c r="AB1053" s="156">
        <v>4</v>
      </c>
      <c r="AC1053" s="156">
        <v>2</v>
      </c>
      <c r="AD1053" s="156">
        <v>2</v>
      </c>
      <c r="AE1053" s="156">
        <v>0</v>
      </c>
      <c r="AF1053" s="156">
        <v>1</v>
      </c>
      <c r="AG1053" s="156">
        <v>14</v>
      </c>
      <c r="AH1053" s="156">
        <v>8</v>
      </c>
      <c r="AI1053" s="156">
        <v>3</v>
      </c>
      <c r="AJ1053" s="156">
        <v>6</v>
      </c>
      <c r="AK1053" s="156">
        <v>5</v>
      </c>
      <c r="AL1053" s="156">
        <v>1</v>
      </c>
      <c r="AM1053" s="171">
        <v>7</v>
      </c>
      <c r="AN1053" s="156">
        <v>15</v>
      </c>
      <c r="AO1053" s="156">
        <v>3</v>
      </c>
      <c r="AP1053" s="156">
        <v>10</v>
      </c>
      <c r="AQ1053" s="156">
        <v>3</v>
      </c>
      <c r="AR1053" s="156" t="s">
        <v>18</v>
      </c>
      <c r="AS1053" s="156" t="s">
        <v>18</v>
      </c>
      <c r="AT1053" s="156" t="s">
        <v>18</v>
      </c>
      <c r="AU1053" s="156" t="s">
        <v>18</v>
      </c>
      <c r="AV1053" s="156" t="s">
        <v>18</v>
      </c>
      <c r="AW1053" s="156" t="s">
        <v>18</v>
      </c>
      <c r="AX1053" s="156" t="s">
        <v>18</v>
      </c>
      <c r="AY1053" s="161"/>
      <c r="AZ1053" s="161"/>
      <c r="BA1053" s="161"/>
      <c r="BB1053" s="161"/>
      <c r="BC1053" s="161"/>
    </row>
    <row r="1054" spans="1:55" ht="15.75" customHeight="1" x14ac:dyDescent="0.25">
      <c r="A1054" s="128">
        <v>119</v>
      </c>
      <c r="B1054" s="155" t="s">
        <v>60</v>
      </c>
      <c r="C1054" s="156"/>
      <c r="D1054" s="156"/>
      <c r="E1054" s="171">
        <v>0</v>
      </c>
      <c r="F1054" s="156">
        <v>2</v>
      </c>
      <c r="G1054" s="156">
        <v>5</v>
      </c>
      <c r="H1054" s="156">
        <v>0</v>
      </c>
      <c r="I1054" s="156">
        <v>1</v>
      </c>
      <c r="J1054" s="156">
        <v>0</v>
      </c>
      <c r="K1054" s="156">
        <v>0</v>
      </c>
      <c r="L1054" s="156">
        <v>11</v>
      </c>
      <c r="M1054" s="156">
        <v>0</v>
      </c>
      <c r="N1054" s="156">
        <v>3</v>
      </c>
      <c r="O1054" s="156">
        <v>2</v>
      </c>
      <c r="P1054" s="156">
        <v>2</v>
      </c>
      <c r="Q1054" s="156">
        <v>1</v>
      </c>
      <c r="R1054" s="156">
        <v>0</v>
      </c>
      <c r="S1054" s="156">
        <v>0</v>
      </c>
      <c r="T1054" s="156">
        <v>5</v>
      </c>
      <c r="U1054" s="156">
        <v>0</v>
      </c>
      <c r="V1054" s="156">
        <v>1</v>
      </c>
      <c r="W1054" s="156">
        <v>1</v>
      </c>
      <c r="X1054" s="156">
        <v>2</v>
      </c>
      <c r="Y1054" s="156">
        <v>2</v>
      </c>
      <c r="Z1054" s="156">
        <v>3</v>
      </c>
      <c r="AA1054" s="156">
        <v>7</v>
      </c>
      <c r="AB1054" s="156">
        <v>4</v>
      </c>
      <c r="AC1054" s="156">
        <v>2</v>
      </c>
      <c r="AD1054" s="156">
        <v>2</v>
      </c>
      <c r="AE1054" s="156">
        <v>0</v>
      </c>
      <c r="AF1054" s="156">
        <v>1</v>
      </c>
      <c r="AG1054" s="156">
        <v>14</v>
      </c>
      <c r="AH1054" s="156">
        <v>8</v>
      </c>
      <c r="AI1054" s="156">
        <v>3</v>
      </c>
      <c r="AJ1054" s="156">
        <v>6</v>
      </c>
      <c r="AK1054" s="156">
        <v>5</v>
      </c>
      <c r="AL1054" s="156">
        <v>1</v>
      </c>
      <c r="AM1054" s="171">
        <v>7</v>
      </c>
      <c r="AN1054" s="156">
        <v>15</v>
      </c>
      <c r="AO1054" s="156">
        <v>3</v>
      </c>
      <c r="AP1054" s="156">
        <v>10</v>
      </c>
      <c r="AQ1054" s="156">
        <v>3</v>
      </c>
      <c r="AR1054" s="156" t="s">
        <v>18</v>
      </c>
      <c r="AS1054" s="156" t="s">
        <v>18</v>
      </c>
      <c r="AT1054" s="156" t="s">
        <v>18</v>
      </c>
      <c r="AU1054" s="156" t="s">
        <v>18</v>
      </c>
      <c r="AV1054" s="156" t="s">
        <v>18</v>
      </c>
      <c r="AW1054" s="156" t="s">
        <v>18</v>
      </c>
      <c r="AX1054" s="156" t="s">
        <v>18</v>
      </c>
      <c r="AY1054" s="161"/>
      <c r="AZ1054" s="161"/>
      <c r="BA1054" s="161"/>
      <c r="BB1054" s="161"/>
      <c r="BC1054" s="161"/>
    </row>
    <row r="1055" spans="1:55" ht="15.75" customHeight="1" x14ac:dyDescent="0.25">
      <c r="A1055" s="128">
        <v>0</v>
      </c>
      <c r="B1055" s="155" t="s">
        <v>16</v>
      </c>
      <c r="C1055" s="156"/>
      <c r="D1055" s="156"/>
      <c r="E1055" s="171" t="s">
        <v>18</v>
      </c>
      <c r="F1055" s="156" t="s">
        <v>18</v>
      </c>
      <c r="G1055" s="156" t="s">
        <v>18</v>
      </c>
      <c r="H1055" s="156" t="s">
        <v>18</v>
      </c>
      <c r="I1055" s="156" t="s">
        <v>18</v>
      </c>
      <c r="J1055" s="156" t="s">
        <v>18</v>
      </c>
      <c r="K1055" s="156" t="s">
        <v>18</v>
      </c>
      <c r="L1055" s="156" t="s">
        <v>18</v>
      </c>
      <c r="M1055" s="156" t="s">
        <v>18</v>
      </c>
      <c r="N1055" s="156" t="s">
        <v>18</v>
      </c>
      <c r="O1055" s="156" t="s">
        <v>18</v>
      </c>
      <c r="P1055" s="156" t="s">
        <v>18</v>
      </c>
      <c r="Q1055" s="156" t="s">
        <v>18</v>
      </c>
      <c r="R1055" s="156" t="s">
        <v>18</v>
      </c>
      <c r="S1055" s="156" t="s">
        <v>18</v>
      </c>
      <c r="T1055" s="156" t="s">
        <v>18</v>
      </c>
      <c r="U1055" s="156" t="s">
        <v>18</v>
      </c>
      <c r="V1055" s="156" t="s">
        <v>18</v>
      </c>
      <c r="W1055" s="156" t="s">
        <v>18</v>
      </c>
      <c r="X1055" s="156" t="s">
        <v>18</v>
      </c>
      <c r="Y1055" s="156" t="s">
        <v>18</v>
      </c>
      <c r="Z1055" s="156" t="s">
        <v>18</v>
      </c>
      <c r="AA1055" s="156" t="s">
        <v>18</v>
      </c>
      <c r="AB1055" s="156" t="s">
        <v>18</v>
      </c>
      <c r="AC1055" s="156" t="s">
        <v>18</v>
      </c>
      <c r="AD1055" s="156" t="s">
        <v>18</v>
      </c>
      <c r="AE1055" s="156" t="s">
        <v>18</v>
      </c>
      <c r="AF1055" s="156" t="s">
        <v>18</v>
      </c>
      <c r="AG1055" s="156" t="s">
        <v>18</v>
      </c>
      <c r="AH1055" s="156" t="s">
        <v>18</v>
      </c>
      <c r="AI1055" s="156" t="s">
        <v>18</v>
      </c>
      <c r="AJ1055" s="156" t="s">
        <v>18</v>
      </c>
      <c r="AK1055" s="156" t="s">
        <v>18</v>
      </c>
      <c r="AL1055" s="156" t="s">
        <v>18</v>
      </c>
      <c r="AM1055" s="171" t="s">
        <v>18</v>
      </c>
      <c r="AN1055" s="156" t="s">
        <v>18</v>
      </c>
      <c r="AO1055" s="156" t="s">
        <v>18</v>
      </c>
      <c r="AP1055" s="156" t="s">
        <v>18</v>
      </c>
      <c r="AQ1055" s="156" t="s">
        <v>18</v>
      </c>
      <c r="AR1055" s="156" t="s">
        <v>18</v>
      </c>
      <c r="AS1055" s="156" t="s">
        <v>18</v>
      </c>
      <c r="AT1055" s="156" t="s">
        <v>18</v>
      </c>
      <c r="AU1055" s="156" t="s">
        <v>18</v>
      </c>
      <c r="AV1055" s="156" t="s">
        <v>18</v>
      </c>
      <c r="AW1055" s="156" t="s">
        <v>18</v>
      </c>
      <c r="AX1055" s="156" t="s">
        <v>18</v>
      </c>
      <c r="AY1055" s="161"/>
      <c r="AZ1055" s="161"/>
      <c r="BA1055" s="161"/>
      <c r="BB1055" s="161"/>
      <c r="BC1055" s="161"/>
    </row>
    <row r="1056" spans="1:55" ht="15.75" customHeight="1" x14ac:dyDescent="0.25">
      <c r="A1056" s="138">
        <v>0</v>
      </c>
      <c r="B1056" s="157" t="s">
        <v>17</v>
      </c>
      <c r="C1056" s="158"/>
      <c r="D1056" s="158"/>
      <c r="E1056" s="180" t="s">
        <v>18</v>
      </c>
      <c r="F1056" s="158" t="s">
        <v>18</v>
      </c>
      <c r="G1056" s="158" t="s">
        <v>18</v>
      </c>
      <c r="H1056" s="158" t="s">
        <v>18</v>
      </c>
      <c r="I1056" s="158" t="s">
        <v>18</v>
      </c>
      <c r="J1056" s="158" t="s">
        <v>18</v>
      </c>
      <c r="K1056" s="158" t="s">
        <v>18</v>
      </c>
      <c r="L1056" s="158" t="s">
        <v>18</v>
      </c>
      <c r="M1056" s="158" t="s">
        <v>18</v>
      </c>
      <c r="N1056" s="158" t="s">
        <v>18</v>
      </c>
      <c r="O1056" s="158" t="s">
        <v>18</v>
      </c>
      <c r="P1056" s="158" t="s">
        <v>18</v>
      </c>
      <c r="Q1056" s="158" t="s">
        <v>18</v>
      </c>
      <c r="R1056" s="158" t="s">
        <v>18</v>
      </c>
      <c r="S1056" s="158" t="s">
        <v>18</v>
      </c>
      <c r="T1056" s="158" t="s">
        <v>18</v>
      </c>
      <c r="U1056" s="158" t="s">
        <v>18</v>
      </c>
      <c r="V1056" s="158" t="s">
        <v>18</v>
      </c>
      <c r="W1056" s="158" t="s">
        <v>18</v>
      </c>
      <c r="X1056" s="158" t="s">
        <v>18</v>
      </c>
      <c r="Y1056" s="158" t="s">
        <v>18</v>
      </c>
      <c r="Z1056" s="158" t="s">
        <v>18</v>
      </c>
      <c r="AA1056" s="158" t="s">
        <v>18</v>
      </c>
      <c r="AB1056" s="158" t="s">
        <v>18</v>
      </c>
      <c r="AC1056" s="158" t="s">
        <v>18</v>
      </c>
      <c r="AD1056" s="158" t="s">
        <v>18</v>
      </c>
      <c r="AE1056" s="158" t="s">
        <v>18</v>
      </c>
      <c r="AF1056" s="158" t="s">
        <v>18</v>
      </c>
      <c r="AG1056" s="158" t="s">
        <v>18</v>
      </c>
      <c r="AH1056" s="158" t="s">
        <v>18</v>
      </c>
      <c r="AI1056" s="158" t="s">
        <v>18</v>
      </c>
      <c r="AJ1056" s="158" t="s">
        <v>18</v>
      </c>
      <c r="AK1056" s="158" t="s">
        <v>18</v>
      </c>
      <c r="AL1056" s="158" t="s">
        <v>18</v>
      </c>
      <c r="AM1056" s="180" t="s">
        <v>18</v>
      </c>
      <c r="AN1056" s="158" t="s">
        <v>18</v>
      </c>
      <c r="AO1056" s="158" t="s">
        <v>18</v>
      </c>
      <c r="AP1056" s="158" t="s">
        <v>18</v>
      </c>
      <c r="AQ1056" s="158" t="s">
        <v>18</v>
      </c>
      <c r="AR1056" s="158" t="s">
        <v>18</v>
      </c>
      <c r="AS1056" s="158" t="s">
        <v>18</v>
      </c>
      <c r="AT1056" s="158" t="s">
        <v>18</v>
      </c>
      <c r="AU1056" s="158" t="s">
        <v>18</v>
      </c>
      <c r="AV1056" s="158" t="s">
        <v>18</v>
      </c>
      <c r="AW1056" s="158" t="s">
        <v>18</v>
      </c>
      <c r="AX1056" s="158" t="s">
        <v>18</v>
      </c>
      <c r="AY1056" s="161"/>
      <c r="AZ1056" s="161"/>
      <c r="BA1056" s="161"/>
      <c r="BB1056" s="161"/>
      <c r="BC1056" s="161"/>
    </row>
    <row r="1057" spans="1:55" ht="15.75" customHeight="1" x14ac:dyDescent="0.25">
      <c r="A1057" s="162" t="e">
        <v>#VALUE!</v>
      </c>
      <c r="B1057" s="163" t="s">
        <v>0</v>
      </c>
      <c r="C1057" s="159">
        <v>45913</v>
      </c>
      <c r="D1057" s="159">
        <v>45914</v>
      </c>
      <c r="E1057" s="159">
        <v>45915</v>
      </c>
      <c r="F1057" s="159">
        <v>45916</v>
      </c>
      <c r="G1057" s="159">
        <v>45917</v>
      </c>
      <c r="H1057" s="159">
        <v>45918</v>
      </c>
      <c r="I1057" s="159">
        <v>45919</v>
      </c>
      <c r="J1057" s="159">
        <v>45920</v>
      </c>
      <c r="K1057" s="159">
        <v>45921</v>
      </c>
      <c r="L1057" s="159">
        <v>45922</v>
      </c>
      <c r="M1057" s="159">
        <v>45923</v>
      </c>
      <c r="N1057" s="159">
        <v>45924</v>
      </c>
      <c r="O1057" s="159">
        <v>45925</v>
      </c>
      <c r="P1057" s="159">
        <v>45926</v>
      </c>
      <c r="Q1057" s="159">
        <v>45927</v>
      </c>
      <c r="R1057" s="159">
        <v>45928</v>
      </c>
      <c r="S1057" s="159">
        <v>45929</v>
      </c>
      <c r="T1057" s="159">
        <v>45930</v>
      </c>
      <c r="U1057" s="159">
        <v>45931</v>
      </c>
      <c r="V1057" s="159">
        <v>45932</v>
      </c>
      <c r="W1057" s="159">
        <v>45933</v>
      </c>
      <c r="X1057" s="159">
        <v>45934</v>
      </c>
      <c r="Y1057" s="159">
        <v>45935</v>
      </c>
      <c r="Z1057" s="159">
        <v>45936</v>
      </c>
      <c r="AA1057" s="159">
        <v>45937</v>
      </c>
      <c r="AB1057" s="159">
        <v>45938</v>
      </c>
      <c r="AC1057" s="159">
        <v>45939</v>
      </c>
      <c r="AD1057" s="159">
        <v>45940</v>
      </c>
      <c r="AE1057" s="159">
        <v>45941</v>
      </c>
      <c r="AF1057" s="159">
        <v>45942</v>
      </c>
      <c r="AG1057" s="159">
        <v>45943</v>
      </c>
      <c r="AH1057" s="159">
        <v>45944</v>
      </c>
      <c r="AI1057" s="159">
        <v>45945</v>
      </c>
      <c r="AJ1057" s="159">
        <v>45946</v>
      </c>
      <c r="AK1057" s="159">
        <v>45947</v>
      </c>
      <c r="AL1057" s="159">
        <v>45948</v>
      </c>
      <c r="AM1057" s="159">
        <v>45949</v>
      </c>
      <c r="AN1057" s="159">
        <v>45950</v>
      </c>
      <c r="AO1057" s="159">
        <v>45951</v>
      </c>
      <c r="AP1057" s="159">
        <v>45952</v>
      </c>
      <c r="AQ1057" s="159">
        <v>45953</v>
      </c>
      <c r="AR1057" s="159">
        <v>45954</v>
      </c>
      <c r="AS1057" s="159">
        <v>45955</v>
      </c>
      <c r="AT1057" s="161"/>
      <c r="AU1057" s="161"/>
      <c r="AV1057" s="161"/>
      <c r="AW1057" s="161"/>
      <c r="AX1057" s="161"/>
      <c r="AY1057" s="161"/>
      <c r="AZ1057" s="161"/>
      <c r="BA1057" s="161"/>
      <c r="BB1057" s="161"/>
      <c r="BC1057" s="161"/>
    </row>
    <row r="1058" spans="1:55" ht="15.75" customHeight="1" x14ac:dyDescent="0.25">
      <c r="A1058" s="165"/>
      <c r="B1058" s="166" t="e">
        <v>#VALUE!</v>
      </c>
      <c r="C1058" s="160">
        <v>728</v>
      </c>
      <c r="D1058" s="160">
        <v>0</v>
      </c>
      <c r="E1058" s="160" t="e">
        <v>#VALUE!</v>
      </c>
      <c r="F1058" s="160">
        <v>0</v>
      </c>
      <c r="G1058" s="160">
        <v>0</v>
      </c>
      <c r="H1058" s="160">
        <v>0</v>
      </c>
      <c r="I1058" s="160">
        <v>0</v>
      </c>
      <c r="J1058" s="160">
        <v>0</v>
      </c>
      <c r="K1058" s="160" t="e">
        <v>#VALUE!</v>
      </c>
      <c r="L1058" s="160">
        <v>529</v>
      </c>
      <c r="M1058" s="160">
        <v>500</v>
      </c>
      <c r="N1058" s="160">
        <v>0</v>
      </c>
      <c r="O1058" s="160">
        <v>380</v>
      </c>
      <c r="P1058" s="160">
        <v>1116</v>
      </c>
      <c r="Q1058" s="160">
        <v>0</v>
      </c>
      <c r="R1058" s="160">
        <v>1585</v>
      </c>
      <c r="S1058" s="160">
        <v>0</v>
      </c>
      <c r="T1058" s="160">
        <v>0</v>
      </c>
      <c r="U1058" s="160">
        <v>0</v>
      </c>
      <c r="V1058" s="160">
        <v>1823</v>
      </c>
      <c r="W1058" s="160">
        <v>0</v>
      </c>
      <c r="X1058" s="160">
        <v>0</v>
      </c>
      <c r="Y1058" s="160">
        <v>2459</v>
      </c>
      <c r="Z1058" s="160">
        <v>0</v>
      </c>
      <c r="AA1058" s="160">
        <v>0</v>
      </c>
      <c r="AB1058" s="160">
        <v>0</v>
      </c>
      <c r="AC1058" s="160">
        <v>1366</v>
      </c>
      <c r="AD1058" s="160">
        <v>0</v>
      </c>
      <c r="AE1058" s="160">
        <v>0</v>
      </c>
      <c r="AF1058" s="160">
        <v>0</v>
      </c>
      <c r="AG1058" s="160">
        <v>3045</v>
      </c>
      <c r="AH1058" s="160">
        <v>0</v>
      </c>
      <c r="AI1058" s="160">
        <v>0</v>
      </c>
      <c r="AJ1058" s="160">
        <v>1376</v>
      </c>
      <c r="AK1058" s="160">
        <v>314</v>
      </c>
      <c r="AL1058" s="160">
        <v>0</v>
      </c>
      <c r="AM1058" s="160">
        <v>1893</v>
      </c>
      <c r="AN1058" s="160">
        <v>0</v>
      </c>
      <c r="AO1058" s="160">
        <v>0</v>
      </c>
      <c r="AP1058" s="160">
        <v>0</v>
      </c>
      <c r="AQ1058" s="160">
        <v>0</v>
      </c>
      <c r="AR1058" s="160">
        <v>0</v>
      </c>
      <c r="AS1058" s="160">
        <v>0</v>
      </c>
      <c r="AT1058" s="161"/>
      <c r="AU1058" s="161"/>
      <c r="AV1058" s="161"/>
      <c r="AW1058" s="161"/>
      <c r="AX1058" s="161"/>
      <c r="AY1058" s="161"/>
      <c r="AZ1058" s="161"/>
      <c r="BA1058" s="161"/>
      <c r="BB1058" s="161"/>
      <c r="BC1058" s="161"/>
    </row>
    <row r="1059" spans="1:55" ht="15.75" customHeight="1" x14ac:dyDescent="0.25">
      <c r="A1059" s="116" t="s">
        <v>1</v>
      </c>
      <c r="B1059" s="117" t="s">
        <v>2</v>
      </c>
      <c r="C1059" s="119"/>
      <c r="D1059" s="169"/>
      <c r="E1059" s="119"/>
      <c r="F1059" s="169"/>
      <c r="G1059" s="119">
        <v>27069</v>
      </c>
      <c r="H1059" s="168">
        <v>27069</v>
      </c>
      <c r="I1059" s="119">
        <v>27069</v>
      </c>
      <c r="J1059" s="169">
        <v>27069</v>
      </c>
      <c r="K1059" s="119">
        <v>27128</v>
      </c>
      <c r="L1059" s="169">
        <v>27253</v>
      </c>
      <c r="M1059" s="169">
        <v>27324</v>
      </c>
      <c r="N1059" s="169">
        <v>27324</v>
      </c>
      <c r="O1059" s="119">
        <v>27324</v>
      </c>
      <c r="P1059" s="119">
        <v>27412</v>
      </c>
      <c r="Q1059" s="169">
        <v>27412</v>
      </c>
      <c r="R1059" s="119">
        <v>27479</v>
      </c>
      <c r="S1059" s="169">
        <v>27479</v>
      </c>
      <c r="T1059" s="119">
        <v>27479</v>
      </c>
      <c r="U1059" s="119">
        <v>27479</v>
      </c>
      <c r="V1059" s="119">
        <v>27531</v>
      </c>
      <c r="W1059" s="169">
        <v>27531</v>
      </c>
      <c r="X1059" s="119">
        <v>27531</v>
      </c>
      <c r="Y1059" s="119">
        <v>27662</v>
      </c>
      <c r="Z1059" s="169">
        <v>27662</v>
      </c>
      <c r="AA1059" s="119">
        <v>27662</v>
      </c>
      <c r="AB1059" s="119">
        <v>27662</v>
      </c>
      <c r="AC1059" s="119">
        <v>27701</v>
      </c>
      <c r="AD1059" s="169">
        <v>27701</v>
      </c>
      <c r="AE1059" s="119">
        <v>27701</v>
      </c>
      <c r="AF1059" s="119">
        <v>27701</v>
      </c>
      <c r="AG1059" s="119">
        <v>27860</v>
      </c>
      <c r="AH1059" s="169">
        <v>27860</v>
      </c>
      <c r="AI1059" s="119">
        <v>27860</v>
      </c>
      <c r="AJ1059" s="119">
        <v>27881</v>
      </c>
      <c r="AK1059" s="169">
        <v>27893</v>
      </c>
      <c r="AL1059" s="168">
        <v>27893</v>
      </c>
      <c r="AM1059" s="119">
        <v>27991</v>
      </c>
      <c r="AN1059" s="169"/>
      <c r="AO1059" s="119"/>
      <c r="AP1059" s="119"/>
      <c r="AQ1059" s="119"/>
      <c r="AR1059" s="119"/>
      <c r="AS1059" s="119"/>
      <c r="AT1059" s="161"/>
      <c r="AU1059" s="161"/>
      <c r="AV1059" s="161"/>
      <c r="AW1059" s="161"/>
      <c r="AX1059" s="161"/>
      <c r="AY1059" s="161"/>
      <c r="AZ1059" s="161"/>
      <c r="BA1059" s="161"/>
      <c r="BB1059" s="161"/>
      <c r="BC1059" s="161"/>
    </row>
    <row r="1060" spans="1:55" ht="15.75" customHeight="1" x14ac:dyDescent="0.25">
      <c r="A1060" s="121" t="s">
        <v>3</v>
      </c>
      <c r="B1060" s="122" t="s">
        <v>4</v>
      </c>
      <c r="C1060" s="124"/>
      <c r="D1060" s="172"/>
      <c r="E1060" s="124"/>
      <c r="F1060" s="172"/>
      <c r="G1060" s="124">
        <v>1001</v>
      </c>
      <c r="H1060" s="171" t="s">
        <v>18</v>
      </c>
      <c r="I1060" s="124" t="s">
        <v>18</v>
      </c>
      <c r="J1060" s="172" t="s">
        <v>18</v>
      </c>
      <c r="K1060" s="124">
        <v>1007</v>
      </c>
      <c r="L1060" s="172">
        <v>1026</v>
      </c>
      <c r="M1060" s="172">
        <v>1029</v>
      </c>
      <c r="N1060" s="172">
        <v>1029</v>
      </c>
      <c r="O1060" s="124">
        <v>1029</v>
      </c>
      <c r="P1060" s="124">
        <v>1036</v>
      </c>
      <c r="Q1060" s="172">
        <v>1036</v>
      </c>
      <c r="R1060" s="124">
        <v>1038</v>
      </c>
      <c r="S1060" s="172">
        <v>1038</v>
      </c>
      <c r="T1060" s="124">
        <v>1038</v>
      </c>
      <c r="U1060" s="124">
        <v>1038</v>
      </c>
      <c r="V1060" s="124">
        <v>1041</v>
      </c>
      <c r="W1060" s="172">
        <v>1041</v>
      </c>
      <c r="X1060" s="124">
        <v>1041</v>
      </c>
      <c r="Y1060" s="124">
        <v>1042</v>
      </c>
      <c r="Z1060" s="172">
        <v>1042</v>
      </c>
      <c r="AA1060" s="124">
        <v>1042</v>
      </c>
      <c r="AB1060" s="124">
        <v>1042</v>
      </c>
      <c r="AC1060" s="124">
        <v>1044</v>
      </c>
      <c r="AD1060" s="172">
        <v>1044</v>
      </c>
      <c r="AE1060" s="124">
        <v>1044</v>
      </c>
      <c r="AF1060" s="124">
        <v>1044</v>
      </c>
      <c r="AG1060" s="124">
        <v>1050</v>
      </c>
      <c r="AH1060" s="172">
        <v>1050</v>
      </c>
      <c r="AI1060" s="124">
        <v>1050</v>
      </c>
      <c r="AJ1060" s="124">
        <v>1050</v>
      </c>
      <c r="AK1060" s="172">
        <v>1050</v>
      </c>
      <c r="AL1060" s="171">
        <v>1050</v>
      </c>
      <c r="AM1060" s="124">
        <v>1055</v>
      </c>
      <c r="AN1060" s="172">
        <v>1055</v>
      </c>
      <c r="AO1060" s="124">
        <v>1055</v>
      </c>
      <c r="AP1060" s="124">
        <v>1055</v>
      </c>
      <c r="AQ1060" s="124">
        <v>1055</v>
      </c>
      <c r="AR1060" s="124" t="s">
        <v>18</v>
      </c>
      <c r="AS1060" s="124" t="s">
        <v>18</v>
      </c>
      <c r="AT1060" s="161"/>
      <c r="AU1060" s="161"/>
      <c r="AV1060" s="161"/>
      <c r="AW1060" s="161"/>
      <c r="AX1060" s="161"/>
      <c r="AY1060" s="161"/>
      <c r="AZ1060" s="161"/>
      <c r="BA1060" s="161"/>
      <c r="BB1060" s="161"/>
      <c r="BC1060" s="161"/>
    </row>
    <row r="1061" spans="1:55" ht="15.75" customHeight="1" x14ac:dyDescent="0.25">
      <c r="A1061" s="126"/>
      <c r="B1061" s="122" t="s">
        <v>5</v>
      </c>
      <c r="C1061" s="124"/>
      <c r="D1061" s="172"/>
      <c r="E1061" s="124"/>
      <c r="F1061" s="172"/>
      <c r="G1061" s="124">
        <v>24</v>
      </c>
      <c r="H1061" s="171">
        <v>24</v>
      </c>
      <c r="I1061" s="124">
        <v>24</v>
      </c>
      <c r="J1061" s="172">
        <v>40</v>
      </c>
      <c r="K1061" s="124">
        <v>37</v>
      </c>
      <c r="L1061" s="172">
        <v>37</v>
      </c>
      <c r="M1061" s="172">
        <v>35</v>
      </c>
      <c r="N1061" s="172">
        <v>50</v>
      </c>
      <c r="O1061" s="124">
        <v>50</v>
      </c>
      <c r="P1061" s="124">
        <v>45</v>
      </c>
      <c r="Q1061" s="172">
        <v>50</v>
      </c>
      <c r="R1061" s="124">
        <v>50</v>
      </c>
      <c r="S1061" s="172">
        <v>50</v>
      </c>
      <c r="T1061" s="124">
        <v>50</v>
      </c>
      <c r="U1061" s="124">
        <v>50</v>
      </c>
      <c r="V1061" s="124">
        <v>47</v>
      </c>
      <c r="W1061" s="172">
        <v>47</v>
      </c>
      <c r="X1061" s="124">
        <v>47</v>
      </c>
      <c r="Y1061" s="124">
        <v>46</v>
      </c>
      <c r="Z1061" s="172">
        <v>46</v>
      </c>
      <c r="AA1061" s="124">
        <v>46</v>
      </c>
      <c r="AB1061" s="124">
        <v>46</v>
      </c>
      <c r="AC1061" s="124">
        <v>44</v>
      </c>
      <c r="AD1061" s="172">
        <v>44</v>
      </c>
      <c r="AE1061" s="124">
        <v>44</v>
      </c>
      <c r="AF1061" s="124">
        <v>44</v>
      </c>
      <c r="AG1061" s="124">
        <v>38</v>
      </c>
      <c r="AH1061" s="172">
        <v>38</v>
      </c>
      <c r="AI1061" s="124">
        <v>38</v>
      </c>
      <c r="AJ1061" s="124">
        <v>38</v>
      </c>
      <c r="AK1061" s="172">
        <v>38</v>
      </c>
      <c r="AL1061" s="171">
        <v>38</v>
      </c>
      <c r="AM1061" s="124">
        <v>33</v>
      </c>
      <c r="AN1061" s="172" t="s">
        <v>18</v>
      </c>
      <c r="AO1061" s="124" t="s">
        <v>18</v>
      </c>
      <c r="AP1061" s="124" t="s">
        <v>18</v>
      </c>
      <c r="AQ1061" s="124" t="s">
        <v>18</v>
      </c>
      <c r="AR1061" s="124" t="s">
        <v>18</v>
      </c>
      <c r="AS1061" s="124" t="s">
        <v>18</v>
      </c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</row>
    <row r="1062" spans="1:55" ht="15.75" customHeight="1" x14ac:dyDescent="0.25">
      <c r="A1062" s="127"/>
      <c r="B1062" s="122" t="s">
        <v>6</v>
      </c>
      <c r="C1062" s="124"/>
      <c r="D1062" s="172"/>
      <c r="E1062" s="124"/>
      <c r="F1062" s="172"/>
      <c r="G1062" s="124"/>
      <c r="H1062" s="171"/>
      <c r="I1062" s="124">
        <v>16</v>
      </c>
      <c r="J1062" s="172"/>
      <c r="K1062" s="124">
        <v>10</v>
      </c>
      <c r="L1062" s="172"/>
      <c r="M1062" s="172">
        <v>15</v>
      </c>
      <c r="N1062" s="172"/>
      <c r="O1062" s="124"/>
      <c r="P1062" s="124">
        <v>5</v>
      </c>
      <c r="Q1062" s="172"/>
      <c r="R1062" s="124"/>
      <c r="S1062" s="172"/>
      <c r="T1062" s="124"/>
      <c r="U1062" s="124"/>
      <c r="V1062" s="124"/>
      <c r="W1062" s="172"/>
      <c r="X1062" s="124"/>
      <c r="Y1062" s="124"/>
      <c r="Z1062" s="172"/>
      <c r="AA1062" s="124"/>
      <c r="AB1062" s="124"/>
      <c r="AC1062" s="124"/>
      <c r="AD1062" s="172"/>
      <c r="AE1062" s="124"/>
      <c r="AF1062" s="124"/>
      <c r="AG1062" s="124"/>
      <c r="AH1062" s="172"/>
      <c r="AI1062" s="124"/>
      <c r="AJ1062" s="124"/>
      <c r="AK1062" s="172"/>
      <c r="AL1062" s="171"/>
      <c r="AM1062" s="124"/>
      <c r="AN1062" s="172"/>
      <c r="AO1062" s="124"/>
      <c r="AP1062" s="124"/>
      <c r="AQ1062" s="124"/>
      <c r="AR1062" s="124"/>
      <c r="AS1062" s="124"/>
      <c r="AT1062" s="161"/>
      <c r="AU1062" s="161"/>
      <c r="AV1062" s="161"/>
      <c r="AW1062" s="161"/>
      <c r="AX1062" s="161"/>
      <c r="AY1062" s="161"/>
      <c r="AZ1062" s="161"/>
      <c r="BA1062" s="161"/>
      <c r="BB1062" s="161"/>
      <c r="BC1062" s="161"/>
    </row>
    <row r="1063" spans="1:55" ht="15.75" customHeight="1" x14ac:dyDescent="0.25">
      <c r="A1063" s="128"/>
      <c r="B1063" s="122" t="s">
        <v>8</v>
      </c>
      <c r="C1063" s="130"/>
      <c r="D1063" s="175"/>
      <c r="E1063" s="130"/>
      <c r="F1063" s="175"/>
      <c r="G1063" s="130">
        <v>505</v>
      </c>
      <c r="H1063" s="174">
        <v>505</v>
      </c>
      <c r="I1063" s="130">
        <v>505</v>
      </c>
      <c r="J1063" s="175">
        <v>357</v>
      </c>
      <c r="K1063" s="130">
        <v>357</v>
      </c>
      <c r="L1063" s="175">
        <v>357</v>
      </c>
      <c r="M1063" s="175">
        <v>357</v>
      </c>
      <c r="N1063" s="175">
        <v>357</v>
      </c>
      <c r="O1063" s="130">
        <v>357</v>
      </c>
      <c r="P1063" s="130">
        <v>357</v>
      </c>
      <c r="Q1063" s="175">
        <v>357</v>
      </c>
      <c r="R1063" s="130">
        <v>357</v>
      </c>
      <c r="S1063" s="175">
        <v>357</v>
      </c>
      <c r="T1063" s="130">
        <v>357</v>
      </c>
      <c r="U1063" s="130">
        <v>357</v>
      </c>
      <c r="V1063" s="130">
        <v>357</v>
      </c>
      <c r="W1063" s="175">
        <v>357</v>
      </c>
      <c r="X1063" s="130">
        <v>357</v>
      </c>
      <c r="Y1063" s="130">
        <v>357</v>
      </c>
      <c r="Z1063" s="175">
        <v>357</v>
      </c>
      <c r="AA1063" s="130">
        <v>357</v>
      </c>
      <c r="AB1063" s="130">
        <v>357</v>
      </c>
      <c r="AC1063" s="130">
        <v>357</v>
      </c>
      <c r="AD1063" s="175">
        <v>357</v>
      </c>
      <c r="AE1063" s="130">
        <v>357</v>
      </c>
      <c r="AF1063" s="130">
        <v>357</v>
      </c>
      <c r="AG1063" s="130">
        <v>357</v>
      </c>
      <c r="AH1063" s="175">
        <v>357</v>
      </c>
      <c r="AI1063" s="130">
        <v>357</v>
      </c>
      <c r="AJ1063" s="130">
        <v>357</v>
      </c>
      <c r="AK1063" s="175">
        <v>357</v>
      </c>
      <c r="AL1063" s="174">
        <v>357</v>
      </c>
      <c r="AM1063" s="130">
        <v>357</v>
      </c>
      <c r="AN1063" s="175" t="s">
        <v>18</v>
      </c>
      <c r="AO1063" s="130" t="s">
        <v>18</v>
      </c>
      <c r="AP1063" s="130" t="s">
        <v>18</v>
      </c>
      <c r="AQ1063" s="130" t="s">
        <v>18</v>
      </c>
      <c r="AR1063" s="130" t="s">
        <v>18</v>
      </c>
      <c r="AS1063" s="130" t="s">
        <v>18</v>
      </c>
      <c r="AT1063" s="161"/>
      <c r="AU1063" s="161"/>
      <c r="AV1063" s="161"/>
      <c r="AW1063" s="161"/>
      <c r="AX1063" s="161"/>
      <c r="AY1063" s="161"/>
      <c r="AZ1063" s="161"/>
      <c r="BA1063" s="161"/>
      <c r="BB1063" s="161"/>
      <c r="BC1063" s="161"/>
    </row>
    <row r="1064" spans="1:55" ht="15.75" customHeight="1" x14ac:dyDescent="0.25">
      <c r="A1064" s="127" t="s">
        <v>9</v>
      </c>
      <c r="B1064" s="132" t="s">
        <v>10</v>
      </c>
      <c r="C1064" s="134"/>
      <c r="D1064" s="178"/>
      <c r="E1064" s="134"/>
      <c r="F1064" s="178"/>
      <c r="G1064" s="134" t="s">
        <v>148</v>
      </c>
      <c r="H1064" s="177" t="s">
        <v>148</v>
      </c>
      <c r="I1064" s="134" t="s">
        <v>148</v>
      </c>
      <c r="J1064" s="178" t="s">
        <v>149</v>
      </c>
      <c r="K1064" s="134" t="s">
        <v>149</v>
      </c>
      <c r="L1064" s="178" t="s">
        <v>149</v>
      </c>
      <c r="M1064" s="178" t="s">
        <v>149</v>
      </c>
      <c r="N1064" s="178" t="s">
        <v>149</v>
      </c>
      <c r="O1064" s="134" t="s">
        <v>149</v>
      </c>
      <c r="P1064" s="134" t="s">
        <v>149</v>
      </c>
      <c r="Q1064" s="178" t="s">
        <v>149</v>
      </c>
      <c r="R1064" s="134" t="s">
        <v>149</v>
      </c>
      <c r="S1064" s="178" t="s">
        <v>149</v>
      </c>
      <c r="T1064" s="134" t="s">
        <v>149</v>
      </c>
      <c r="U1064" s="134" t="s">
        <v>149</v>
      </c>
      <c r="V1064" s="134" t="s">
        <v>149</v>
      </c>
      <c r="W1064" s="178" t="s">
        <v>149</v>
      </c>
      <c r="X1064" s="134" t="s">
        <v>149</v>
      </c>
      <c r="Y1064" s="134" t="s">
        <v>149</v>
      </c>
      <c r="Z1064" s="178" t="s">
        <v>149</v>
      </c>
      <c r="AA1064" s="134" t="s">
        <v>149</v>
      </c>
      <c r="AB1064" s="134" t="s">
        <v>149</v>
      </c>
      <c r="AC1064" s="134" t="s">
        <v>149</v>
      </c>
      <c r="AD1064" s="178" t="s">
        <v>149</v>
      </c>
      <c r="AE1064" s="134" t="s">
        <v>149</v>
      </c>
      <c r="AF1064" s="134" t="s">
        <v>149</v>
      </c>
      <c r="AG1064" s="134" t="s">
        <v>149</v>
      </c>
      <c r="AH1064" s="178" t="s">
        <v>149</v>
      </c>
      <c r="AI1064" s="134" t="s">
        <v>149</v>
      </c>
      <c r="AJ1064" s="134" t="s">
        <v>149</v>
      </c>
      <c r="AK1064" s="178" t="s">
        <v>149</v>
      </c>
      <c r="AL1064" s="177" t="s">
        <v>149</v>
      </c>
      <c r="AM1064" s="134" t="s">
        <v>149</v>
      </c>
      <c r="AN1064" s="178" t="s">
        <v>18</v>
      </c>
      <c r="AO1064" s="134" t="s">
        <v>18</v>
      </c>
      <c r="AP1064" s="134" t="s">
        <v>18</v>
      </c>
      <c r="AQ1064" s="134" t="s">
        <v>18</v>
      </c>
      <c r="AR1064" s="134" t="s">
        <v>18</v>
      </c>
      <c r="AS1064" s="134" t="s">
        <v>18</v>
      </c>
      <c r="AT1064" s="189"/>
      <c r="AU1064" s="189"/>
      <c r="AV1064" s="189"/>
      <c r="AW1064" s="189"/>
      <c r="AX1064" s="189"/>
      <c r="AY1064" s="189"/>
      <c r="AZ1064" s="189"/>
      <c r="BA1064" s="189"/>
      <c r="BB1064" s="189"/>
      <c r="BC1064" s="189"/>
    </row>
    <row r="1065" spans="1:55" ht="15.75" customHeight="1" x14ac:dyDescent="0.25">
      <c r="A1065" s="128">
        <v>83818.181818181809</v>
      </c>
      <c r="B1065" s="122" t="s">
        <v>12</v>
      </c>
      <c r="C1065" s="124"/>
      <c r="D1065" s="172"/>
      <c r="E1065" s="124"/>
      <c r="F1065" s="172"/>
      <c r="G1065" s="124"/>
      <c r="H1065" s="171"/>
      <c r="I1065" s="124"/>
      <c r="J1065" s="172"/>
      <c r="K1065" s="124"/>
      <c r="L1065" s="172"/>
      <c r="M1065" s="172"/>
      <c r="N1065" s="172"/>
      <c r="O1065" s="124"/>
      <c r="P1065" s="124"/>
      <c r="Q1065" s="172"/>
      <c r="R1065" s="124"/>
      <c r="S1065" s="172"/>
      <c r="T1065" s="124"/>
      <c r="U1065" s="124"/>
      <c r="V1065" s="124"/>
      <c r="W1065" s="172"/>
      <c r="X1065" s="124"/>
      <c r="Y1065" s="124"/>
      <c r="Z1065" s="172"/>
      <c r="AA1065" s="124"/>
      <c r="AB1065" s="124"/>
      <c r="AC1065" s="124"/>
      <c r="AD1065" s="172"/>
      <c r="AE1065" s="124"/>
      <c r="AF1065" s="124"/>
      <c r="AG1065" s="124"/>
      <c r="AH1065" s="172"/>
      <c r="AI1065" s="124"/>
      <c r="AJ1065" s="124"/>
      <c r="AK1065" s="172"/>
      <c r="AL1065" s="171"/>
      <c r="AM1065" s="124"/>
      <c r="AN1065" s="172"/>
      <c r="AO1065" s="124"/>
      <c r="AP1065" s="124"/>
      <c r="AQ1065" s="124"/>
      <c r="AR1065" s="124"/>
      <c r="AS1065" s="124"/>
      <c r="AT1065" s="161"/>
      <c r="AU1065" s="161"/>
      <c r="AV1065" s="161"/>
      <c r="AW1065" s="161"/>
      <c r="AX1065" s="161"/>
      <c r="AY1065" s="161"/>
      <c r="AZ1065" s="161"/>
      <c r="BA1065" s="161"/>
      <c r="BB1065" s="161"/>
      <c r="BC1065" s="161"/>
    </row>
    <row r="1066" spans="1:55" ht="15.75" customHeight="1" x14ac:dyDescent="0.25">
      <c r="A1066" s="128">
        <v>922</v>
      </c>
      <c r="B1066" s="136" t="s">
        <v>13</v>
      </c>
      <c r="C1066" s="137"/>
      <c r="D1066" s="172"/>
      <c r="E1066" s="124"/>
      <c r="F1066" s="172"/>
      <c r="G1066" s="137">
        <v>0</v>
      </c>
      <c r="H1066" s="171">
        <v>0</v>
      </c>
      <c r="I1066" s="137">
        <v>0</v>
      </c>
      <c r="J1066" s="172">
        <v>0</v>
      </c>
      <c r="K1066" s="137">
        <v>59</v>
      </c>
      <c r="L1066" s="172">
        <v>125</v>
      </c>
      <c r="M1066" s="172">
        <v>71</v>
      </c>
      <c r="N1066" s="172">
        <v>0</v>
      </c>
      <c r="O1066" s="137">
        <v>0</v>
      </c>
      <c r="P1066" s="137">
        <v>88</v>
      </c>
      <c r="Q1066" s="172">
        <v>0</v>
      </c>
      <c r="R1066" s="137">
        <v>67</v>
      </c>
      <c r="S1066" s="172">
        <v>0</v>
      </c>
      <c r="T1066" s="137">
        <v>0</v>
      </c>
      <c r="U1066" s="137">
        <v>0</v>
      </c>
      <c r="V1066" s="137">
        <v>52</v>
      </c>
      <c r="W1066" s="172">
        <v>0</v>
      </c>
      <c r="X1066" s="137">
        <v>0</v>
      </c>
      <c r="Y1066" s="137">
        <v>131</v>
      </c>
      <c r="Z1066" s="172">
        <v>0</v>
      </c>
      <c r="AA1066" s="137">
        <v>0</v>
      </c>
      <c r="AB1066" s="137">
        <v>0</v>
      </c>
      <c r="AC1066" s="137">
        <v>39</v>
      </c>
      <c r="AD1066" s="172">
        <v>0</v>
      </c>
      <c r="AE1066" s="137">
        <v>0</v>
      </c>
      <c r="AF1066" s="137">
        <v>0</v>
      </c>
      <c r="AG1066" s="137">
        <v>159</v>
      </c>
      <c r="AH1066" s="172">
        <v>0</v>
      </c>
      <c r="AI1066" s="137">
        <v>0</v>
      </c>
      <c r="AJ1066" s="137">
        <v>21</v>
      </c>
      <c r="AK1066" s="172">
        <v>12</v>
      </c>
      <c r="AL1066" s="171">
        <v>0</v>
      </c>
      <c r="AM1066" s="137">
        <v>98</v>
      </c>
      <c r="AN1066" s="172" t="s">
        <v>18</v>
      </c>
      <c r="AO1066" s="137" t="s">
        <v>18</v>
      </c>
      <c r="AP1066" s="137" t="s">
        <v>18</v>
      </c>
      <c r="AQ1066" s="137" t="s">
        <v>18</v>
      </c>
      <c r="AR1066" s="137" t="s">
        <v>18</v>
      </c>
      <c r="AS1066" s="137" t="s">
        <v>18</v>
      </c>
      <c r="AT1066" s="161"/>
      <c r="AU1066" s="161"/>
      <c r="AV1066" s="161"/>
      <c r="AW1066" s="161"/>
      <c r="AX1066" s="161"/>
      <c r="AY1066" s="161"/>
      <c r="AZ1066" s="161"/>
      <c r="BA1066" s="161"/>
      <c r="BB1066" s="161"/>
      <c r="BC1066" s="161"/>
    </row>
    <row r="1067" spans="1:55" ht="15.75" customHeight="1" x14ac:dyDescent="0.25">
      <c r="A1067" s="128" t="e">
        <v>#VALUE!</v>
      </c>
      <c r="B1067" s="136" t="s">
        <v>14</v>
      </c>
      <c r="C1067" s="137"/>
      <c r="D1067" s="172"/>
      <c r="E1067" s="124"/>
      <c r="F1067" s="172"/>
      <c r="G1067" s="137">
        <v>0</v>
      </c>
      <c r="H1067" s="171" t="s">
        <v>18</v>
      </c>
      <c r="I1067" s="137" t="s">
        <v>18</v>
      </c>
      <c r="J1067" s="172" t="s">
        <v>18</v>
      </c>
      <c r="K1067" s="137" t="e">
        <v>#VALUE!</v>
      </c>
      <c r="L1067" s="172">
        <v>19</v>
      </c>
      <c r="M1067" s="172">
        <v>3</v>
      </c>
      <c r="N1067" s="172">
        <v>0</v>
      </c>
      <c r="O1067" s="137">
        <v>0</v>
      </c>
      <c r="P1067" s="137">
        <v>7</v>
      </c>
      <c r="Q1067" s="172">
        <v>0</v>
      </c>
      <c r="R1067" s="137">
        <v>2</v>
      </c>
      <c r="S1067" s="172">
        <v>0</v>
      </c>
      <c r="T1067" s="137">
        <v>0</v>
      </c>
      <c r="U1067" s="137">
        <v>0</v>
      </c>
      <c r="V1067" s="137">
        <v>3</v>
      </c>
      <c r="W1067" s="172">
        <v>0</v>
      </c>
      <c r="X1067" s="137">
        <v>0</v>
      </c>
      <c r="Y1067" s="137">
        <v>1</v>
      </c>
      <c r="Z1067" s="172">
        <v>0</v>
      </c>
      <c r="AA1067" s="137">
        <v>0</v>
      </c>
      <c r="AB1067" s="137">
        <v>0</v>
      </c>
      <c r="AC1067" s="137">
        <v>2</v>
      </c>
      <c r="AD1067" s="172">
        <v>0</v>
      </c>
      <c r="AE1067" s="137">
        <v>0</v>
      </c>
      <c r="AF1067" s="137">
        <v>0</v>
      </c>
      <c r="AG1067" s="137">
        <v>6</v>
      </c>
      <c r="AH1067" s="172">
        <v>0</v>
      </c>
      <c r="AI1067" s="137">
        <v>0</v>
      </c>
      <c r="AJ1067" s="137">
        <v>0</v>
      </c>
      <c r="AK1067" s="172">
        <v>0</v>
      </c>
      <c r="AL1067" s="171">
        <v>0</v>
      </c>
      <c r="AM1067" s="137">
        <v>5</v>
      </c>
      <c r="AN1067" s="172">
        <v>0</v>
      </c>
      <c r="AO1067" s="137">
        <v>0</v>
      </c>
      <c r="AP1067" s="137">
        <v>0</v>
      </c>
      <c r="AQ1067" s="137">
        <v>0</v>
      </c>
      <c r="AR1067" s="137" t="s">
        <v>18</v>
      </c>
      <c r="AS1067" s="137" t="s">
        <v>18</v>
      </c>
      <c r="AT1067" s="161"/>
      <c r="AU1067" s="161"/>
      <c r="AV1067" s="161"/>
      <c r="AW1067" s="161"/>
      <c r="AX1067" s="161"/>
      <c r="AY1067" s="161"/>
      <c r="AZ1067" s="161"/>
      <c r="BA1067" s="161"/>
      <c r="BB1067" s="161"/>
      <c r="BC1067" s="161"/>
    </row>
    <row r="1068" spans="1:55" ht="15.75" customHeight="1" x14ac:dyDescent="0.25">
      <c r="A1068" s="128">
        <v>37</v>
      </c>
      <c r="B1068" s="136" t="s">
        <v>15</v>
      </c>
      <c r="C1068" s="137"/>
      <c r="D1068" s="172"/>
      <c r="E1068" s="124"/>
      <c r="F1068" s="172"/>
      <c r="G1068" s="137">
        <v>0</v>
      </c>
      <c r="H1068" s="171">
        <v>0</v>
      </c>
      <c r="I1068" s="137">
        <v>0</v>
      </c>
      <c r="J1068" s="172">
        <v>0</v>
      </c>
      <c r="K1068" s="137">
        <v>3</v>
      </c>
      <c r="L1068" s="172">
        <v>10</v>
      </c>
      <c r="M1068" s="172">
        <v>2</v>
      </c>
      <c r="N1068" s="172">
        <v>0</v>
      </c>
      <c r="O1068" s="137">
        <v>0</v>
      </c>
      <c r="P1068" s="137">
        <v>5</v>
      </c>
      <c r="Q1068" s="172">
        <v>0</v>
      </c>
      <c r="R1068" s="137">
        <v>0</v>
      </c>
      <c r="S1068" s="172">
        <v>0</v>
      </c>
      <c r="T1068" s="137">
        <v>0</v>
      </c>
      <c r="U1068" s="137">
        <v>0</v>
      </c>
      <c r="V1068" s="137">
        <v>3</v>
      </c>
      <c r="W1068" s="172">
        <v>0</v>
      </c>
      <c r="X1068" s="137">
        <v>0</v>
      </c>
      <c r="Y1068" s="137">
        <v>1</v>
      </c>
      <c r="Z1068" s="172">
        <v>0</v>
      </c>
      <c r="AA1068" s="137">
        <v>0</v>
      </c>
      <c r="AB1068" s="137">
        <v>0</v>
      </c>
      <c r="AC1068" s="137">
        <v>2</v>
      </c>
      <c r="AD1068" s="172">
        <v>0</v>
      </c>
      <c r="AE1068" s="137">
        <v>0</v>
      </c>
      <c r="AF1068" s="137">
        <v>0</v>
      </c>
      <c r="AG1068" s="137">
        <v>6</v>
      </c>
      <c r="AH1068" s="172">
        <v>0</v>
      </c>
      <c r="AI1068" s="137">
        <v>0</v>
      </c>
      <c r="AJ1068" s="137">
        <v>0</v>
      </c>
      <c r="AK1068" s="172">
        <v>0</v>
      </c>
      <c r="AL1068" s="171">
        <v>0</v>
      </c>
      <c r="AM1068" s="137">
        <v>5</v>
      </c>
      <c r="AN1068" s="172" t="s">
        <v>18</v>
      </c>
      <c r="AO1068" s="137" t="s">
        <v>18</v>
      </c>
      <c r="AP1068" s="137" t="s">
        <v>18</v>
      </c>
      <c r="AQ1068" s="137" t="s">
        <v>18</v>
      </c>
      <c r="AR1068" s="137" t="s">
        <v>18</v>
      </c>
      <c r="AS1068" s="137" t="s">
        <v>18</v>
      </c>
      <c r="AT1068" s="161"/>
      <c r="AU1068" s="161"/>
      <c r="AV1068" s="161"/>
      <c r="AW1068" s="161"/>
      <c r="AX1068" s="161"/>
      <c r="AY1068" s="161"/>
      <c r="AZ1068" s="161"/>
      <c r="BA1068" s="161"/>
      <c r="BB1068" s="161"/>
      <c r="BC1068" s="161"/>
    </row>
    <row r="1069" spans="1:55" ht="15.75" customHeight="1" x14ac:dyDescent="0.25">
      <c r="A1069" s="128">
        <v>13209</v>
      </c>
      <c r="B1069" s="136" t="s">
        <v>16</v>
      </c>
      <c r="C1069" s="137"/>
      <c r="D1069" s="172"/>
      <c r="E1069" s="124"/>
      <c r="F1069" s="172"/>
      <c r="G1069" s="137">
        <v>0</v>
      </c>
      <c r="H1069" s="171">
        <v>0</v>
      </c>
      <c r="I1069" s="137">
        <v>0</v>
      </c>
      <c r="J1069" s="172">
        <v>0</v>
      </c>
      <c r="K1069" s="137">
        <v>1071</v>
      </c>
      <c r="L1069" s="172">
        <v>3570</v>
      </c>
      <c r="M1069" s="172">
        <v>714</v>
      </c>
      <c r="N1069" s="172">
        <v>0</v>
      </c>
      <c r="O1069" s="137">
        <v>0</v>
      </c>
      <c r="P1069" s="137">
        <v>1785</v>
      </c>
      <c r="Q1069" s="172">
        <v>0</v>
      </c>
      <c r="R1069" s="137">
        <v>0</v>
      </c>
      <c r="S1069" s="172">
        <v>0</v>
      </c>
      <c r="T1069" s="137">
        <v>0</v>
      </c>
      <c r="U1069" s="137">
        <v>0</v>
      </c>
      <c r="V1069" s="137">
        <v>1071</v>
      </c>
      <c r="W1069" s="172">
        <v>0</v>
      </c>
      <c r="X1069" s="137">
        <v>0</v>
      </c>
      <c r="Y1069" s="137">
        <v>357</v>
      </c>
      <c r="Z1069" s="172">
        <v>0</v>
      </c>
      <c r="AA1069" s="137">
        <v>0</v>
      </c>
      <c r="AB1069" s="137">
        <v>0</v>
      </c>
      <c r="AC1069" s="137">
        <v>714</v>
      </c>
      <c r="AD1069" s="172">
        <v>0</v>
      </c>
      <c r="AE1069" s="137">
        <v>0</v>
      </c>
      <c r="AF1069" s="137">
        <v>0</v>
      </c>
      <c r="AG1069" s="137">
        <v>2142</v>
      </c>
      <c r="AH1069" s="172">
        <v>0</v>
      </c>
      <c r="AI1069" s="137">
        <v>0</v>
      </c>
      <c r="AJ1069" s="137">
        <v>0</v>
      </c>
      <c r="AK1069" s="172">
        <v>0</v>
      </c>
      <c r="AL1069" s="171">
        <v>0</v>
      </c>
      <c r="AM1069" s="137">
        <v>1785</v>
      </c>
      <c r="AN1069" s="172" t="s">
        <v>18</v>
      </c>
      <c r="AO1069" s="137" t="s">
        <v>18</v>
      </c>
      <c r="AP1069" s="137" t="s">
        <v>18</v>
      </c>
      <c r="AQ1069" s="137" t="s">
        <v>18</v>
      </c>
      <c r="AR1069" s="137" t="s">
        <v>18</v>
      </c>
      <c r="AS1069" s="137" t="s">
        <v>18</v>
      </c>
      <c r="AT1069" s="161"/>
      <c r="AU1069" s="161"/>
      <c r="AV1069" s="161"/>
      <c r="AW1069" s="161"/>
      <c r="AX1069" s="161"/>
      <c r="AY1069" s="161"/>
      <c r="AZ1069" s="161"/>
      <c r="BA1069" s="161"/>
      <c r="BB1069" s="161"/>
      <c r="BC1069" s="161"/>
    </row>
    <row r="1070" spans="1:55" ht="15.75" customHeight="1" x14ac:dyDescent="0.25">
      <c r="A1070" s="138">
        <v>0.14326464208242951</v>
      </c>
      <c r="B1070" s="139" t="s">
        <v>17</v>
      </c>
      <c r="C1070" s="141"/>
      <c r="D1070" s="181"/>
      <c r="E1070" s="192"/>
      <c r="F1070" s="181"/>
      <c r="G1070" s="141" t="s">
        <v>18</v>
      </c>
      <c r="H1070" s="180" t="s">
        <v>18</v>
      </c>
      <c r="I1070" s="141" t="s">
        <v>18</v>
      </c>
      <c r="J1070" s="181" t="s">
        <v>18</v>
      </c>
      <c r="K1070" s="141">
        <v>0.18152542372881356</v>
      </c>
      <c r="L1070" s="181">
        <v>0.28560000000000002</v>
      </c>
      <c r="M1070" s="181">
        <v>0.10056338028169014</v>
      </c>
      <c r="N1070" s="181" t="s">
        <v>18</v>
      </c>
      <c r="O1070" s="141" t="s">
        <v>18</v>
      </c>
      <c r="P1070" s="141">
        <v>0.2028409090909091</v>
      </c>
      <c r="Q1070" s="181" t="s">
        <v>18</v>
      </c>
      <c r="R1070" s="141" t="s">
        <v>18</v>
      </c>
      <c r="S1070" s="181" t="s">
        <v>18</v>
      </c>
      <c r="T1070" s="141" t="s">
        <v>18</v>
      </c>
      <c r="U1070" s="141" t="s">
        <v>18</v>
      </c>
      <c r="V1070" s="141">
        <v>0.20596153846153847</v>
      </c>
      <c r="W1070" s="181" t="s">
        <v>18</v>
      </c>
      <c r="X1070" s="141" t="s">
        <v>18</v>
      </c>
      <c r="Y1070" s="141">
        <v>2.7251908396946564E-2</v>
      </c>
      <c r="Z1070" s="181" t="s">
        <v>18</v>
      </c>
      <c r="AA1070" s="141" t="s">
        <v>18</v>
      </c>
      <c r="AB1070" s="141" t="s">
        <v>18</v>
      </c>
      <c r="AC1070" s="141">
        <v>0.18307692307692308</v>
      </c>
      <c r="AD1070" s="181" t="s">
        <v>18</v>
      </c>
      <c r="AE1070" s="141" t="s">
        <v>18</v>
      </c>
      <c r="AF1070" s="141" t="s">
        <v>18</v>
      </c>
      <c r="AG1070" s="141">
        <v>0.13471698113207548</v>
      </c>
      <c r="AH1070" s="181" t="s">
        <v>18</v>
      </c>
      <c r="AI1070" s="141" t="s">
        <v>18</v>
      </c>
      <c r="AJ1070" s="141" t="s">
        <v>18</v>
      </c>
      <c r="AK1070" s="181" t="s">
        <v>18</v>
      </c>
      <c r="AL1070" s="180" t="s">
        <v>18</v>
      </c>
      <c r="AM1070" s="141">
        <v>0.18214285714285713</v>
      </c>
      <c r="AN1070" s="181" t="s">
        <v>18</v>
      </c>
      <c r="AO1070" s="141" t="s">
        <v>18</v>
      </c>
      <c r="AP1070" s="141" t="s">
        <v>18</v>
      </c>
      <c r="AQ1070" s="141" t="s">
        <v>18</v>
      </c>
      <c r="AR1070" s="141" t="s">
        <v>18</v>
      </c>
      <c r="AS1070" s="141" t="s">
        <v>18</v>
      </c>
      <c r="AT1070" s="161"/>
      <c r="AU1070" s="161"/>
      <c r="AV1070" s="161"/>
      <c r="AW1070" s="161"/>
      <c r="AX1070" s="161"/>
      <c r="AY1070" s="161"/>
      <c r="AZ1070" s="161"/>
      <c r="BA1070" s="161"/>
      <c r="BB1070" s="161"/>
      <c r="BC1070" s="161"/>
    </row>
    <row r="1071" spans="1:55" ht="15.75" customHeight="1" x14ac:dyDescent="0.25">
      <c r="A1071" s="116" t="s">
        <v>1</v>
      </c>
      <c r="B1071" s="117" t="s">
        <v>2</v>
      </c>
      <c r="C1071" s="119"/>
      <c r="D1071" s="169"/>
      <c r="E1071" s="119"/>
      <c r="F1071" s="169"/>
      <c r="G1071" s="119">
        <v>16347</v>
      </c>
      <c r="H1071" s="168" t="s">
        <v>18</v>
      </c>
      <c r="I1071" s="119" t="s">
        <v>18</v>
      </c>
      <c r="J1071" s="169" t="s">
        <v>18</v>
      </c>
      <c r="K1071" s="119">
        <v>16581</v>
      </c>
      <c r="L1071" s="169">
        <v>16672</v>
      </c>
      <c r="M1071" s="169">
        <v>16751</v>
      </c>
      <c r="N1071" s="169">
        <v>16751</v>
      </c>
      <c r="O1071" s="119">
        <v>16751</v>
      </c>
      <c r="P1071" s="119">
        <v>17003</v>
      </c>
      <c r="Q1071" s="169">
        <v>17003</v>
      </c>
      <c r="R1071" s="119">
        <v>17261</v>
      </c>
      <c r="S1071" s="169">
        <v>17261</v>
      </c>
      <c r="T1071" s="119">
        <v>17261</v>
      </c>
      <c r="U1071" s="119">
        <v>17261</v>
      </c>
      <c r="V1071" s="119">
        <v>17436</v>
      </c>
      <c r="W1071" s="169">
        <v>17436</v>
      </c>
      <c r="X1071" s="119">
        <v>17436</v>
      </c>
      <c r="Y1071" s="119">
        <v>17807</v>
      </c>
      <c r="Z1071" s="169">
        <v>17807</v>
      </c>
      <c r="AA1071" s="119">
        <v>17807</v>
      </c>
      <c r="AB1071" s="119">
        <v>17807</v>
      </c>
      <c r="AC1071" s="119">
        <v>18040</v>
      </c>
      <c r="AD1071" s="169">
        <v>18040</v>
      </c>
      <c r="AE1071" s="119">
        <v>18040</v>
      </c>
      <c r="AF1071" s="119">
        <v>18040</v>
      </c>
      <c r="AG1071" s="119">
        <v>18578</v>
      </c>
      <c r="AH1071" s="169">
        <v>18578</v>
      </c>
      <c r="AI1071" s="119">
        <v>18578</v>
      </c>
      <c r="AJ1071" s="119">
        <v>18775</v>
      </c>
      <c r="AK1071" s="169">
        <v>18830</v>
      </c>
      <c r="AL1071" s="168">
        <v>18830</v>
      </c>
      <c r="AM1071" s="119">
        <v>19167</v>
      </c>
      <c r="AN1071" s="169">
        <v>19167</v>
      </c>
      <c r="AO1071" s="119">
        <v>19167</v>
      </c>
      <c r="AP1071" s="119">
        <v>19167</v>
      </c>
      <c r="AQ1071" s="119">
        <v>19167</v>
      </c>
      <c r="AR1071" s="119" t="s">
        <v>18</v>
      </c>
      <c r="AS1071" s="119" t="s">
        <v>18</v>
      </c>
      <c r="AT1071" s="161"/>
      <c r="AU1071" s="161"/>
      <c r="AV1071" s="161"/>
      <c r="AW1071" s="161"/>
      <c r="AX1071" s="161"/>
      <c r="AY1071" s="161"/>
      <c r="AZ1071" s="161"/>
      <c r="BA1071" s="161"/>
      <c r="BB1071" s="161"/>
      <c r="BC1071" s="161"/>
    </row>
    <row r="1072" spans="1:55" ht="15.75" customHeight="1" x14ac:dyDescent="0.25">
      <c r="A1072" s="121" t="s">
        <v>19</v>
      </c>
      <c r="B1072" s="122" t="s">
        <v>4</v>
      </c>
      <c r="C1072" s="124"/>
      <c r="D1072" s="172"/>
      <c r="E1072" s="124"/>
      <c r="F1072" s="172"/>
      <c r="G1072" s="124">
        <v>718</v>
      </c>
      <c r="H1072" s="171" t="s">
        <v>18</v>
      </c>
      <c r="I1072" s="124" t="s">
        <v>18</v>
      </c>
      <c r="J1072" s="172" t="s">
        <v>18</v>
      </c>
      <c r="K1072" s="124" t="s">
        <v>18</v>
      </c>
      <c r="L1072" s="172">
        <v>730</v>
      </c>
      <c r="M1072" s="172">
        <v>731</v>
      </c>
      <c r="N1072" s="172">
        <v>731</v>
      </c>
      <c r="O1072" s="124">
        <v>731</v>
      </c>
      <c r="P1072" s="124">
        <v>734</v>
      </c>
      <c r="Q1072" s="172">
        <v>734</v>
      </c>
      <c r="R1072" s="124">
        <v>736</v>
      </c>
      <c r="S1072" s="172">
        <v>736</v>
      </c>
      <c r="T1072" s="124">
        <v>736</v>
      </c>
      <c r="U1072" s="124">
        <v>736</v>
      </c>
      <c r="V1072" s="124">
        <v>741</v>
      </c>
      <c r="W1072" s="172">
        <v>741</v>
      </c>
      <c r="X1072" s="124">
        <v>741</v>
      </c>
      <c r="Y1072" s="124">
        <v>747</v>
      </c>
      <c r="Z1072" s="172">
        <v>747</v>
      </c>
      <c r="AA1072" s="124">
        <v>747</v>
      </c>
      <c r="AB1072" s="124">
        <v>747</v>
      </c>
      <c r="AC1072" s="124">
        <v>749</v>
      </c>
      <c r="AD1072" s="172">
        <v>749</v>
      </c>
      <c r="AE1072" s="124">
        <v>749</v>
      </c>
      <c r="AF1072" s="124">
        <v>749</v>
      </c>
      <c r="AG1072" s="124">
        <v>755</v>
      </c>
      <c r="AH1072" s="172">
        <v>755</v>
      </c>
      <c r="AI1072" s="124">
        <v>755</v>
      </c>
      <c r="AJ1072" s="124">
        <v>757</v>
      </c>
      <c r="AK1072" s="172">
        <v>758</v>
      </c>
      <c r="AL1072" s="171">
        <v>758</v>
      </c>
      <c r="AM1072" s="124">
        <v>763</v>
      </c>
      <c r="AN1072" s="172">
        <v>763</v>
      </c>
      <c r="AO1072" s="124">
        <v>763</v>
      </c>
      <c r="AP1072" s="124">
        <v>763</v>
      </c>
      <c r="AQ1072" s="124">
        <v>763</v>
      </c>
      <c r="AR1072" s="124" t="s">
        <v>18</v>
      </c>
      <c r="AS1072" s="124" t="s">
        <v>18</v>
      </c>
      <c r="AT1072" s="161"/>
      <c r="AU1072" s="161"/>
      <c r="AV1072" s="161"/>
      <c r="AW1072" s="161"/>
      <c r="AX1072" s="161"/>
      <c r="AY1072" s="161"/>
      <c r="AZ1072" s="161"/>
      <c r="BA1072" s="161"/>
      <c r="BB1072" s="161"/>
      <c r="BC1072" s="161"/>
    </row>
    <row r="1073" spans="1:55" ht="15.75" customHeight="1" x14ac:dyDescent="0.25">
      <c r="A1073" s="143">
        <v>1</v>
      </c>
      <c r="B1073" s="122" t="s">
        <v>5</v>
      </c>
      <c r="C1073" s="124"/>
      <c r="D1073" s="172"/>
      <c r="E1073" s="124"/>
      <c r="F1073" s="172"/>
      <c r="G1073" s="124">
        <v>10</v>
      </c>
      <c r="H1073" s="171" t="s">
        <v>18</v>
      </c>
      <c r="I1073" s="124" t="s">
        <v>18</v>
      </c>
      <c r="J1073" s="172" t="s">
        <v>18</v>
      </c>
      <c r="K1073" s="124">
        <v>2</v>
      </c>
      <c r="L1073" s="172">
        <v>3</v>
      </c>
      <c r="M1073" s="172">
        <v>10</v>
      </c>
      <c r="N1073" s="172">
        <v>10</v>
      </c>
      <c r="O1073" s="124">
        <v>10</v>
      </c>
      <c r="P1073" s="124">
        <v>7</v>
      </c>
      <c r="Q1073" s="172">
        <v>7</v>
      </c>
      <c r="R1073" s="124">
        <v>5</v>
      </c>
      <c r="S1073" s="172">
        <v>5</v>
      </c>
      <c r="T1073" s="124">
        <v>5</v>
      </c>
      <c r="U1073" s="124">
        <v>5</v>
      </c>
      <c r="V1073" s="124">
        <v>0</v>
      </c>
      <c r="W1073" s="172">
        <v>9</v>
      </c>
      <c r="X1073" s="124">
        <v>9</v>
      </c>
      <c r="Y1073" s="124">
        <v>3</v>
      </c>
      <c r="Z1073" s="172">
        <v>9</v>
      </c>
      <c r="AA1073" s="124">
        <v>9</v>
      </c>
      <c r="AB1073" s="124">
        <v>9</v>
      </c>
      <c r="AC1073" s="124">
        <v>7</v>
      </c>
      <c r="AD1073" s="172">
        <v>16</v>
      </c>
      <c r="AE1073" s="124">
        <v>16</v>
      </c>
      <c r="AF1073" s="124">
        <v>16</v>
      </c>
      <c r="AG1073" s="124">
        <v>10</v>
      </c>
      <c r="AH1073" s="172">
        <v>10</v>
      </c>
      <c r="AI1073" s="124">
        <v>10</v>
      </c>
      <c r="AJ1073" s="124">
        <v>7</v>
      </c>
      <c r="AK1073" s="172">
        <v>12</v>
      </c>
      <c r="AL1073" s="171">
        <v>12</v>
      </c>
      <c r="AM1073" s="124">
        <v>7</v>
      </c>
      <c r="AN1073" s="172">
        <v>7</v>
      </c>
      <c r="AO1073" s="124">
        <v>7</v>
      </c>
      <c r="AP1073" s="124">
        <v>7</v>
      </c>
      <c r="AQ1073" s="124">
        <v>7</v>
      </c>
      <c r="AR1073" s="124" t="s">
        <v>18</v>
      </c>
      <c r="AS1073" s="124" t="s">
        <v>18</v>
      </c>
      <c r="AT1073" s="161"/>
      <c r="AU1073" s="161"/>
      <c r="AV1073" s="161"/>
      <c r="AW1073" s="161"/>
      <c r="AX1073" s="161"/>
      <c r="AY1073" s="161"/>
      <c r="AZ1073" s="161"/>
      <c r="BA1073" s="161"/>
      <c r="BB1073" s="161"/>
      <c r="BC1073" s="161"/>
    </row>
    <row r="1074" spans="1:55" ht="15.75" customHeight="1" x14ac:dyDescent="0.25">
      <c r="A1074" s="144" t="s">
        <v>20</v>
      </c>
      <c r="B1074" s="122" t="s">
        <v>6</v>
      </c>
      <c r="C1074" s="124"/>
      <c r="D1074" s="172"/>
      <c r="E1074" s="124"/>
      <c r="F1074" s="172"/>
      <c r="G1074" s="124"/>
      <c r="H1074" s="171"/>
      <c r="I1074" s="124"/>
      <c r="J1074" s="172"/>
      <c r="K1074" s="124">
        <v>2</v>
      </c>
      <c r="L1074" s="172">
        <v>7</v>
      </c>
      <c r="M1074" s="172"/>
      <c r="N1074" s="172"/>
      <c r="O1074" s="124"/>
      <c r="P1074" s="124"/>
      <c r="Q1074" s="172"/>
      <c r="R1074" s="124"/>
      <c r="S1074" s="172"/>
      <c r="T1074" s="124"/>
      <c r="U1074" s="124"/>
      <c r="V1074" s="124">
        <v>9</v>
      </c>
      <c r="W1074" s="172"/>
      <c r="X1074" s="124"/>
      <c r="Y1074" s="124">
        <v>6</v>
      </c>
      <c r="Z1074" s="172"/>
      <c r="AA1074" s="124"/>
      <c r="AB1074" s="124"/>
      <c r="AC1074" s="124">
        <v>9</v>
      </c>
      <c r="AD1074" s="172"/>
      <c r="AE1074" s="124"/>
      <c r="AF1074" s="124"/>
      <c r="AG1074" s="124"/>
      <c r="AH1074" s="172"/>
      <c r="AI1074" s="124"/>
      <c r="AJ1074" s="124">
        <v>6</v>
      </c>
      <c r="AK1074" s="172"/>
      <c r="AL1074" s="171"/>
      <c r="AM1074" s="124"/>
      <c r="AN1074" s="172"/>
      <c r="AO1074" s="124"/>
      <c r="AP1074" s="124"/>
      <c r="AQ1074" s="124"/>
      <c r="AR1074" s="124"/>
      <c r="AS1074" s="124"/>
      <c r="AT1074" s="161"/>
      <c r="AU1074" s="161"/>
      <c r="AV1074" s="161"/>
      <c r="AW1074" s="161"/>
      <c r="AX1074" s="161"/>
      <c r="AY1074" s="161"/>
      <c r="AZ1074" s="161"/>
      <c r="BA1074" s="161"/>
      <c r="BB1074" s="161"/>
      <c r="BC1074" s="161"/>
    </row>
    <row r="1075" spans="1:55" ht="15.75" customHeight="1" x14ac:dyDescent="0.25">
      <c r="A1075" s="145" t="e">
        <v>#VALUE!</v>
      </c>
      <c r="B1075" s="122" t="s">
        <v>8</v>
      </c>
      <c r="C1075" s="130"/>
      <c r="D1075" s="175"/>
      <c r="E1075" s="130"/>
      <c r="F1075" s="175"/>
      <c r="G1075" s="130">
        <v>850</v>
      </c>
      <c r="H1075" s="174" t="s">
        <v>18</v>
      </c>
      <c r="I1075" s="130" t="s">
        <v>18</v>
      </c>
      <c r="J1075" s="175">
        <v>450</v>
      </c>
      <c r="K1075" s="130">
        <v>450</v>
      </c>
      <c r="L1075" s="175">
        <v>450</v>
      </c>
      <c r="M1075" s="175">
        <v>450</v>
      </c>
      <c r="N1075" s="175">
        <v>450</v>
      </c>
      <c r="O1075" s="130">
        <v>450</v>
      </c>
      <c r="P1075" s="130">
        <v>450</v>
      </c>
      <c r="Q1075" s="175">
        <v>450</v>
      </c>
      <c r="R1075" s="130">
        <v>450</v>
      </c>
      <c r="S1075" s="175">
        <v>450</v>
      </c>
      <c r="T1075" s="130">
        <v>450</v>
      </c>
      <c r="U1075" s="130">
        <v>450</v>
      </c>
      <c r="V1075" s="130">
        <v>450</v>
      </c>
      <c r="W1075" s="175">
        <v>450</v>
      </c>
      <c r="X1075" s="130">
        <v>450</v>
      </c>
      <c r="Y1075" s="130">
        <v>450</v>
      </c>
      <c r="Z1075" s="175">
        <v>450</v>
      </c>
      <c r="AA1075" s="130">
        <v>450</v>
      </c>
      <c r="AB1075" s="130">
        <v>450</v>
      </c>
      <c r="AC1075" s="130">
        <v>450</v>
      </c>
      <c r="AD1075" s="175">
        <v>450</v>
      </c>
      <c r="AE1075" s="130">
        <v>450</v>
      </c>
      <c r="AF1075" s="130">
        <v>450</v>
      </c>
      <c r="AG1075" s="130">
        <v>450</v>
      </c>
      <c r="AH1075" s="175">
        <v>450</v>
      </c>
      <c r="AI1075" s="130">
        <v>450</v>
      </c>
      <c r="AJ1075" s="130">
        <v>450</v>
      </c>
      <c r="AK1075" s="175">
        <v>450</v>
      </c>
      <c r="AL1075" s="174">
        <v>450</v>
      </c>
      <c r="AM1075" s="130">
        <v>450</v>
      </c>
      <c r="AN1075" s="175">
        <v>450</v>
      </c>
      <c r="AO1075" s="130">
        <v>450</v>
      </c>
      <c r="AP1075" s="130">
        <v>450</v>
      </c>
      <c r="AQ1075" s="130">
        <v>450</v>
      </c>
      <c r="AR1075" s="130" t="s">
        <v>18</v>
      </c>
      <c r="AS1075" s="130" t="s">
        <v>18</v>
      </c>
      <c r="AT1075" s="161"/>
      <c r="AU1075" s="161"/>
      <c r="AV1075" s="161"/>
      <c r="AW1075" s="161"/>
      <c r="AX1075" s="161"/>
      <c r="AY1075" s="161"/>
      <c r="AZ1075" s="161"/>
      <c r="BA1075" s="161"/>
      <c r="BB1075" s="161"/>
      <c r="BC1075" s="161"/>
    </row>
    <row r="1076" spans="1:55" ht="15.75" customHeight="1" x14ac:dyDescent="0.25">
      <c r="A1076" s="127" t="s">
        <v>9</v>
      </c>
      <c r="B1076" s="132" t="s">
        <v>10</v>
      </c>
      <c r="C1076" s="134"/>
      <c r="D1076" s="178"/>
      <c r="E1076" s="134"/>
      <c r="F1076" s="178"/>
      <c r="G1076" s="134" t="s">
        <v>150</v>
      </c>
      <c r="H1076" s="177" t="s">
        <v>18</v>
      </c>
      <c r="I1076" s="134" t="s">
        <v>18</v>
      </c>
      <c r="J1076" s="178" t="s">
        <v>44</v>
      </c>
      <c r="K1076" s="134" t="s">
        <v>44</v>
      </c>
      <c r="L1076" s="178" t="s">
        <v>44</v>
      </c>
      <c r="M1076" s="178" t="s">
        <v>44</v>
      </c>
      <c r="N1076" s="178" t="s">
        <v>44</v>
      </c>
      <c r="O1076" s="134" t="s">
        <v>44</v>
      </c>
      <c r="P1076" s="134" t="s">
        <v>44</v>
      </c>
      <c r="Q1076" s="178" t="s">
        <v>44</v>
      </c>
      <c r="R1076" s="134" t="s">
        <v>44</v>
      </c>
      <c r="S1076" s="178" t="s">
        <v>44</v>
      </c>
      <c r="T1076" s="134" t="s">
        <v>44</v>
      </c>
      <c r="U1076" s="134" t="s">
        <v>44</v>
      </c>
      <c r="V1076" s="134" t="s">
        <v>44</v>
      </c>
      <c r="W1076" s="178" t="s">
        <v>44</v>
      </c>
      <c r="X1076" s="134" t="s">
        <v>44</v>
      </c>
      <c r="Y1076" s="134" t="s">
        <v>44</v>
      </c>
      <c r="Z1076" s="178" t="s">
        <v>44</v>
      </c>
      <c r="AA1076" s="134" t="s">
        <v>44</v>
      </c>
      <c r="AB1076" s="134" t="s">
        <v>44</v>
      </c>
      <c r="AC1076" s="134" t="s">
        <v>44</v>
      </c>
      <c r="AD1076" s="178" t="s">
        <v>44</v>
      </c>
      <c r="AE1076" s="134" t="s">
        <v>44</v>
      </c>
      <c r="AF1076" s="134" t="s">
        <v>44</v>
      </c>
      <c r="AG1076" s="134" t="s">
        <v>44</v>
      </c>
      <c r="AH1076" s="178" t="s">
        <v>44</v>
      </c>
      <c r="AI1076" s="134" t="s">
        <v>44</v>
      </c>
      <c r="AJ1076" s="134" t="s">
        <v>44</v>
      </c>
      <c r="AK1076" s="178" t="s">
        <v>44</v>
      </c>
      <c r="AL1076" s="177" t="s">
        <v>44</v>
      </c>
      <c r="AM1076" s="134" t="s">
        <v>44</v>
      </c>
      <c r="AN1076" s="178" t="s">
        <v>44</v>
      </c>
      <c r="AO1076" s="134" t="s">
        <v>44</v>
      </c>
      <c r="AP1076" s="134" t="s">
        <v>44</v>
      </c>
      <c r="AQ1076" s="134" t="s">
        <v>44</v>
      </c>
      <c r="AR1076" s="134" t="s">
        <v>18</v>
      </c>
      <c r="AS1076" s="134" t="s">
        <v>18</v>
      </c>
      <c r="AT1076" s="189"/>
      <c r="AU1076" s="189"/>
      <c r="AV1076" s="189"/>
      <c r="AW1076" s="189"/>
      <c r="AX1076" s="189"/>
      <c r="AY1076" s="189"/>
      <c r="AZ1076" s="189"/>
      <c r="BA1076" s="189"/>
      <c r="BB1076" s="189"/>
      <c r="BC1076" s="189"/>
    </row>
    <row r="1077" spans="1:55" ht="15.75" customHeight="1" x14ac:dyDescent="0.25">
      <c r="A1077" s="128" t="e">
        <v>#VALUE!</v>
      </c>
      <c r="B1077" s="122" t="s">
        <v>12</v>
      </c>
      <c r="C1077" s="124"/>
      <c r="D1077" s="172"/>
      <c r="E1077" s="124"/>
      <c r="F1077" s="172"/>
      <c r="G1077" s="124"/>
      <c r="H1077" s="171"/>
      <c r="I1077" s="124"/>
      <c r="J1077" s="172"/>
      <c r="K1077" s="124"/>
      <c r="L1077" s="172" t="s">
        <v>151</v>
      </c>
      <c r="M1077" s="172" t="s">
        <v>152</v>
      </c>
      <c r="N1077" s="172"/>
      <c r="O1077" s="124"/>
      <c r="P1077" s="124"/>
      <c r="Q1077" s="172"/>
      <c r="R1077" s="124"/>
      <c r="S1077" s="172"/>
      <c r="T1077" s="124"/>
      <c r="U1077" s="124"/>
      <c r="V1077" s="124"/>
      <c r="W1077" s="172"/>
      <c r="X1077" s="124"/>
      <c r="Y1077" s="124"/>
      <c r="Z1077" s="172"/>
      <c r="AA1077" s="124"/>
      <c r="AB1077" s="124"/>
      <c r="AC1077" s="124"/>
      <c r="AD1077" s="172"/>
      <c r="AE1077" s="124"/>
      <c r="AF1077" s="124"/>
      <c r="AG1077" s="124"/>
      <c r="AH1077" s="172"/>
      <c r="AI1077" s="124"/>
      <c r="AJ1077" s="124"/>
      <c r="AK1077" s="172"/>
      <c r="AL1077" s="171"/>
      <c r="AM1077" s="124"/>
      <c r="AN1077" s="172"/>
      <c r="AO1077" s="124"/>
      <c r="AP1077" s="124"/>
      <c r="AQ1077" s="124"/>
      <c r="AR1077" s="124"/>
      <c r="AS1077" s="124"/>
      <c r="AT1077" s="161"/>
      <c r="AU1077" s="161"/>
      <c r="AV1077" s="161"/>
      <c r="AW1077" s="161"/>
      <c r="AX1077" s="161"/>
      <c r="AY1077" s="161"/>
      <c r="AZ1077" s="161"/>
      <c r="BA1077" s="161"/>
      <c r="BB1077" s="161"/>
      <c r="BC1077" s="161"/>
    </row>
    <row r="1078" spans="1:55" ht="15.75" customHeight="1" x14ac:dyDescent="0.25">
      <c r="A1078" s="128" t="e">
        <v>#VALUE!</v>
      </c>
      <c r="B1078" s="136" t="s">
        <v>13</v>
      </c>
      <c r="C1078" s="137"/>
      <c r="D1078" s="172"/>
      <c r="E1078" s="124"/>
      <c r="F1078" s="172"/>
      <c r="G1078" s="137">
        <v>0</v>
      </c>
      <c r="H1078" s="171" t="s">
        <v>18</v>
      </c>
      <c r="I1078" s="137" t="s">
        <v>18</v>
      </c>
      <c r="J1078" s="172" t="s">
        <v>18</v>
      </c>
      <c r="K1078" s="137" t="e">
        <v>#VALUE!</v>
      </c>
      <c r="L1078" s="172">
        <v>91</v>
      </c>
      <c r="M1078" s="172">
        <v>79</v>
      </c>
      <c r="N1078" s="172">
        <v>0</v>
      </c>
      <c r="O1078" s="137">
        <v>0</v>
      </c>
      <c r="P1078" s="137">
        <v>252</v>
      </c>
      <c r="Q1078" s="172">
        <v>0</v>
      </c>
      <c r="R1078" s="137">
        <v>258</v>
      </c>
      <c r="S1078" s="172">
        <v>0</v>
      </c>
      <c r="T1078" s="137">
        <v>0</v>
      </c>
      <c r="U1078" s="137">
        <v>0</v>
      </c>
      <c r="V1078" s="137">
        <v>175</v>
      </c>
      <c r="W1078" s="172">
        <v>0</v>
      </c>
      <c r="X1078" s="137">
        <v>0</v>
      </c>
      <c r="Y1078" s="137">
        <v>371</v>
      </c>
      <c r="Z1078" s="172">
        <v>0</v>
      </c>
      <c r="AA1078" s="137">
        <v>0</v>
      </c>
      <c r="AB1078" s="137">
        <v>0</v>
      </c>
      <c r="AC1078" s="137">
        <v>233</v>
      </c>
      <c r="AD1078" s="172">
        <v>0</v>
      </c>
      <c r="AE1078" s="137">
        <v>0</v>
      </c>
      <c r="AF1078" s="137">
        <v>0</v>
      </c>
      <c r="AG1078" s="137">
        <v>538</v>
      </c>
      <c r="AH1078" s="172">
        <v>0</v>
      </c>
      <c r="AI1078" s="137">
        <v>0</v>
      </c>
      <c r="AJ1078" s="137">
        <v>197</v>
      </c>
      <c r="AK1078" s="172">
        <v>55</v>
      </c>
      <c r="AL1078" s="171">
        <v>0</v>
      </c>
      <c r="AM1078" s="137">
        <v>337</v>
      </c>
      <c r="AN1078" s="172">
        <v>0</v>
      </c>
      <c r="AO1078" s="137">
        <v>0</v>
      </c>
      <c r="AP1078" s="137">
        <v>0</v>
      </c>
      <c r="AQ1078" s="137">
        <v>0</v>
      </c>
      <c r="AR1078" s="137" t="s">
        <v>18</v>
      </c>
      <c r="AS1078" s="137" t="s">
        <v>18</v>
      </c>
      <c r="AT1078" s="161"/>
      <c r="AU1078" s="161"/>
      <c r="AV1078" s="161"/>
      <c r="AW1078" s="161"/>
      <c r="AX1078" s="161"/>
      <c r="AY1078" s="161"/>
      <c r="AZ1078" s="161"/>
      <c r="BA1078" s="161"/>
      <c r="BB1078" s="161"/>
      <c r="BC1078" s="161"/>
    </row>
    <row r="1079" spans="1:55" ht="15.75" customHeight="1" x14ac:dyDescent="0.25">
      <c r="A1079" s="128" t="e">
        <v>#VALUE!</v>
      </c>
      <c r="B1079" s="136" t="s">
        <v>14</v>
      </c>
      <c r="C1079" s="137"/>
      <c r="D1079" s="172"/>
      <c r="E1079" s="124"/>
      <c r="F1079" s="172"/>
      <c r="G1079" s="137">
        <v>0</v>
      </c>
      <c r="H1079" s="171" t="s">
        <v>18</v>
      </c>
      <c r="I1079" s="137" t="s">
        <v>18</v>
      </c>
      <c r="J1079" s="172" t="s">
        <v>18</v>
      </c>
      <c r="K1079" s="137" t="s">
        <v>18</v>
      </c>
      <c r="L1079" s="172" t="e">
        <v>#VALUE!</v>
      </c>
      <c r="M1079" s="172">
        <v>1</v>
      </c>
      <c r="N1079" s="172">
        <v>0</v>
      </c>
      <c r="O1079" s="137">
        <v>0</v>
      </c>
      <c r="P1079" s="137">
        <v>3</v>
      </c>
      <c r="Q1079" s="172">
        <v>0</v>
      </c>
      <c r="R1079" s="137">
        <v>2</v>
      </c>
      <c r="S1079" s="172">
        <v>0</v>
      </c>
      <c r="T1079" s="137">
        <v>0</v>
      </c>
      <c r="U1079" s="137">
        <v>0</v>
      </c>
      <c r="V1079" s="137">
        <v>5</v>
      </c>
      <c r="W1079" s="172">
        <v>0</v>
      </c>
      <c r="X1079" s="137">
        <v>0</v>
      </c>
      <c r="Y1079" s="137">
        <v>6</v>
      </c>
      <c r="Z1079" s="172">
        <v>0</v>
      </c>
      <c r="AA1079" s="137">
        <v>0</v>
      </c>
      <c r="AB1079" s="137">
        <v>0</v>
      </c>
      <c r="AC1079" s="137">
        <v>2</v>
      </c>
      <c r="AD1079" s="172">
        <v>0</v>
      </c>
      <c r="AE1079" s="137">
        <v>0</v>
      </c>
      <c r="AF1079" s="137">
        <v>0</v>
      </c>
      <c r="AG1079" s="137">
        <v>6</v>
      </c>
      <c r="AH1079" s="172">
        <v>0</v>
      </c>
      <c r="AI1079" s="137">
        <v>0</v>
      </c>
      <c r="AJ1079" s="137">
        <v>2</v>
      </c>
      <c r="AK1079" s="172">
        <v>1</v>
      </c>
      <c r="AL1079" s="171">
        <v>0</v>
      </c>
      <c r="AM1079" s="137">
        <v>5</v>
      </c>
      <c r="AN1079" s="172">
        <v>0</v>
      </c>
      <c r="AO1079" s="137">
        <v>0</v>
      </c>
      <c r="AP1079" s="137">
        <v>0</v>
      </c>
      <c r="AQ1079" s="137">
        <v>0</v>
      </c>
      <c r="AR1079" s="137" t="s">
        <v>18</v>
      </c>
      <c r="AS1079" s="137" t="s">
        <v>18</v>
      </c>
      <c r="AT1079" s="161"/>
      <c r="AU1079" s="161"/>
      <c r="AV1079" s="161"/>
      <c r="AW1079" s="161"/>
      <c r="AX1079" s="161"/>
      <c r="AY1079" s="161"/>
      <c r="AZ1079" s="161"/>
      <c r="BA1079" s="161"/>
      <c r="BB1079" s="161"/>
      <c r="BC1079" s="161"/>
    </row>
    <row r="1080" spans="1:55" ht="15.75" customHeight="1" x14ac:dyDescent="0.25">
      <c r="A1080" s="128" t="e">
        <v>#VALUE!</v>
      </c>
      <c r="B1080" s="136" t="s">
        <v>15</v>
      </c>
      <c r="C1080" s="137"/>
      <c r="D1080" s="172"/>
      <c r="E1080" s="124"/>
      <c r="F1080" s="172"/>
      <c r="G1080" s="137">
        <v>0</v>
      </c>
      <c r="H1080" s="171" t="s">
        <v>18</v>
      </c>
      <c r="I1080" s="137" t="s">
        <v>18</v>
      </c>
      <c r="J1080" s="172" t="s">
        <v>18</v>
      </c>
      <c r="K1080" s="137" t="e">
        <v>#VALUE!</v>
      </c>
      <c r="L1080" s="172">
        <v>1</v>
      </c>
      <c r="M1080" s="172">
        <v>0</v>
      </c>
      <c r="N1080" s="172">
        <v>0</v>
      </c>
      <c r="O1080" s="137">
        <v>0</v>
      </c>
      <c r="P1080" s="137">
        <v>3</v>
      </c>
      <c r="Q1080" s="172">
        <v>0</v>
      </c>
      <c r="R1080" s="137">
        <v>2</v>
      </c>
      <c r="S1080" s="172">
        <v>0</v>
      </c>
      <c r="T1080" s="137">
        <v>0</v>
      </c>
      <c r="U1080" s="137">
        <v>0</v>
      </c>
      <c r="V1080" s="137">
        <v>5</v>
      </c>
      <c r="W1080" s="172">
        <v>0</v>
      </c>
      <c r="X1080" s="137">
        <v>0</v>
      </c>
      <c r="Y1080" s="137">
        <v>6</v>
      </c>
      <c r="Z1080" s="172">
        <v>0</v>
      </c>
      <c r="AA1080" s="137">
        <v>0</v>
      </c>
      <c r="AB1080" s="137">
        <v>0</v>
      </c>
      <c r="AC1080" s="137">
        <v>2</v>
      </c>
      <c r="AD1080" s="172">
        <v>0</v>
      </c>
      <c r="AE1080" s="137">
        <v>0</v>
      </c>
      <c r="AF1080" s="137">
        <v>0</v>
      </c>
      <c r="AG1080" s="137">
        <v>6</v>
      </c>
      <c r="AH1080" s="172">
        <v>0</v>
      </c>
      <c r="AI1080" s="137">
        <v>0</v>
      </c>
      <c r="AJ1080" s="137">
        <v>3</v>
      </c>
      <c r="AK1080" s="172">
        <v>1</v>
      </c>
      <c r="AL1080" s="171">
        <v>0</v>
      </c>
      <c r="AM1080" s="137">
        <v>5</v>
      </c>
      <c r="AN1080" s="172">
        <v>0</v>
      </c>
      <c r="AO1080" s="137">
        <v>0</v>
      </c>
      <c r="AP1080" s="137">
        <v>0</v>
      </c>
      <c r="AQ1080" s="137">
        <v>0</v>
      </c>
      <c r="AR1080" s="137" t="s">
        <v>18</v>
      </c>
      <c r="AS1080" s="137" t="s">
        <v>18</v>
      </c>
      <c r="AT1080" s="161"/>
      <c r="AU1080" s="161"/>
      <c r="AV1080" s="161"/>
      <c r="AW1080" s="161"/>
      <c r="AX1080" s="161"/>
      <c r="AY1080" s="161"/>
      <c r="AZ1080" s="161"/>
      <c r="BA1080" s="161"/>
      <c r="BB1080" s="161"/>
      <c r="BC1080" s="161"/>
    </row>
    <row r="1081" spans="1:55" ht="15.75" customHeight="1" x14ac:dyDescent="0.25">
      <c r="A1081" s="128" t="e">
        <v>#VALUE!</v>
      </c>
      <c r="B1081" s="136" t="s">
        <v>16</v>
      </c>
      <c r="C1081" s="137"/>
      <c r="D1081" s="172"/>
      <c r="E1081" s="124"/>
      <c r="F1081" s="172"/>
      <c r="G1081" s="137">
        <v>0</v>
      </c>
      <c r="H1081" s="171" t="s">
        <v>18</v>
      </c>
      <c r="I1081" s="137" t="s">
        <v>18</v>
      </c>
      <c r="J1081" s="172" t="s">
        <v>18</v>
      </c>
      <c r="K1081" s="137" t="e">
        <v>#VALUE!</v>
      </c>
      <c r="L1081" s="172">
        <v>450</v>
      </c>
      <c r="M1081" s="172">
        <v>0</v>
      </c>
      <c r="N1081" s="172">
        <v>0</v>
      </c>
      <c r="O1081" s="137">
        <v>0</v>
      </c>
      <c r="P1081" s="137">
        <v>1350</v>
      </c>
      <c r="Q1081" s="172">
        <v>0</v>
      </c>
      <c r="R1081" s="137">
        <v>900</v>
      </c>
      <c r="S1081" s="172">
        <v>0</v>
      </c>
      <c r="T1081" s="137">
        <v>0</v>
      </c>
      <c r="U1081" s="137">
        <v>0</v>
      </c>
      <c r="V1081" s="137">
        <v>2250</v>
      </c>
      <c r="W1081" s="172">
        <v>0</v>
      </c>
      <c r="X1081" s="137">
        <v>0</v>
      </c>
      <c r="Y1081" s="137">
        <v>2700</v>
      </c>
      <c r="Z1081" s="172">
        <v>0</v>
      </c>
      <c r="AA1081" s="137">
        <v>0</v>
      </c>
      <c r="AB1081" s="137">
        <v>0</v>
      </c>
      <c r="AC1081" s="137">
        <v>900</v>
      </c>
      <c r="AD1081" s="172">
        <v>0</v>
      </c>
      <c r="AE1081" s="137">
        <v>0</v>
      </c>
      <c r="AF1081" s="137">
        <v>0</v>
      </c>
      <c r="AG1081" s="137">
        <v>2700</v>
      </c>
      <c r="AH1081" s="172">
        <v>0</v>
      </c>
      <c r="AI1081" s="137">
        <v>0</v>
      </c>
      <c r="AJ1081" s="137">
        <v>1350</v>
      </c>
      <c r="AK1081" s="172">
        <v>450</v>
      </c>
      <c r="AL1081" s="171">
        <v>0</v>
      </c>
      <c r="AM1081" s="137">
        <v>2250</v>
      </c>
      <c r="AN1081" s="172">
        <v>0</v>
      </c>
      <c r="AO1081" s="137">
        <v>0</v>
      </c>
      <c r="AP1081" s="137">
        <v>0</v>
      </c>
      <c r="AQ1081" s="137">
        <v>0</v>
      </c>
      <c r="AR1081" s="137" t="s">
        <v>18</v>
      </c>
      <c r="AS1081" s="137" t="s">
        <v>18</v>
      </c>
      <c r="AT1081" s="161"/>
      <c r="AU1081" s="161"/>
      <c r="AV1081" s="161"/>
      <c r="AW1081" s="161"/>
      <c r="AX1081" s="161"/>
      <c r="AY1081" s="161"/>
      <c r="AZ1081" s="161"/>
      <c r="BA1081" s="161"/>
      <c r="BB1081" s="161"/>
      <c r="BC1081" s="161"/>
    </row>
    <row r="1082" spans="1:55" ht="15.75" customHeight="1" x14ac:dyDescent="0.25">
      <c r="A1082" s="138" t="e">
        <v>#VALUE!</v>
      </c>
      <c r="B1082" s="136" t="s">
        <v>17</v>
      </c>
      <c r="C1082" s="147"/>
      <c r="D1082" s="184"/>
      <c r="E1082" s="193"/>
      <c r="F1082" s="184"/>
      <c r="G1082" s="147" t="s">
        <v>18</v>
      </c>
      <c r="H1082" s="183" t="s">
        <v>18</v>
      </c>
      <c r="I1082" s="147" t="s">
        <v>18</v>
      </c>
      <c r="J1082" s="184" t="s">
        <v>18</v>
      </c>
      <c r="K1082" s="147" t="e">
        <v>#VALUE!</v>
      </c>
      <c r="L1082" s="184">
        <v>4.9450549450549448E-2</v>
      </c>
      <c r="M1082" s="184" t="s">
        <v>18</v>
      </c>
      <c r="N1082" s="184" t="s">
        <v>18</v>
      </c>
      <c r="O1082" s="147" t="s">
        <v>18</v>
      </c>
      <c r="P1082" s="147">
        <v>5.3571428571428568E-2</v>
      </c>
      <c r="Q1082" s="184" t="s">
        <v>18</v>
      </c>
      <c r="R1082" s="147">
        <v>3.4883720930232558E-2</v>
      </c>
      <c r="S1082" s="184" t="s">
        <v>18</v>
      </c>
      <c r="T1082" s="147" t="s">
        <v>18</v>
      </c>
      <c r="U1082" s="147" t="s">
        <v>18</v>
      </c>
      <c r="V1082" s="147">
        <v>0.12857142857142856</v>
      </c>
      <c r="W1082" s="184" t="s">
        <v>18</v>
      </c>
      <c r="X1082" s="147" t="s">
        <v>18</v>
      </c>
      <c r="Y1082" s="147">
        <v>7.277628032345014E-2</v>
      </c>
      <c r="Z1082" s="184" t="s">
        <v>18</v>
      </c>
      <c r="AA1082" s="147" t="s">
        <v>18</v>
      </c>
      <c r="AB1082" s="147" t="s">
        <v>18</v>
      </c>
      <c r="AC1082" s="147">
        <v>3.8626609442060089E-2</v>
      </c>
      <c r="AD1082" s="184" t="s">
        <v>18</v>
      </c>
      <c r="AE1082" s="147" t="s">
        <v>18</v>
      </c>
      <c r="AF1082" s="147" t="s">
        <v>18</v>
      </c>
      <c r="AG1082" s="147">
        <v>5.0185873605947957E-2</v>
      </c>
      <c r="AH1082" s="184" t="s">
        <v>18</v>
      </c>
      <c r="AI1082" s="147" t="s">
        <v>18</v>
      </c>
      <c r="AJ1082" s="147">
        <v>6.8527918781725886E-2</v>
      </c>
      <c r="AK1082" s="184">
        <v>8.1818181818181818E-2</v>
      </c>
      <c r="AL1082" s="183" t="s">
        <v>18</v>
      </c>
      <c r="AM1082" s="147">
        <v>6.6765578635014838E-2</v>
      </c>
      <c r="AN1082" s="184" t="s">
        <v>18</v>
      </c>
      <c r="AO1082" s="147" t="s">
        <v>18</v>
      </c>
      <c r="AP1082" s="147" t="s">
        <v>18</v>
      </c>
      <c r="AQ1082" s="147" t="s">
        <v>18</v>
      </c>
      <c r="AR1082" s="147" t="s">
        <v>18</v>
      </c>
      <c r="AS1082" s="147" t="s">
        <v>18</v>
      </c>
      <c r="AT1082" s="161"/>
      <c r="AU1082" s="161"/>
      <c r="AV1082" s="161"/>
      <c r="AW1082" s="161"/>
      <c r="AX1082" s="161"/>
      <c r="AY1082" s="161"/>
      <c r="AZ1082" s="161"/>
      <c r="BA1082" s="161"/>
      <c r="BB1082" s="161"/>
      <c r="BC1082" s="161"/>
    </row>
    <row r="1083" spans="1:55" ht="15.75" customHeight="1" x14ac:dyDescent="0.25">
      <c r="A1083" s="149" t="s">
        <v>1</v>
      </c>
      <c r="B1083" s="150" t="s">
        <v>2</v>
      </c>
      <c r="C1083" s="130"/>
      <c r="D1083" s="175"/>
      <c r="E1083" s="130"/>
      <c r="F1083" s="175"/>
      <c r="G1083" s="130">
        <v>14887</v>
      </c>
      <c r="H1083" s="174" t="s">
        <v>18</v>
      </c>
      <c r="I1083" s="130" t="s">
        <v>18</v>
      </c>
      <c r="J1083" s="175" t="s">
        <v>18</v>
      </c>
      <c r="K1083" s="130">
        <v>14982</v>
      </c>
      <c r="L1083" s="175">
        <v>14991</v>
      </c>
      <c r="M1083" s="175">
        <v>15001</v>
      </c>
      <c r="N1083" s="175">
        <v>15001</v>
      </c>
      <c r="O1083" s="130">
        <v>15001</v>
      </c>
      <c r="P1083" s="130">
        <v>15066</v>
      </c>
      <c r="Q1083" s="175">
        <v>15066</v>
      </c>
      <c r="R1083" s="130">
        <v>15084</v>
      </c>
      <c r="S1083" s="175">
        <v>15084</v>
      </c>
      <c r="T1083" s="130">
        <v>15084</v>
      </c>
      <c r="U1083" s="130">
        <v>15084</v>
      </c>
      <c r="V1083" s="130">
        <v>15150</v>
      </c>
      <c r="W1083" s="175">
        <v>15150</v>
      </c>
      <c r="X1083" s="130">
        <v>15150</v>
      </c>
      <c r="Y1083" s="130">
        <v>15227</v>
      </c>
      <c r="Z1083" s="175">
        <v>15227</v>
      </c>
      <c r="AA1083" s="130">
        <v>15227</v>
      </c>
      <c r="AB1083" s="130">
        <v>15227</v>
      </c>
      <c r="AC1083" s="130">
        <v>15259</v>
      </c>
      <c r="AD1083" s="175">
        <v>15259</v>
      </c>
      <c r="AE1083" s="130">
        <v>15259</v>
      </c>
      <c r="AF1083" s="130">
        <v>15259</v>
      </c>
      <c r="AG1083" s="130">
        <v>15328</v>
      </c>
      <c r="AH1083" s="175">
        <v>15328</v>
      </c>
      <c r="AI1083" s="130">
        <v>15328</v>
      </c>
      <c r="AJ1083" s="130">
        <v>15350</v>
      </c>
      <c r="AK1083" s="175">
        <v>15375</v>
      </c>
      <c r="AL1083" s="174">
        <v>15375</v>
      </c>
      <c r="AM1083" s="130">
        <v>15413</v>
      </c>
      <c r="AN1083" s="175">
        <v>15413</v>
      </c>
      <c r="AO1083" s="130">
        <v>15413</v>
      </c>
      <c r="AP1083" s="130">
        <v>15413</v>
      </c>
      <c r="AQ1083" s="130">
        <v>15413</v>
      </c>
      <c r="AR1083" s="130" t="s">
        <v>18</v>
      </c>
      <c r="AS1083" s="130" t="s">
        <v>18</v>
      </c>
      <c r="AT1083" s="161"/>
      <c r="AU1083" s="161"/>
      <c r="AV1083" s="161"/>
      <c r="AW1083" s="161"/>
      <c r="AX1083" s="161"/>
      <c r="AY1083" s="161"/>
      <c r="AZ1083" s="161"/>
      <c r="BA1083" s="161"/>
      <c r="BB1083" s="161"/>
      <c r="BC1083" s="161"/>
    </row>
    <row r="1084" spans="1:55" ht="15.75" customHeight="1" x14ac:dyDescent="0.25">
      <c r="A1084" s="121" t="s">
        <v>19</v>
      </c>
      <c r="B1084" s="122" t="s">
        <v>4</v>
      </c>
      <c r="C1084" s="124"/>
      <c r="D1084" s="172"/>
      <c r="E1084" s="124"/>
      <c r="F1084" s="172"/>
      <c r="G1084" s="124">
        <v>812</v>
      </c>
      <c r="H1084" s="171" t="s">
        <v>18</v>
      </c>
      <c r="I1084" s="124" t="s">
        <v>18</v>
      </c>
      <c r="J1084" s="172" t="s">
        <v>18</v>
      </c>
      <c r="K1084" s="124">
        <v>815</v>
      </c>
      <c r="L1084" s="172">
        <v>815</v>
      </c>
      <c r="M1084" s="172">
        <v>817</v>
      </c>
      <c r="N1084" s="172">
        <v>817</v>
      </c>
      <c r="O1084" s="124">
        <v>817</v>
      </c>
      <c r="P1084" s="124">
        <v>819</v>
      </c>
      <c r="Q1084" s="172">
        <v>819</v>
      </c>
      <c r="R1084" s="124">
        <v>819</v>
      </c>
      <c r="S1084" s="172">
        <v>819</v>
      </c>
      <c r="T1084" s="124">
        <v>819</v>
      </c>
      <c r="U1084" s="124">
        <v>819</v>
      </c>
      <c r="V1084" s="124">
        <v>821</v>
      </c>
      <c r="W1084" s="172">
        <v>821</v>
      </c>
      <c r="X1084" s="124">
        <v>821</v>
      </c>
      <c r="Y1084" s="124">
        <v>823</v>
      </c>
      <c r="Z1084" s="172">
        <v>823</v>
      </c>
      <c r="AA1084" s="124">
        <v>823</v>
      </c>
      <c r="AB1084" s="124">
        <v>823</v>
      </c>
      <c r="AC1084" s="124">
        <v>825</v>
      </c>
      <c r="AD1084" s="172">
        <v>825</v>
      </c>
      <c r="AE1084" s="124">
        <v>825</v>
      </c>
      <c r="AF1084" s="124">
        <v>825</v>
      </c>
      <c r="AG1084" s="124">
        <v>825</v>
      </c>
      <c r="AH1084" s="172">
        <v>825</v>
      </c>
      <c r="AI1084" s="124">
        <v>825</v>
      </c>
      <c r="AJ1084" s="124">
        <v>825</v>
      </c>
      <c r="AK1084" s="172">
        <v>826</v>
      </c>
      <c r="AL1084" s="171">
        <v>826</v>
      </c>
      <c r="AM1084" s="124">
        <v>826</v>
      </c>
      <c r="AN1084" s="172">
        <v>826</v>
      </c>
      <c r="AO1084" s="124">
        <v>826</v>
      </c>
      <c r="AP1084" s="124">
        <v>826</v>
      </c>
      <c r="AQ1084" s="124">
        <v>826</v>
      </c>
      <c r="AR1084" s="124" t="s">
        <v>18</v>
      </c>
      <c r="AS1084" s="124" t="s">
        <v>18</v>
      </c>
      <c r="AT1084" s="161"/>
      <c r="AU1084" s="161"/>
      <c r="AV1084" s="161"/>
      <c r="AW1084" s="161"/>
      <c r="AX1084" s="161"/>
      <c r="AY1084" s="161"/>
      <c r="AZ1084" s="161"/>
      <c r="BA1084" s="161"/>
      <c r="BB1084" s="161"/>
      <c r="BC1084" s="161"/>
    </row>
    <row r="1085" spans="1:55" ht="15.75" customHeight="1" x14ac:dyDescent="0.25">
      <c r="A1085" s="143">
        <v>2</v>
      </c>
      <c r="B1085" s="122" t="s">
        <v>5</v>
      </c>
      <c r="C1085" s="124"/>
      <c r="D1085" s="172"/>
      <c r="E1085" s="124"/>
      <c r="F1085" s="172"/>
      <c r="G1085" s="124">
        <v>12</v>
      </c>
      <c r="H1085" s="171" t="s">
        <v>18</v>
      </c>
      <c r="I1085" s="124" t="s">
        <v>18</v>
      </c>
      <c r="J1085" s="172" t="s">
        <v>18</v>
      </c>
      <c r="K1085" s="124" t="e">
        <v>#VALUE!</v>
      </c>
      <c r="L1085" s="172" t="e">
        <v>#VALUE!</v>
      </c>
      <c r="M1085" s="172">
        <v>10</v>
      </c>
      <c r="N1085" s="172">
        <v>14</v>
      </c>
      <c r="O1085" s="124">
        <v>14</v>
      </c>
      <c r="P1085" s="124">
        <v>12</v>
      </c>
      <c r="Q1085" s="172">
        <v>12</v>
      </c>
      <c r="R1085" s="124">
        <v>12</v>
      </c>
      <c r="S1085" s="172">
        <v>12</v>
      </c>
      <c r="T1085" s="124">
        <v>12</v>
      </c>
      <c r="U1085" s="124">
        <v>12</v>
      </c>
      <c r="V1085" s="124">
        <v>10</v>
      </c>
      <c r="W1085" s="172">
        <v>10</v>
      </c>
      <c r="X1085" s="124">
        <v>10</v>
      </c>
      <c r="Y1085" s="124">
        <v>8</v>
      </c>
      <c r="Z1085" s="172">
        <v>8</v>
      </c>
      <c r="AA1085" s="124">
        <v>8</v>
      </c>
      <c r="AB1085" s="124">
        <v>8</v>
      </c>
      <c r="AC1085" s="124">
        <v>8</v>
      </c>
      <c r="AD1085" s="172">
        <v>8</v>
      </c>
      <c r="AE1085" s="124">
        <v>8</v>
      </c>
      <c r="AF1085" s="124">
        <v>8</v>
      </c>
      <c r="AG1085" s="124">
        <v>8</v>
      </c>
      <c r="AH1085" s="172">
        <v>8</v>
      </c>
      <c r="AI1085" s="124">
        <v>8</v>
      </c>
      <c r="AJ1085" s="124">
        <v>8</v>
      </c>
      <c r="AK1085" s="172">
        <v>7</v>
      </c>
      <c r="AL1085" s="171">
        <v>7</v>
      </c>
      <c r="AM1085" s="124">
        <v>7</v>
      </c>
      <c r="AN1085" s="172">
        <v>7</v>
      </c>
      <c r="AO1085" s="124">
        <v>7</v>
      </c>
      <c r="AP1085" s="124">
        <v>7</v>
      </c>
      <c r="AQ1085" s="124">
        <v>7</v>
      </c>
      <c r="AR1085" s="124" t="s">
        <v>18</v>
      </c>
      <c r="AS1085" s="124" t="s">
        <v>18</v>
      </c>
      <c r="AT1085" s="161"/>
      <c r="AU1085" s="161"/>
      <c r="AV1085" s="161"/>
      <c r="AW1085" s="161"/>
      <c r="AX1085" s="161"/>
      <c r="AY1085" s="161"/>
      <c r="AZ1085" s="161"/>
      <c r="BA1085" s="161"/>
      <c r="BB1085" s="161"/>
      <c r="BC1085" s="161"/>
    </row>
    <row r="1086" spans="1:55" ht="15.75" customHeight="1" x14ac:dyDescent="0.25">
      <c r="A1086" s="127"/>
      <c r="B1086" s="122" t="s">
        <v>6</v>
      </c>
      <c r="C1086" s="124"/>
      <c r="D1086" s="172"/>
      <c r="E1086" s="124"/>
      <c r="F1086" s="172"/>
      <c r="G1086" s="124">
        <v>-7</v>
      </c>
      <c r="H1086" s="171"/>
      <c r="I1086" s="124">
        <v>7</v>
      </c>
      <c r="J1086" s="172"/>
      <c r="K1086" s="124"/>
      <c r="L1086" s="172"/>
      <c r="M1086" s="172">
        <v>4</v>
      </c>
      <c r="N1086" s="172"/>
      <c r="O1086" s="124"/>
      <c r="P1086" s="124"/>
      <c r="Q1086" s="172"/>
      <c r="R1086" s="124"/>
      <c r="S1086" s="172"/>
      <c r="T1086" s="124"/>
      <c r="U1086" s="124"/>
      <c r="V1086" s="124"/>
      <c r="W1086" s="172"/>
      <c r="X1086" s="124"/>
      <c r="Y1086" s="124"/>
      <c r="Z1086" s="172"/>
      <c r="AA1086" s="124"/>
      <c r="AB1086" s="124"/>
      <c r="AC1086" s="124"/>
      <c r="AD1086" s="172"/>
      <c r="AE1086" s="124"/>
      <c r="AF1086" s="124"/>
      <c r="AG1086" s="124"/>
      <c r="AH1086" s="172"/>
      <c r="AI1086" s="124"/>
      <c r="AJ1086" s="124"/>
      <c r="AK1086" s="172"/>
      <c r="AL1086" s="171"/>
      <c r="AM1086" s="124"/>
      <c r="AN1086" s="172"/>
      <c r="AO1086" s="124"/>
      <c r="AP1086" s="124"/>
      <c r="AQ1086" s="124"/>
      <c r="AR1086" s="124"/>
      <c r="AS1086" s="124"/>
      <c r="AT1086" s="161"/>
      <c r="AU1086" s="161"/>
      <c r="AV1086" s="161"/>
      <c r="AW1086" s="161"/>
      <c r="AX1086" s="161"/>
      <c r="AY1086" s="161"/>
      <c r="AZ1086" s="161"/>
      <c r="BA1086" s="161"/>
      <c r="BB1086" s="161"/>
      <c r="BC1086" s="161"/>
    </row>
    <row r="1087" spans="1:55" ht="15.75" customHeight="1" x14ac:dyDescent="0.25">
      <c r="A1087" s="128"/>
      <c r="B1087" s="122" t="s">
        <v>8</v>
      </c>
      <c r="C1087" s="130"/>
      <c r="D1087" s="175"/>
      <c r="E1087" s="130"/>
      <c r="F1087" s="175"/>
      <c r="G1087" s="130">
        <v>660</v>
      </c>
      <c r="H1087" s="174">
        <v>1100</v>
      </c>
      <c r="I1087" s="130" t="s">
        <v>18</v>
      </c>
      <c r="J1087" s="175" t="s">
        <v>18</v>
      </c>
      <c r="K1087" s="130" t="s">
        <v>18</v>
      </c>
      <c r="L1087" s="175" t="s">
        <v>18</v>
      </c>
      <c r="M1087" s="175" t="s">
        <v>18</v>
      </c>
      <c r="N1087" s="175" t="s">
        <v>18</v>
      </c>
      <c r="O1087" s="130" t="s">
        <v>18</v>
      </c>
      <c r="P1087" s="130" t="s">
        <v>18</v>
      </c>
      <c r="Q1087" s="175" t="s">
        <v>18</v>
      </c>
      <c r="R1087" s="130" t="s">
        <v>18</v>
      </c>
      <c r="S1087" s="175" t="s">
        <v>18</v>
      </c>
      <c r="T1087" s="130" t="s">
        <v>18</v>
      </c>
      <c r="U1087" s="130" t="s">
        <v>18</v>
      </c>
      <c r="V1087" s="130" t="s">
        <v>18</v>
      </c>
      <c r="W1087" s="175" t="s">
        <v>18</v>
      </c>
      <c r="X1087" s="130" t="s">
        <v>18</v>
      </c>
      <c r="Y1087" s="130" t="s">
        <v>18</v>
      </c>
      <c r="Z1087" s="175" t="s">
        <v>18</v>
      </c>
      <c r="AA1087" s="130" t="s">
        <v>18</v>
      </c>
      <c r="AB1087" s="130" t="s">
        <v>18</v>
      </c>
      <c r="AC1087" s="130" t="s">
        <v>18</v>
      </c>
      <c r="AD1087" s="175" t="s">
        <v>18</v>
      </c>
      <c r="AE1087" s="130" t="s">
        <v>18</v>
      </c>
      <c r="AF1087" s="130" t="s">
        <v>18</v>
      </c>
      <c r="AG1087" s="130" t="s">
        <v>18</v>
      </c>
      <c r="AH1087" s="175" t="s">
        <v>18</v>
      </c>
      <c r="AI1087" s="130" t="s">
        <v>18</v>
      </c>
      <c r="AJ1087" s="130" t="s">
        <v>18</v>
      </c>
      <c r="AK1087" s="175" t="s">
        <v>18</v>
      </c>
      <c r="AL1087" s="174" t="s">
        <v>18</v>
      </c>
      <c r="AM1087" s="130" t="s">
        <v>18</v>
      </c>
      <c r="AN1087" s="175" t="s">
        <v>18</v>
      </c>
      <c r="AO1087" s="130" t="s">
        <v>18</v>
      </c>
      <c r="AP1087" s="130" t="s">
        <v>18</v>
      </c>
      <c r="AQ1087" s="130" t="s">
        <v>18</v>
      </c>
      <c r="AR1087" s="130" t="s">
        <v>18</v>
      </c>
      <c r="AS1087" s="130" t="s">
        <v>18</v>
      </c>
      <c r="AT1087" s="161"/>
      <c r="AU1087" s="161"/>
      <c r="AV1087" s="161"/>
      <c r="AW1087" s="161"/>
      <c r="AX1087" s="161"/>
      <c r="AY1087" s="161"/>
      <c r="AZ1087" s="161"/>
      <c r="BA1087" s="161"/>
      <c r="BB1087" s="161"/>
      <c r="BC1087" s="161"/>
    </row>
    <row r="1088" spans="1:55" ht="15.75" customHeight="1" x14ac:dyDescent="0.25">
      <c r="A1088" s="127" t="s">
        <v>9</v>
      </c>
      <c r="B1088" s="132" t="s">
        <v>10</v>
      </c>
      <c r="C1088" s="134"/>
      <c r="D1088" s="178"/>
      <c r="E1088" s="134"/>
      <c r="F1088" s="178"/>
      <c r="G1088" s="134" t="s">
        <v>153</v>
      </c>
      <c r="H1088" s="177" t="s">
        <v>154</v>
      </c>
      <c r="I1088" s="134" t="s">
        <v>18</v>
      </c>
      <c r="J1088" s="178" t="s">
        <v>18</v>
      </c>
      <c r="K1088" s="134" t="s">
        <v>18</v>
      </c>
      <c r="L1088" s="178" t="s">
        <v>18</v>
      </c>
      <c r="M1088" s="178" t="s">
        <v>18</v>
      </c>
      <c r="N1088" s="178" t="s">
        <v>18</v>
      </c>
      <c r="O1088" s="134" t="s">
        <v>18</v>
      </c>
      <c r="P1088" s="134" t="s">
        <v>18</v>
      </c>
      <c r="Q1088" s="178" t="s">
        <v>18</v>
      </c>
      <c r="R1088" s="134" t="s">
        <v>18</v>
      </c>
      <c r="S1088" s="178" t="s">
        <v>18</v>
      </c>
      <c r="T1088" s="134" t="s">
        <v>18</v>
      </c>
      <c r="U1088" s="134" t="s">
        <v>18</v>
      </c>
      <c r="V1088" s="134" t="s">
        <v>18</v>
      </c>
      <c r="W1088" s="178" t="s">
        <v>18</v>
      </c>
      <c r="X1088" s="134" t="s">
        <v>18</v>
      </c>
      <c r="Y1088" s="134" t="s">
        <v>18</v>
      </c>
      <c r="Z1088" s="178" t="s">
        <v>18</v>
      </c>
      <c r="AA1088" s="134" t="s">
        <v>18</v>
      </c>
      <c r="AB1088" s="134" t="s">
        <v>18</v>
      </c>
      <c r="AC1088" s="134" t="s">
        <v>18</v>
      </c>
      <c r="AD1088" s="178" t="s">
        <v>18</v>
      </c>
      <c r="AE1088" s="134" t="s">
        <v>18</v>
      </c>
      <c r="AF1088" s="134" t="s">
        <v>18</v>
      </c>
      <c r="AG1088" s="134" t="s">
        <v>18</v>
      </c>
      <c r="AH1088" s="178" t="s">
        <v>18</v>
      </c>
      <c r="AI1088" s="134" t="s">
        <v>18</v>
      </c>
      <c r="AJ1088" s="134" t="s">
        <v>18</v>
      </c>
      <c r="AK1088" s="178" t="s">
        <v>18</v>
      </c>
      <c r="AL1088" s="177" t="s">
        <v>18</v>
      </c>
      <c r="AM1088" s="134" t="s">
        <v>18</v>
      </c>
      <c r="AN1088" s="178" t="s">
        <v>18</v>
      </c>
      <c r="AO1088" s="134" t="s">
        <v>18</v>
      </c>
      <c r="AP1088" s="134" t="s">
        <v>18</v>
      </c>
      <c r="AQ1088" s="134" t="s">
        <v>18</v>
      </c>
      <c r="AR1088" s="134" t="s">
        <v>18</v>
      </c>
      <c r="AS1088" s="134" t="s">
        <v>18</v>
      </c>
      <c r="AT1088" s="189"/>
      <c r="AU1088" s="189"/>
      <c r="AV1088" s="189"/>
      <c r="AW1088" s="189"/>
      <c r="AX1088" s="189"/>
      <c r="AY1088" s="189"/>
      <c r="AZ1088" s="189"/>
      <c r="BA1088" s="189"/>
      <c r="BB1088" s="189"/>
      <c r="BC1088" s="189"/>
    </row>
    <row r="1089" spans="1:55" ht="15.75" customHeight="1" x14ac:dyDescent="0.25">
      <c r="A1089" s="128" t="e">
        <v>#VALUE!</v>
      </c>
      <c r="B1089" s="122" t="s">
        <v>12</v>
      </c>
      <c r="C1089" s="124"/>
      <c r="D1089" s="172"/>
      <c r="E1089" s="124"/>
      <c r="F1089" s="172"/>
      <c r="G1089" s="124"/>
      <c r="H1089" s="171" t="s">
        <v>155</v>
      </c>
      <c r="I1089" s="124"/>
      <c r="J1089" s="172"/>
      <c r="K1089" s="124"/>
      <c r="L1089" s="172"/>
      <c r="M1089" s="172"/>
      <c r="N1089" s="172" t="s">
        <v>156</v>
      </c>
      <c r="O1089" s="124"/>
      <c r="P1089" s="124"/>
      <c r="Q1089" s="172"/>
      <c r="R1089" s="124"/>
      <c r="S1089" s="172"/>
      <c r="T1089" s="124"/>
      <c r="U1089" s="124"/>
      <c r="V1089" s="124"/>
      <c r="W1089" s="172" t="s">
        <v>155</v>
      </c>
      <c r="X1089" s="124"/>
      <c r="Y1089" s="124"/>
      <c r="Z1089" s="172"/>
      <c r="AA1089" s="124"/>
      <c r="AB1089" s="124"/>
      <c r="AC1089" s="124"/>
      <c r="AD1089" s="172"/>
      <c r="AE1089" s="124"/>
      <c r="AF1089" s="124"/>
      <c r="AG1089" s="124"/>
      <c r="AH1089" s="172"/>
      <c r="AI1089" s="124"/>
      <c r="AJ1089" s="124"/>
      <c r="AK1089" s="172"/>
      <c r="AL1089" s="171"/>
      <c r="AM1089" s="124"/>
      <c r="AN1089" s="172"/>
      <c r="AO1089" s="124"/>
      <c r="AP1089" s="124"/>
      <c r="AQ1089" s="124"/>
      <c r="AR1089" s="124"/>
      <c r="AS1089" s="124"/>
      <c r="AT1089" s="161"/>
      <c r="AU1089" s="161"/>
      <c r="AV1089" s="161"/>
      <c r="AW1089" s="161"/>
      <c r="AX1089" s="161"/>
      <c r="AY1089" s="161"/>
      <c r="AZ1089" s="161"/>
      <c r="BA1089" s="161"/>
      <c r="BB1089" s="161"/>
      <c r="BC1089" s="161"/>
    </row>
    <row r="1090" spans="1:55" ht="15.75" customHeight="1" x14ac:dyDescent="0.25">
      <c r="A1090" s="128" t="e">
        <v>#VALUE!</v>
      </c>
      <c r="B1090" s="136" t="s">
        <v>13</v>
      </c>
      <c r="C1090" s="137"/>
      <c r="D1090" s="172"/>
      <c r="E1090" s="124"/>
      <c r="F1090" s="172"/>
      <c r="G1090" s="137">
        <v>0</v>
      </c>
      <c r="H1090" s="171" t="s">
        <v>18</v>
      </c>
      <c r="I1090" s="137" t="s">
        <v>18</v>
      </c>
      <c r="J1090" s="172" t="s">
        <v>18</v>
      </c>
      <c r="K1090" s="137" t="e">
        <v>#VALUE!</v>
      </c>
      <c r="L1090" s="172">
        <v>9</v>
      </c>
      <c r="M1090" s="172">
        <v>10</v>
      </c>
      <c r="N1090" s="172">
        <v>0</v>
      </c>
      <c r="O1090" s="137">
        <v>0</v>
      </c>
      <c r="P1090" s="137">
        <v>65</v>
      </c>
      <c r="Q1090" s="172">
        <v>0</v>
      </c>
      <c r="R1090" s="137">
        <v>18</v>
      </c>
      <c r="S1090" s="172">
        <v>0</v>
      </c>
      <c r="T1090" s="137">
        <v>0</v>
      </c>
      <c r="U1090" s="137">
        <v>0</v>
      </c>
      <c r="V1090" s="137">
        <v>66</v>
      </c>
      <c r="W1090" s="172">
        <v>0</v>
      </c>
      <c r="X1090" s="137">
        <v>0</v>
      </c>
      <c r="Y1090" s="137">
        <v>77</v>
      </c>
      <c r="Z1090" s="172">
        <v>0</v>
      </c>
      <c r="AA1090" s="137">
        <v>0</v>
      </c>
      <c r="AB1090" s="137">
        <v>0</v>
      </c>
      <c r="AC1090" s="137">
        <v>32</v>
      </c>
      <c r="AD1090" s="172">
        <v>0</v>
      </c>
      <c r="AE1090" s="137">
        <v>0</v>
      </c>
      <c r="AF1090" s="137">
        <v>0</v>
      </c>
      <c r="AG1090" s="137">
        <v>69</v>
      </c>
      <c r="AH1090" s="172">
        <v>0</v>
      </c>
      <c r="AI1090" s="137">
        <v>0</v>
      </c>
      <c r="AJ1090" s="137">
        <v>22</v>
      </c>
      <c r="AK1090" s="172">
        <v>25</v>
      </c>
      <c r="AL1090" s="171">
        <v>0</v>
      </c>
      <c r="AM1090" s="137">
        <v>38</v>
      </c>
      <c r="AN1090" s="172">
        <v>0</v>
      </c>
      <c r="AO1090" s="137">
        <v>0</v>
      </c>
      <c r="AP1090" s="137">
        <v>0</v>
      </c>
      <c r="AQ1090" s="137">
        <v>0</v>
      </c>
      <c r="AR1090" s="137" t="s">
        <v>18</v>
      </c>
      <c r="AS1090" s="137" t="s">
        <v>18</v>
      </c>
      <c r="AT1090" s="161"/>
      <c r="AU1090" s="161"/>
      <c r="AV1090" s="161"/>
      <c r="AW1090" s="161"/>
      <c r="AX1090" s="161"/>
      <c r="AY1090" s="161"/>
      <c r="AZ1090" s="161"/>
      <c r="BA1090" s="161"/>
      <c r="BB1090" s="161"/>
      <c r="BC1090" s="161"/>
    </row>
    <row r="1091" spans="1:55" ht="15.75" customHeight="1" x14ac:dyDescent="0.25">
      <c r="A1091" s="128" t="e">
        <v>#VALUE!</v>
      </c>
      <c r="B1091" s="136" t="s">
        <v>14</v>
      </c>
      <c r="C1091" s="137"/>
      <c r="D1091" s="172"/>
      <c r="E1091" s="124"/>
      <c r="F1091" s="172"/>
      <c r="G1091" s="137">
        <v>0</v>
      </c>
      <c r="H1091" s="171" t="s">
        <v>18</v>
      </c>
      <c r="I1091" s="137" t="s">
        <v>18</v>
      </c>
      <c r="J1091" s="172" t="s">
        <v>18</v>
      </c>
      <c r="K1091" s="137" t="e">
        <v>#VALUE!</v>
      </c>
      <c r="L1091" s="172">
        <v>0</v>
      </c>
      <c r="M1091" s="172">
        <v>2</v>
      </c>
      <c r="N1091" s="172">
        <v>0</v>
      </c>
      <c r="O1091" s="137">
        <v>0</v>
      </c>
      <c r="P1091" s="137">
        <v>2</v>
      </c>
      <c r="Q1091" s="172">
        <v>0</v>
      </c>
      <c r="R1091" s="137">
        <v>0</v>
      </c>
      <c r="S1091" s="172">
        <v>0</v>
      </c>
      <c r="T1091" s="137">
        <v>0</v>
      </c>
      <c r="U1091" s="137">
        <v>0</v>
      </c>
      <c r="V1091" s="137">
        <v>2</v>
      </c>
      <c r="W1091" s="172">
        <v>0</v>
      </c>
      <c r="X1091" s="137">
        <v>0</v>
      </c>
      <c r="Y1091" s="137">
        <v>2</v>
      </c>
      <c r="Z1091" s="172">
        <v>0</v>
      </c>
      <c r="AA1091" s="137">
        <v>0</v>
      </c>
      <c r="AB1091" s="137">
        <v>0</v>
      </c>
      <c r="AC1091" s="137">
        <v>2</v>
      </c>
      <c r="AD1091" s="172">
        <v>0</v>
      </c>
      <c r="AE1091" s="137">
        <v>0</v>
      </c>
      <c r="AF1091" s="137">
        <v>0</v>
      </c>
      <c r="AG1091" s="137">
        <v>0</v>
      </c>
      <c r="AH1091" s="172">
        <v>0</v>
      </c>
      <c r="AI1091" s="137">
        <v>0</v>
      </c>
      <c r="AJ1091" s="137">
        <v>0</v>
      </c>
      <c r="AK1091" s="172">
        <v>1</v>
      </c>
      <c r="AL1091" s="171">
        <v>0</v>
      </c>
      <c r="AM1091" s="137">
        <v>0</v>
      </c>
      <c r="AN1091" s="172">
        <v>0</v>
      </c>
      <c r="AO1091" s="137">
        <v>0</v>
      </c>
      <c r="AP1091" s="137">
        <v>0</v>
      </c>
      <c r="AQ1091" s="137">
        <v>0</v>
      </c>
      <c r="AR1091" s="137" t="s">
        <v>18</v>
      </c>
      <c r="AS1091" s="137" t="s">
        <v>18</v>
      </c>
      <c r="AT1091" s="161"/>
      <c r="AU1091" s="161"/>
      <c r="AV1091" s="161"/>
      <c r="AW1091" s="161"/>
      <c r="AX1091" s="161"/>
      <c r="AY1091" s="161"/>
      <c r="AZ1091" s="161"/>
      <c r="BA1091" s="161"/>
      <c r="BB1091" s="161"/>
      <c r="BC1091" s="161"/>
    </row>
    <row r="1092" spans="1:55" ht="15.75" customHeight="1" x14ac:dyDescent="0.25">
      <c r="A1092" s="128" t="e">
        <v>#VALUE!</v>
      </c>
      <c r="B1092" s="136" t="s">
        <v>15</v>
      </c>
      <c r="C1092" s="137"/>
      <c r="D1092" s="172"/>
      <c r="E1092" s="124"/>
      <c r="F1092" s="172"/>
      <c r="G1092" s="137">
        <v>0</v>
      </c>
      <c r="H1092" s="171" t="s">
        <v>18</v>
      </c>
      <c r="I1092" s="137" t="s">
        <v>18</v>
      </c>
      <c r="J1092" s="172" t="s">
        <v>18</v>
      </c>
      <c r="K1092" s="137" t="e">
        <v>#VALUE!</v>
      </c>
      <c r="L1092" s="172" t="e">
        <v>#VALUE!</v>
      </c>
      <c r="M1092" s="172" t="e">
        <v>#VALUE!</v>
      </c>
      <c r="N1092" s="172">
        <v>0</v>
      </c>
      <c r="O1092" s="137">
        <v>0</v>
      </c>
      <c r="P1092" s="137">
        <v>2</v>
      </c>
      <c r="Q1092" s="172">
        <v>0</v>
      </c>
      <c r="R1092" s="137">
        <v>0</v>
      </c>
      <c r="S1092" s="172">
        <v>0</v>
      </c>
      <c r="T1092" s="137">
        <v>0</v>
      </c>
      <c r="U1092" s="137">
        <v>0</v>
      </c>
      <c r="V1092" s="137">
        <v>2</v>
      </c>
      <c r="W1092" s="172">
        <v>0</v>
      </c>
      <c r="X1092" s="137">
        <v>0</v>
      </c>
      <c r="Y1092" s="137">
        <v>2</v>
      </c>
      <c r="Z1092" s="172">
        <v>0</v>
      </c>
      <c r="AA1092" s="137">
        <v>0</v>
      </c>
      <c r="AB1092" s="137">
        <v>0</v>
      </c>
      <c r="AC1092" s="137">
        <v>0</v>
      </c>
      <c r="AD1092" s="172">
        <v>0</v>
      </c>
      <c r="AE1092" s="137">
        <v>0</v>
      </c>
      <c r="AF1092" s="137">
        <v>0</v>
      </c>
      <c r="AG1092" s="137">
        <v>0</v>
      </c>
      <c r="AH1092" s="172">
        <v>0</v>
      </c>
      <c r="AI1092" s="137">
        <v>0</v>
      </c>
      <c r="AJ1092" s="137">
        <v>0</v>
      </c>
      <c r="AK1092" s="172">
        <v>1</v>
      </c>
      <c r="AL1092" s="171">
        <v>0</v>
      </c>
      <c r="AM1092" s="137">
        <v>0</v>
      </c>
      <c r="AN1092" s="172">
        <v>0</v>
      </c>
      <c r="AO1092" s="137">
        <v>0</v>
      </c>
      <c r="AP1092" s="137">
        <v>0</v>
      </c>
      <c r="AQ1092" s="137">
        <v>0</v>
      </c>
      <c r="AR1092" s="137" t="s">
        <v>18</v>
      </c>
      <c r="AS1092" s="137" t="s">
        <v>18</v>
      </c>
      <c r="AT1092" s="161"/>
      <c r="AU1092" s="161"/>
      <c r="AV1092" s="161"/>
      <c r="AW1092" s="161"/>
      <c r="AX1092" s="161"/>
      <c r="AY1092" s="161"/>
      <c r="AZ1092" s="161"/>
      <c r="BA1092" s="161"/>
      <c r="BB1092" s="161"/>
      <c r="BC1092" s="161"/>
    </row>
    <row r="1093" spans="1:55" ht="15.75" customHeight="1" x14ac:dyDescent="0.25">
      <c r="A1093" s="128" t="e">
        <v>#VALUE!</v>
      </c>
      <c r="B1093" s="136" t="s">
        <v>16</v>
      </c>
      <c r="C1093" s="137"/>
      <c r="D1093" s="172"/>
      <c r="E1093" s="124"/>
      <c r="F1093" s="172"/>
      <c r="G1093" s="137">
        <v>0</v>
      </c>
      <c r="H1093" s="171" t="s">
        <v>18</v>
      </c>
      <c r="I1093" s="137" t="s">
        <v>18</v>
      </c>
      <c r="J1093" s="172" t="s">
        <v>18</v>
      </c>
      <c r="K1093" s="137" t="e">
        <v>#VALUE!</v>
      </c>
      <c r="L1093" s="172" t="e">
        <v>#VALUE!</v>
      </c>
      <c r="M1093" s="172" t="e">
        <v>#VALUE!</v>
      </c>
      <c r="N1093" s="172" t="e">
        <v>#VALUE!</v>
      </c>
      <c r="O1093" s="137" t="e">
        <v>#VALUE!</v>
      </c>
      <c r="P1093" s="137" t="e">
        <v>#VALUE!</v>
      </c>
      <c r="Q1093" s="172" t="e">
        <v>#VALUE!</v>
      </c>
      <c r="R1093" s="137" t="e">
        <v>#VALUE!</v>
      </c>
      <c r="S1093" s="172" t="e">
        <v>#VALUE!</v>
      </c>
      <c r="T1093" s="137" t="e">
        <v>#VALUE!</v>
      </c>
      <c r="U1093" s="137" t="e">
        <v>#VALUE!</v>
      </c>
      <c r="V1093" s="137" t="e">
        <v>#VALUE!</v>
      </c>
      <c r="W1093" s="172" t="e">
        <v>#VALUE!</v>
      </c>
      <c r="X1093" s="137" t="e">
        <v>#VALUE!</v>
      </c>
      <c r="Y1093" s="137" t="e">
        <v>#VALUE!</v>
      </c>
      <c r="Z1093" s="172" t="e">
        <v>#VALUE!</v>
      </c>
      <c r="AA1093" s="137" t="e">
        <v>#VALUE!</v>
      </c>
      <c r="AB1093" s="137" t="e">
        <v>#VALUE!</v>
      </c>
      <c r="AC1093" s="137" t="e">
        <v>#VALUE!</v>
      </c>
      <c r="AD1093" s="172" t="e">
        <v>#VALUE!</v>
      </c>
      <c r="AE1093" s="137" t="e">
        <v>#VALUE!</v>
      </c>
      <c r="AF1093" s="137" t="e">
        <v>#VALUE!</v>
      </c>
      <c r="AG1093" s="137" t="e">
        <v>#VALUE!</v>
      </c>
      <c r="AH1093" s="172" t="e">
        <v>#VALUE!</v>
      </c>
      <c r="AI1093" s="137" t="e">
        <v>#VALUE!</v>
      </c>
      <c r="AJ1093" s="137" t="e">
        <v>#VALUE!</v>
      </c>
      <c r="AK1093" s="172" t="e">
        <v>#VALUE!</v>
      </c>
      <c r="AL1093" s="171" t="e">
        <v>#VALUE!</v>
      </c>
      <c r="AM1093" s="137" t="e">
        <v>#VALUE!</v>
      </c>
      <c r="AN1093" s="172" t="e">
        <v>#VALUE!</v>
      </c>
      <c r="AO1093" s="137" t="e">
        <v>#VALUE!</v>
      </c>
      <c r="AP1093" s="137" t="e">
        <v>#VALUE!</v>
      </c>
      <c r="AQ1093" s="137" t="e">
        <v>#VALUE!</v>
      </c>
      <c r="AR1093" s="137" t="s">
        <v>18</v>
      </c>
      <c r="AS1093" s="137" t="s">
        <v>18</v>
      </c>
      <c r="AT1093" s="161"/>
      <c r="AU1093" s="161"/>
      <c r="AV1093" s="161"/>
      <c r="AW1093" s="161"/>
      <c r="AX1093" s="161"/>
      <c r="AY1093" s="161"/>
      <c r="AZ1093" s="161"/>
      <c r="BA1093" s="161"/>
      <c r="BB1093" s="161"/>
      <c r="BC1093" s="161"/>
    </row>
    <row r="1094" spans="1:55" ht="15.75" customHeight="1" x14ac:dyDescent="0.25">
      <c r="A1094" s="138" t="e">
        <v>#VALUE!</v>
      </c>
      <c r="B1094" s="136" t="s">
        <v>17</v>
      </c>
      <c r="C1094" s="147"/>
      <c r="D1094" s="184"/>
      <c r="E1094" s="193"/>
      <c r="F1094" s="184"/>
      <c r="G1094" s="147" t="s">
        <v>18</v>
      </c>
      <c r="H1094" s="183" t="s">
        <v>18</v>
      </c>
      <c r="I1094" s="147" t="s">
        <v>18</v>
      </c>
      <c r="J1094" s="184" t="s">
        <v>18</v>
      </c>
      <c r="K1094" s="147" t="e">
        <v>#VALUE!</v>
      </c>
      <c r="L1094" s="184" t="e">
        <v>#VALUE!</v>
      </c>
      <c r="M1094" s="184" t="e">
        <v>#VALUE!</v>
      </c>
      <c r="N1094" s="184" t="e">
        <v>#VALUE!</v>
      </c>
      <c r="O1094" s="147" t="e">
        <v>#VALUE!</v>
      </c>
      <c r="P1094" s="147" t="e">
        <v>#VALUE!</v>
      </c>
      <c r="Q1094" s="184" t="e">
        <v>#VALUE!</v>
      </c>
      <c r="R1094" s="147" t="e">
        <v>#VALUE!</v>
      </c>
      <c r="S1094" s="184" t="e">
        <v>#VALUE!</v>
      </c>
      <c r="T1094" s="147" t="e">
        <v>#VALUE!</v>
      </c>
      <c r="U1094" s="147" t="e">
        <v>#VALUE!</v>
      </c>
      <c r="V1094" s="147" t="e">
        <v>#VALUE!</v>
      </c>
      <c r="W1094" s="184" t="e">
        <v>#VALUE!</v>
      </c>
      <c r="X1094" s="147" t="e">
        <v>#VALUE!</v>
      </c>
      <c r="Y1094" s="147" t="e">
        <v>#VALUE!</v>
      </c>
      <c r="Z1094" s="184" t="e">
        <v>#VALUE!</v>
      </c>
      <c r="AA1094" s="147" t="e">
        <v>#VALUE!</v>
      </c>
      <c r="AB1094" s="147" t="e">
        <v>#VALUE!</v>
      </c>
      <c r="AC1094" s="147" t="e">
        <v>#VALUE!</v>
      </c>
      <c r="AD1094" s="184" t="e">
        <v>#VALUE!</v>
      </c>
      <c r="AE1094" s="147" t="e">
        <v>#VALUE!</v>
      </c>
      <c r="AF1094" s="147" t="e">
        <v>#VALUE!</v>
      </c>
      <c r="AG1094" s="147" t="e">
        <v>#VALUE!</v>
      </c>
      <c r="AH1094" s="184" t="e">
        <v>#VALUE!</v>
      </c>
      <c r="AI1094" s="147" t="e">
        <v>#VALUE!</v>
      </c>
      <c r="AJ1094" s="147" t="e">
        <v>#VALUE!</v>
      </c>
      <c r="AK1094" s="184" t="e">
        <v>#VALUE!</v>
      </c>
      <c r="AL1094" s="183" t="e">
        <v>#VALUE!</v>
      </c>
      <c r="AM1094" s="147" t="e">
        <v>#VALUE!</v>
      </c>
      <c r="AN1094" s="184" t="e">
        <v>#VALUE!</v>
      </c>
      <c r="AO1094" s="147" t="e">
        <v>#VALUE!</v>
      </c>
      <c r="AP1094" s="147" t="e">
        <v>#VALUE!</v>
      </c>
      <c r="AQ1094" s="147" t="e">
        <v>#VALUE!</v>
      </c>
      <c r="AR1094" s="147" t="s">
        <v>18</v>
      </c>
      <c r="AS1094" s="147" t="s">
        <v>18</v>
      </c>
      <c r="AT1094" s="161"/>
      <c r="AU1094" s="161"/>
      <c r="AV1094" s="161"/>
      <c r="AW1094" s="161"/>
      <c r="AX1094" s="161"/>
      <c r="AY1094" s="161"/>
      <c r="AZ1094" s="161"/>
      <c r="BA1094" s="161"/>
      <c r="BB1094" s="161"/>
      <c r="BC1094" s="161"/>
    </row>
    <row r="1095" spans="1:55" ht="15.75" customHeight="1" x14ac:dyDescent="0.25">
      <c r="A1095" s="149" t="s">
        <v>1</v>
      </c>
      <c r="B1095" s="150" t="s">
        <v>2</v>
      </c>
      <c r="C1095" s="130"/>
      <c r="D1095" s="175"/>
      <c r="E1095" s="130"/>
      <c r="F1095" s="175"/>
      <c r="G1095" s="130">
        <v>14185</v>
      </c>
      <c r="H1095" s="174" t="s">
        <v>18</v>
      </c>
      <c r="I1095" s="130" t="s">
        <v>18</v>
      </c>
      <c r="J1095" s="175" t="s">
        <v>18</v>
      </c>
      <c r="K1095" s="130">
        <v>14272</v>
      </c>
      <c r="L1095" s="175">
        <v>14281</v>
      </c>
      <c r="M1095" s="175">
        <v>14296</v>
      </c>
      <c r="N1095" s="175">
        <v>14296</v>
      </c>
      <c r="O1095" s="130">
        <v>14296</v>
      </c>
      <c r="P1095" s="130">
        <v>14386</v>
      </c>
      <c r="Q1095" s="175">
        <v>14386</v>
      </c>
      <c r="R1095" s="130">
        <v>14499</v>
      </c>
      <c r="S1095" s="175">
        <v>14499</v>
      </c>
      <c r="T1095" s="130">
        <v>14499</v>
      </c>
      <c r="U1095" s="130">
        <v>14499</v>
      </c>
      <c r="V1095" s="130">
        <v>14713</v>
      </c>
      <c r="W1095" s="175">
        <v>14713</v>
      </c>
      <c r="X1095" s="130">
        <v>14713</v>
      </c>
      <c r="Y1095" s="130">
        <v>14815</v>
      </c>
      <c r="Z1095" s="175">
        <v>14815</v>
      </c>
      <c r="AA1095" s="130">
        <v>14815</v>
      </c>
      <c r="AB1095" s="130">
        <v>14815</v>
      </c>
      <c r="AC1095" s="130">
        <v>14914</v>
      </c>
      <c r="AD1095" s="175">
        <v>14914</v>
      </c>
      <c r="AE1095" s="130">
        <v>14914</v>
      </c>
      <c r="AF1095" s="130">
        <v>14914</v>
      </c>
      <c r="AG1095" s="130">
        <v>15136</v>
      </c>
      <c r="AH1095" s="175">
        <v>15136</v>
      </c>
      <c r="AI1095" s="130">
        <v>15136</v>
      </c>
      <c r="AJ1095" s="130">
        <v>15227</v>
      </c>
      <c r="AK1095" s="175">
        <v>15263</v>
      </c>
      <c r="AL1095" s="174">
        <v>15263</v>
      </c>
      <c r="AM1095" s="130">
        <v>15328</v>
      </c>
      <c r="AN1095" s="175">
        <v>15328</v>
      </c>
      <c r="AO1095" s="130">
        <v>15328</v>
      </c>
      <c r="AP1095" s="130">
        <v>15328</v>
      </c>
      <c r="AQ1095" s="130">
        <v>15328</v>
      </c>
      <c r="AR1095" s="130" t="s">
        <v>18</v>
      </c>
      <c r="AS1095" s="130" t="s">
        <v>18</v>
      </c>
      <c r="AT1095" s="161"/>
      <c r="AU1095" s="161"/>
      <c r="AV1095" s="161"/>
      <c r="AW1095" s="161"/>
      <c r="AX1095" s="161"/>
      <c r="AY1095" s="161"/>
      <c r="AZ1095" s="161"/>
      <c r="BA1095" s="161"/>
      <c r="BB1095" s="161"/>
      <c r="BC1095" s="161"/>
    </row>
    <row r="1096" spans="1:55" ht="15.75" customHeight="1" x14ac:dyDescent="0.25">
      <c r="A1096" s="121" t="s">
        <v>19</v>
      </c>
      <c r="B1096" s="122" t="s">
        <v>4</v>
      </c>
      <c r="C1096" s="124"/>
      <c r="D1096" s="172"/>
      <c r="E1096" s="124"/>
      <c r="F1096" s="172"/>
      <c r="G1096" s="124">
        <v>806</v>
      </c>
      <c r="H1096" s="171" t="s">
        <v>18</v>
      </c>
      <c r="I1096" s="124" t="s">
        <v>18</v>
      </c>
      <c r="J1096" s="172" t="s">
        <v>18</v>
      </c>
      <c r="K1096" s="124">
        <v>810</v>
      </c>
      <c r="L1096" s="172">
        <v>810</v>
      </c>
      <c r="M1096" s="172">
        <v>814</v>
      </c>
      <c r="N1096" s="172">
        <v>814</v>
      </c>
      <c r="O1096" s="124">
        <v>814</v>
      </c>
      <c r="P1096" s="124">
        <v>819</v>
      </c>
      <c r="Q1096" s="172">
        <v>819</v>
      </c>
      <c r="R1096" s="124">
        <v>823</v>
      </c>
      <c r="S1096" s="172">
        <v>823</v>
      </c>
      <c r="T1096" s="124">
        <v>823</v>
      </c>
      <c r="U1096" s="124">
        <v>823</v>
      </c>
      <c r="V1096" s="124">
        <v>824</v>
      </c>
      <c r="W1096" s="172">
        <v>824</v>
      </c>
      <c r="X1096" s="124">
        <v>824</v>
      </c>
      <c r="Y1096" s="124">
        <v>826</v>
      </c>
      <c r="Z1096" s="172">
        <v>826</v>
      </c>
      <c r="AA1096" s="124">
        <v>826</v>
      </c>
      <c r="AB1096" s="124">
        <v>826</v>
      </c>
      <c r="AC1096" s="124">
        <v>828</v>
      </c>
      <c r="AD1096" s="172">
        <v>828</v>
      </c>
      <c r="AE1096" s="124">
        <v>828</v>
      </c>
      <c r="AF1096" s="124">
        <v>828</v>
      </c>
      <c r="AG1096" s="124">
        <v>830</v>
      </c>
      <c r="AH1096" s="172">
        <v>830</v>
      </c>
      <c r="AI1096" s="124">
        <v>830</v>
      </c>
      <c r="AJ1096" s="124">
        <v>832</v>
      </c>
      <c r="AK1096" s="172">
        <v>832</v>
      </c>
      <c r="AL1096" s="171">
        <v>832</v>
      </c>
      <c r="AM1096" s="124">
        <v>832</v>
      </c>
      <c r="AN1096" s="172">
        <v>832</v>
      </c>
      <c r="AO1096" s="124">
        <v>832</v>
      </c>
      <c r="AP1096" s="124">
        <v>832</v>
      </c>
      <c r="AQ1096" s="124">
        <v>832</v>
      </c>
      <c r="AR1096" s="124" t="s">
        <v>18</v>
      </c>
      <c r="AS1096" s="124" t="s">
        <v>18</v>
      </c>
      <c r="AT1096" s="161"/>
      <c r="AU1096" s="161"/>
      <c r="AV1096" s="161"/>
      <c r="AW1096" s="161"/>
      <c r="AX1096" s="161"/>
      <c r="AY1096" s="161"/>
      <c r="AZ1096" s="161"/>
      <c r="BA1096" s="161"/>
      <c r="BB1096" s="161"/>
      <c r="BC1096" s="161"/>
    </row>
    <row r="1097" spans="1:55" ht="15.75" customHeight="1" x14ac:dyDescent="0.25">
      <c r="A1097" s="143">
        <v>3</v>
      </c>
      <c r="B1097" s="122" t="s">
        <v>5</v>
      </c>
      <c r="C1097" s="124"/>
      <c r="D1097" s="172"/>
      <c r="E1097" s="124"/>
      <c r="F1097" s="172"/>
      <c r="G1097" s="124">
        <v>12</v>
      </c>
      <c r="H1097" s="171" t="s">
        <v>18</v>
      </c>
      <c r="I1097" s="124" t="s">
        <v>18</v>
      </c>
      <c r="J1097" s="172" t="s">
        <v>18</v>
      </c>
      <c r="K1097" s="124" t="e">
        <v>#VALUE!</v>
      </c>
      <c r="L1097" s="172" t="e">
        <v>#VALUE!</v>
      </c>
      <c r="M1097" s="172" t="e">
        <v>#VALUE!</v>
      </c>
      <c r="N1097" s="172" t="e">
        <v>#VALUE!</v>
      </c>
      <c r="O1097" s="124" t="e">
        <v>#VALUE!</v>
      </c>
      <c r="P1097" s="124">
        <v>9</v>
      </c>
      <c r="Q1097" s="172">
        <v>9</v>
      </c>
      <c r="R1097" s="124">
        <v>6</v>
      </c>
      <c r="S1097" s="172">
        <v>6</v>
      </c>
      <c r="T1097" s="124">
        <v>6</v>
      </c>
      <c r="U1097" s="124">
        <v>6</v>
      </c>
      <c r="V1097" s="124">
        <v>5</v>
      </c>
      <c r="W1097" s="172">
        <v>11</v>
      </c>
      <c r="X1097" s="124">
        <v>11</v>
      </c>
      <c r="Y1097" s="124">
        <v>9</v>
      </c>
      <c r="Z1097" s="172">
        <v>9</v>
      </c>
      <c r="AA1097" s="124">
        <v>9</v>
      </c>
      <c r="AB1097" s="124">
        <v>9</v>
      </c>
      <c r="AC1097" s="124">
        <v>9</v>
      </c>
      <c r="AD1097" s="172">
        <v>9</v>
      </c>
      <c r="AE1097" s="124">
        <v>9</v>
      </c>
      <c r="AF1097" s="124">
        <v>9</v>
      </c>
      <c r="AG1097" s="124">
        <v>7</v>
      </c>
      <c r="AH1097" s="172">
        <v>7</v>
      </c>
      <c r="AI1097" s="124">
        <v>7</v>
      </c>
      <c r="AJ1097" s="124">
        <v>7</v>
      </c>
      <c r="AK1097" s="172">
        <v>7</v>
      </c>
      <c r="AL1097" s="171">
        <v>7</v>
      </c>
      <c r="AM1097" s="124">
        <v>7</v>
      </c>
      <c r="AN1097" s="172">
        <v>7</v>
      </c>
      <c r="AO1097" s="124">
        <v>7</v>
      </c>
      <c r="AP1097" s="124">
        <v>7</v>
      </c>
      <c r="AQ1097" s="124">
        <v>7</v>
      </c>
      <c r="AR1097" s="124" t="s">
        <v>18</v>
      </c>
      <c r="AS1097" s="124" t="s">
        <v>18</v>
      </c>
      <c r="AT1097" s="161"/>
      <c r="AU1097" s="161"/>
      <c r="AV1097" s="161"/>
      <c r="AW1097" s="161"/>
      <c r="AX1097" s="161"/>
      <c r="AY1097" s="161"/>
      <c r="AZ1097" s="161"/>
      <c r="BA1097" s="161"/>
      <c r="BB1097" s="161"/>
      <c r="BC1097" s="161"/>
    </row>
    <row r="1098" spans="1:55" ht="15.75" customHeight="1" x14ac:dyDescent="0.25">
      <c r="A1098" s="127"/>
      <c r="B1098" s="122" t="s">
        <v>6</v>
      </c>
      <c r="C1098" s="124"/>
      <c r="D1098" s="172"/>
      <c r="E1098" s="124"/>
      <c r="F1098" s="172"/>
      <c r="G1098" s="124"/>
      <c r="H1098" s="171"/>
      <c r="I1098" s="124">
        <v>3</v>
      </c>
      <c r="J1098" s="172"/>
      <c r="K1098" s="124"/>
      <c r="L1098" s="172"/>
      <c r="M1098" s="172">
        <v>-4</v>
      </c>
      <c r="N1098" s="172"/>
      <c r="O1098" s="124"/>
      <c r="P1098" s="124"/>
      <c r="Q1098" s="172"/>
      <c r="R1098" s="124"/>
      <c r="S1098" s="172"/>
      <c r="T1098" s="124"/>
      <c r="U1098" s="124"/>
      <c r="V1098" s="124">
        <v>6</v>
      </c>
      <c r="W1098" s="172"/>
      <c r="X1098" s="124"/>
      <c r="Y1098" s="124"/>
      <c r="Z1098" s="172"/>
      <c r="AA1098" s="124"/>
      <c r="AB1098" s="124"/>
      <c r="AC1098" s="124"/>
      <c r="AD1098" s="172"/>
      <c r="AE1098" s="124"/>
      <c r="AF1098" s="124"/>
      <c r="AG1098" s="124"/>
      <c r="AH1098" s="172"/>
      <c r="AI1098" s="124"/>
      <c r="AJ1098" s="124"/>
      <c r="AK1098" s="172"/>
      <c r="AL1098" s="171"/>
      <c r="AM1098" s="124"/>
      <c r="AN1098" s="172"/>
      <c r="AO1098" s="124"/>
      <c r="AP1098" s="124"/>
      <c r="AQ1098" s="124"/>
      <c r="AR1098" s="124"/>
      <c r="AS1098" s="124"/>
      <c r="AT1098" s="161"/>
      <c r="AU1098" s="161"/>
      <c r="AV1098" s="161"/>
      <c r="AW1098" s="161"/>
      <c r="AX1098" s="161"/>
      <c r="AY1098" s="161"/>
      <c r="AZ1098" s="161"/>
      <c r="BA1098" s="161"/>
      <c r="BB1098" s="161"/>
      <c r="BC1098" s="161"/>
    </row>
    <row r="1099" spans="1:55" ht="15.75" customHeight="1" x14ac:dyDescent="0.25">
      <c r="A1099" s="128"/>
      <c r="B1099" s="122" t="s">
        <v>8</v>
      </c>
      <c r="C1099" s="130"/>
      <c r="D1099" s="175"/>
      <c r="E1099" s="130"/>
      <c r="F1099" s="175"/>
      <c r="G1099" s="130">
        <v>324</v>
      </c>
      <c r="H1099" s="174" t="s">
        <v>18</v>
      </c>
      <c r="I1099" s="130" t="s">
        <v>18</v>
      </c>
      <c r="J1099" s="175" t="s">
        <v>18</v>
      </c>
      <c r="K1099" s="130" t="s">
        <v>18</v>
      </c>
      <c r="L1099" s="175" t="s">
        <v>18</v>
      </c>
      <c r="M1099" s="175" t="s">
        <v>18</v>
      </c>
      <c r="N1099" s="175">
        <v>996</v>
      </c>
      <c r="O1099" s="130">
        <v>996</v>
      </c>
      <c r="P1099" s="130">
        <v>996</v>
      </c>
      <c r="Q1099" s="175">
        <v>996</v>
      </c>
      <c r="R1099" s="130">
        <v>996</v>
      </c>
      <c r="S1099" s="175">
        <v>996</v>
      </c>
      <c r="T1099" s="130">
        <v>996</v>
      </c>
      <c r="U1099" s="130">
        <v>996</v>
      </c>
      <c r="V1099" s="130">
        <v>996</v>
      </c>
      <c r="W1099" s="175">
        <v>996</v>
      </c>
      <c r="X1099" s="130">
        <v>996</v>
      </c>
      <c r="Y1099" s="130">
        <v>996</v>
      </c>
      <c r="Z1099" s="175">
        <v>996</v>
      </c>
      <c r="AA1099" s="130">
        <v>996</v>
      </c>
      <c r="AB1099" s="130">
        <v>996</v>
      </c>
      <c r="AC1099" s="130">
        <v>996</v>
      </c>
      <c r="AD1099" s="175">
        <v>996</v>
      </c>
      <c r="AE1099" s="130">
        <v>996</v>
      </c>
      <c r="AF1099" s="130">
        <v>996</v>
      </c>
      <c r="AG1099" s="130">
        <v>996</v>
      </c>
      <c r="AH1099" s="175">
        <v>996</v>
      </c>
      <c r="AI1099" s="130">
        <v>996</v>
      </c>
      <c r="AJ1099" s="130">
        <v>996</v>
      </c>
      <c r="AK1099" s="175">
        <v>996</v>
      </c>
      <c r="AL1099" s="174">
        <v>996</v>
      </c>
      <c r="AM1099" s="130">
        <v>996</v>
      </c>
      <c r="AN1099" s="175">
        <v>996</v>
      </c>
      <c r="AO1099" s="130">
        <v>996</v>
      </c>
      <c r="AP1099" s="130">
        <v>996</v>
      </c>
      <c r="AQ1099" s="130">
        <v>996</v>
      </c>
      <c r="AR1099" s="130" t="s">
        <v>18</v>
      </c>
      <c r="AS1099" s="130" t="s">
        <v>18</v>
      </c>
      <c r="AT1099" s="161"/>
      <c r="AU1099" s="161"/>
      <c r="AV1099" s="161"/>
      <c r="AW1099" s="161"/>
      <c r="AX1099" s="161"/>
      <c r="AY1099" s="161"/>
      <c r="AZ1099" s="161"/>
      <c r="BA1099" s="161"/>
      <c r="BB1099" s="161"/>
      <c r="BC1099" s="161"/>
    </row>
    <row r="1100" spans="1:55" ht="15.75" customHeight="1" x14ac:dyDescent="0.25">
      <c r="A1100" s="127" t="s">
        <v>9</v>
      </c>
      <c r="B1100" s="132" t="s">
        <v>10</v>
      </c>
      <c r="C1100" s="134"/>
      <c r="D1100" s="178"/>
      <c r="E1100" s="134"/>
      <c r="F1100" s="178"/>
      <c r="G1100" s="134" t="s">
        <v>157</v>
      </c>
      <c r="H1100" s="177" t="s">
        <v>18</v>
      </c>
      <c r="I1100" s="134" t="s">
        <v>18</v>
      </c>
      <c r="J1100" s="178" t="s">
        <v>18</v>
      </c>
      <c r="K1100" s="134" t="s">
        <v>18</v>
      </c>
      <c r="L1100" s="178" t="s">
        <v>18</v>
      </c>
      <c r="M1100" s="178" t="s">
        <v>18</v>
      </c>
      <c r="N1100" s="178" t="s">
        <v>118</v>
      </c>
      <c r="O1100" s="134" t="s">
        <v>118</v>
      </c>
      <c r="P1100" s="134" t="s">
        <v>118</v>
      </c>
      <c r="Q1100" s="178" t="s">
        <v>118</v>
      </c>
      <c r="R1100" s="134" t="s">
        <v>118</v>
      </c>
      <c r="S1100" s="178" t="s">
        <v>118</v>
      </c>
      <c r="T1100" s="134" t="s">
        <v>118</v>
      </c>
      <c r="U1100" s="134" t="s">
        <v>118</v>
      </c>
      <c r="V1100" s="134" t="s">
        <v>118</v>
      </c>
      <c r="W1100" s="178" t="s">
        <v>118</v>
      </c>
      <c r="X1100" s="134" t="s">
        <v>118</v>
      </c>
      <c r="Y1100" s="134" t="s">
        <v>118</v>
      </c>
      <c r="Z1100" s="178" t="s">
        <v>118</v>
      </c>
      <c r="AA1100" s="134" t="s">
        <v>118</v>
      </c>
      <c r="AB1100" s="134" t="s">
        <v>118</v>
      </c>
      <c r="AC1100" s="134" t="s">
        <v>118</v>
      </c>
      <c r="AD1100" s="178" t="s">
        <v>118</v>
      </c>
      <c r="AE1100" s="134" t="s">
        <v>118</v>
      </c>
      <c r="AF1100" s="134" t="s">
        <v>118</v>
      </c>
      <c r="AG1100" s="134" t="s">
        <v>118</v>
      </c>
      <c r="AH1100" s="178" t="s">
        <v>118</v>
      </c>
      <c r="AI1100" s="134" t="s">
        <v>118</v>
      </c>
      <c r="AJ1100" s="134" t="s">
        <v>118</v>
      </c>
      <c r="AK1100" s="178" t="s">
        <v>118</v>
      </c>
      <c r="AL1100" s="177" t="s">
        <v>118</v>
      </c>
      <c r="AM1100" s="134" t="s">
        <v>118</v>
      </c>
      <c r="AN1100" s="178" t="s">
        <v>118</v>
      </c>
      <c r="AO1100" s="134" t="s">
        <v>118</v>
      </c>
      <c r="AP1100" s="134" t="s">
        <v>118</v>
      </c>
      <c r="AQ1100" s="134" t="s">
        <v>118</v>
      </c>
      <c r="AR1100" s="134" t="s">
        <v>18</v>
      </c>
      <c r="AS1100" s="134" t="s">
        <v>18</v>
      </c>
      <c r="AT1100" s="189"/>
      <c r="AU1100" s="189"/>
      <c r="AV1100" s="189"/>
      <c r="AW1100" s="189"/>
      <c r="AX1100" s="189"/>
      <c r="AY1100" s="189"/>
      <c r="AZ1100" s="189"/>
      <c r="BA1100" s="189"/>
      <c r="BB1100" s="189"/>
      <c r="BC1100" s="189"/>
    </row>
    <row r="1101" spans="1:55" ht="15.75" customHeight="1" x14ac:dyDescent="0.25">
      <c r="A1101" s="128" t="e">
        <v>#VALUE!</v>
      </c>
      <c r="B1101" s="122" t="s">
        <v>12</v>
      </c>
      <c r="C1101" s="124"/>
      <c r="D1101" s="172"/>
      <c r="E1101" s="124"/>
      <c r="F1101" s="172"/>
      <c r="G1101" s="124"/>
      <c r="H1101" s="171"/>
      <c r="I1101" s="124"/>
      <c r="J1101" s="172"/>
      <c r="K1101" s="124"/>
      <c r="L1101" s="172"/>
      <c r="M1101" s="172"/>
      <c r="N1101" s="172" t="s">
        <v>158</v>
      </c>
      <c r="O1101" s="124"/>
      <c r="P1101" s="124"/>
      <c r="Q1101" s="172"/>
      <c r="R1101" s="124"/>
      <c r="S1101" s="172" t="s">
        <v>159</v>
      </c>
      <c r="T1101" s="124"/>
      <c r="U1101" s="124"/>
      <c r="V1101" s="124"/>
      <c r="W1101" s="172"/>
      <c r="X1101" s="124"/>
      <c r="Y1101" s="124"/>
      <c r="Z1101" s="172"/>
      <c r="AA1101" s="124"/>
      <c r="AB1101" s="124"/>
      <c r="AC1101" s="124"/>
      <c r="AD1101" s="172"/>
      <c r="AE1101" s="124"/>
      <c r="AF1101" s="124"/>
      <c r="AG1101" s="124"/>
      <c r="AH1101" s="172"/>
      <c r="AI1101" s="124"/>
      <c r="AJ1101" s="124"/>
      <c r="AK1101" s="172"/>
      <c r="AL1101" s="171"/>
      <c r="AM1101" s="124"/>
      <c r="AN1101" s="172"/>
      <c r="AO1101" s="124"/>
      <c r="AP1101" s="124"/>
      <c r="AQ1101" s="124"/>
      <c r="AR1101" s="124"/>
      <c r="AS1101" s="124"/>
      <c r="AT1101" s="161"/>
      <c r="AU1101" s="161"/>
      <c r="AV1101" s="161"/>
      <c r="AW1101" s="161"/>
      <c r="AX1101" s="161"/>
      <c r="AY1101" s="161"/>
      <c r="AZ1101" s="161"/>
      <c r="BA1101" s="161"/>
      <c r="BB1101" s="161"/>
      <c r="BC1101" s="161"/>
    </row>
    <row r="1102" spans="1:55" ht="15.75" customHeight="1" x14ac:dyDescent="0.25">
      <c r="A1102" s="128" t="e">
        <v>#VALUE!</v>
      </c>
      <c r="B1102" s="136" t="s">
        <v>13</v>
      </c>
      <c r="C1102" s="137"/>
      <c r="D1102" s="172"/>
      <c r="E1102" s="124"/>
      <c r="F1102" s="172"/>
      <c r="G1102" s="137">
        <v>0</v>
      </c>
      <c r="H1102" s="171" t="s">
        <v>18</v>
      </c>
      <c r="I1102" s="137" t="s">
        <v>18</v>
      </c>
      <c r="J1102" s="172" t="s">
        <v>18</v>
      </c>
      <c r="K1102" s="137" t="e">
        <v>#VALUE!</v>
      </c>
      <c r="L1102" s="172">
        <v>9</v>
      </c>
      <c r="M1102" s="172">
        <v>15</v>
      </c>
      <c r="N1102" s="172">
        <v>0</v>
      </c>
      <c r="O1102" s="137">
        <v>0</v>
      </c>
      <c r="P1102" s="137">
        <v>90</v>
      </c>
      <c r="Q1102" s="172">
        <v>0</v>
      </c>
      <c r="R1102" s="137">
        <v>113</v>
      </c>
      <c r="S1102" s="172">
        <v>0</v>
      </c>
      <c r="T1102" s="137">
        <v>0</v>
      </c>
      <c r="U1102" s="137">
        <v>0</v>
      </c>
      <c r="V1102" s="137">
        <v>214</v>
      </c>
      <c r="W1102" s="172">
        <v>0</v>
      </c>
      <c r="X1102" s="137">
        <v>0</v>
      </c>
      <c r="Y1102" s="137">
        <v>102</v>
      </c>
      <c r="Z1102" s="172">
        <v>0</v>
      </c>
      <c r="AA1102" s="137">
        <v>0</v>
      </c>
      <c r="AB1102" s="137">
        <v>0</v>
      </c>
      <c r="AC1102" s="137">
        <v>99</v>
      </c>
      <c r="AD1102" s="172">
        <v>0</v>
      </c>
      <c r="AE1102" s="137">
        <v>0</v>
      </c>
      <c r="AF1102" s="137">
        <v>0</v>
      </c>
      <c r="AG1102" s="137">
        <v>222</v>
      </c>
      <c r="AH1102" s="172">
        <v>0</v>
      </c>
      <c r="AI1102" s="137">
        <v>0</v>
      </c>
      <c r="AJ1102" s="137">
        <v>91</v>
      </c>
      <c r="AK1102" s="172">
        <v>36</v>
      </c>
      <c r="AL1102" s="171">
        <v>0</v>
      </c>
      <c r="AM1102" s="137">
        <v>65</v>
      </c>
      <c r="AN1102" s="172">
        <v>0</v>
      </c>
      <c r="AO1102" s="137">
        <v>0</v>
      </c>
      <c r="AP1102" s="137">
        <v>0</v>
      </c>
      <c r="AQ1102" s="137">
        <v>0</v>
      </c>
      <c r="AR1102" s="137" t="s">
        <v>18</v>
      </c>
      <c r="AS1102" s="137" t="s">
        <v>18</v>
      </c>
      <c r="AT1102" s="161"/>
      <c r="AU1102" s="161"/>
      <c r="AV1102" s="161"/>
      <c r="AW1102" s="161"/>
      <c r="AX1102" s="161"/>
      <c r="AY1102" s="161"/>
      <c r="AZ1102" s="161"/>
      <c r="BA1102" s="161"/>
      <c r="BB1102" s="161"/>
      <c r="BC1102" s="161"/>
    </row>
    <row r="1103" spans="1:55" ht="15.75" customHeight="1" x14ac:dyDescent="0.25">
      <c r="A1103" s="128" t="e">
        <v>#VALUE!</v>
      </c>
      <c r="B1103" s="136" t="s">
        <v>14</v>
      </c>
      <c r="C1103" s="137"/>
      <c r="D1103" s="172"/>
      <c r="E1103" s="124"/>
      <c r="F1103" s="172"/>
      <c r="G1103" s="137">
        <v>0</v>
      </c>
      <c r="H1103" s="171" t="s">
        <v>18</v>
      </c>
      <c r="I1103" s="137" t="s">
        <v>18</v>
      </c>
      <c r="J1103" s="172" t="s">
        <v>18</v>
      </c>
      <c r="K1103" s="137" t="e">
        <v>#VALUE!</v>
      </c>
      <c r="L1103" s="172">
        <v>0</v>
      </c>
      <c r="M1103" s="172">
        <v>4</v>
      </c>
      <c r="N1103" s="172">
        <v>0</v>
      </c>
      <c r="O1103" s="137">
        <v>0</v>
      </c>
      <c r="P1103" s="137">
        <v>5</v>
      </c>
      <c r="Q1103" s="172">
        <v>0</v>
      </c>
      <c r="R1103" s="137">
        <v>4</v>
      </c>
      <c r="S1103" s="172">
        <v>0</v>
      </c>
      <c r="T1103" s="137">
        <v>0</v>
      </c>
      <c r="U1103" s="137">
        <v>0</v>
      </c>
      <c r="V1103" s="137">
        <v>1</v>
      </c>
      <c r="W1103" s="172">
        <v>0</v>
      </c>
      <c r="X1103" s="137">
        <v>0</v>
      </c>
      <c r="Y1103" s="137">
        <v>2</v>
      </c>
      <c r="Z1103" s="172">
        <v>0</v>
      </c>
      <c r="AA1103" s="137">
        <v>0</v>
      </c>
      <c r="AB1103" s="137">
        <v>0</v>
      </c>
      <c r="AC1103" s="137">
        <v>2</v>
      </c>
      <c r="AD1103" s="172">
        <v>0</v>
      </c>
      <c r="AE1103" s="137">
        <v>0</v>
      </c>
      <c r="AF1103" s="137">
        <v>0</v>
      </c>
      <c r="AG1103" s="137">
        <v>2</v>
      </c>
      <c r="AH1103" s="172">
        <v>0</v>
      </c>
      <c r="AI1103" s="137">
        <v>0</v>
      </c>
      <c r="AJ1103" s="137">
        <v>2</v>
      </c>
      <c r="AK1103" s="172">
        <v>0</v>
      </c>
      <c r="AL1103" s="171">
        <v>0</v>
      </c>
      <c r="AM1103" s="137">
        <v>0</v>
      </c>
      <c r="AN1103" s="172">
        <v>0</v>
      </c>
      <c r="AO1103" s="137">
        <v>0</v>
      </c>
      <c r="AP1103" s="137">
        <v>0</v>
      </c>
      <c r="AQ1103" s="137">
        <v>0</v>
      </c>
      <c r="AR1103" s="137" t="s">
        <v>18</v>
      </c>
      <c r="AS1103" s="137" t="s">
        <v>18</v>
      </c>
      <c r="AT1103" s="161"/>
      <c r="AU1103" s="161"/>
      <c r="AV1103" s="161"/>
      <c r="AW1103" s="161"/>
      <c r="AX1103" s="161"/>
      <c r="AY1103" s="161"/>
      <c r="AZ1103" s="161"/>
      <c r="BA1103" s="161"/>
      <c r="BB1103" s="161"/>
      <c r="BC1103" s="161"/>
    </row>
    <row r="1104" spans="1:55" ht="15.75" customHeight="1" x14ac:dyDescent="0.25">
      <c r="A1104" s="128" t="e">
        <v>#VALUE!</v>
      </c>
      <c r="B1104" s="136" t="s">
        <v>15</v>
      </c>
      <c r="C1104" s="137"/>
      <c r="D1104" s="172"/>
      <c r="E1104" s="124"/>
      <c r="F1104" s="172"/>
      <c r="G1104" s="137">
        <v>0</v>
      </c>
      <c r="H1104" s="171" t="s">
        <v>18</v>
      </c>
      <c r="I1104" s="137" t="s">
        <v>18</v>
      </c>
      <c r="J1104" s="172" t="s">
        <v>18</v>
      </c>
      <c r="K1104" s="137" t="e">
        <v>#VALUE!</v>
      </c>
      <c r="L1104" s="172" t="e">
        <v>#VALUE!</v>
      </c>
      <c r="M1104" s="172" t="e">
        <v>#VALUE!</v>
      </c>
      <c r="N1104" s="172" t="e">
        <v>#VALUE!</v>
      </c>
      <c r="O1104" s="137" t="e">
        <v>#VALUE!</v>
      </c>
      <c r="P1104" s="137" t="e">
        <v>#VALUE!</v>
      </c>
      <c r="Q1104" s="172">
        <v>0</v>
      </c>
      <c r="R1104" s="137">
        <v>3</v>
      </c>
      <c r="S1104" s="172">
        <v>0</v>
      </c>
      <c r="T1104" s="137">
        <v>0</v>
      </c>
      <c r="U1104" s="137">
        <v>0</v>
      </c>
      <c r="V1104" s="137">
        <v>1</v>
      </c>
      <c r="W1104" s="172">
        <v>0</v>
      </c>
      <c r="X1104" s="137">
        <v>0</v>
      </c>
      <c r="Y1104" s="137">
        <v>2</v>
      </c>
      <c r="Z1104" s="172">
        <v>0</v>
      </c>
      <c r="AA1104" s="137">
        <v>0</v>
      </c>
      <c r="AB1104" s="137">
        <v>0</v>
      </c>
      <c r="AC1104" s="137">
        <v>0</v>
      </c>
      <c r="AD1104" s="172">
        <v>0</v>
      </c>
      <c r="AE1104" s="137">
        <v>0</v>
      </c>
      <c r="AF1104" s="137">
        <v>0</v>
      </c>
      <c r="AG1104" s="137">
        <v>2</v>
      </c>
      <c r="AH1104" s="172">
        <v>0</v>
      </c>
      <c r="AI1104" s="137">
        <v>0</v>
      </c>
      <c r="AJ1104" s="137">
        <v>0</v>
      </c>
      <c r="AK1104" s="172">
        <v>0</v>
      </c>
      <c r="AL1104" s="171">
        <v>0</v>
      </c>
      <c r="AM1104" s="137">
        <v>0</v>
      </c>
      <c r="AN1104" s="172">
        <v>0</v>
      </c>
      <c r="AO1104" s="137">
        <v>0</v>
      </c>
      <c r="AP1104" s="137">
        <v>0</v>
      </c>
      <c r="AQ1104" s="137">
        <v>0</v>
      </c>
      <c r="AR1104" s="137" t="s">
        <v>18</v>
      </c>
      <c r="AS1104" s="137" t="s">
        <v>18</v>
      </c>
      <c r="AT1104" s="161"/>
      <c r="AU1104" s="161"/>
      <c r="AV1104" s="161"/>
      <c r="AW1104" s="161"/>
      <c r="AX1104" s="161"/>
      <c r="AY1104" s="161"/>
      <c r="AZ1104" s="161"/>
      <c r="BA1104" s="161"/>
      <c r="BB1104" s="161"/>
      <c r="BC1104" s="161"/>
    </row>
    <row r="1105" spans="1:55" ht="15.75" customHeight="1" x14ac:dyDescent="0.25">
      <c r="A1105" s="128" t="e">
        <v>#VALUE!</v>
      </c>
      <c r="B1105" s="136" t="s">
        <v>16</v>
      </c>
      <c r="C1105" s="137"/>
      <c r="D1105" s="172"/>
      <c r="E1105" s="124"/>
      <c r="F1105" s="172"/>
      <c r="G1105" s="137">
        <v>0</v>
      </c>
      <c r="H1105" s="171" t="s">
        <v>18</v>
      </c>
      <c r="I1105" s="137" t="s">
        <v>18</v>
      </c>
      <c r="J1105" s="172" t="s">
        <v>18</v>
      </c>
      <c r="K1105" s="137" t="e">
        <v>#VALUE!</v>
      </c>
      <c r="L1105" s="172" t="e">
        <v>#VALUE!</v>
      </c>
      <c r="M1105" s="172" t="e">
        <v>#VALUE!</v>
      </c>
      <c r="N1105" s="172" t="e">
        <v>#VALUE!</v>
      </c>
      <c r="O1105" s="137" t="e">
        <v>#VALUE!</v>
      </c>
      <c r="P1105" s="137" t="e">
        <v>#VALUE!</v>
      </c>
      <c r="Q1105" s="172">
        <v>0</v>
      </c>
      <c r="R1105" s="137">
        <v>2988</v>
      </c>
      <c r="S1105" s="172">
        <v>0</v>
      </c>
      <c r="T1105" s="137">
        <v>0</v>
      </c>
      <c r="U1105" s="137">
        <v>0</v>
      </c>
      <c r="V1105" s="137">
        <v>996</v>
      </c>
      <c r="W1105" s="172">
        <v>0</v>
      </c>
      <c r="X1105" s="137">
        <v>0</v>
      </c>
      <c r="Y1105" s="137">
        <v>1992</v>
      </c>
      <c r="Z1105" s="172">
        <v>0</v>
      </c>
      <c r="AA1105" s="137">
        <v>0</v>
      </c>
      <c r="AB1105" s="137">
        <v>0</v>
      </c>
      <c r="AC1105" s="137">
        <v>0</v>
      </c>
      <c r="AD1105" s="172">
        <v>0</v>
      </c>
      <c r="AE1105" s="137">
        <v>0</v>
      </c>
      <c r="AF1105" s="137">
        <v>0</v>
      </c>
      <c r="AG1105" s="137">
        <v>1992</v>
      </c>
      <c r="AH1105" s="172">
        <v>0</v>
      </c>
      <c r="AI1105" s="137">
        <v>0</v>
      </c>
      <c r="AJ1105" s="137">
        <v>0</v>
      </c>
      <c r="AK1105" s="172">
        <v>0</v>
      </c>
      <c r="AL1105" s="171">
        <v>0</v>
      </c>
      <c r="AM1105" s="137">
        <v>0</v>
      </c>
      <c r="AN1105" s="172">
        <v>0</v>
      </c>
      <c r="AO1105" s="137">
        <v>0</v>
      </c>
      <c r="AP1105" s="137">
        <v>0</v>
      </c>
      <c r="AQ1105" s="137">
        <v>0</v>
      </c>
      <c r="AR1105" s="137" t="s">
        <v>18</v>
      </c>
      <c r="AS1105" s="137" t="s">
        <v>18</v>
      </c>
      <c r="AT1105" s="161"/>
      <c r="AU1105" s="161"/>
      <c r="AV1105" s="161"/>
      <c r="AW1105" s="161"/>
      <c r="AX1105" s="161"/>
      <c r="AY1105" s="161"/>
      <c r="AZ1105" s="161"/>
      <c r="BA1105" s="161"/>
      <c r="BB1105" s="161"/>
      <c r="BC1105" s="161"/>
    </row>
    <row r="1106" spans="1:55" ht="15.75" customHeight="1" x14ac:dyDescent="0.25">
      <c r="A1106" s="138" t="e">
        <v>#VALUE!</v>
      </c>
      <c r="B1106" s="136" t="s">
        <v>17</v>
      </c>
      <c r="C1106" s="147"/>
      <c r="D1106" s="184"/>
      <c r="E1106" s="193"/>
      <c r="F1106" s="184"/>
      <c r="G1106" s="147" t="s">
        <v>18</v>
      </c>
      <c r="H1106" s="183" t="s">
        <v>18</v>
      </c>
      <c r="I1106" s="147" t="s">
        <v>18</v>
      </c>
      <c r="J1106" s="184" t="s">
        <v>18</v>
      </c>
      <c r="K1106" s="147" t="e">
        <v>#VALUE!</v>
      </c>
      <c r="L1106" s="184" t="e">
        <v>#VALUE!</v>
      </c>
      <c r="M1106" s="184" t="e">
        <v>#VALUE!</v>
      </c>
      <c r="N1106" s="184" t="e">
        <v>#VALUE!</v>
      </c>
      <c r="O1106" s="147" t="e">
        <v>#VALUE!</v>
      </c>
      <c r="P1106" s="147" t="e">
        <v>#VALUE!</v>
      </c>
      <c r="Q1106" s="184" t="s">
        <v>18</v>
      </c>
      <c r="R1106" s="147">
        <v>0.26442477876106196</v>
      </c>
      <c r="S1106" s="184" t="s">
        <v>18</v>
      </c>
      <c r="T1106" s="147" t="s">
        <v>18</v>
      </c>
      <c r="U1106" s="147" t="s">
        <v>18</v>
      </c>
      <c r="V1106" s="147">
        <v>4.6542056074766358E-2</v>
      </c>
      <c r="W1106" s="184" t="s">
        <v>18</v>
      </c>
      <c r="X1106" s="147" t="s">
        <v>18</v>
      </c>
      <c r="Y1106" s="147">
        <v>0.19529411764705881</v>
      </c>
      <c r="Z1106" s="184" t="s">
        <v>18</v>
      </c>
      <c r="AA1106" s="147" t="s">
        <v>18</v>
      </c>
      <c r="AB1106" s="147" t="s">
        <v>18</v>
      </c>
      <c r="AC1106" s="147" t="s">
        <v>18</v>
      </c>
      <c r="AD1106" s="184" t="s">
        <v>18</v>
      </c>
      <c r="AE1106" s="147" t="s">
        <v>18</v>
      </c>
      <c r="AF1106" s="147" t="s">
        <v>18</v>
      </c>
      <c r="AG1106" s="147">
        <v>8.9729729729729729E-2</v>
      </c>
      <c r="AH1106" s="184" t="s">
        <v>18</v>
      </c>
      <c r="AI1106" s="147" t="s">
        <v>18</v>
      </c>
      <c r="AJ1106" s="147" t="s">
        <v>18</v>
      </c>
      <c r="AK1106" s="184" t="s">
        <v>18</v>
      </c>
      <c r="AL1106" s="183" t="s">
        <v>18</v>
      </c>
      <c r="AM1106" s="147" t="s">
        <v>18</v>
      </c>
      <c r="AN1106" s="184" t="s">
        <v>18</v>
      </c>
      <c r="AO1106" s="147" t="s">
        <v>18</v>
      </c>
      <c r="AP1106" s="147" t="s">
        <v>18</v>
      </c>
      <c r="AQ1106" s="147" t="s">
        <v>18</v>
      </c>
      <c r="AR1106" s="147" t="s">
        <v>18</v>
      </c>
      <c r="AS1106" s="147" t="s">
        <v>18</v>
      </c>
      <c r="AT1106" s="161"/>
      <c r="AU1106" s="161"/>
      <c r="AV1106" s="161"/>
      <c r="AW1106" s="161"/>
      <c r="AX1106" s="161"/>
      <c r="AY1106" s="161"/>
      <c r="AZ1106" s="161"/>
      <c r="BA1106" s="161"/>
      <c r="BB1106" s="161"/>
      <c r="BC1106" s="161"/>
    </row>
    <row r="1107" spans="1:55" ht="15.75" customHeight="1" x14ac:dyDescent="0.25">
      <c r="A1107" s="149" t="s">
        <v>1</v>
      </c>
      <c r="B1107" s="150" t="s">
        <v>2</v>
      </c>
      <c r="C1107" s="130"/>
      <c r="D1107" s="175"/>
      <c r="E1107" s="130"/>
      <c r="F1107" s="175"/>
      <c r="G1107" s="130">
        <v>13280</v>
      </c>
      <c r="H1107" s="174" t="s">
        <v>18</v>
      </c>
      <c r="I1107" s="130" t="s">
        <v>18</v>
      </c>
      <c r="J1107" s="175" t="s">
        <v>18</v>
      </c>
      <c r="K1107" s="130">
        <v>13484</v>
      </c>
      <c r="L1107" s="175">
        <v>13539</v>
      </c>
      <c r="M1107" s="175">
        <v>13606</v>
      </c>
      <c r="N1107" s="175">
        <v>13606</v>
      </c>
      <c r="O1107" s="130">
        <v>13606</v>
      </c>
      <c r="P1107" s="130">
        <v>13691</v>
      </c>
      <c r="Q1107" s="175">
        <v>13691</v>
      </c>
      <c r="R1107" s="130">
        <v>13785</v>
      </c>
      <c r="S1107" s="175">
        <v>13785</v>
      </c>
      <c r="T1107" s="130">
        <v>13785</v>
      </c>
      <c r="U1107" s="130">
        <v>13785</v>
      </c>
      <c r="V1107" s="130">
        <v>13877</v>
      </c>
      <c r="W1107" s="175">
        <v>13877</v>
      </c>
      <c r="X1107" s="130">
        <v>13877</v>
      </c>
      <c r="Y1107" s="130">
        <v>14040</v>
      </c>
      <c r="Z1107" s="175">
        <v>14040</v>
      </c>
      <c r="AA1107" s="130">
        <v>14040</v>
      </c>
      <c r="AB1107" s="130">
        <v>14040</v>
      </c>
      <c r="AC1107" s="130">
        <v>14114</v>
      </c>
      <c r="AD1107" s="175">
        <v>14114</v>
      </c>
      <c r="AE1107" s="130">
        <v>14114</v>
      </c>
      <c r="AF1107" s="130">
        <v>14114</v>
      </c>
      <c r="AG1107" s="130">
        <v>14272</v>
      </c>
      <c r="AH1107" s="175">
        <v>14272</v>
      </c>
      <c r="AI1107" s="130">
        <v>14272</v>
      </c>
      <c r="AJ1107" s="130">
        <v>14366</v>
      </c>
      <c r="AK1107" s="175">
        <v>14400</v>
      </c>
      <c r="AL1107" s="174">
        <v>14400</v>
      </c>
      <c r="AM1107" s="130">
        <v>14555</v>
      </c>
      <c r="AN1107" s="175">
        <v>14555</v>
      </c>
      <c r="AO1107" s="130">
        <v>14555</v>
      </c>
      <c r="AP1107" s="130">
        <v>14555</v>
      </c>
      <c r="AQ1107" s="130">
        <v>14555</v>
      </c>
      <c r="AR1107" s="130" t="s">
        <v>18</v>
      </c>
      <c r="AS1107" s="130" t="s">
        <v>18</v>
      </c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</row>
    <row r="1108" spans="1:55" ht="15.75" customHeight="1" x14ac:dyDescent="0.25">
      <c r="A1108" s="121" t="s">
        <v>19</v>
      </c>
      <c r="B1108" s="122" t="s">
        <v>4</v>
      </c>
      <c r="C1108" s="124"/>
      <c r="D1108" s="172"/>
      <c r="E1108" s="124"/>
      <c r="F1108" s="172"/>
      <c r="G1108" s="124">
        <v>1018</v>
      </c>
      <c r="H1108" s="171" t="s">
        <v>18</v>
      </c>
      <c r="I1108" s="124" t="s">
        <v>18</v>
      </c>
      <c r="J1108" s="172" t="s">
        <v>18</v>
      </c>
      <c r="K1108" s="124">
        <v>1057</v>
      </c>
      <c r="L1108" s="172">
        <v>1070</v>
      </c>
      <c r="M1108" s="172">
        <v>1079</v>
      </c>
      <c r="N1108" s="172">
        <v>1079</v>
      </c>
      <c r="O1108" s="124">
        <v>1079</v>
      </c>
      <c r="P1108" s="124">
        <v>1089</v>
      </c>
      <c r="Q1108" s="172">
        <v>1089</v>
      </c>
      <c r="R1108" s="124">
        <v>1104</v>
      </c>
      <c r="S1108" s="172">
        <v>1104</v>
      </c>
      <c r="T1108" s="124">
        <v>1104</v>
      </c>
      <c r="U1108" s="124">
        <v>1104</v>
      </c>
      <c r="V1108" s="124">
        <v>1115</v>
      </c>
      <c r="W1108" s="172">
        <v>1115</v>
      </c>
      <c r="X1108" s="124">
        <v>1115</v>
      </c>
      <c r="Y1108" s="124">
        <v>1137</v>
      </c>
      <c r="Z1108" s="172">
        <v>1137</v>
      </c>
      <c r="AA1108" s="124">
        <v>1137</v>
      </c>
      <c r="AB1108" s="124">
        <v>1137</v>
      </c>
      <c r="AC1108" s="124">
        <v>1149</v>
      </c>
      <c r="AD1108" s="172">
        <v>1149</v>
      </c>
      <c r="AE1108" s="124">
        <v>1149</v>
      </c>
      <c r="AF1108" s="124">
        <v>1149</v>
      </c>
      <c r="AG1108" s="124">
        <v>1166</v>
      </c>
      <c r="AH1108" s="172">
        <v>1166</v>
      </c>
      <c r="AI1108" s="124">
        <v>1166</v>
      </c>
      <c r="AJ1108" s="124">
        <v>1181</v>
      </c>
      <c r="AK1108" s="172">
        <v>1186</v>
      </c>
      <c r="AL1108" s="171">
        <v>1186</v>
      </c>
      <c r="AM1108" s="124">
        <v>1198</v>
      </c>
      <c r="AN1108" s="172">
        <v>1198</v>
      </c>
      <c r="AO1108" s="124">
        <v>1198</v>
      </c>
      <c r="AP1108" s="124">
        <v>1198</v>
      </c>
      <c r="AQ1108" s="124">
        <v>1198</v>
      </c>
      <c r="AR1108" s="124" t="s">
        <v>18</v>
      </c>
      <c r="AS1108" s="124" t="s">
        <v>18</v>
      </c>
      <c r="AT1108" s="161"/>
      <c r="AU1108" s="161"/>
      <c r="AV1108" s="161"/>
      <c r="AW1108" s="161"/>
      <c r="AX1108" s="161"/>
      <c r="AY1108" s="161"/>
      <c r="AZ1108" s="161"/>
      <c r="BA1108" s="161"/>
      <c r="BB1108" s="161"/>
      <c r="BC1108" s="161"/>
    </row>
    <row r="1109" spans="1:55" ht="15.75" customHeight="1" x14ac:dyDescent="0.25">
      <c r="A1109" s="143">
        <v>4</v>
      </c>
      <c r="B1109" s="122" t="s">
        <v>5</v>
      </c>
      <c r="C1109" s="124"/>
      <c r="D1109" s="172"/>
      <c r="E1109" s="124"/>
      <c r="F1109" s="172"/>
      <c r="G1109" s="124">
        <v>65</v>
      </c>
      <c r="H1109" s="171" t="s">
        <v>18</v>
      </c>
      <c r="I1109" s="124" t="s">
        <v>18</v>
      </c>
      <c r="J1109" s="172" t="s">
        <v>18</v>
      </c>
      <c r="K1109" s="124">
        <v>50</v>
      </c>
      <c r="L1109" s="172">
        <v>47</v>
      </c>
      <c r="M1109" s="172">
        <v>38</v>
      </c>
      <c r="N1109" s="172">
        <v>53</v>
      </c>
      <c r="O1109" s="124">
        <v>53</v>
      </c>
      <c r="P1109" s="124">
        <v>43</v>
      </c>
      <c r="Q1109" s="172">
        <v>43</v>
      </c>
      <c r="R1109" s="124">
        <v>33</v>
      </c>
      <c r="S1109" s="172">
        <v>83</v>
      </c>
      <c r="T1109" s="124">
        <v>83</v>
      </c>
      <c r="U1109" s="124">
        <v>83</v>
      </c>
      <c r="V1109" s="124">
        <v>72</v>
      </c>
      <c r="W1109" s="172">
        <v>72</v>
      </c>
      <c r="X1109" s="124">
        <v>72</v>
      </c>
      <c r="Y1109" s="124">
        <v>52</v>
      </c>
      <c r="Z1109" s="172">
        <v>72</v>
      </c>
      <c r="AA1109" s="124">
        <v>72</v>
      </c>
      <c r="AB1109" s="124">
        <v>72</v>
      </c>
      <c r="AC1109" s="124">
        <v>60</v>
      </c>
      <c r="AD1109" s="172">
        <v>80</v>
      </c>
      <c r="AE1109" s="124">
        <v>80</v>
      </c>
      <c r="AF1109" s="124">
        <v>80</v>
      </c>
      <c r="AG1109" s="124">
        <v>63</v>
      </c>
      <c r="AH1109" s="172">
        <v>63</v>
      </c>
      <c r="AI1109" s="124">
        <v>63</v>
      </c>
      <c r="AJ1109" s="124">
        <v>50</v>
      </c>
      <c r="AK1109" s="172">
        <v>75</v>
      </c>
      <c r="AL1109" s="171">
        <v>75</v>
      </c>
      <c r="AM1109" s="124">
        <v>63</v>
      </c>
      <c r="AN1109" s="172">
        <v>63</v>
      </c>
      <c r="AO1109" s="124">
        <v>63</v>
      </c>
      <c r="AP1109" s="124">
        <v>63</v>
      </c>
      <c r="AQ1109" s="124">
        <v>63</v>
      </c>
      <c r="AR1109" s="124" t="s">
        <v>18</v>
      </c>
      <c r="AS1109" s="124" t="s">
        <v>18</v>
      </c>
      <c r="AT1109" s="161"/>
      <c r="AU1109" s="161"/>
      <c r="AV1109" s="161"/>
      <c r="AW1109" s="161"/>
      <c r="AX1109" s="161"/>
      <c r="AY1109" s="161"/>
      <c r="AZ1109" s="161"/>
      <c r="BA1109" s="161"/>
      <c r="BB1109" s="161"/>
      <c r="BC1109" s="161"/>
    </row>
    <row r="1110" spans="1:55" ht="15.75" customHeight="1" x14ac:dyDescent="0.25">
      <c r="A1110" s="127"/>
      <c r="B1110" s="122" t="s">
        <v>6</v>
      </c>
      <c r="C1110" s="124"/>
      <c r="D1110" s="172"/>
      <c r="E1110" s="124"/>
      <c r="F1110" s="172"/>
      <c r="G1110" s="124">
        <v>10</v>
      </c>
      <c r="H1110" s="171"/>
      <c r="I1110" s="124"/>
      <c r="J1110" s="172"/>
      <c r="K1110" s="124"/>
      <c r="L1110" s="172"/>
      <c r="M1110" s="172">
        <v>15</v>
      </c>
      <c r="N1110" s="172"/>
      <c r="O1110" s="124"/>
      <c r="P1110" s="124"/>
      <c r="Q1110" s="172"/>
      <c r="R1110" s="124">
        <v>50</v>
      </c>
      <c r="S1110" s="172"/>
      <c r="T1110" s="124"/>
      <c r="U1110" s="124"/>
      <c r="V1110" s="124"/>
      <c r="W1110" s="172"/>
      <c r="X1110" s="124"/>
      <c r="Y1110" s="124">
        <v>20</v>
      </c>
      <c r="Z1110" s="172"/>
      <c r="AA1110" s="124"/>
      <c r="AB1110" s="124"/>
      <c r="AC1110" s="124">
        <v>20</v>
      </c>
      <c r="AD1110" s="172"/>
      <c r="AE1110" s="124"/>
      <c r="AF1110" s="124"/>
      <c r="AG1110" s="124"/>
      <c r="AH1110" s="172"/>
      <c r="AI1110" s="124"/>
      <c r="AJ1110" s="124">
        <v>30</v>
      </c>
      <c r="AK1110" s="172"/>
      <c r="AL1110" s="171"/>
      <c r="AM1110" s="124"/>
      <c r="AN1110" s="172"/>
      <c r="AO1110" s="124"/>
      <c r="AP1110" s="124"/>
      <c r="AQ1110" s="124"/>
      <c r="AR1110" s="124"/>
      <c r="AS1110" s="124"/>
      <c r="AT1110" s="161"/>
      <c r="AU1110" s="161"/>
      <c r="AV1110" s="161"/>
      <c r="AW1110" s="161"/>
      <c r="AX1110" s="161"/>
      <c r="AY1110" s="161"/>
      <c r="AZ1110" s="161"/>
      <c r="BA1110" s="161"/>
      <c r="BB1110" s="161"/>
      <c r="BC1110" s="161"/>
    </row>
    <row r="1111" spans="1:55" ht="15.75" customHeight="1" x14ac:dyDescent="0.25">
      <c r="A1111" s="128"/>
      <c r="B1111" s="122" t="s">
        <v>8</v>
      </c>
      <c r="C1111" s="130"/>
      <c r="D1111" s="175"/>
      <c r="E1111" s="130"/>
      <c r="F1111" s="175"/>
      <c r="G1111" s="130">
        <v>200</v>
      </c>
      <c r="H1111" s="174" t="s">
        <v>18</v>
      </c>
      <c r="I1111" s="130" t="s">
        <v>18</v>
      </c>
      <c r="J1111" s="175" t="s">
        <v>18</v>
      </c>
      <c r="K1111" s="130" t="s">
        <v>18</v>
      </c>
      <c r="L1111" s="175" t="s">
        <v>18</v>
      </c>
      <c r="M1111" s="175" t="s">
        <v>18</v>
      </c>
      <c r="N1111" s="175" t="s">
        <v>18</v>
      </c>
      <c r="O1111" s="130" t="s">
        <v>18</v>
      </c>
      <c r="P1111" s="130" t="s">
        <v>18</v>
      </c>
      <c r="Q1111" s="175" t="s">
        <v>18</v>
      </c>
      <c r="R1111" s="130" t="s">
        <v>18</v>
      </c>
      <c r="S1111" s="175" t="s">
        <v>18</v>
      </c>
      <c r="T1111" s="130" t="s">
        <v>18</v>
      </c>
      <c r="U1111" s="130" t="s">
        <v>18</v>
      </c>
      <c r="V1111" s="130" t="s">
        <v>18</v>
      </c>
      <c r="W1111" s="175" t="s">
        <v>18</v>
      </c>
      <c r="X1111" s="130" t="s">
        <v>18</v>
      </c>
      <c r="Y1111" s="130" t="s">
        <v>18</v>
      </c>
      <c r="Z1111" s="175" t="s">
        <v>18</v>
      </c>
      <c r="AA1111" s="130" t="s">
        <v>18</v>
      </c>
      <c r="AB1111" s="130" t="s">
        <v>18</v>
      </c>
      <c r="AC1111" s="130" t="s">
        <v>18</v>
      </c>
      <c r="AD1111" s="175" t="s">
        <v>18</v>
      </c>
      <c r="AE1111" s="130" t="s">
        <v>18</v>
      </c>
      <c r="AF1111" s="130" t="s">
        <v>18</v>
      </c>
      <c r="AG1111" s="130" t="s">
        <v>18</v>
      </c>
      <c r="AH1111" s="175" t="s">
        <v>18</v>
      </c>
      <c r="AI1111" s="130" t="s">
        <v>18</v>
      </c>
      <c r="AJ1111" s="130" t="s">
        <v>18</v>
      </c>
      <c r="AK1111" s="175" t="s">
        <v>18</v>
      </c>
      <c r="AL1111" s="174" t="s">
        <v>18</v>
      </c>
      <c r="AM1111" s="130" t="s">
        <v>18</v>
      </c>
      <c r="AN1111" s="175" t="s">
        <v>18</v>
      </c>
      <c r="AO1111" s="130" t="s">
        <v>18</v>
      </c>
      <c r="AP1111" s="130" t="s">
        <v>18</v>
      </c>
      <c r="AQ1111" s="130" t="s">
        <v>18</v>
      </c>
      <c r="AR1111" s="130" t="s">
        <v>18</v>
      </c>
      <c r="AS1111" s="130" t="s">
        <v>18</v>
      </c>
      <c r="AT1111" s="161"/>
      <c r="AU1111" s="161"/>
      <c r="AV1111" s="161"/>
      <c r="AW1111" s="161"/>
      <c r="AX1111" s="161"/>
      <c r="AY1111" s="161"/>
      <c r="AZ1111" s="161"/>
      <c r="BA1111" s="161"/>
      <c r="BB1111" s="161"/>
      <c r="BC1111" s="161"/>
    </row>
    <row r="1112" spans="1:55" ht="15.75" customHeight="1" x14ac:dyDescent="0.25">
      <c r="A1112" s="127" t="s">
        <v>9</v>
      </c>
      <c r="B1112" s="132" t="s">
        <v>10</v>
      </c>
      <c r="C1112" s="134"/>
      <c r="D1112" s="178"/>
      <c r="E1112" s="134"/>
      <c r="F1112" s="178"/>
      <c r="G1112" s="134" t="s">
        <v>160</v>
      </c>
      <c r="H1112" s="177" t="s">
        <v>18</v>
      </c>
      <c r="I1112" s="134" t="s">
        <v>18</v>
      </c>
      <c r="J1112" s="178" t="s">
        <v>18</v>
      </c>
      <c r="K1112" s="134" t="s">
        <v>18</v>
      </c>
      <c r="L1112" s="178" t="s">
        <v>18</v>
      </c>
      <c r="M1112" s="178" t="s">
        <v>18</v>
      </c>
      <c r="N1112" s="178" t="s">
        <v>18</v>
      </c>
      <c r="O1112" s="134" t="s">
        <v>18</v>
      </c>
      <c r="P1112" s="134" t="s">
        <v>18</v>
      </c>
      <c r="Q1112" s="178" t="s">
        <v>18</v>
      </c>
      <c r="R1112" s="134" t="s">
        <v>18</v>
      </c>
      <c r="S1112" s="178" t="s">
        <v>18</v>
      </c>
      <c r="T1112" s="134" t="s">
        <v>18</v>
      </c>
      <c r="U1112" s="134" t="s">
        <v>18</v>
      </c>
      <c r="V1112" s="134" t="s">
        <v>18</v>
      </c>
      <c r="W1112" s="178" t="s">
        <v>18</v>
      </c>
      <c r="X1112" s="134" t="s">
        <v>18</v>
      </c>
      <c r="Y1112" s="134" t="s">
        <v>18</v>
      </c>
      <c r="Z1112" s="178" t="s">
        <v>18</v>
      </c>
      <c r="AA1112" s="134" t="s">
        <v>18</v>
      </c>
      <c r="AB1112" s="134" t="s">
        <v>18</v>
      </c>
      <c r="AC1112" s="134" t="s">
        <v>18</v>
      </c>
      <c r="AD1112" s="178" t="s">
        <v>18</v>
      </c>
      <c r="AE1112" s="134" t="s">
        <v>18</v>
      </c>
      <c r="AF1112" s="134" t="s">
        <v>18</v>
      </c>
      <c r="AG1112" s="134" t="s">
        <v>18</v>
      </c>
      <c r="AH1112" s="178" t="s">
        <v>18</v>
      </c>
      <c r="AI1112" s="134" t="s">
        <v>18</v>
      </c>
      <c r="AJ1112" s="134" t="s">
        <v>18</v>
      </c>
      <c r="AK1112" s="178" t="s">
        <v>18</v>
      </c>
      <c r="AL1112" s="177" t="s">
        <v>18</v>
      </c>
      <c r="AM1112" s="134" t="s">
        <v>18</v>
      </c>
      <c r="AN1112" s="178" t="s">
        <v>18</v>
      </c>
      <c r="AO1112" s="134" t="s">
        <v>18</v>
      </c>
      <c r="AP1112" s="134" t="s">
        <v>18</v>
      </c>
      <c r="AQ1112" s="134" t="s">
        <v>18</v>
      </c>
      <c r="AR1112" s="134" t="s">
        <v>18</v>
      </c>
      <c r="AS1112" s="134" t="s">
        <v>18</v>
      </c>
      <c r="AT1112" s="189"/>
      <c r="AU1112" s="189"/>
      <c r="AV1112" s="189"/>
      <c r="AW1112" s="189"/>
      <c r="AX1112" s="189"/>
      <c r="AY1112" s="189"/>
      <c r="AZ1112" s="189"/>
      <c r="BA1112" s="189"/>
      <c r="BB1112" s="189"/>
      <c r="BC1112" s="189"/>
    </row>
    <row r="1113" spans="1:55" ht="15.75" customHeight="1" x14ac:dyDescent="0.25">
      <c r="A1113" s="128" t="e">
        <v>#VALUE!</v>
      </c>
      <c r="B1113" s="122" t="s">
        <v>12</v>
      </c>
      <c r="C1113" s="124"/>
      <c r="D1113" s="172"/>
      <c r="E1113" s="124"/>
      <c r="F1113" s="172"/>
      <c r="G1113" s="124"/>
      <c r="H1113" s="171"/>
      <c r="I1113" s="124"/>
      <c r="J1113" s="172"/>
      <c r="K1113" s="124"/>
      <c r="L1113" s="172"/>
      <c r="M1113" s="172"/>
      <c r="N1113" s="172"/>
      <c r="O1113" s="124"/>
      <c r="P1113" s="124"/>
      <c r="Q1113" s="172"/>
      <c r="R1113" s="124"/>
      <c r="S1113" s="172"/>
      <c r="T1113" s="124"/>
      <c r="U1113" s="124"/>
      <c r="V1113" s="124"/>
      <c r="W1113" s="172"/>
      <c r="X1113" s="124"/>
      <c r="Y1113" s="124"/>
      <c r="Z1113" s="172"/>
      <c r="AA1113" s="124"/>
      <c r="AB1113" s="124"/>
      <c r="AC1113" s="124"/>
      <c r="AD1113" s="172"/>
      <c r="AE1113" s="124"/>
      <c r="AF1113" s="124"/>
      <c r="AG1113" s="124"/>
      <c r="AH1113" s="172"/>
      <c r="AI1113" s="124"/>
      <c r="AJ1113" s="124"/>
      <c r="AK1113" s="172"/>
      <c r="AL1113" s="171"/>
      <c r="AM1113" s="124"/>
      <c r="AN1113" s="172"/>
      <c r="AO1113" s="124"/>
      <c r="AP1113" s="124"/>
      <c r="AQ1113" s="124"/>
      <c r="AR1113" s="124"/>
      <c r="AS1113" s="124"/>
      <c r="AT1113" s="161"/>
      <c r="AU1113" s="161"/>
      <c r="AV1113" s="161"/>
      <c r="AW1113" s="161"/>
      <c r="AX1113" s="161"/>
      <c r="AY1113" s="161"/>
      <c r="AZ1113" s="161"/>
      <c r="BA1113" s="161"/>
      <c r="BB1113" s="161"/>
      <c r="BC1113" s="161"/>
    </row>
    <row r="1114" spans="1:55" ht="15.75" customHeight="1" x14ac:dyDescent="0.25">
      <c r="A1114" s="128" t="e">
        <v>#VALUE!</v>
      </c>
      <c r="B1114" s="136" t="s">
        <v>13</v>
      </c>
      <c r="C1114" s="137"/>
      <c r="D1114" s="172"/>
      <c r="E1114" s="124"/>
      <c r="F1114" s="172"/>
      <c r="G1114" s="137">
        <v>0</v>
      </c>
      <c r="H1114" s="171" t="s">
        <v>18</v>
      </c>
      <c r="I1114" s="137" t="s">
        <v>18</v>
      </c>
      <c r="J1114" s="172" t="s">
        <v>18</v>
      </c>
      <c r="K1114" s="137" t="e">
        <v>#VALUE!</v>
      </c>
      <c r="L1114" s="172">
        <v>55</v>
      </c>
      <c r="M1114" s="172">
        <v>67</v>
      </c>
      <c r="N1114" s="172">
        <v>0</v>
      </c>
      <c r="O1114" s="137">
        <v>0</v>
      </c>
      <c r="P1114" s="137">
        <v>85</v>
      </c>
      <c r="Q1114" s="172">
        <v>0</v>
      </c>
      <c r="R1114" s="137">
        <v>94</v>
      </c>
      <c r="S1114" s="172">
        <v>0</v>
      </c>
      <c r="T1114" s="137">
        <v>0</v>
      </c>
      <c r="U1114" s="137">
        <v>0</v>
      </c>
      <c r="V1114" s="137">
        <v>92</v>
      </c>
      <c r="W1114" s="172">
        <v>0</v>
      </c>
      <c r="X1114" s="137">
        <v>0</v>
      </c>
      <c r="Y1114" s="137">
        <v>163</v>
      </c>
      <c r="Z1114" s="172">
        <v>0</v>
      </c>
      <c r="AA1114" s="137">
        <v>0</v>
      </c>
      <c r="AB1114" s="137">
        <v>0</v>
      </c>
      <c r="AC1114" s="137">
        <v>74</v>
      </c>
      <c r="AD1114" s="172">
        <v>0</v>
      </c>
      <c r="AE1114" s="137">
        <v>0</v>
      </c>
      <c r="AF1114" s="137">
        <v>0</v>
      </c>
      <c r="AG1114" s="137">
        <v>158</v>
      </c>
      <c r="AH1114" s="172">
        <v>0</v>
      </c>
      <c r="AI1114" s="137">
        <v>0</v>
      </c>
      <c r="AJ1114" s="137">
        <v>94</v>
      </c>
      <c r="AK1114" s="172">
        <v>34</v>
      </c>
      <c r="AL1114" s="171">
        <v>0</v>
      </c>
      <c r="AM1114" s="137">
        <v>155</v>
      </c>
      <c r="AN1114" s="172">
        <v>0</v>
      </c>
      <c r="AO1114" s="137">
        <v>0</v>
      </c>
      <c r="AP1114" s="137">
        <v>0</v>
      </c>
      <c r="AQ1114" s="137">
        <v>0</v>
      </c>
      <c r="AR1114" s="137" t="s">
        <v>18</v>
      </c>
      <c r="AS1114" s="137" t="s">
        <v>18</v>
      </c>
      <c r="AT1114" s="161"/>
      <c r="AU1114" s="161"/>
      <c r="AV1114" s="161"/>
      <c r="AW1114" s="161"/>
      <c r="AX1114" s="161"/>
      <c r="AY1114" s="161"/>
      <c r="AZ1114" s="161"/>
      <c r="BA1114" s="161"/>
      <c r="BB1114" s="161"/>
      <c r="BC1114" s="161"/>
    </row>
    <row r="1115" spans="1:55" ht="15.75" customHeight="1" x14ac:dyDescent="0.25">
      <c r="A1115" s="128" t="e">
        <v>#VALUE!</v>
      </c>
      <c r="B1115" s="136" t="s">
        <v>14</v>
      </c>
      <c r="C1115" s="137"/>
      <c r="D1115" s="172"/>
      <c r="E1115" s="124"/>
      <c r="F1115" s="172"/>
      <c r="G1115" s="137">
        <v>0</v>
      </c>
      <c r="H1115" s="171" t="s">
        <v>18</v>
      </c>
      <c r="I1115" s="137" t="s">
        <v>18</v>
      </c>
      <c r="J1115" s="172" t="s">
        <v>18</v>
      </c>
      <c r="K1115" s="137" t="e">
        <v>#VALUE!</v>
      </c>
      <c r="L1115" s="172">
        <v>13</v>
      </c>
      <c r="M1115" s="172">
        <v>9</v>
      </c>
      <c r="N1115" s="172">
        <v>0</v>
      </c>
      <c r="O1115" s="137">
        <v>0</v>
      </c>
      <c r="P1115" s="137">
        <v>10</v>
      </c>
      <c r="Q1115" s="172">
        <v>0</v>
      </c>
      <c r="R1115" s="137">
        <v>15</v>
      </c>
      <c r="S1115" s="172">
        <v>0</v>
      </c>
      <c r="T1115" s="137">
        <v>0</v>
      </c>
      <c r="U1115" s="137">
        <v>0</v>
      </c>
      <c r="V1115" s="137">
        <v>11</v>
      </c>
      <c r="W1115" s="172">
        <v>0</v>
      </c>
      <c r="X1115" s="137">
        <v>0</v>
      </c>
      <c r="Y1115" s="137">
        <v>22</v>
      </c>
      <c r="Z1115" s="172">
        <v>0</v>
      </c>
      <c r="AA1115" s="137">
        <v>0</v>
      </c>
      <c r="AB1115" s="137">
        <v>0</v>
      </c>
      <c r="AC1115" s="137">
        <v>12</v>
      </c>
      <c r="AD1115" s="172">
        <v>0</v>
      </c>
      <c r="AE1115" s="137">
        <v>0</v>
      </c>
      <c r="AF1115" s="137">
        <v>0</v>
      </c>
      <c r="AG1115" s="137">
        <v>17</v>
      </c>
      <c r="AH1115" s="172">
        <v>0</v>
      </c>
      <c r="AI1115" s="137">
        <v>0</v>
      </c>
      <c r="AJ1115" s="137">
        <v>15</v>
      </c>
      <c r="AK1115" s="172">
        <v>5</v>
      </c>
      <c r="AL1115" s="171">
        <v>0</v>
      </c>
      <c r="AM1115" s="137">
        <v>12</v>
      </c>
      <c r="AN1115" s="172">
        <v>0</v>
      </c>
      <c r="AO1115" s="137">
        <v>0</v>
      </c>
      <c r="AP1115" s="137">
        <v>0</v>
      </c>
      <c r="AQ1115" s="137">
        <v>0</v>
      </c>
      <c r="AR1115" s="137" t="s">
        <v>18</v>
      </c>
      <c r="AS1115" s="137" t="s">
        <v>18</v>
      </c>
      <c r="AT1115" s="161"/>
      <c r="AU1115" s="161"/>
      <c r="AV1115" s="161"/>
      <c r="AW1115" s="161"/>
      <c r="AX1115" s="161"/>
      <c r="AY1115" s="161"/>
      <c r="AZ1115" s="161"/>
      <c r="BA1115" s="161"/>
      <c r="BB1115" s="161"/>
      <c r="BC1115" s="161"/>
    </row>
    <row r="1116" spans="1:55" ht="15.75" customHeight="1" x14ac:dyDescent="0.25">
      <c r="A1116" s="128" t="e">
        <v>#VALUE!</v>
      </c>
      <c r="B1116" s="136" t="s">
        <v>15</v>
      </c>
      <c r="C1116" s="137"/>
      <c r="D1116" s="172"/>
      <c r="E1116" s="124"/>
      <c r="F1116" s="172"/>
      <c r="G1116" s="137">
        <v>10</v>
      </c>
      <c r="H1116" s="171" t="s">
        <v>18</v>
      </c>
      <c r="I1116" s="137" t="s">
        <v>18</v>
      </c>
      <c r="J1116" s="172" t="s">
        <v>18</v>
      </c>
      <c r="K1116" s="137" t="e">
        <v>#VALUE!</v>
      </c>
      <c r="L1116" s="172">
        <v>3</v>
      </c>
      <c r="M1116" s="172">
        <v>9</v>
      </c>
      <c r="N1116" s="172">
        <v>0</v>
      </c>
      <c r="O1116" s="137">
        <v>0</v>
      </c>
      <c r="P1116" s="137">
        <v>10</v>
      </c>
      <c r="Q1116" s="172">
        <v>0</v>
      </c>
      <c r="R1116" s="137">
        <v>10</v>
      </c>
      <c r="S1116" s="172">
        <v>0</v>
      </c>
      <c r="T1116" s="137">
        <v>0</v>
      </c>
      <c r="U1116" s="137">
        <v>0</v>
      </c>
      <c r="V1116" s="137">
        <v>11</v>
      </c>
      <c r="W1116" s="172">
        <v>0</v>
      </c>
      <c r="X1116" s="137">
        <v>0</v>
      </c>
      <c r="Y1116" s="137">
        <v>20</v>
      </c>
      <c r="Z1116" s="172">
        <v>0</v>
      </c>
      <c r="AA1116" s="137">
        <v>0</v>
      </c>
      <c r="AB1116" s="137">
        <v>0</v>
      </c>
      <c r="AC1116" s="137">
        <v>12</v>
      </c>
      <c r="AD1116" s="172">
        <v>0</v>
      </c>
      <c r="AE1116" s="137">
        <v>0</v>
      </c>
      <c r="AF1116" s="137">
        <v>0</v>
      </c>
      <c r="AG1116" s="137">
        <v>17</v>
      </c>
      <c r="AH1116" s="172">
        <v>0</v>
      </c>
      <c r="AI1116" s="137">
        <v>0</v>
      </c>
      <c r="AJ1116" s="137">
        <v>13</v>
      </c>
      <c r="AK1116" s="172">
        <v>5</v>
      </c>
      <c r="AL1116" s="171">
        <v>0</v>
      </c>
      <c r="AM1116" s="137">
        <v>12</v>
      </c>
      <c r="AN1116" s="172">
        <v>0</v>
      </c>
      <c r="AO1116" s="137">
        <v>0</v>
      </c>
      <c r="AP1116" s="137">
        <v>0</v>
      </c>
      <c r="AQ1116" s="137">
        <v>0</v>
      </c>
      <c r="AR1116" s="137" t="s">
        <v>18</v>
      </c>
      <c r="AS1116" s="137" t="s">
        <v>18</v>
      </c>
      <c r="AT1116" s="161"/>
      <c r="AU1116" s="161"/>
      <c r="AV1116" s="161"/>
      <c r="AW1116" s="161"/>
      <c r="AX1116" s="161"/>
      <c r="AY1116" s="161"/>
      <c r="AZ1116" s="161"/>
      <c r="BA1116" s="161"/>
      <c r="BB1116" s="161"/>
      <c r="BC1116" s="161"/>
    </row>
    <row r="1117" spans="1:55" ht="15.75" customHeight="1" x14ac:dyDescent="0.25">
      <c r="A1117" s="128" t="e">
        <v>#VALUE!</v>
      </c>
      <c r="B1117" s="136" t="s">
        <v>16</v>
      </c>
      <c r="C1117" s="137"/>
      <c r="D1117" s="172"/>
      <c r="E1117" s="124"/>
      <c r="F1117" s="172"/>
      <c r="G1117" s="137">
        <v>2000</v>
      </c>
      <c r="H1117" s="171" t="s">
        <v>18</v>
      </c>
      <c r="I1117" s="137" t="s">
        <v>18</v>
      </c>
      <c r="J1117" s="172" t="s">
        <v>18</v>
      </c>
      <c r="K1117" s="137" t="e">
        <v>#VALUE!</v>
      </c>
      <c r="L1117" s="172" t="e">
        <v>#VALUE!</v>
      </c>
      <c r="M1117" s="172" t="e">
        <v>#VALUE!</v>
      </c>
      <c r="N1117" s="172" t="e">
        <v>#VALUE!</v>
      </c>
      <c r="O1117" s="137" t="e">
        <v>#VALUE!</v>
      </c>
      <c r="P1117" s="137" t="e">
        <v>#VALUE!</v>
      </c>
      <c r="Q1117" s="172" t="e">
        <v>#VALUE!</v>
      </c>
      <c r="R1117" s="137" t="e">
        <v>#VALUE!</v>
      </c>
      <c r="S1117" s="172" t="e">
        <v>#VALUE!</v>
      </c>
      <c r="T1117" s="137" t="e">
        <v>#VALUE!</v>
      </c>
      <c r="U1117" s="137" t="e">
        <v>#VALUE!</v>
      </c>
      <c r="V1117" s="137" t="e">
        <v>#VALUE!</v>
      </c>
      <c r="W1117" s="172" t="e">
        <v>#VALUE!</v>
      </c>
      <c r="X1117" s="137" t="e">
        <v>#VALUE!</v>
      </c>
      <c r="Y1117" s="137" t="e">
        <v>#VALUE!</v>
      </c>
      <c r="Z1117" s="172" t="e">
        <v>#VALUE!</v>
      </c>
      <c r="AA1117" s="137" t="e">
        <v>#VALUE!</v>
      </c>
      <c r="AB1117" s="137" t="e">
        <v>#VALUE!</v>
      </c>
      <c r="AC1117" s="137" t="e">
        <v>#VALUE!</v>
      </c>
      <c r="AD1117" s="172" t="e">
        <v>#VALUE!</v>
      </c>
      <c r="AE1117" s="137" t="e">
        <v>#VALUE!</v>
      </c>
      <c r="AF1117" s="137" t="e">
        <v>#VALUE!</v>
      </c>
      <c r="AG1117" s="137" t="e">
        <v>#VALUE!</v>
      </c>
      <c r="AH1117" s="172" t="e">
        <v>#VALUE!</v>
      </c>
      <c r="AI1117" s="137" t="e">
        <v>#VALUE!</v>
      </c>
      <c r="AJ1117" s="137" t="e">
        <v>#VALUE!</v>
      </c>
      <c r="AK1117" s="172" t="e">
        <v>#VALUE!</v>
      </c>
      <c r="AL1117" s="171" t="e">
        <v>#VALUE!</v>
      </c>
      <c r="AM1117" s="137" t="e">
        <v>#VALUE!</v>
      </c>
      <c r="AN1117" s="172" t="e">
        <v>#VALUE!</v>
      </c>
      <c r="AO1117" s="137" t="e">
        <v>#VALUE!</v>
      </c>
      <c r="AP1117" s="137" t="e">
        <v>#VALUE!</v>
      </c>
      <c r="AQ1117" s="137" t="e">
        <v>#VALUE!</v>
      </c>
      <c r="AR1117" s="137" t="s">
        <v>18</v>
      </c>
      <c r="AS1117" s="137" t="s">
        <v>18</v>
      </c>
      <c r="AT1117" s="161"/>
      <c r="AU1117" s="161"/>
      <c r="AV1117" s="161"/>
      <c r="AW1117" s="161"/>
      <c r="AX1117" s="161"/>
      <c r="AY1117" s="161"/>
      <c r="AZ1117" s="161"/>
      <c r="BA1117" s="161"/>
      <c r="BB1117" s="161"/>
      <c r="BC1117" s="161"/>
    </row>
    <row r="1118" spans="1:55" ht="15.75" customHeight="1" x14ac:dyDescent="0.25">
      <c r="A1118" s="138" t="e">
        <v>#VALUE!</v>
      </c>
      <c r="B1118" s="139" t="s">
        <v>17</v>
      </c>
      <c r="C1118" s="141"/>
      <c r="D1118" s="181"/>
      <c r="E1118" s="192"/>
      <c r="F1118" s="181"/>
      <c r="G1118" s="141" t="e">
        <v>#DIV/0!</v>
      </c>
      <c r="H1118" s="180" t="s">
        <v>18</v>
      </c>
      <c r="I1118" s="141" t="s">
        <v>18</v>
      </c>
      <c r="J1118" s="181" t="s">
        <v>18</v>
      </c>
      <c r="K1118" s="141" t="e">
        <v>#VALUE!</v>
      </c>
      <c r="L1118" s="181" t="e">
        <v>#VALUE!</v>
      </c>
      <c r="M1118" s="181" t="e">
        <v>#VALUE!</v>
      </c>
      <c r="N1118" s="181" t="e">
        <v>#VALUE!</v>
      </c>
      <c r="O1118" s="141" t="e">
        <v>#VALUE!</v>
      </c>
      <c r="P1118" s="141" t="e">
        <v>#VALUE!</v>
      </c>
      <c r="Q1118" s="181" t="e">
        <v>#VALUE!</v>
      </c>
      <c r="R1118" s="141" t="e">
        <v>#VALUE!</v>
      </c>
      <c r="S1118" s="181" t="e">
        <v>#VALUE!</v>
      </c>
      <c r="T1118" s="141" t="e">
        <v>#VALUE!</v>
      </c>
      <c r="U1118" s="141" t="e">
        <v>#VALUE!</v>
      </c>
      <c r="V1118" s="141" t="e">
        <v>#VALUE!</v>
      </c>
      <c r="W1118" s="181" t="e">
        <v>#VALUE!</v>
      </c>
      <c r="X1118" s="141" t="e">
        <v>#VALUE!</v>
      </c>
      <c r="Y1118" s="141" t="e">
        <v>#VALUE!</v>
      </c>
      <c r="Z1118" s="181" t="e">
        <v>#VALUE!</v>
      </c>
      <c r="AA1118" s="141" t="e">
        <v>#VALUE!</v>
      </c>
      <c r="AB1118" s="141" t="e">
        <v>#VALUE!</v>
      </c>
      <c r="AC1118" s="141" t="e">
        <v>#VALUE!</v>
      </c>
      <c r="AD1118" s="181" t="e">
        <v>#VALUE!</v>
      </c>
      <c r="AE1118" s="141" t="e">
        <v>#VALUE!</v>
      </c>
      <c r="AF1118" s="141" t="e">
        <v>#VALUE!</v>
      </c>
      <c r="AG1118" s="141" t="e">
        <v>#VALUE!</v>
      </c>
      <c r="AH1118" s="181" t="e">
        <v>#VALUE!</v>
      </c>
      <c r="AI1118" s="141" t="e">
        <v>#VALUE!</v>
      </c>
      <c r="AJ1118" s="141" t="e">
        <v>#VALUE!</v>
      </c>
      <c r="AK1118" s="181" t="e">
        <v>#VALUE!</v>
      </c>
      <c r="AL1118" s="180" t="e">
        <v>#VALUE!</v>
      </c>
      <c r="AM1118" s="141" t="e">
        <v>#VALUE!</v>
      </c>
      <c r="AN1118" s="181" t="e">
        <v>#VALUE!</v>
      </c>
      <c r="AO1118" s="141" t="e">
        <v>#VALUE!</v>
      </c>
      <c r="AP1118" s="141" t="e">
        <v>#VALUE!</v>
      </c>
      <c r="AQ1118" s="141" t="e">
        <v>#VALUE!</v>
      </c>
      <c r="AR1118" s="141" t="s">
        <v>18</v>
      </c>
      <c r="AS1118" s="141" t="s">
        <v>18</v>
      </c>
      <c r="AT1118" s="161"/>
      <c r="AU1118" s="161"/>
      <c r="AV1118" s="161"/>
      <c r="AW1118" s="161"/>
      <c r="AX1118" s="161"/>
      <c r="AY1118" s="161"/>
      <c r="AZ1118" s="161"/>
      <c r="BA1118" s="161"/>
      <c r="BB1118" s="161"/>
      <c r="BC1118" s="161"/>
    </row>
    <row r="1119" spans="1:55" ht="15.75" customHeight="1" x14ac:dyDescent="0.25">
      <c r="A1119" s="116" t="s">
        <v>1</v>
      </c>
      <c r="B1119" s="117" t="s">
        <v>2</v>
      </c>
      <c r="C1119" s="119"/>
      <c r="D1119" s="169"/>
      <c r="E1119" s="119"/>
      <c r="F1119" s="169"/>
      <c r="G1119" s="119">
        <v>18427</v>
      </c>
      <c r="H1119" s="168" t="s">
        <v>18</v>
      </c>
      <c r="I1119" s="119" t="s">
        <v>18</v>
      </c>
      <c r="J1119" s="169" t="s">
        <v>18</v>
      </c>
      <c r="K1119" s="119">
        <v>18496</v>
      </c>
      <c r="L1119" s="169">
        <v>18519</v>
      </c>
      <c r="M1119" s="169">
        <v>18539</v>
      </c>
      <c r="N1119" s="169">
        <v>18539</v>
      </c>
      <c r="O1119" s="119">
        <v>18539</v>
      </c>
      <c r="P1119" s="119">
        <v>18583</v>
      </c>
      <c r="Q1119" s="169">
        <v>18583</v>
      </c>
      <c r="R1119" s="119">
        <v>18609</v>
      </c>
      <c r="S1119" s="169">
        <v>18609</v>
      </c>
      <c r="T1119" s="119">
        <v>18609</v>
      </c>
      <c r="U1119" s="119">
        <v>18609</v>
      </c>
      <c r="V1119" s="119">
        <v>18648</v>
      </c>
      <c r="W1119" s="169">
        <v>18648</v>
      </c>
      <c r="X1119" s="119">
        <v>18648</v>
      </c>
      <c r="Y1119" s="119">
        <v>18713</v>
      </c>
      <c r="Z1119" s="169">
        <v>18713</v>
      </c>
      <c r="AA1119" s="119">
        <v>18713</v>
      </c>
      <c r="AB1119" s="119">
        <v>18713</v>
      </c>
      <c r="AC1119" s="119">
        <v>18755</v>
      </c>
      <c r="AD1119" s="169">
        <v>18755</v>
      </c>
      <c r="AE1119" s="119">
        <v>18755</v>
      </c>
      <c r="AF1119" s="119">
        <v>18755</v>
      </c>
      <c r="AG1119" s="119">
        <v>18879</v>
      </c>
      <c r="AH1119" s="169">
        <v>18879</v>
      </c>
      <c r="AI1119" s="119">
        <v>18879</v>
      </c>
      <c r="AJ1119" s="119">
        <v>18922</v>
      </c>
      <c r="AK1119" s="169">
        <v>18929</v>
      </c>
      <c r="AL1119" s="168">
        <v>18929</v>
      </c>
      <c r="AM1119" s="119">
        <v>18966</v>
      </c>
      <c r="AN1119" s="169">
        <v>18966</v>
      </c>
      <c r="AO1119" s="119">
        <v>18966</v>
      </c>
      <c r="AP1119" s="119">
        <v>18966</v>
      </c>
      <c r="AQ1119" s="119">
        <v>18966</v>
      </c>
      <c r="AR1119" s="119" t="s">
        <v>18</v>
      </c>
      <c r="AS1119" s="119" t="s">
        <v>18</v>
      </c>
      <c r="AT1119" s="161"/>
      <c r="AU1119" s="161"/>
      <c r="AV1119" s="161"/>
      <c r="AW1119" s="161"/>
      <c r="AX1119" s="161"/>
      <c r="AY1119" s="161"/>
      <c r="AZ1119" s="161"/>
      <c r="BA1119" s="161"/>
      <c r="BB1119" s="161"/>
      <c r="BC1119" s="161"/>
    </row>
    <row r="1120" spans="1:55" ht="15.75" customHeight="1" x14ac:dyDescent="0.25">
      <c r="A1120" s="121" t="s">
        <v>29</v>
      </c>
      <c r="B1120" s="122" t="s">
        <v>4</v>
      </c>
      <c r="C1120" s="124"/>
      <c r="D1120" s="172"/>
      <c r="E1120" s="124"/>
      <c r="F1120" s="172"/>
      <c r="G1120" s="124">
        <v>1075</v>
      </c>
      <c r="H1120" s="171" t="s">
        <v>18</v>
      </c>
      <c r="I1120" s="124" t="s">
        <v>18</v>
      </c>
      <c r="J1120" s="172" t="s">
        <v>18</v>
      </c>
      <c r="K1120" s="124">
        <v>1078</v>
      </c>
      <c r="L1120" s="172">
        <v>1079</v>
      </c>
      <c r="M1120" s="172">
        <v>1080</v>
      </c>
      <c r="N1120" s="172">
        <v>1080</v>
      </c>
      <c r="O1120" s="124">
        <v>1080</v>
      </c>
      <c r="P1120" s="124">
        <v>1080</v>
      </c>
      <c r="Q1120" s="172">
        <v>1080</v>
      </c>
      <c r="R1120" s="124">
        <v>1080</v>
      </c>
      <c r="S1120" s="172">
        <v>1080</v>
      </c>
      <c r="T1120" s="124">
        <v>1080</v>
      </c>
      <c r="U1120" s="124">
        <v>1080</v>
      </c>
      <c r="V1120" s="124">
        <v>1081</v>
      </c>
      <c r="W1120" s="172">
        <v>1081</v>
      </c>
      <c r="X1120" s="124">
        <v>1081</v>
      </c>
      <c r="Y1120" s="124">
        <v>1082</v>
      </c>
      <c r="Z1120" s="172">
        <v>1082</v>
      </c>
      <c r="AA1120" s="124">
        <v>1082</v>
      </c>
      <c r="AB1120" s="124">
        <v>1082</v>
      </c>
      <c r="AC1120" s="124">
        <v>1084</v>
      </c>
      <c r="AD1120" s="172">
        <v>1084</v>
      </c>
      <c r="AE1120" s="124">
        <v>1084</v>
      </c>
      <c r="AF1120" s="124">
        <v>1084</v>
      </c>
      <c r="AG1120" s="124">
        <v>1086</v>
      </c>
      <c r="AH1120" s="172">
        <v>1086</v>
      </c>
      <c r="AI1120" s="124">
        <v>1086</v>
      </c>
      <c r="AJ1120" s="124">
        <v>1086</v>
      </c>
      <c r="AK1120" s="172">
        <v>1086</v>
      </c>
      <c r="AL1120" s="171">
        <v>1086</v>
      </c>
      <c r="AM1120" s="124">
        <v>1087</v>
      </c>
      <c r="AN1120" s="172">
        <v>1087</v>
      </c>
      <c r="AO1120" s="124">
        <v>1087</v>
      </c>
      <c r="AP1120" s="124">
        <v>1087</v>
      </c>
      <c r="AQ1120" s="124">
        <v>1087</v>
      </c>
      <c r="AR1120" s="124" t="s">
        <v>18</v>
      </c>
      <c r="AS1120" s="124" t="s">
        <v>18</v>
      </c>
      <c r="AT1120" s="161"/>
      <c r="AU1120" s="161"/>
      <c r="AV1120" s="161"/>
      <c r="AW1120" s="161"/>
      <c r="AX1120" s="161"/>
      <c r="AY1120" s="161"/>
      <c r="AZ1120" s="161"/>
      <c r="BA1120" s="161"/>
      <c r="BB1120" s="161"/>
      <c r="BC1120" s="161"/>
    </row>
    <row r="1121" spans="1:55" ht="15.75" customHeight="1" x14ac:dyDescent="0.25">
      <c r="A1121" s="143">
        <v>1</v>
      </c>
      <c r="B1121" s="122" t="s">
        <v>5</v>
      </c>
      <c r="C1121" s="124"/>
      <c r="D1121" s="172"/>
      <c r="E1121" s="124"/>
      <c r="F1121" s="172"/>
      <c r="G1121" s="124">
        <v>10</v>
      </c>
      <c r="H1121" s="171" t="s">
        <v>18</v>
      </c>
      <c r="I1121" s="124" t="s">
        <v>18</v>
      </c>
      <c r="J1121" s="172" t="s">
        <v>18</v>
      </c>
      <c r="K1121" s="124">
        <v>7</v>
      </c>
      <c r="L1121" s="172">
        <v>7</v>
      </c>
      <c r="M1121" s="172">
        <v>7</v>
      </c>
      <c r="N1121" s="172">
        <v>10</v>
      </c>
      <c r="O1121" s="124">
        <v>10</v>
      </c>
      <c r="P1121" s="124">
        <v>10</v>
      </c>
      <c r="Q1121" s="172">
        <v>10</v>
      </c>
      <c r="R1121" s="124">
        <v>10</v>
      </c>
      <c r="S1121" s="172">
        <v>10</v>
      </c>
      <c r="T1121" s="124">
        <v>10</v>
      </c>
      <c r="U1121" s="124">
        <v>10</v>
      </c>
      <c r="V1121" s="124">
        <v>9</v>
      </c>
      <c r="W1121" s="172">
        <v>8</v>
      </c>
      <c r="X1121" s="124">
        <v>8</v>
      </c>
      <c r="Y1121" s="124">
        <v>7</v>
      </c>
      <c r="Z1121" s="172">
        <v>7</v>
      </c>
      <c r="AA1121" s="124">
        <v>7</v>
      </c>
      <c r="AB1121" s="124">
        <v>7</v>
      </c>
      <c r="AC1121" s="124">
        <v>6</v>
      </c>
      <c r="AD1121" s="172">
        <v>11</v>
      </c>
      <c r="AE1121" s="124">
        <v>11</v>
      </c>
      <c r="AF1121" s="124">
        <v>11</v>
      </c>
      <c r="AG1121" s="124">
        <v>10</v>
      </c>
      <c r="AH1121" s="172">
        <v>11</v>
      </c>
      <c r="AI1121" s="124">
        <v>11</v>
      </c>
      <c r="AJ1121" s="124">
        <v>11</v>
      </c>
      <c r="AK1121" s="172">
        <v>11</v>
      </c>
      <c r="AL1121" s="171">
        <v>11</v>
      </c>
      <c r="AM1121" s="124">
        <v>11</v>
      </c>
      <c r="AN1121" s="172">
        <v>11</v>
      </c>
      <c r="AO1121" s="124">
        <v>11</v>
      </c>
      <c r="AP1121" s="124">
        <v>11</v>
      </c>
      <c r="AQ1121" s="124">
        <v>11</v>
      </c>
      <c r="AR1121" s="124" t="s">
        <v>18</v>
      </c>
      <c r="AS1121" s="124" t="s">
        <v>18</v>
      </c>
      <c r="AT1121" s="161"/>
      <c r="AU1121" s="161"/>
      <c r="AV1121" s="161"/>
      <c r="AW1121" s="161"/>
      <c r="AX1121" s="161"/>
      <c r="AY1121" s="161"/>
      <c r="AZ1121" s="161"/>
      <c r="BA1121" s="161"/>
      <c r="BB1121" s="161"/>
      <c r="BC1121" s="161"/>
    </row>
    <row r="1122" spans="1:55" ht="15.75" customHeight="1" x14ac:dyDescent="0.25">
      <c r="A1122" s="144" t="s">
        <v>20</v>
      </c>
      <c r="B1122" s="122" t="s">
        <v>6</v>
      </c>
      <c r="C1122" s="124"/>
      <c r="D1122" s="172"/>
      <c r="E1122" s="124"/>
      <c r="F1122" s="172"/>
      <c r="G1122" s="124"/>
      <c r="H1122" s="171"/>
      <c r="I1122" s="124"/>
      <c r="J1122" s="172"/>
      <c r="K1122" s="124"/>
      <c r="L1122" s="172"/>
      <c r="M1122" s="172">
        <v>3</v>
      </c>
      <c r="N1122" s="172"/>
      <c r="O1122" s="124"/>
      <c r="P1122" s="124"/>
      <c r="Q1122" s="172"/>
      <c r="R1122" s="124"/>
      <c r="S1122" s="172"/>
      <c r="T1122" s="124"/>
      <c r="U1122" s="124"/>
      <c r="V1122" s="124">
        <v>-1</v>
      </c>
      <c r="W1122" s="172"/>
      <c r="X1122" s="124"/>
      <c r="Y1122" s="124"/>
      <c r="Z1122" s="172"/>
      <c r="AA1122" s="124"/>
      <c r="AB1122" s="124"/>
      <c r="AC1122" s="124">
        <v>5</v>
      </c>
      <c r="AD1122" s="172"/>
      <c r="AE1122" s="124"/>
      <c r="AF1122" s="124"/>
      <c r="AG1122" s="124">
        <v>1</v>
      </c>
      <c r="AH1122" s="172"/>
      <c r="AI1122" s="124"/>
      <c r="AJ1122" s="124"/>
      <c r="AK1122" s="172"/>
      <c r="AL1122" s="171"/>
      <c r="AM1122" s="124"/>
      <c r="AN1122" s="172"/>
      <c r="AO1122" s="124"/>
      <c r="AP1122" s="124"/>
      <c r="AQ1122" s="124"/>
      <c r="AR1122" s="124"/>
      <c r="AS1122" s="124"/>
      <c r="AT1122" s="161"/>
      <c r="AU1122" s="161"/>
      <c r="AV1122" s="161"/>
      <c r="AW1122" s="161"/>
      <c r="AX1122" s="161"/>
      <c r="AY1122" s="161"/>
      <c r="AZ1122" s="161"/>
      <c r="BA1122" s="161"/>
      <c r="BB1122" s="161"/>
      <c r="BC1122" s="161"/>
    </row>
    <row r="1123" spans="1:55" ht="15.75" customHeight="1" x14ac:dyDescent="0.25">
      <c r="A1123" s="145" t="e">
        <v>#VALUE!</v>
      </c>
      <c r="B1123" s="122" t="s">
        <v>8</v>
      </c>
      <c r="C1123" s="130"/>
      <c r="D1123" s="175"/>
      <c r="E1123" s="130"/>
      <c r="F1123" s="175"/>
      <c r="G1123" s="130">
        <v>750</v>
      </c>
      <c r="H1123" s="174" t="s">
        <v>18</v>
      </c>
      <c r="I1123" s="130" t="s">
        <v>18</v>
      </c>
      <c r="J1123" s="175" t="s">
        <v>18</v>
      </c>
      <c r="K1123" s="130" t="s">
        <v>18</v>
      </c>
      <c r="L1123" s="175" t="s">
        <v>18</v>
      </c>
      <c r="M1123" s="175" t="s">
        <v>18</v>
      </c>
      <c r="N1123" s="175" t="s">
        <v>18</v>
      </c>
      <c r="O1123" s="130" t="s">
        <v>18</v>
      </c>
      <c r="P1123" s="130" t="s">
        <v>18</v>
      </c>
      <c r="Q1123" s="175" t="s">
        <v>18</v>
      </c>
      <c r="R1123" s="130" t="s">
        <v>18</v>
      </c>
      <c r="S1123" s="175" t="s">
        <v>18</v>
      </c>
      <c r="T1123" s="130" t="s">
        <v>18</v>
      </c>
      <c r="U1123" s="130" t="s">
        <v>18</v>
      </c>
      <c r="V1123" s="130" t="s">
        <v>18</v>
      </c>
      <c r="W1123" s="175" t="s">
        <v>18</v>
      </c>
      <c r="X1123" s="130" t="s">
        <v>18</v>
      </c>
      <c r="Y1123" s="130" t="s">
        <v>18</v>
      </c>
      <c r="Z1123" s="175" t="s">
        <v>18</v>
      </c>
      <c r="AA1123" s="130" t="s">
        <v>18</v>
      </c>
      <c r="AB1123" s="130" t="s">
        <v>18</v>
      </c>
      <c r="AC1123" s="130" t="s">
        <v>18</v>
      </c>
      <c r="AD1123" s="175" t="s">
        <v>18</v>
      </c>
      <c r="AE1123" s="130" t="s">
        <v>18</v>
      </c>
      <c r="AF1123" s="130" t="s">
        <v>18</v>
      </c>
      <c r="AG1123" s="130" t="s">
        <v>18</v>
      </c>
      <c r="AH1123" s="175" t="s">
        <v>18</v>
      </c>
      <c r="AI1123" s="130" t="s">
        <v>18</v>
      </c>
      <c r="AJ1123" s="130" t="s">
        <v>18</v>
      </c>
      <c r="AK1123" s="175" t="s">
        <v>18</v>
      </c>
      <c r="AL1123" s="174" t="s">
        <v>18</v>
      </c>
      <c r="AM1123" s="130" t="s">
        <v>18</v>
      </c>
      <c r="AN1123" s="175" t="s">
        <v>18</v>
      </c>
      <c r="AO1123" s="130" t="s">
        <v>18</v>
      </c>
      <c r="AP1123" s="130" t="s">
        <v>18</v>
      </c>
      <c r="AQ1123" s="130" t="s">
        <v>18</v>
      </c>
      <c r="AR1123" s="130" t="s">
        <v>18</v>
      </c>
      <c r="AS1123" s="130" t="s">
        <v>18</v>
      </c>
      <c r="AT1123" s="161"/>
      <c r="AU1123" s="161"/>
      <c r="AV1123" s="161"/>
      <c r="AW1123" s="161"/>
      <c r="AX1123" s="161"/>
      <c r="AY1123" s="161"/>
      <c r="AZ1123" s="161"/>
      <c r="BA1123" s="161"/>
      <c r="BB1123" s="161"/>
      <c r="BC1123" s="161"/>
    </row>
    <row r="1124" spans="1:55" ht="15.75" customHeight="1" x14ac:dyDescent="0.25">
      <c r="A1124" s="127" t="s">
        <v>9</v>
      </c>
      <c r="B1124" s="132" t="s">
        <v>10</v>
      </c>
      <c r="C1124" s="134"/>
      <c r="D1124" s="178"/>
      <c r="E1124" s="134"/>
      <c r="F1124" s="178"/>
      <c r="G1124" s="134" t="s">
        <v>161</v>
      </c>
      <c r="H1124" s="177" t="s">
        <v>18</v>
      </c>
      <c r="I1124" s="134" t="s">
        <v>18</v>
      </c>
      <c r="J1124" s="178" t="s">
        <v>18</v>
      </c>
      <c r="K1124" s="134" t="s">
        <v>18</v>
      </c>
      <c r="L1124" s="178" t="s">
        <v>18</v>
      </c>
      <c r="M1124" s="178" t="s">
        <v>18</v>
      </c>
      <c r="N1124" s="178" t="s">
        <v>18</v>
      </c>
      <c r="O1124" s="134" t="s">
        <v>18</v>
      </c>
      <c r="P1124" s="134" t="s">
        <v>18</v>
      </c>
      <c r="Q1124" s="178" t="s">
        <v>18</v>
      </c>
      <c r="R1124" s="134" t="s">
        <v>18</v>
      </c>
      <c r="S1124" s="178" t="s">
        <v>18</v>
      </c>
      <c r="T1124" s="134" t="s">
        <v>18</v>
      </c>
      <c r="U1124" s="134" t="s">
        <v>18</v>
      </c>
      <c r="V1124" s="134" t="s">
        <v>18</v>
      </c>
      <c r="W1124" s="178" t="s">
        <v>162</v>
      </c>
      <c r="X1124" s="134" t="s">
        <v>162</v>
      </c>
      <c r="Y1124" s="134" t="s">
        <v>162</v>
      </c>
      <c r="Z1124" s="178" t="s">
        <v>162</v>
      </c>
      <c r="AA1124" s="134" t="s">
        <v>162</v>
      </c>
      <c r="AB1124" s="134" t="s">
        <v>162</v>
      </c>
      <c r="AC1124" s="134" t="s">
        <v>162</v>
      </c>
      <c r="AD1124" s="178" t="s">
        <v>162</v>
      </c>
      <c r="AE1124" s="134" t="s">
        <v>162</v>
      </c>
      <c r="AF1124" s="134" t="s">
        <v>162</v>
      </c>
      <c r="AG1124" s="134" t="s">
        <v>162</v>
      </c>
      <c r="AH1124" s="178" t="s">
        <v>162</v>
      </c>
      <c r="AI1124" s="134" t="s">
        <v>162</v>
      </c>
      <c r="AJ1124" s="134" t="s">
        <v>162</v>
      </c>
      <c r="AK1124" s="178" t="s">
        <v>162</v>
      </c>
      <c r="AL1124" s="177" t="s">
        <v>162</v>
      </c>
      <c r="AM1124" s="134" t="s">
        <v>162</v>
      </c>
      <c r="AN1124" s="178" t="s">
        <v>162</v>
      </c>
      <c r="AO1124" s="134" t="s">
        <v>162</v>
      </c>
      <c r="AP1124" s="134" t="s">
        <v>162</v>
      </c>
      <c r="AQ1124" s="134" t="s">
        <v>162</v>
      </c>
      <c r="AR1124" s="134" t="s">
        <v>18</v>
      </c>
      <c r="AS1124" s="134" t="s">
        <v>18</v>
      </c>
      <c r="AT1124" s="189"/>
      <c r="AU1124" s="189"/>
      <c r="AV1124" s="189"/>
      <c r="AW1124" s="189"/>
      <c r="AX1124" s="189"/>
      <c r="AY1124" s="189"/>
      <c r="AZ1124" s="189"/>
      <c r="BA1124" s="189"/>
      <c r="BB1124" s="189"/>
      <c r="BC1124" s="189"/>
    </row>
    <row r="1125" spans="1:55" ht="15.75" customHeight="1" x14ac:dyDescent="0.25">
      <c r="A1125" s="128" t="e">
        <v>#VALUE!</v>
      </c>
      <c r="B1125" s="122" t="s">
        <v>12</v>
      </c>
      <c r="C1125" s="124"/>
      <c r="D1125" s="172"/>
      <c r="E1125" s="124"/>
      <c r="F1125" s="172"/>
      <c r="G1125" s="124"/>
      <c r="H1125" s="171"/>
      <c r="I1125" s="124"/>
      <c r="J1125" s="172"/>
      <c r="K1125" s="124"/>
      <c r="L1125" s="172" t="s">
        <v>163</v>
      </c>
      <c r="M1125" s="172"/>
      <c r="N1125" s="172"/>
      <c r="O1125" s="124"/>
      <c r="P1125" s="124"/>
      <c r="Q1125" s="172"/>
      <c r="R1125" s="124"/>
      <c r="S1125" s="172"/>
      <c r="T1125" s="124"/>
      <c r="U1125" s="124"/>
      <c r="V1125" s="124"/>
      <c r="W1125" s="172" t="s">
        <v>164</v>
      </c>
      <c r="X1125" s="124"/>
      <c r="Y1125" s="124"/>
      <c r="Z1125" s="172"/>
      <c r="AA1125" s="124"/>
      <c r="AB1125" s="124"/>
      <c r="AC1125" s="124"/>
      <c r="AD1125" s="172"/>
      <c r="AE1125" s="124"/>
      <c r="AF1125" s="124"/>
      <c r="AG1125" s="124"/>
      <c r="AH1125" s="172"/>
      <c r="AI1125" s="124"/>
      <c r="AJ1125" s="124"/>
      <c r="AK1125" s="172"/>
      <c r="AL1125" s="171"/>
      <c r="AM1125" s="124"/>
      <c r="AN1125" s="172"/>
      <c r="AO1125" s="124"/>
      <c r="AP1125" s="124"/>
      <c r="AQ1125" s="124"/>
      <c r="AR1125" s="124"/>
      <c r="AS1125" s="124"/>
      <c r="AT1125" s="161"/>
      <c r="AU1125" s="161"/>
      <c r="AV1125" s="161"/>
      <c r="AW1125" s="161"/>
      <c r="AX1125" s="161"/>
      <c r="AY1125" s="161"/>
      <c r="AZ1125" s="161"/>
      <c r="BA1125" s="161"/>
      <c r="BB1125" s="161"/>
      <c r="BC1125" s="161"/>
    </row>
    <row r="1126" spans="1:55" ht="15.75" customHeight="1" x14ac:dyDescent="0.25">
      <c r="A1126" s="128" t="e">
        <v>#VALUE!</v>
      </c>
      <c r="B1126" s="136" t="s">
        <v>13</v>
      </c>
      <c r="C1126" s="137"/>
      <c r="D1126" s="172"/>
      <c r="E1126" s="124"/>
      <c r="F1126" s="172"/>
      <c r="G1126" s="137">
        <v>0</v>
      </c>
      <c r="H1126" s="171" t="s">
        <v>18</v>
      </c>
      <c r="I1126" s="137" t="s">
        <v>18</v>
      </c>
      <c r="J1126" s="172" t="s">
        <v>18</v>
      </c>
      <c r="K1126" s="137" t="e">
        <v>#VALUE!</v>
      </c>
      <c r="L1126" s="172">
        <v>23</v>
      </c>
      <c r="M1126" s="172">
        <v>20</v>
      </c>
      <c r="N1126" s="172">
        <v>0</v>
      </c>
      <c r="O1126" s="137">
        <v>0</v>
      </c>
      <c r="P1126" s="137">
        <v>44</v>
      </c>
      <c r="Q1126" s="172">
        <v>0</v>
      </c>
      <c r="R1126" s="137">
        <v>26</v>
      </c>
      <c r="S1126" s="172">
        <v>0</v>
      </c>
      <c r="T1126" s="137">
        <v>0</v>
      </c>
      <c r="U1126" s="137">
        <v>0</v>
      </c>
      <c r="V1126" s="137">
        <v>39</v>
      </c>
      <c r="W1126" s="172">
        <v>0</v>
      </c>
      <c r="X1126" s="137">
        <v>0</v>
      </c>
      <c r="Y1126" s="137">
        <v>65</v>
      </c>
      <c r="Z1126" s="172">
        <v>0</v>
      </c>
      <c r="AA1126" s="137">
        <v>0</v>
      </c>
      <c r="AB1126" s="137">
        <v>0</v>
      </c>
      <c r="AC1126" s="137">
        <v>42</v>
      </c>
      <c r="AD1126" s="172">
        <v>0</v>
      </c>
      <c r="AE1126" s="137">
        <v>0</v>
      </c>
      <c r="AF1126" s="137">
        <v>0</v>
      </c>
      <c r="AG1126" s="137">
        <v>124</v>
      </c>
      <c r="AH1126" s="172">
        <v>0</v>
      </c>
      <c r="AI1126" s="137">
        <v>0</v>
      </c>
      <c r="AJ1126" s="137">
        <v>43</v>
      </c>
      <c r="AK1126" s="172">
        <v>7</v>
      </c>
      <c r="AL1126" s="171">
        <v>0</v>
      </c>
      <c r="AM1126" s="137">
        <v>37</v>
      </c>
      <c r="AN1126" s="172">
        <v>0</v>
      </c>
      <c r="AO1126" s="137">
        <v>0</v>
      </c>
      <c r="AP1126" s="137">
        <v>0</v>
      </c>
      <c r="AQ1126" s="137">
        <v>0</v>
      </c>
      <c r="AR1126" s="137" t="s">
        <v>18</v>
      </c>
      <c r="AS1126" s="137" t="s">
        <v>18</v>
      </c>
      <c r="AT1126" s="161"/>
      <c r="AU1126" s="161"/>
      <c r="AV1126" s="161"/>
      <c r="AW1126" s="161"/>
      <c r="AX1126" s="161"/>
      <c r="AY1126" s="161"/>
      <c r="AZ1126" s="161"/>
      <c r="BA1126" s="161"/>
      <c r="BB1126" s="161"/>
      <c r="BC1126" s="161"/>
    </row>
    <row r="1127" spans="1:55" ht="15.75" customHeight="1" x14ac:dyDescent="0.25">
      <c r="A1127" s="128" t="e">
        <v>#VALUE!</v>
      </c>
      <c r="B1127" s="136" t="s">
        <v>14</v>
      </c>
      <c r="C1127" s="137"/>
      <c r="D1127" s="172"/>
      <c r="E1127" s="124"/>
      <c r="F1127" s="172"/>
      <c r="G1127" s="137">
        <v>0</v>
      </c>
      <c r="H1127" s="171" t="s">
        <v>18</v>
      </c>
      <c r="I1127" s="137" t="s">
        <v>18</v>
      </c>
      <c r="J1127" s="172" t="s">
        <v>18</v>
      </c>
      <c r="K1127" s="137" t="e">
        <v>#VALUE!</v>
      </c>
      <c r="L1127" s="172">
        <v>1</v>
      </c>
      <c r="M1127" s="172">
        <v>1</v>
      </c>
      <c r="N1127" s="172">
        <v>0</v>
      </c>
      <c r="O1127" s="137">
        <v>0</v>
      </c>
      <c r="P1127" s="137">
        <v>0</v>
      </c>
      <c r="Q1127" s="172">
        <v>0</v>
      </c>
      <c r="R1127" s="137">
        <v>0</v>
      </c>
      <c r="S1127" s="172">
        <v>0</v>
      </c>
      <c r="T1127" s="137">
        <v>0</v>
      </c>
      <c r="U1127" s="137">
        <v>0</v>
      </c>
      <c r="V1127" s="137">
        <v>1</v>
      </c>
      <c r="W1127" s="172">
        <v>0</v>
      </c>
      <c r="X1127" s="137">
        <v>0</v>
      </c>
      <c r="Y1127" s="137">
        <v>1</v>
      </c>
      <c r="Z1127" s="172">
        <v>0</v>
      </c>
      <c r="AA1127" s="137">
        <v>0</v>
      </c>
      <c r="AB1127" s="137">
        <v>0</v>
      </c>
      <c r="AC1127" s="137">
        <v>2</v>
      </c>
      <c r="AD1127" s="172">
        <v>0</v>
      </c>
      <c r="AE1127" s="137">
        <v>0</v>
      </c>
      <c r="AF1127" s="137">
        <v>0</v>
      </c>
      <c r="AG1127" s="137">
        <v>2</v>
      </c>
      <c r="AH1127" s="172">
        <v>0</v>
      </c>
      <c r="AI1127" s="137">
        <v>0</v>
      </c>
      <c r="AJ1127" s="137">
        <v>0</v>
      </c>
      <c r="AK1127" s="172">
        <v>0</v>
      </c>
      <c r="AL1127" s="171">
        <v>0</v>
      </c>
      <c r="AM1127" s="137">
        <v>1</v>
      </c>
      <c r="AN1127" s="172">
        <v>0</v>
      </c>
      <c r="AO1127" s="137">
        <v>0</v>
      </c>
      <c r="AP1127" s="137">
        <v>0</v>
      </c>
      <c r="AQ1127" s="137">
        <v>0</v>
      </c>
      <c r="AR1127" s="137" t="s">
        <v>18</v>
      </c>
      <c r="AS1127" s="137" t="s">
        <v>18</v>
      </c>
      <c r="AT1127" s="161"/>
      <c r="AU1127" s="161"/>
      <c r="AV1127" s="161"/>
      <c r="AW1127" s="161"/>
      <c r="AX1127" s="161"/>
      <c r="AY1127" s="161"/>
      <c r="AZ1127" s="161"/>
      <c r="BA1127" s="161"/>
      <c r="BB1127" s="161"/>
      <c r="BC1127" s="161"/>
    </row>
    <row r="1128" spans="1:55" ht="15.75" customHeight="1" x14ac:dyDescent="0.25">
      <c r="A1128" s="128" t="e">
        <v>#VALUE!</v>
      </c>
      <c r="B1128" s="136" t="s">
        <v>15</v>
      </c>
      <c r="C1128" s="137"/>
      <c r="D1128" s="172"/>
      <c r="E1128" s="124"/>
      <c r="F1128" s="172"/>
      <c r="G1128" s="137">
        <v>0</v>
      </c>
      <c r="H1128" s="171" t="s">
        <v>18</v>
      </c>
      <c r="I1128" s="137" t="s">
        <v>18</v>
      </c>
      <c r="J1128" s="172" t="s">
        <v>18</v>
      </c>
      <c r="K1128" s="137" t="e">
        <v>#VALUE!</v>
      </c>
      <c r="L1128" s="172">
        <v>0</v>
      </c>
      <c r="M1128" s="172">
        <v>0</v>
      </c>
      <c r="N1128" s="172">
        <v>0</v>
      </c>
      <c r="O1128" s="137">
        <v>0</v>
      </c>
      <c r="P1128" s="137">
        <v>0</v>
      </c>
      <c r="Q1128" s="172">
        <v>0</v>
      </c>
      <c r="R1128" s="137">
        <v>0</v>
      </c>
      <c r="S1128" s="172">
        <v>0</v>
      </c>
      <c r="T1128" s="137">
        <v>0</v>
      </c>
      <c r="U1128" s="137">
        <v>0</v>
      </c>
      <c r="V1128" s="137">
        <v>1</v>
      </c>
      <c r="W1128" s="172">
        <v>0</v>
      </c>
      <c r="X1128" s="137">
        <v>0</v>
      </c>
      <c r="Y1128" s="137">
        <v>1</v>
      </c>
      <c r="Z1128" s="172">
        <v>0</v>
      </c>
      <c r="AA1128" s="137">
        <v>0</v>
      </c>
      <c r="AB1128" s="137">
        <v>0</v>
      </c>
      <c r="AC1128" s="137">
        <v>1</v>
      </c>
      <c r="AD1128" s="172">
        <v>0</v>
      </c>
      <c r="AE1128" s="137">
        <v>0</v>
      </c>
      <c r="AF1128" s="137">
        <v>0</v>
      </c>
      <c r="AG1128" s="137">
        <v>1</v>
      </c>
      <c r="AH1128" s="172">
        <v>0</v>
      </c>
      <c r="AI1128" s="137">
        <v>0</v>
      </c>
      <c r="AJ1128" s="137">
        <v>0</v>
      </c>
      <c r="AK1128" s="172">
        <v>0</v>
      </c>
      <c r="AL1128" s="171">
        <v>0</v>
      </c>
      <c r="AM1128" s="137">
        <v>0</v>
      </c>
      <c r="AN1128" s="172">
        <v>0</v>
      </c>
      <c r="AO1128" s="137">
        <v>0</v>
      </c>
      <c r="AP1128" s="137">
        <v>0</v>
      </c>
      <c r="AQ1128" s="137">
        <v>0</v>
      </c>
      <c r="AR1128" s="137" t="s">
        <v>18</v>
      </c>
      <c r="AS1128" s="137" t="s">
        <v>18</v>
      </c>
      <c r="AT1128" s="161"/>
      <c r="AU1128" s="161"/>
      <c r="AV1128" s="161"/>
      <c r="AW1128" s="161"/>
      <c r="AX1128" s="161"/>
      <c r="AY1128" s="161"/>
      <c r="AZ1128" s="161"/>
      <c r="BA1128" s="161"/>
      <c r="BB1128" s="161"/>
      <c r="BC1128" s="161"/>
    </row>
    <row r="1129" spans="1:55" ht="15.75" customHeight="1" x14ac:dyDescent="0.25">
      <c r="A1129" s="128" t="e">
        <v>#VALUE!</v>
      </c>
      <c r="B1129" s="136" t="s">
        <v>16</v>
      </c>
      <c r="C1129" s="137"/>
      <c r="D1129" s="172"/>
      <c r="E1129" s="124"/>
      <c r="F1129" s="172"/>
      <c r="G1129" s="137">
        <v>0</v>
      </c>
      <c r="H1129" s="171" t="s">
        <v>18</v>
      </c>
      <c r="I1129" s="137" t="s">
        <v>18</v>
      </c>
      <c r="J1129" s="172" t="s">
        <v>18</v>
      </c>
      <c r="K1129" s="137" t="e">
        <v>#VALUE!</v>
      </c>
      <c r="L1129" s="172" t="e">
        <v>#VALUE!</v>
      </c>
      <c r="M1129" s="172" t="e">
        <v>#VALUE!</v>
      </c>
      <c r="N1129" s="172" t="e">
        <v>#VALUE!</v>
      </c>
      <c r="O1129" s="137" t="e">
        <v>#VALUE!</v>
      </c>
      <c r="P1129" s="137" t="e">
        <v>#VALUE!</v>
      </c>
      <c r="Q1129" s="172" t="e">
        <v>#VALUE!</v>
      </c>
      <c r="R1129" s="137" t="e">
        <v>#VALUE!</v>
      </c>
      <c r="S1129" s="172" t="e">
        <v>#VALUE!</v>
      </c>
      <c r="T1129" s="137" t="e">
        <v>#VALUE!</v>
      </c>
      <c r="U1129" s="137" t="e">
        <v>#VALUE!</v>
      </c>
      <c r="V1129" s="137" t="e">
        <v>#VALUE!</v>
      </c>
      <c r="W1129" s="172" t="e">
        <v>#VALUE!</v>
      </c>
      <c r="X1129" s="137" t="e">
        <v>#VALUE!</v>
      </c>
      <c r="Y1129" s="137" t="e">
        <v>#VALUE!</v>
      </c>
      <c r="Z1129" s="172" t="e">
        <v>#VALUE!</v>
      </c>
      <c r="AA1129" s="137" t="e">
        <v>#VALUE!</v>
      </c>
      <c r="AB1129" s="137" t="e">
        <v>#VALUE!</v>
      </c>
      <c r="AC1129" s="137" t="e">
        <v>#VALUE!</v>
      </c>
      <c r="AD1129" s="172" t="e">
        <v>#VALUE!</v>
      </c>
      <c r="AE1129" s="137" t="e">
        <v>#VALUE!</v>
      </c>
      <c r="AF1129" s="137" t="e">
        <v>#VALUE!</v>
      </c>
      <c r="AG1129" s="137" t="e">
        <v>#VALUE!</v>
      </c>
      <c r="AH1129" s="172" t="e">
        <v>#VALUE!</v>
      </c>
      <c r="AI1129" s="137" t="e">
        <v>#VALUE!</v>
      </c>
      <c r="AJ1129" s="137" t="e">
        <v>#VALUE!</v>
      </c>
      <c r="AK1129" s="172" t="e">
        <v>#VALUE!</v>
      </c>
      <c r="AL1129" s="171" t="e">
        <v>#VALUE!</v>
      </c>
      <c r="AM1129" s="137" t="e">
        <v>#VALUE!</v>
      </c>
      <c r="AN1129" s="172" t="e">
        <v>#VALUE!</v>
      </c>
      <c r="AO1129" s="137" t="e">
        <v>#VALUE!</v>
      </c>
      <c r="AP1129" s="137" t="e">
        <v>#VALUE!</v>
      </c>
      <c r="AQ1129" s="137" t="e">
        <v>#VALUE!</v>
      </c>
      <c r="AR1129" s="137" t="s">
        <v>18</v>
      </c>
      <c r="AS1129" s="137" t="s">
        <v>18</v>
      </c>
      <c r="AT1129" s="161"/>
      <c r="AU1129" s="161"/>
      <c r="AV1129" s="161"/>
      <c r="AW1129" s="161"/>
      <c r="AX1129" s="161"/>
      <c r="AY1129" s="161"/>
      <c r="AZ1129" s="161"/>
      <c r="BA1129" s="161"/>
      <c r="BB1129" s="161"/>
      <c r="BC1129" s="161"/>
    </row>
    <row r="1130" spans="1:55" ht="15.75" customHeight="1" x14ac:dyDescent="0.25">
      <c r="A1130" s="138" t="e">
        <v>#VALUE!</v>
      </c>
      <c r="B1130" s="136" t="s">
        <v>17</v>
      </c>
      <c r="C1130" s="147"/>
      <c r="D1130" s="184"/>
      <c r="E1130" s="193"/>
      <c r="F1130" s="184"/>
      <c r="G1130" s="147" t="s">
        <v>18</v>
      </c>
      <c r="H1130" s="183" t="s">
        <v>18</v>
      </c>
      <c r="I1130" s="147" t="s">
        <v>18</v>
      </c>
      <c r="J1130" s="184" t="s">
        <v>18</v>
      </c>
      <c r="K1130" s="147" t="e">
        <v>#VALUE!</v>
      </c>
      <c r="L1130" s="184" t="e">
        <v>#VALUE!</v>
      </c>
      <c r="M1130" s="184" t="e">
        <v>#VALUE!</v>
      </c>
      <c r="N1130" s="184" t="e">
        <v>#VALUE!</v>
      </c>
      <c r="O1130" s="147" t="e">
        <v>#VALUE!</v>
      </c>
      <c r="P1130" s="147" t="e">
        <v>#VALUE!</v>
      </c>
      <c r="Q1130" s="184" t="e">
        <v>#VALUE!</v>
      </c>
      <c r="R1130" s="147" t="e">
        <v>#VALUE!</v>
      </c>
      <c r="S1130" s="184" t="e">
        <v>#VALUE!</v>
      </c>
      <c r="T1130" s="147" t="e">
        <v>#VALUE!</v>
      </c>
      <c r="U1130" s="147" t="e">
        <v>#VALUE!</v>
      </c>
      <c r="V1130" s="147" t="e">
        <v>#VALUE!</v>
      </c>
      <c r="W1130" s="184" t="e">
        <v>#VALUE!</v>
      </c>
      <c r="X1130" s="147" t="e">
        <v>#VALUE!</v>
      </c>
      <c r="Y1130" s="147" t="e">
        <v>#VALUE!</v>
      </c>
      <c r="Z1130" s="184" t="e">
        <v>#VALUE!</v>
      </c>
      <c r="AA1130" s="147" t="e">
        <v>#VALUE!</v>
      </c>
      <c r="AB1130" s="147" t="e">
        <v>#VALUE!</v>
      </c>
      <c r="AC1130" s="147" t="e">
        <v>#VALUE!</v>
      </c>
      <c r="AD1130" s="184" t="e">
        <v>#VALUE!</v>
      </c>
      <c r="AE1130" s="147" t="e">
        <v>#VALUE!</v>
      </c>
      <c r="AF1130" s="147" t="e">
        <v>#VALUE!</v>
      </c>
      <c r="AG1130" s="147" t="e">
        <v>#VALUE!</v>
      </c>
      <c r="AH1130" s="184" t="e">
        <v>#VALUE!</v>
      </c>
      <c r="AI1130" s="147" t="e">
        <v>#VALUE!</v>
      </c>
      <c r="AJ1130" s="147" t="e">
        <v>#VALUE!</v>
      </c>
      <c r="AK1130" s="184" t="e">
        <v>#VALUE!</v>
      </c>
      <c r="AL1130" s="183" t="e">
        <v>#VALUE!</v>
      </c>
      <c r="AM1130" s="147" t="e">
        <v>#VALUE!</v>
      </c>
      <c r="AN1130" s="184" t="e">
        <v>#VALUE!</v>
      </c>
      <c r="AO1130" s="147" t="e">
        <v>#VALUE!</v>
      </c>
      <c r="AP1130" s="147" t="e">
        <v>#VALUE!</v>
      </c>
      <c r="AQ1130" s="147" t="e">
        <v>#VALUE!</v>
      </c>
      <c r="AR1130" s="147" t="s">
        <v>18</v>
      </c>
      <c r="AS1130" s="147" t="s">
        <v>18</v>
      </c>
      <c r="AT1130" s="161"/>
      <c r="AU1130" s="161"/>
      <c r="AV1130" s="161"/>
      <c r="AW1130" s="161"/>
      <c r="AX1130" s="161"/>
      <c r="AY1130" s="161"/>
      <c r="AZ1130" s="161"/>
      <c r="BA1130" s="161"/>
      <c r="BB1130" s="161"/>
      <c r="BC1130" s="161"/>
    </row>
    <row r="1131" spans="1:55" ht="15.75" customHeight="1" x14ac:dyDescent="0.25">
      <c r="A1131" s="149" t="s">
        <v>1</v>
      </c>
      <c r="B1131" s="150" t="s">
        <v>2</v>
      </c>
      <c r="C1131" s="130"/>
      <c r="D1131" s="175"/>
      <c r="E1131" s="130"/>
      <c r="F1131" s="175"/>
      <c r="G1131" s="130">
        <v>13976</v>
      </c>
      <c r="H1131" s="174" t="s">
        <v>18</v>
      </c>
      <c r="I1131" s="130" t="s">
        <v>18</v>
      </c>
      <c r="J1131" s="175" t="s">
        <v>18</v>
      </c>
      <c r="K1131" s="130">
        <v>14036</v>
      </c>
      <c r="L1131" s="175">
        <v>14063</v>
      </c>
      <c r="M1131" s="175">
        <v>14069</v>
      </c>
      <c r="N1131" s="175">
        <v>14069</v>
      </c>
      <c r="O1131" s="130">
        <v>14069</v>
      </c>
      <c r="P1131" s="130">
        <v>14099</v>
      </c>
      <c r="Q1131" s="175">
        <v>14099</v>
      </c>
      <c r="R1131" s="130">
        <v>14141</v>
      </c>
      <c r="S1131" s="175">
        <v>14141</v>
      </c>
      <c r="T1131" s="130">
        <v>14141</v>
      </c>
      <c r="U1131" s="130">
        <v>14141</v>
      </c>
      <c r="V1131" s="130">
        <v>14171</v>
      </c>
      <c r="W1131" s="175">
        <v>14171</v>
      </c>
      <c r="X1131" s="130">
        <v>14171</v>
      </c>
      <c r="Y1131" s="130">
        <v>14171</v>
      </c>
      <c r="Z1131" s="175">
        <v>14171</v>
      </c>
      <c r="AA1131" s="130">
        <v>14171</v>
      </c>
      <c r="AB1131" s="130">
        <v>14171</v>
      </c>
      <c r="AC1131" s="130">
        <v>14254</v>
      </c>
      <c r="AD1131" s="175">
        <v>14254</v>
      </c>
      <c r="AE1131" s="130">
        <v>14254</v>
      </c>
      <c r="AF1131" s="130">
        <v>14254</v>
      </c>
      <c r="AG1131" s="130">
        <v>14350</v>
      </c>
      <c r="AH1131" s="175">
        <v>14350</v>
      </c>
      <c r="AI1131" s="130">
        <v>14350</v>
      </c>
      <c r="AJ1131" s="130">
        <v>14377</v>
      </c>
      <c r="AK1131" s="175">
        <v>14381</v>
      </c>
      <c r="AL1131" s="174">
        <v>14381</v>
      </c>
      <c r="AM1131" s="130">
        <v>14401</v>
      </c>
      <c r="AN1131" s="175">
        <v>14401</v>
      </c>
      <c r="AO1131" s="130">
        <v>14401</v>
      </c>
      <c r="AP1131" s="130">
        <v>14401</v>
      </c>
      <c r="AQ1131" s="130">
        <v>14401</v>
      </c>
      <c r="AR1131" s="130" t="s">
        <v>18</v>
      </c>
      <c r="AS1131" s="130" t="s">
        <v>18</v>
      </c>
      <c r="AT1131" s="161"/>
      <c r="AU1131" s="161"/>
      <c r="AV1131" s="161"/>
      <c r="AW1131" s="161"/>
      <c r="AX1131" s="161"/>
      <c r="AY1131" s="161"/>
      <c r="AZ1131" s="161"/>
      <c r="BA1131" s="161"/>
      <c r="BB1131" s="161"/>
      <c r="BC1131" s="161"/>
    </row>
    <row r="1132" spans="1:55" ht="15.75" customHeight="1" x14ac:dyDescent="0.25">
      <c r="A1132" s="121" t="s">
        <v>29</v>
      </c>
      <c r="B1132" s="122" t="s">
        <v>4</v>
      </c>
      <c r="C1132" s="124"/>
      <c r="D1132" s="172"/>
      <c r="E1132" s="124"/>
      <c r="F1132" s="172"/>
      <c r="G1132" s="124">
        <v>560</v>
      </c>
      <c r="H1132" s="171" t="s">
        <v>18</v>
      </c>
      <c r="I1132" s="124" t="s">
        <v>18</v>
      </c>
      <c r="J1132" s="172" t="s">
        <v>18</v>
      </c>
      <c r="K1132" s="124" t="s">
        <v>18</v>
      </c>
      <c r="L1132" s="172">
        <v>561</v>
      </c>
      <c r="M1132" s="172">
        <v>562</v>
      </c>
      <c r="N1132" s="172">
        <v>562</v>
      </c>
      <c r="O1132" s="124">
        <v>562</v>
      </c>
      <c r="P1132" s="124">
        <v>563</v>
      </c>
      <c r="Q1132" s="172">
        <v>563</v>
      </c>
      <c r="R1132" s="124">
        <v>563</v>
      </c>
      <c r="S1132" s="172">
        <v>563</v>
      </c>
      <c r="T1132" s="124">
        <v>563</v>
      </c>
      <c r="U1132" s="124">
        <v>563</v>
      </c>
      <c r="V1132" s="124">
        <v>570</v>
      </c>
      <c r="W1132" s="172">
        <v>570</v>
      </c>
      <c r="X1132" s="124">
        <v>570</v>
      </c>
      <c r="Y1132" s="124">
        <v>570</v>
      </c>
      <c r="Z1132" s="172">
        <v>570</v>
      </c>
      <c r="AA1132" s="124">
        <v>570</v>
      </c>
      <c r="AB1132" s="124">
        <v>570</v>
      </c>
      <c r="AC1132" s="124">
        <v>586</v>
      </c>
      <c r="AD1132" s="172">
        <v>586</v>
      </c>
      <c r="AE1132" s="124">
        <v>586</v>
      </c>
      <c r="AF1132" s="124">
        <v>586</v>
      </c>
      <c r="AG1132" s="124">
        <v>622</v>
      </c>
      <c r="AH1132" s="172">
        <v>622</v>
      </c>
      <c r="AI1132" s="124">
        <v>622</v>
      </c>
      <c r="AJ1132" s="124">
        <v>622</v>
      </c>
      <c r="AK1132" s="172">
        <v>622</v>
      </c>
      <c r="AL1132" s="171">
        <v>622</v>
      </c>
      <c r="AM1132" s="124">
        <v>623</v>
      </c>
      <c r="AN1132" s="172">
        <v>623</v>
      </c>
      <c r="AO1132" s="124">
        <v>623</v>
      </c>
      <c r="AP1132" s="124">
        <v>623</v>
      </c>
      <c r="AQ1132" s="124">
        <v>623</v>
      </c>
      <c r="AR1132" s="124" t="s">
        <v>18</v>
      </c>
      <c r="AS1132" s="124" t="s">
        <v>18</v>
      </c>
      <c r="AT1132" s="161"/>
      <c r="AU1132" s="161"/>
      <c r="AV1132" s="161"/>
      <c r="AW1132" s="161"/>
      <c r="AX1132" s="161"/>
      <c r="AY1132" s="161"/>
      <c r="AZ1132" s="161"/>
      <c r="BA1132" s="161"/>
      <c r="BB1132" s="161"/>
      <c r="BC1132" s="161"/>
    </row>
    <row r="1133" spans="1:55" ht="15.75" customHeight="1" x14ac:dyDescent="0.25">
      <c r="A1133" s="143">
        <v>2</v>
      </c>
      <c r="B1133" s="122" t="s">
        <v>5</v>
      </c>
      <c r="C1133" s="124"/>
      <c r="D1133" s="172"/>
      <c r="E1133" s="124"/>
      <c r="F1133" s="172"/>
      <c r="G1133" s="124">
        <v>12</v>
      </c>
      <c r="H1133" s="171" t="s">
        <v>18</v>
      </c>
      <c r="I1133" s="124" t="s">
        <v>18</v>
      </c>
      <c r="J1133" s="172" t="s">
        <v>18</v>
      </c>
      <c r="K1133" s="124" t="e">
        <v>#VALUE!</v>
      </c>
      <c r="L1133" s="172">
        <v>11</v>
      </c>
      <c r="M1133" s="172">
        <v>11</v>
      </c>
      <c r="N1133" s="172">
        <v>19</v>
      </c>
      <c r="O1133" s="124">
        <v>19</v>
      </c>
      <c r="P1133" s="124">
        <v>19</v>
      </c>
      <c r="Q1133" s="172">
        <v>19</v>
      </c>
      <c r="R1133" s="124">
        <v>19</v>
      </c>
      <c r="S1133" s="172">
        <v>19</v>
      </c>
      <c r="T1133" s="124">
        <v>19</v>
      </c>
      <c r="U1133" s="124">
        <v>19</v>
      </c>
      <c r="V1133" s="124">
        <v>18</v>
      </c>
      <c r="W1133" s="172">
        <v>18</v>
      </c>
      <c r="X1133" s="124">
        <v>18</v>
      </c>
      <c r="Y1133" s="124">
        <v>18</v>
      </c>
      <c r="Z1133" s="172">
        <v>18</v>
      </c>
      <c r="AA1133" s="124">
        <v>18</v>
      </c>
      <c r="AB1133" s="124">
        <v>18</v>
      </c>
      <c r="AC1133" s="124">
        <v>18</v>
      </c>
      <c r="AD1133" s="172">
        <v>18</v>
      </c>
      <c r="AE1133" s="124">
        <v>18</v>
      </c>
      <c r="AF1133" s="124">
        <v>18</v>
      </c>
      <c r="AG1133" s="124">
        <v>17</v>
      </c>
      <c r="AH1133" s="172">
        <v>17</v>
      </c>
      <c r="AI1133" s="124">
        <v>17</v>
      </c>
      <c r="AJ1133" s="124">
        <v>17</v>
      </c>
      <c r="AK1133" s="172">
        <v>17</v>
      </c>
      <c r="AL1133" s="171">
        <v>17</v>
      </c>
      <c r="AM1133" s="124">
        <v>17</v>
      </c>
      <c r="AN1133" s="172">
        <v>17</v>
      </c>
      <c r="AO1133" s="124">
        <v>17</v>
      </c>
      <c r="AP1133" s="124">
        <v>17</v>
      </c>
      <c r="AQ1133" s="124">
        <v>17</v>
      </c>
      <c r="AR1133" s="124" t="s">
        <v>18</v>
      </c>
      <c r="AS1133" s="124" t="s">
        <v>18</v>
      </c>
      <c r="AT1133" s="161"/>
      <c r="AU1133" s="161"/>
      <c r="AV1133" s="161"/>
      <c r="AW1133" s="161"/>
      <c r="AX1133" s="161"/>
      <c r="AY1133" s="161"/>
      <c r="AZ1133" s="161"/>
      <c r="BA1133" s="161"/>
      <c r="BB1133" s="161"/>
      <c r="BC1133" s="161"/>
    </row>
    <row r="1134" spans="1:55" ht="15.75" customHeight="1" x14ac:dyDescent="0.25">
      <c r="A1134" s="127"/>
      <c r="B1134" s="122" t="s">
        <v>6</v>
      </c>
      <c r="C1134" s="124"/>
      <c r="D1134" s="172"/>
      <c r="E1134" s="124"/>
      <c r="F1134" s="172"/>
      <c r="G1134" s="124"/>
      <c r="H1134" s="171"/>
      <c r="I1134" s="124"/>
      <c r="J1134" s="172"/>
      <c r="K1134" s="124"/>
      <c r="L1134" s="172"/>
      <c r="M1134" s="172">
        <v>8</v>
      </c>
      <c r="N1134" s="172"/>
      <c r="O1134" s="124"/>
      <c r="P1134" s="124"/>
      <c r="Q1134" s="172"/>
      <c r="R1134" s="124"/>
      <c r="S1134" s="172"/>
      <c r="T1134" s="124"/>
      <c r="U1134" s="124"/>
      <c r="V1134" s="124"/>
      <c r="W1134" s="172"/>
      <c r="X1134" s="124"/>
      <c r="Y1134" s="124"/>
      <c r="Z1134" s="172"/>
      <c r="AA1134" s="124"/>
      <c r="AB1134" s="124"/>
      <c r="AC1134" s="124"/>
      <c r="AD1134" s="172"/>
      <c r="AE1134" s="124"/>
      <c r="AF1134" s="124"/>
      <c r="AG1134" s="124"/>
      <c r="AH1134" s="172"/>
      <c r="AI1134" s="124"/>
      <c r="AJ1134" s="124"/>
      <c r="AK1134" s="172"/>
      <c r="AL1134" s="171"/>
      <c r="AM1134" s="124"/>
      <c r="AN1134" s="172"/>
      <c r="AO1134" s="124"/>
      <c r="AP1134" s="124"/>
      <c r="AQ1134" s="124"/>
      <c r="AR1134" s="124"/>
      <c r="AS1134" s="124"/>
      <c r="AT1134" s="161"/>
      <c r="AU1134" s="161"/>
      <c r="AV1134" s="161"/>
      <c r="AW1134" s="161"/>
      <c r="AX1134" s="161"/>
      <c r="AY1134" s="161"/>
      <c r="AZ1134" s="161"/>
      <c r="BA1134" s="161"/>
      <c r="BB1134" s="161"/>
      <c r="BC1134" s="161"/>
    </row>
    <row r="1135" spans="1:55" ht="15.75" customHeight="1" x14ac:dyDescent="0.25">
      <c r="A1135" s="128"/>
      <c r="B1135" s="122" t="s">
        <v>8</v>
      </c>
      <c r="C1135" s="130"/>
      <c r="D1135" s="175"/>
      <c r="E1135" s="130"/>
      <c r="F1135" s="175"/>
      <c r="G1135" s="130">
        <v>880</v>
      </c>
      <c r="H1135" s="174" t="s">
        <v>18</v>
      </c>
      <c r="I1135" s="130" t="s">
        <v>18</v>
      </c>
      <c r="J1135" s="175" t="s">
        <v>18</v>
      </c>
      <c r="K1135" s="130" t="s">
        <v>18</v>
      </c>
      <c r="L1135" s="175" t="s">
        <v>18</v>
      </c>
      <c r="M1135" s="175" t="s">
        <v>18</v>
      </c>
      <c r="N1135" s="175" t="s">
        <v>18</v>
      </c>
      <c r="O1135" s="130" t="s">
        <v>18</v>
      </c>
      <c r="P1135" s="130" t="s">
        <v>18</v>
      </c>
      <c r="Q1135" s="175" t="s">
        <v>18</v>
      </c>
      <c r="R1135" s="130" t="s">
        <v>18</v>
      </c>
      <c r="S1135" s="175" t="s">
        <v>18</v>
      </c>
      <c r="T1135" s="130" t="s">
        <v>18</v>
      </c>
      <c r="U1135" s="130" t="s">
        <v>18</v>
      </c>
      <c r="V1135" s="130" t="s">
        <v>18</v>
      </c>
      <c r="W1135" s="175" t="s">
        <v>18</v>
      </c>
      <c r="X1135" s="130" t="s">
        <v>18</v>
      </c>
      <c r="Y1135" s="130" t="s">
        <v>18</v>
      </c>
      <c r="Z1135" s="175" t="s">
        <v>18</v>
      </c>
      <c r="AA1135" s="130" t="s">
        <v>18</v>
      </c>
      <c r="AB1135" s="130" t="s">
        <v>18</v>
      </c>
      <c r="AC1135" s="130" t="s">
        <v>18</v>
      </c>
      <c r="AD1135" s="175" t="s">
        <v>18</v>
      </c>
      <c r="AE1135" s="130" t="s">
        <v>18</v>
      </c>
      <c r="AF1135" s="130" t="s">
        <v>18</v>
      </c>
      <c r="AG1135" s="130" t="s">
        <v>18</v>
      </c>
      <c r="AH1135" s="175" t="s">
        <v>18</v>
      </c>
      <c r="AI1135" s="130" t="s">
        <v>18</v>
      </c>
      <c r="AJ1135" s="130" t="s">
        <v>18</v>
      </c>
      <c r="AK1135" s="175" t="s">
        <v>18</v>
      </c>
      <c r="AL1135" s="174" t="s">
        <v>18</v>
      </c>
      <c r="AM1135" s="130" t="s">
        <v>18</v>
      </c>
      <c r="AN1135" s="175" t="s">
        <v>18</v>
      </c>
      <c r="AO1135" s="130" t="s">
        <v>18</v>
      </c>
      <c r="AP1135" s="130" t="s">
        <v>18</v>
      </c>
      <c r="AQ1135" s="130" t="s">
        <v>18</v>
      </c>
      <c r="AR1135" s="130" t="s">
        <v>18</v>
      </c>
      <c r="AS1135" s="130" t="s">
        <v>18</v>
      </c>
      <c r="AT1135" s="161"/>
      <c r="AU1135" s="161"/>
      <c r="AV1135" s="161"/>
      <c r="AW1135" s="161"/>
      <c r="AX1135" s="161"/>
      <c r="AY1135" s="161"/>
      <c r="AZ1135" s="161"/>
      <c r="BA1135" s="161"/>
      <c r="BB1135" s="161"/>
      <c r="BC1135" s="161"/>
    </row>
    <row r="1136" spans="1:55" ht="15.75" customHeight="1" x14ac:dyDescent="0.25">
      <c r="A1136" s="127" t="s">
        <v>9</v>
      </c>
      <c r="B1136" s="132" t="s">
        <v>10</v>
      </c>
      <c r="C1136" s="134"/>
      <c r="D1136" s="178"/>
      <c r="E1136" s="134"/>
      <c r="F1136" s="178"/>
      <c r="G1136" s="134" t="s">
        <v>90</v>
      </c>
      <c r="H1136" s="177" t="s">
        <v>18</v>
      </c>
      <c r="I1136" s="134" t="s">
        <v>18</v>
      </c>
      <c r="J1136" s="178" t="s">
        <v>18</v>
      </c>
      <c r="K1136" s="134" t="s">
        <v>18</v>
      </c>
      <c r="L1136" s="178" t="s">
        <v>18</v>
      </c>
      <c r="M1136" s="178" t="s">
        <v>18</v>
      </c>
      <c r="N1136" s="178" t="s">
        <v>18</v>
      </c>
      <c r="O1136" s="134" t="s">
        <v>18</v>
      </c>
      <c r="P1136" s="134" t="s">
        <v>18</v>
      </c>
      <c r="Q1136" s="178" t="s">
        <v>18</v>
      </c>
      <c r="R1136" s="134" t="s">
        <v>18</v>
      </c>
      <c r="S1136" s="178" t="s">
        <v>18</v>
      </c>
      <c r="T1136" s="134" t="s">
        <v>18</v>
      </c>
      <c r="U1136" s="134" t="s">
        <v>18</v>
      </c>
      <c r="V1136" s="134" t="s">
        <v>18</v>
      </c>
      <c r="W1136" s="178" t="s">
        <v>18</v>
      </c>
      <c r="X1136" s="134" t="s">
        <v>18</v>
      </c>
      <c r="Y1136" s="134" t="s">
        <v>18</v>
      </c>
      <c r="Z1136" s="178" t="s">
        <v>18</v>
      </c>
      <c r="AA1136" s="134" t="s">
        <v>18</v>
      </c>
      <c r="AB1136" s="134" t="s">
        <v>18</v>
      </c>
      <c r="AC1136" s="134" t="s">
        <v>18</v>
      </c>
      <c r="AD1136" s="178" t="s">
        <v>90</v>
      </c>
      <c r="AE1136" s="134" t="s">
        <v>90</v>
      </c>
      <c r="AF1136" s="134" t="s">
        <v>90</v>
      </c>
      <c r="AG1136" s="134" t="s">
        <v>90</v>
      </c>
      <c r="AH1136" s="178" t="s">
        <v>90</v>
      </c>
      <c r="AI1136" s="134" t="s">
        <v>90</v>
      </c>
      <c r="AJ1136" s="134" t="s">
        <v>90</v>
      </c>
      <c r="AK1136" s="178" t="s">
        <v>90</v>
      </c>
      <c r="AL1136" s="177" t="s">
        <v>90</v>
      </c>
      <c r="AM1136" s="134" t="s">
        <v>90</v>
      </c>
      <c r="AN1136" s="178" t="s">
        <v>90</v>
      </c>
      <c r="AO1136" s="134" t="s">
        <v>90</v>
      </c>
      <c r="AP1136" s="134" t="s">
        <v>90</v>
      </c>
      <c r="AQ1136" s="134" t="s">
        <v>90</v>
      </c>
      <c r="AR1136" s="134" t="s">
        <v>18</v>
      </c>
      <c r="AS1136" s="134" t="s">
        <v>18</v>
      </c>
      <c r="AT1136" s="189"/>
      <c r="AU1136" s="189"/>
      <c r="AV1136" s="189"/>
      <c r="AW1136" s="189"/>
      <c r="AX1136" s="189"/>
      <c r="AY1136" s="189"/>
      <c r="AZ1136" s="189"/>
      <c r="BA1136" s="189"/>
      <c r="BB1136" s="189"/>
      <c r="BC1136" s="189"/>
    </row>
    <row r="1137" spans="1:55" ht="15.75" customHeight="1" x14ac:dyDescent="0.25">
      <c r="A1137" s="128" t="e">
        <v>#VALUE!</v>
      </c>
      <c r="B1137" s="122" t="s">
        <v>12</v>
      </c>
      <c r="C1137" s="124"/>
      <c r="D1137" s="172"/>
      <c r="E1137" s="124"/>
      <c r="F1137" s="172"/>
      <c r="G1137" s="124"/>
      <c r="H1137" s="171"/>
      <c r="I1137" s="124"/>
      <c r="J1137" s="172"/>
      <c r="K1137" s="124"/>
      <c r="L1137" s="172"/>
      <c r="M1137" s="172"/>
      <c r="N1137" s="172"/>
      <c r="O1137" s="124"/>
      <c r="P1137" s="124"/>
      <c r="Q1137" s="172"/>
      <c r="R1137" s="124"/>
      <c r="S1137" s="172"/>
      <c r="T1137" s="124"/>
      <c r="U1137" s="124"/>
      <c r="V1137" s="124"/>
      <c r="W1137" s="172"/>
      <c r="X1137" s="124"/>
      <c r="Y1137" s="124" t="s">
        <v>165</v>
      </c>
      <c r="Z1137" s="172"/>
      <c r="AA1137" s="124"/>
      <c r="AB1137" s="124"/>
      <c r="AC1137" s="124"/>
      <c r="AD1137" s="172"/>
      <c r="AE1137" s="124"/>
      <c r="AF1137" s="124"/>
      <c r="AG1137" s="124"/>
      <c r="AH1137" s="172"/>
      <c r="AI1137" s="124"/>
      <c r="AJ1137" s="124"/>
      <c r="AK1137" s="172"/>
      <c r="AL1137" s="171"/>
      <c r="AM1137" s="124"/>
      <c r="AN1137" s="172"/>
      <c r="AO1137" s="124"/>
      <c r="AP1137" s="124"/>
      <c r="AQ1137" s="124"/>
      <c r="AR1137" s="124"/>
      <c r="AS1137" s="124"/>
      <c r="AT1137" s="161"/>
      <c r="AU1137" s="161"/>
      <c r="AV1137" s="161"/>
      <c r="AW1137" s="161"/>
      <c r="AX1137" s="161"/>
      <c r="AY1137" s="161"/>
      <c r="AZ1137" s="161"/>
      <c r="BA1137" s="161"/>
      <c r="BB1137" s="161"/>
      <c r="BC1137" s="161"/>
    </row>
    <row r="1138" spans="1:55" ht="15.75" customHeight="1" x14ac:dyDescent="0.25">
      <c r="A1138" s="128" t="e">
        <v>#VALUE!</v>
      </c>
      <c r="B1138" s="136" t="s">
        <v>13</v>
      </c>
      <c r="C1138" s="137"/>
      <c r="D1138" s="172"/>
      <c r="E1138" s="124"/>
      <c r="F1138" s="172"/>
      <c r="G1138" s="137">
        <v>0</v>
      </c>
      <c r="H1138" s="171" t="s">
        <v>18</v>
      </c>
      <c r="I1138" s="137" t="s">
        <v>18</v>
      </c>
      <c r="J1138" s="172" t="s">
        <v>18</v>
      </c>
      <c r="K1138" s="137" t="e">
        <v>#VALUE!</v>
      </c>
      <c r="L1138" s="172">
        <v>27</v>
      </c>
      <c r="M1138" s="172">
        <v>6</v>
      </c>
      <c r="N1138" s="172">
        <v>0</v>
      </c>
      <c r="O1138" s="137">
        <v>0</v>
      </c>
      <c r="P1138" s="137">
        <v>30</v>
      </c>
      <c r="Q1138" s="172">
        <v>0</v>
      </c>
      <c r="R1138" s="137">
        <v>42</v>
      </c>
      <c r="S1138" s="172">
        <v>0</v>
      </c>
      <c r="T1138" s="137">
        <v>0</v>
      </c>
      <c r="U1138" s="137">
        <v>0</v>
      </c>
      <c r="V1138" s="137">
        <v>30</v>
      </c>
      <c r="W1138" s="172">
        <v>0</v>
      </c>
      <c r="X1138" s="137">
        <v>0</v>
      </c>
      <c r="Y1138" s="137">
        <v>0</v>
      </c>
      <c r="Z1138" s="172">
        <v>0</v>
      </c>
      <c r="AA1138" s="137">
        <v>0</v>
      </c>
      <c r="AB1138" s="137">
        <v>0</v>
      </c>
      <c r="AC1138" s="137">
        <v>83</v>
      </c>
      <c r="AD1138" s="172">
        <v>0</v>
      </c>
      <c r="AE1138" s="137">
        <v>0</v>
      </c>
      <c r="AF1138" s="137">
        <v>0</v>
      </c>
      <c r="AG1138" s="137">
        <v>96</v>
      </c>
      <c r="AH1138" s="172">
        <v>0</v>
      </c>
      <c r="AI1138" s="137">
        <v>0</v>
      </c>
      <c r="AJ1138" s="137">
        <v>27</v>
      </c>
      <c r="AK1138" s="172">
        <v>4</v>
      </c>
      <c r="AL1138" s="171">
        <v>0</v>
      </c>
      <c r="AM1138" s="137">
        <v>20</v>
      </c>
      <c r="AN1138" s="172">
        <v>0</v>
      </c>
      <c r="AO1138" s="137">
        <v>0</v>
      </c>
      <c r="AP1138" s="137">
        <v>0</v>
      </c>
      <c r="AQ1138" s="137">
        <v>0</v>
      </c>
      <c r="AR1138" s="137" t="s">
        <v>18</v>
      </c>
      <c r="AS1138" s="137" t="s">
        <v>18</v>
      </c>
      <c r="AT1138" s="161"/>
      <c r="AU1138" s="161"/>
      <c r="AV1138" s="161"/>
      <c r="AW1138" s="161"/>
      <c r="AX1138" s="161"/>
      <c r="AY1138" s="161"/>
      <c r="AZ1138" s="161"/>
      <c r="BA1138" s="161"/>
      <c r="BB1138" s="161"/>
      <c r="BC1138" s="161"/>
    </row>
    <row r="1139" spans="1:55" ht="15.75" customHeight="1" x14ac:dyDescent="0.25">
      <c r="A1139" s="128" t="e">
        <v>#VALUE!</v>
      </c>
      <c r="B1139" s="136" t="s">
        <v>14</v>
      </c>
      <c r="C1139" s="137"/>
      <c r="D1139" s="172"/>
      <c r="E1139" s="124"/>
      <c r="F1139" s="172"/>
      <c r="G1139" s="137">
        <v>0</v>
      </c>
      <c r="H1139" s="171" t="s">
        <v>18</v>
      </c>
      <c r="I1139" s="137" t="s">
        <v>18</v>
      </c>
      <c r="J1139" s="172" t="s">
        <v>18</v>
      </c>
      <c r="K1139" s="137" t="s">
        <v>18</v>
      </c>
      <c r="L1139" s="172" t="e">
        <v>#VALUE!</v>
      </c>
      <c r="M1139" s="172">
        <v>1</v>
      </c>
      <c r="N1139" s="172">
        <v>0</v>
      </c>
      <c r="O1139" s="137">
        <v>0</v>
      </c>
      <c r="P1139" s="137">
        <v>1</v>
      </c>
      <c r="Q1139" s="172">
        <v>0</v>
      </c>
      <c r="R1139" s="137">
        <v>0</v>
      </c>
      <c r="S1139" s="172">
        <v>0</v>
      </c>
      <c r="T1139" s="137">
        <v>0</v>
      </c>
      <c r="U1139" s="137">
        <v>0</v>
      </c>
      <c r="V1139" s="137">
        <v>7</v>
      </c>
      <c r="W1139" s="172">
        <v>0</v>
      </c>
      <c r="X1139" s="137">
        <v>0</v>
      </c>
      <c r="Y1139" s="137">
        <v>0</v>
      </c>
      <c r="Z1139" s="172">
        <v>0</v>
      </c>
      <c r="AA1139" s="137">
        <v>0</v>
      </c>
      <c r="AB1139" s="137">
        <v>0</v>
      </c>
      <c r="AC1139" s="137">
        <v>16</v>
      </c>
      <c r="AD1139" s="172">
        <v>0</v>
      </c>
      <c r="AE1139" s="137">
        <v>0</v>
      </c>
      <c r="AF1139" s="137">
        <v>0</v>
      </c>
      <c r="AG1139" s="137">
        <v>36</v>
      </c>
      <c r="AH1139" s="172">
        <v>0</v>
      </c>
      <c r="AI1139" s="137">
        <v>0</v>
      </c>
      <c r="AJ1139" s="137">
        <v>0</v>
      </c>
      <c r="AK1139" s="172">
        <v>0</v>
      </c>
      <c r="AL1139" s="171">
        <v>0</v>
      </c>
      <c r="AM1139" s="137">
        <v>1</v>
      </c>
      <c r="AN1139" s="172">
        <v>0</v>
      </c>
      <c r="AO1139" s="137">
        <v>0</v>
      </c>
      <c r="AP1139" s="137">
        <v>0</v>
      </c>
      <c r="AQ1139" s="137">
        <v>0</v>
      </c>
      <c r="AR1139" s="137" t="s">
        <v>18</v>
      </c>
      <c r="AS1139" s="137" t="s">
        <v>18</v>
      </c>
      <c r="AT1139" s="161"/>
      <c r="AU1139" s="161"/>
      <c r="AV1139" s="161"/>
      <c r="AW1139" s="161"/>
      <c r="AX1139" s="161"/>
      <c r="AY1139" s="161"/>
      <c r="AZ1139" s="161"/>
      <c r="BA1139" s="161"/>
      <c r="BB1139" s="161"/>
      <c r="BC1139" s="161"/>
    </row>
    <row r="1140" spans="1:55" ht="15.75" customHeight="1" x14ac:dyDescent="0.25">
      <c r="A1140" s="128" t="e">
        <v>#VALUE!</v>
      </c>
      <c r="B1140" s="136" t="s">
        <v>15</v>
      </c>
      <c r="C1140" s="137"/>
      <c r="D1140" s="172"/>
      <c r="E1140" s="124"/>
      <c r="F1140" s="172"/>
      <c r="G1140" s="137">
        <v>0</v>
      </c>
      <c r="H1140" s="171" t="s">
        <v>18</v>
      </c>
      <c r="I1140" s="137" t="s">
        <v>18</v>
      </c>
      <c r="J1140" s="172" t="s">
        <v>18</v>
      </c>
      <c r="K1140" s="137" t="e">
        <v>#VALUE!</v>
      </c>
      <c r="L1140" s="172" t="e">
        <v>#VALUE!</v>
      </c>
      <c r="M1140" s="172">
        <v>0</v>
      </c>
      <c r="N1140" s="172">
        <v>0</v>
      </c>
      <c r="O1140" s="137">
        <v>0</v>
      </c>
      <c r="P1140" s="137">
        <v>0</v>
      </c>
      <c r="Q1140" s="172">
        <v>0</v>
      </c>
      <c r="R1140" s="137">
        <v>0</v>
      </c>
      <c r="S1140" s="172">
        <v>0</v>
      </c>
      <c r="T1140" s="137">
        <v>0</v>
      </c>
      <c r="U1140" s="137">
        <v>0</v>
      </c>
      <c r="V1140" s="137">
        <v>1</v>
      </c>
      <c r="W1140" s="172">
        <v>0</v>
      </c>
      <c r="X1140" s="137">
        <v>0</v>
      </c>
      <c r="Y1140" s="137">
        <v>0</v>
      </c>
      <c r="Z1140" s="172">
        <v>0</v>
      </c>
      <c r="AA1140" s="137">
        <v>0</v>
      </c>
      <c r="AB1140" s="137">
        <v>0</v>
      </c>
      <c r="AC1140" s="137">
        <v>0</v>
      </c>
      <c r="AD1140" s="172">
        <v>0</v>
      </c>
      <c r="AE1140" s="137">
        <v>0</v>
      </c>
      <c r="AF1140" s="137">
        <v>0</v>
      </c>
      <c r="AG1140" s="137">
        <v>1</v>
      </c>
      <c r="AH1140" s="172">
        <v>0</v>
      </c>
      <c r="AI1140" s="137">
        <v>0</v>
      </c>
      <c r="AJ1140" s="137">
        <v>0</v>
      </c>
      <c r="AK1140" s="172">
        <v>0</v>
      </c>
      <c r="AL1140" s="171">
        <v>0</v>
      </c>
      <c r="AM1140" s="137">
        <v>0</v>
      </c>
      <c r="AN1140" s="172">
        <v>0</v>
      </c>
      <c r="AO1140" s="137">
        <v>0</v>
      </c>
      <c r="AP1140" s="137">
        <v>0</v>
      </c>
      <c r="AQ1140" s="137">
        <v>0</v>
      </c>
      <c r="AR1140" s="137" t="s">
        <v>18</v>
      </c>
      <c r="AS1140" s="137" t="s">
        <v>18</v>
      </c>
      <c r="AT1140" s="161"/>
      <c r="AU1140" s="161"/>
      <c r="AV1140" s="161"/>
      <c r="AW1140" s="161"/>
      <c r="AX1140" s="161"/>
      <c r="AY1140" s="161"/>
      <c r="AZ1140" s="161"/>
      <c r="BA1140" s="161"/>
      <c r="BB1140" s="161"/>
      <c r="BC1140" s="161"/>
    </row>
    <row r="1141" spans="1:55" ht="15.75" customHeight="1" x14ac:dyDescent="0.25">
      <c r="A1141" s="128" t="e">
        <v>#VALUE!</v>
      </c>
      <c r="B1141" s="136" t="s">
        <v>16</v>
      </c>
      <c r="C1141" s="137"/>
      <c r="D1141" s="172"/>
      <c r="E1141" s="124"/>
      <c r="F1141" s="172"/>
      <c r="G1141" s="137">
        <v>0</v>
      </c>
      <c r="H1141" s="171" t="s">
        <v>18</v>
      </c>
      <c r="I1141" s="137" t="s">
        <v>18</v>
      </c>
      <c r="J1141" s="172" t="s">
        <v>18</v>
      </c>
      <c r="K1141" s="137" t="e">
        <v>#VALUE!</v>
      </c>
      <c r="L1141" s="172" t="e">
        <v>#VALUE!</v>
      </c>
      <c r="M1141" s="172" t="e">
        <v>#VALUE!</v>
      </c>
      <c r="N1141" s="172" t="e">
        <v>#VALUE!</v>
      </c>
      <c r="O1141" s="137" t="e">
        <v>#VALUE!</v>
      </c>
      <c r="P1141" s="137" t="e">
        <v>#VALUE!</v>
      </c>
      <c r="Q1141" s="172" t="e">
        <v>#VALUE!</v>
      </c>
      <c r="R1141" s="137" t="e">
        <v>#VALUE!</v>
      </c>
      <c r="S1141" s="172" t="e">
        <v>#VALUE!</v>
      </c>
      <c r="T1141" s="137" t="e">
        <v>#VALUE!</v>
      </c>
      <c r="U1141" s="137" t="e">
        <v>#VALUE!</v>
      </c>
      <c r="V1141" s="137" t="e">
        <v>#VALUE!</v>
      </c>
      <c r="W1141" s="172" t="e">
        <v>#VALUE!</v>
      </c>
      <c r="X1141" s="137" t="e">
        <v>#VALUE!</v>
      </c>
      <c r="Y1141" s="137" t="e">
        <v>#VALUE!</v>
      </c>
      <c r="Z1141" s="172" t="e">
        <v>#VALUE!</v>
      </c>
      <c r="AA1141" s="137" t="e">
        <v>#VALUE!</v>
      </c>
      <c r="AB1141" s="137" t="e">
        <v>#VALUE!</v>
      </c>
      <c r="AC1141" s="137" t="e">
        <v>#VALUE!</v>
      </c>
      <c r="AD1141" s="172" t="e">
        <v>#VALUE!</v>
      </c>
      <c r="AE1141" s="137" t="e">
        <v>#VALUE!</v>
      </c>
      <c r="AF1141" s="137" t="e">
        <v>#VALUE!</v>
      </c>
      <c r="AG1141" s="137" t="e">
        <v>#VALUE!</v>
      </c>
      <c r="AH1141" s="172" t="e">
        <v>#VALUE!</v>
      </c>
      <c r="AI1141" s="137" t="e">
        <v>#VALUE!</v>
      </c>
      <c r="AJ1141" s="137" t="e">
        <v>#VALUE!</v>
      </c>
      <c r="AK1141" s="172" t="e">
        <v>#VALUE!</v>
      </c>
      <c r="AL1141" s="171" t="e">
        <v>#VALUE!</v>
      </c>
      <c r="AM1141" s="137" t="e">
        <v>#VALUE!</v>
      </c>
      <c r="AN1141" s="172" t="e">
        <v>#VALUE!</v>
      </c>
      <c r="AO1141" s="137" t="e">
        <v>#VALUE!</v>
      </c>
      <c r="AP1141" s="137" t="e">
        <v>#VALUE!</v>
      </c>
      <c r="AQ1141" s="137" t="e">
        <v>#VALUE!</v>
      </c>
      <c r="AR1141" s="137" t="s">
        <v>18</v>
      </c>
      <c r="AS1141" s="137" t="s">
        <v>18</v>
      </c>
      <c r="AT1141" s="161"/>
      <c r="AU1141" s="161"/>
      <c r="AV1141" s="161"/>
      <c r="AW1141" s="161"/>
      <c r="AX1141" s="161"/>
      <c r="AY1141" s="161"/>
      <c r="AZ1141" s="161"/>
      <c r="BA1141" s="161"/>
      <c r="BB1141" s="161"/>
      <c r="BC1141" s="161"/>
    </row>
    <row r="1142" spans="1:55" ht="15.75" customHeight="1" x14ac:dyDescent="0.25">
      <c r="A1142" s="138" t="e">
        <v>#VALUE!</v>
      </c>
      <c r="B1142" s="136" t="s">
        <v>17</v>
      </c>
      <c r="C1142" s="147"/>
      <c r="D1142" s="184"/>
      <c r="E1142" s="193"/>
      <c r="F1142" s="184"/>
      <c r="G1142" s="147" t="s">
        <v>18</v>
      </c>
      <c r="H1142" s="183" t="s">
        <v>18</v>
      </c>
      <c r="I1142" s="147" t="s">
        <v>18</v>
      </c>
      <c r="J1142" s="184" t="s">
        <v>18</v>
      </c>
      <c r="K1142" s="147" t="e">
        <v>#VALUE!</v>
      </c>
      <c r="L1142" s="184" t="e">
        <v>#VALUE!</v>
      </c>
      <c r="M1142" s="184" t="e">
        <v>#VALUE!</v>
      </c>
      <c r="N1142" s="184" t="e">
        <v>#VALUE!</v>
      </c>
      <c r="O1142" s="147" t="e">
        <v>#VALUE!</v>
      </c>
      <c r="P1142" s="147" t="e">
        <v>#VALUE!</v>
      </c>
      <c r="Q1142" s="184" t="e">
        <v>#VALUE!</v>
      </c>
      <c r="R1142" s="147" t="e">
        <v>#VALUE!</v>
      </c>
      <c r="S1142" s="184" t="e">
        <v>#VALUE!</v>
      </c>
      <c r="T1142" s="147" t="e">
        <v>#VALUE!</v>
      </c>
      <c r="U1142" s="147" t="e">
        <v>#VALUE!</v>
      </c>
      <c r="V1142" s="147" t="e">
        <v>#VALUE!</v>
      </c>
      <c r="W1142" s="184" t="e">
        <v>#VALUE!</v>
      </c>
      <c r="X1142" s="147" t="e">
        <v>#VALUE!</v>
      </c>
      <c r="Y1142" s="147" t="e">
        <v>#VALUE!</v>
      </c>
      <c r="Z1142" s="184" t="e">
        <v>#VALUE!</v>
      </c>
      <c r="AA1142" s="147" t="e">
        <v>#VALUE!</v>
      </c>
      <c r="AB1142" s="147" t="e">
        <v>#VALUE!</v>
      </c>
      <c r="AC1142" s="147" t="e">
        <v>#VALUE!</v>
      </c>
      <c r="AD1142" s="184" t="e">
        <v>#VALUE!</v>
      </c>
      <c r="AE1142" s="147" t="e">
        <v>#VALUE!</v>
      </c>
      <c r="AF1142" s="147" t="e">
        <v>#VALUE!</v>
      </c>
      <c r="AG1142" s="147" t="e">
        <v>#VALUE!</v>
      </c>
      <c r="AH1142" s="184" t="e">
        <v>#VALUE!</v>
      </c>
      <c r="AI1142" s="147" t="e">
        <v>#VALUE!</v>
      </c>
      <c r="AJ1142" s="147" t="e">
        <v>#VALUE!</v>
      </c>
      <c r="AK1142" s="184" t="e">
        <v>#VALUE!</v>
      </c>
      <c r="AL1142" s="183" t="e">
        <v>#VALUE!</v>
      </c>
      <c r="AM1142" s="147" t="e">
        <v>#VALUE!</v>
      </c>
      <c r="AN1142" s="184" t="e">
        <v>#VALUE!</v>
      </c>
      <c r="AO1142" s="147" t="e">
        <v>#VALUE!</v>
      </c>
      <c r="AP1142" s="147" t="e">
        <v>#VALUE!</v>
      </c>
      <c r="AQ1142" s="147" t="e">
        <v>#VALUE!</v>
      </c>
      <c r="AR1142" s="147" t="s">
        <v>18</v>
      </c>
      <c r="AS1142" s="147" t="s">
        <v>18</v>
      </c>
      <c r="AT1142" s="161"/>
      <c r="AU1142" s="161"/>
      <c r="AV1142" s="161"/>
      <c r="AW1142" s="161"/>
      <c r="AX1142" s="161"/>
      <c r="AY1142" s="161"/>
      <c r="AZ1142" s="161"/>
      <c r="BA1142" s="161"/>
      <c r="BB1142" s="161"/>
      <c r="BC1142" s="161"/>
    </row>
    <row r="1143" spans="1:55" ht="15.75" customHeight="1" x14ac:dyDescent="0.25">
      <c r="A1143" s="149" t="s">
        <v>1</v>
      </c>
      <c r="B1143" s="150" t="s">
        <v>2</v>
      </c>
      <c r="C1143" s="130"/>
      <c r="D1143" s="175"/>
      <c r="E1143" s="130"/>
      <c r="F1143" s="175"/>
      <c r="G1143" s="130">
        <v>14672</v>
      </c>
      <c r="H1143" s="174" t="s">
        <v>18</v>
      </c>
      <c r="I1143" s="130" t="s">
        <v>18</v>
      </c>
      <c r="J1143" s="175" t="s">
        <v>18</v>
      </c>
      <c r="K1143" s="130">
        <v>14740</v>
      </c>
      <c r="L1143" s="175">
        <v>14745</v>
      </c>
      <c r="M1143" s="175">
        <v>14759</v>
      </c>
      <c r="N1143" s="175">
        <v>14759</v>
      </c>
      <c r="O1143" s="130">
        <v>14759</v>
      </c>
      <c r="P1143" s="130">
        <v>14930</v>
      </c>
      <c r="Q1143" s="175">
        <v>14930</v>
      </c>
      <c r="R1143" s="130">
        <v>15043</v>
      </c>
      <c r="S1143" s="175">
        <v>15043</v>
      </c>
      <c r="T1143" s="130">
        <v>15043</v>
      </c>
      <c r="U1143" s="130">
        <v>15043</v>
      </c>
      <c r="V1143" s="130">
        <v>15278</v>
      </c>
      <c r="W1143" s="175">
        <v>15278</v>
      </c>
      <c r="X1143" s="130">
        <v>15278</v>
      </c>
      <c r="Y1143" s="130">
        <v>15571</v>
      </c>
      <c r="Z1143" s="175">
        <v>15571</v>
      </c>
      <c r="AA1143" s="130">
        <v>15571</v>
      </c>
      <c r="AB1143" s="130">
        <v>15571</v>
      </c>
      <c r="AC1143" s="130">
        <v>15696</v>
      </c>
      <c r="AD1143" s="175">
        <v>15696</v>
      </c>
      <c r="AE1143" s="130">
        <v>15696</v>
      </c>
      <c r="AF1143" s="130">
        <v>15696</v>
      </c>
      <c r="AG1143" s="130">
        <v>16027</v>
      </c>
      <c r="AH1143" s="175">
        <v>16027</v>
      </c>
      <c r="AI1143" s="130">
        <v>16027</v>
      </c>
      <c r="AJ1143" s="130">
        <v>16203</v>
      </c>
      <c r="AK1143" s="175">
        <v>16239</v>
      </c>
      <c r="AL1143" s="174">
        <v>16239</v>
      </c>
      <c r="AM1143" s="130">
        <v>16382</v>
      </c>
      <c r="AN1143" s="175">
        <v>16382</v>
      </c>
      <c r="AO1143" s="130">
        <v>16382</v>
      </c>
      <c r="AP1143" s="130">
        <v>16382</v>
      </c>
      <c r="AQ1143" s="130">
        <v>16382</v>
      </c>
      <c r="AR1143" s="130" t="s">
        <v>18</v>
      </c>
      <c r="AS1143" s="130" t="s">
        <v>18</v>
      </c>
      <c r="AT1143" s="161"/>
      <c r="AU1143" s="161"/>
      <c r="AV1143" s="161"/>
      <c r="AW1143" s="161"/>
      <c r="AX1143" s="161"/>
      <c r="AY1143" s="161"/>
      <c r="AZ1143" s="161"/>
      <c r="BA1143" s="161"/>
      <c r="BB1143" s="161"/>
      <c r="BC1143" s="161"/>
    </row>
    <row r="1144" spans="1:55" ht="15.75" customHeight="1" x14ac:dyDescent="0.25">
      <c r="A1144" s="121" t="s">
        <v>29</v>
      </c>
      <c r="B1144" s="122" t="s">
        <v>4</v>
      </c>
      <c r="C1144" s="124"/>
      <c r="D1144" s="172"/>
      <c r="E1144" s="124"/>
      <c r="F1144" s="172"/>
      <c r="G1144" s="124">
        <v>1499</v>
      </c>
      <c r="H1144" s="171" t="s">
        <v>18</v>
      </c>
      <c r="I1144" s="124" t="s">
        <v>18</v>
      </c>
      <c r="J1144" s="172" t="s">
        <v>18</v>
      </c>
      <c r="K1144" s="124">
        <v>1501</v>
      </c>
      <c r="L1144" s="172">
        <v>1501</v>
      </c>
      <c r="M1144" s="172">
        <v>1501</v>
      </c>
      <c r="N1144" s="172">
        <v>1501</v>
      </c>
      <c r="O1144" s="124">
        <v>1501</v>
      </c>
      <c r="P1144" s="124">
        <v>1501</v>
      </c>
      <c r="Q1144" s="172">
        <v>1501</v>
      </c>
      <c r="R1144" s="124">
        <v>1502</v>
      </c>
      <c r="S1144" s="172">
        <v>1502</v>
      </c>
      <c r="T1144" s="124">
        <v>1502</v>
      </c>
      <c r="U1144" s="124">
        <v>1502</v>
      </c>
      <c r="V1144" s="124">
        <v>1508</v>
      </c>
      <c r="W1144" s="172">
        <v>1508</v>
      </c>
      <c r="X1144" s="124">
        <v>1508</v>
      </c>
      <c r="Y1144" s="124">
        <v>1510</v>
      </c>
      <c r="Z1144" s="172">
        <v>1510</v>
      </c>
      <c r="AA1144" s="124">
        <v>1510</v>
      </c>
      <c r="AB1144" s="124">
        <v>1510</v>
      </c>
      <c r="AC1144" s="124">
        <v>1514</v>
      </c>
      <c r="AD1144" s="172">
        <v>1514</v>
      </c>
      <c r="AE1144" s="124">
        <v>1514</v>
      </c>
      <c r="AF1144" s="124">
        <v>1514</v>
      </c>
      <c r="AG1144" s="124">
        <v>1520</v>
      </c>
      <c r="AH1144" s="172">
        <v>1520</v>
      </c>
      <c r="AI1144" s="124">
        <v>1520</v>
      </c>
      <c r="AJ1144" s="124">
        <v>1522</v>
      </c>
      <c r="AK1144" s="172">
        <v>1522</v>
      </c>
      <c r="AL1144" s="171">
        <v>1522</v>
      </c>
      <c r="AM1144" s="124">
        <v>1522</v>
      </c>
      <c r="AN1144" s="172">
        <v>1522</v>
      </c>
      <c r="AO1144" s="124">
        <v>1522</v>
      </c>
      <c r="AP1144" s="124">
        <v>1522</v>
      </c>
      <c r="AQ1144" s="124">
        <v>1522</v>
      </c>
      <c r="AR1144" s="124" t="s">
        <v>18</v>
      </c>
      <c r="AS1144" s="124" t="s">
        <v>18</v>
      </c>
      <c r="AT1144" s="161"/>
      <c r="AU1144" s="161"/>
      <c r="AV1144" s="161"/>
      <c r="AW1144" s="161"/>
      <c r="AX1144" s="161"/>
      <c r="AY1144" s="161"/>
      <c r="AZ1144" s="161"/>
      <c r="BA1144" s="161"/>
      <c r="BB1144" s="161"/>
      <c r="BC1144" s="161"/>
    </row>
    <row r="1145" spans="1:55" ht="15.75" customHeight="1" x14ac:dyDescent="0.25">
      <c r="A1145" s="143">
        <v>3</v>
      </c>
      <c r="B1145" s="122" t="s">
        <v>5</v>
      </c>
      <c r="C1145" s="124"/>
      <c r="D1145" s="172"/>
      <c r="E1145" s="124"/>
      <c r="F1145" s="172"/>
      <c r="G1145" s="124">
        <v>15</v>
      </c>
      <c r="H1145" s="171" t="s">
        <v>18</v>
      </c>
      <c r="I1145" s="124" t="s">
        <v>18</v>
      </c>
      <c r="J1145" s="172" t="s">
        <v>18</v>
      </c>
      <c r="K1145" s="124">
        <v>13</v>
      </c>
      <c r="L1145" s="172">
        <v>13</v>
      </c>
      <c r="M1145" s="172">
        <v>13</v>
      </c>
      <c r="N1145" s="172">
        <v>29</v>
      </c>
      <c r="O1145" s="124">
        <v>29</v>
      </c>
      <c r="P1145" s="124">
        <v>28</v>
      </c>
      <c r="Q1145" s="172">
        <v>28</v>
      </c>
      <c r="R1145" s="124">
        <v>27</v>
      </c>
      <c r="S1145" s="172">
        <v>27</v>
      </c>
      <c r="T1145" s="124">
        <v>27</v>
      </c>
      <c r="U1145" s="124">
        <v>27</v>
      </c>
      <c r="V1145" s="124">
        <v>21</v>
      </c>
      <c r="W1145" s="172">
        <v>21</v>
      </c>
      <c r="X1145" s="124">
        <v>21</v>
      </c>
      <c r="Y1145" s="124">
        <v>17</v>
      </c>
      <c r="Z1145" s="172">
        <v>17</v>
      </c>
      <c r="AA1145" s="124">
        <v>17</v>
      </c>
      <c r="AB1145" s="124">
        <v>17</v>
      </c>
      <c r="AC1145" s="124">
        <v>13</v>
      </c>
      <c r="AD1145" s="172">
        <v>28</v>
      </c>
      <c r="AE1145" s="124">
        <v>28</v>
      </c>
      <c r="AF1145" s="124">
        <v>28</v>
      </c>
      <c r="AG1145" s="124">
        <v>25</v>
      </c>
      <c r="AH1145" s="172">
        <v>37</v>
      </c>
      <c r="AI1145" s="124">
        <v>37</v>
      </c>
      <c r="AJ1145" s="124">
        <v>35</v>
      </c>
      <c r="AK1145" s="172">
        <v>35</v>
      </c>
      <c r="AL1145" s="171">
        <v>35</v>
      </c>
      <c r="AM1145" s="124">
        <v>35</v>
      </c>
      <c r="AN1145" s="172">
        <v>35</v>
      </c>
      <c r="AO1145" s="124">
        <v>35</v>
      </c>
      <c r="AP1145" s="124">
        <v>35</v>
      </c>
      <c r="AQ1145" s="124">
        <v>35</v>
      </c>
      <c r="AR1145" s="124" t="s">
        <v>18</v>
      </c>
      <c r="AS1145" s="124" t="s">
        <v>18</v>
      </c>
      <c r="AT1145" s="161"/>
      <c r="AU1145" s="161"/>
      <c r="AV1145" s="161"/>
      <c r="AW1145" s="161"/>
      <c r="AX1145" s="161"/>
      <c r="AY1145" s="161"/>
      <c r="AZ1145" s="161"/>
      <c r="BA1145" s="161"/>
      <c r="BB1145" s="161"/>
      <c r="BC1145" s="161"/>
    </row>
    <row r="1146" spans="1:55" ht="15.75" customHeight="1" x14ac:dyDescent="0.25">
      <c r="A1146" s="127"/>
      <c r="B1146" s="122" t="s">
        <v>6</v>
      </c>
      <c r="C1146" s="124"/>
      <c r="D1146" s="172"/>
      <c r="E1146" s="124"/>
      <c r="F1146" s="172"/>
      <c r="G1146" s="124"/>
      <c r="H1146" s="171"/>
      <c r="I1146" s="124"/>
      <c r="J1146" s="172"/>
      <c r="K1146" s="124"/>
      <c r="L1146" s="172"/>
      <c r="M1146" s="172">
        <v>16</v>
      </c>
      <c r="N1146" s="172"/>
      <c r="O1146" s="124"/>
      <c r="P1146" s="124"/>
      <c r="Q1146" s="172"/>
      <c r="R1146" s="124"/>
      <c r="S1146" s="172"/>
      <c r="T1146" s="124"/>
      <c r="U1146" s="124"/>
      <c r="V1146" s="124"/>
      <c r="W1146" s="172"/>
      <c r="X1146" s="124"/>
      <c r="Y1146" s="124"/>
      <c r="Z1146" s="172"/>
      <c r="AA1146" s="124"/>
      <c r="AB1146" s="124"/>
      <c r="AC1146" s="124">
        <v>15</v>
      </c>
      <c r="AD1146" s="172"/>
      <c r="AE1146" s="124"/>
      <c r="AF1146" s="124"/>
      <c r="AG1146" s="124">
        <v>12</v>
      </c>
      <c r="AH1146" s="172"/>
      <c r="AI1146" s="124"/>
      <c r="AJ1146" s="124"/>
      <c r="AK1146" s="172"/>
      <c r="AL1146" s="171"/>
      <c r="AM1146" s="124"/>
      <c r="AN1146" s="172"/>
      <c r="AO1146" s="124"/>
      <c r="AP1146" s="124"/>
      <c r="AQ1146" s="124"/>
      <c r="AR1146" s="124"/>
      <c r="AS1146" s="124"/>
      <c r="AT1146" s="161"/>
      <c r="AU1146" s="161"/>
      <c r="AV1146" s="161"/>
      <c r="AW1146" s="161"/>
      <c r="AX1146" s="161"/>
      <c r="AY1146" s="161"/>
      <c r="AZ1146" s="161"/>
      <c r="BA1146" s="161"/>
      <c r="BB1146" s="161"/>
      <c r="BC1146" s="161"/>
    </row>
    <row r="1147" spans="1:55" ht="15.75" customHeight="1" x14ac:dyDescent="0.25">
      <c r="A1147" s="128"/>
      <c r="B1147" s="122" t="s">
        <v>8</v>
      </c>
      <c r="C1147" s="130"/>
      <c r="D1147" s="175"/>
      <c r="E1147" s="130"/>
      <c r="F1147" s="175"/>
      <c r="G1147" s="130">
        <v>471</v>
      </c>
      <c r="H1147" s="174" t="s">
        <v>18</v>
      </c>
      <c r="I1147" s="130" t="s">
        <v>18</v>
      </c>
      <c r="J1147" s="175" t="s">
        <v>18</v>
      </c>
      <c r="K1147" s="130" t="s">
        <v>18</v>
      </c>
      <c r="L1147" s="175" t="s">
        <v>18</v>
      </c>
      <c r="M1147" s="175" t="s">
        <v>18</v>
      </c>
      <c r="N1147" s="175">
        <v>350</v>
      </c>
      <c r="O1147" s="130">
        <v>350</v>
      </c>
      <c r="P1147" s="130">
        <v>350</v>
      </c>
      <c r="Q1147" s="175">
        <v>350</v>
      </c>
      <c r="R1147" s="130">
        <v>350</v>
      </c>
      <c r="S1147" s="175">
        <v>350</v>
      </c>
      <c r="T1147" s="130">
        <v>350</v>
      </c>
      <c r="U1147" s="130">
        <v>350</v>
      </c>
      <c r="V1147" s="130">
        <v>350</v>
      </c>
      <c r="W1147" s="175">
        <v>350</v>
      </c>
      <c r="X1147" s="130">
        <v>350</v>
      </c>
      <c r="Y1147" s="130">
        <v>350</v>
      </c>
      <c r="Z1147" s="175">
        <v>350</v>
      </c>
      <c r="AA1147" s="130">
        <v>350</v>
      </c>
      <c r="AB1147" s="130">
        <v>350</v>
      </c>
      <c r="AC1147" s="130">
        <v>350</v>
      </c>
      <c r="AD1147" s="175">
        <v>350</v>
      </c>
      <c r="AE1147" s="130">
        <v>350</v>
      </c>
      <c r="AF1147" s="130">
        <v>350</v>
      </c>
      <c r="AG1147" s="130">
        <v>350</v>
      </c>
      <c r="AH1147" s="175">
        <v>350</v>
      </c>
      <c r="AI1147" s="130">
        <v>350</v>
      </c>
      <c r="AJ1147" s="130">
        <v>350</v>
      </c>
      <c r="AK1147" s="175">
        <v>350</v>
      </c>
      <c r="AL1147" s="174">
        <v>350</v>
      </c>
      <c r="AM1147" s="130">
        <v>350</v>
      </c>
      <c r="AN1147" s="175">
        <v>350</v>
      </c>
      <c r="AO1147" s="130">
        <v>350</v>
      </c>
      <c r="AP1147" s="130">
        <v>350</v>
      </c>
      <c r="AQ1147" s="130">
        <v>350</v>
      </c>
      <c r="AR1147" s="130" t="s">
        <v>18</v>
      </c>
      <c r="AS1147" s="130" t="s">
        <v>18</v>
      </c>
      <c r="AT1147" s="161"/>
      <c r="AU1147" s="161"/>
      <c r="AV1147" s="161"/>
      <c r="AW1147" s="161"/>
      <c r="AX1147" s="161"/>
      <c r="AY1147" s="161"/>
      <c r="AZ1147" s="161"/>
      <c r="BA1147" s="161"/>
      <c r="BB1147" s="161"/>
      <c r="BC1147" s="161"/>
    </row>
    <row r="1148" spans="1:55" ht="15.75" customHeight="1" x14ac:dyDescent="0.25">
      <c r="A1148" s="127" t="s">
        <v>9</v>
      </c>
      <c r="B1148" s="132" t="s">
        <v>10</v>
      </c>
      <c r="C1148" s="134"/>
      <c r="D1148" s="178"/>
      <c r="E1148" s="134"/>
      <c r="F1148" s="178"/>
      <c r="G1148" s="134" t="s">
        <v>166</v>
      </c>
      <c r="H1148" s="177" t="s">
        <v>18</v>
      </c>
      <c r="I1148" s="134" t="s">
        <v>18</v>
      </c>
      <c r="J1148" s="178" t="s">
        <v>18</v>
      </c>
      <c r="K1148" s="134" t="s">
        <v>18</v>
      </c>
      <c r="L1148" s="178" t="s">
        <v>18</v>
      </c>
      <c r="M1148" s="178" t="s">
        <v>18</v>
      </c>
      <c r="N1148" s="178" t="s">
        <v>44</v>
      </c>
      <c r="O1148" s="134" t="s">
        <v>44</v>
      </c>
      <c r="P1148" s="134" t="s">
        <v>44</v>
      </c>
      <c r="Q1148" s="178" t="s">
        <v>44</v>
      </c>
      <c r="R1148" s="134" t="s">
        <v>44</v>
      </c>
      <c r="S1148" s="178" t="s">
        <v>44</v>
      </c>
      <c r="T1148" s="134" t="s">
        <v>44</v>
      </c>
      <c r="U1148" s="134" t="s">
        <v>44</v>
      </c>
      <c r="V1148" s="134" t="s">
        <v>44</v>
      </c>
      <c r="W1148" s="178" t="s">
        <v>44</v>
      </c>
      <c r="X1148" s="134" t="s">
        <v>44</v>
      </c>
      <c r="Y1148" s="134" t="s">
        <v>44</v>
      </c>
      <c r="Z1148" s="178" t="s">
        <v>44</v>
      </c>
      <c r="AA1148" s="134" t="s">
        <v>44</v>
      </c>
      <c r="AB1148" s="134" t="s">
        <v>44</v>
      </c>
      <c r="AC1148" s="134" t="s">
        <v>44</v>
      </c>
      <c r="AD1148" s="178" t="s">
        <v>44</v>
      </c>
      <c r="AE1148" s="134" t="s">
        <v>44</v>
      </c>
      <c r="AF1148" s="134" t="s">
        <v>44</v>
      </c>
      <c r="AG1148" s="134" t="s">
        <v>44</v>
      </c>
      <c r="AH1148" s="178" t="s">
        <v>44</v>
      </c>
      <c r="AI1148" s="134" t="s">
        <v>44</v>
      </c>
      <c r="AJ1148" s="134" t="s">
        <v>44</v>
      </c>
      <c r="AK1148" s="178" t="s">
        <v>44</v>
      </c>
      <c r="AL1148" s="177" t="s">
        <v>44</v>
      </c>
      <c r="AM1148" s="134" t="s">
        <v>44</v>
      </c>
      <c r="AN1148" s="178" t="s">
        <v>44</v>
      </c>
      <c r="AO1148" s="134" t="s">
        <v>44</v>
      </c>
      <c r="AP1148" s="134" t="s">
        <v>44</v>
      </c>
      <c r="AQ1148" s="134" t="s">
        <v>44</v>
      </c>
      <c r="AR1148" s="134" t="s">
        <v>18</v>
      </c>
      <c r="AS1148" s="134" t="s">
        <v>18</v>
      </c>
      <c r="AT1148" s="189"/>
      <c r="AU1148" s="189"/>
      <c r="AV1148" s="189"/>
      <c r="AW1148" s="189"/>
      <c r="AX1148" s="189"/>
      <c r="AY1148" s="189"/>
      <c r="AZ1148" s="189"/>
      <c r="BA1148" s="189"/>
      <c r="BB1148" s="189"/>
      <c r="BC1148" s="189"/>
    </row>
    <row r="1149" spans="1:55" ht="15.75" customHeight="1" x14ac:dyDescent="0.25">
      <c r="A1149" s="128" t="e">
        <v>#VALUE!</v>
      </c>
      <c r="B1149" s="122" t="s">
        <v>12</v>
      </c>
      <c r="C1149" s="124"/>
      <c r="D1149" s="172"/>
      <c r="E1149" s="124"/>
      <c r="F1149" s="172"/>
      <c r="G1149" s="124"/>
      <c r="H1149" s="171"/>
      <c r="I1149" s="124"/>
      <c r="J1149" s="172"/>
      <c r="K1149" s="124"/>
      <c r="L1149" s="172"/>
      <c r="M1149" s="172"/>
      <c r="N1149" s="172" t="s">
        <v>167</v>
      </c>
      <c r="O1149" s="124"/>
      <c r="P1149" s="124"/>
      <c r="Q1149" s="172"/>
      <c r="R1149" s="124"/>
      <c r="S1149" s="172"/>
      <c r="T1149" s="124"/>
      <c r="U1149" s="124"/>
      <c r="V1149" s="124"/>
      <c r="W1149" s="172"/>
      <c r="X1149" s="124"/>
      <c r="Y1149" s="124"/>
      <c r="Z1149" s="172"/>
      <c r="AA1149" s="124"/>
      <c r="AB1149" s="124"/>
      <c r="AC1149" s="124"/>
      <c r="AD1149" s="172"/>
      <c r="AE1149" s="124"/>
      <c r="AF1149" s="124"/>
      <c r="AG1149" s="124"/>
      <c r="AH1149" s="172"/>
      <c r="AI1149" s="124"/>
      <c r="AJ1149" s="124"/>
      <c r="AK1149" s="172"/>
      <c r="AL1149" s="171"/>
      <c r="AM1149" s="124"/>
      <c r="AN1149" s="172"/>
      <c r="AO1149" s="124"/>
      <c r="AP1149" s="124"/>
      <c r="AQ1149" s="124"/>
      <c r="AR1149" s="124"/>
      <c r="AS1149" s="124"/>
      <c r="AT1149" s="161"/>
      <c r="AU1149" s="161"/>
      <c r="AV1149" s="161"/>
      <c r="AW1149" s="161"/>
      <c r="AX1149" s="161"/>
      <c r="AY1149" s="161"/>
      <c r="AZ1149" s="161"/>
      <c r="BA1149" s="161"/>
      <c r="BB1149" s="161"/>
      <c r="BC1149" s="161"/>
    </row>
    <row r="1150" spans="1:55" ht="15.75" customHeight="1" x14ac:dyDescent="0.25">
      <c r="A1150" s="128" t="e">
        <v>#VALUE!</v>
      </c>
      <c r="B1150" s="136" t="s">
        <v>13</v>
      </c>
      <c r="C1150" s="137"/>
      <c r="D1150" s="172"/>
      <c r="E1150" s="124"/>
      <c r="F1150" s="172"/>
      <c r="G1150" s="137">
        <v>0</v>
      </c>
      <c r="H1150" s="171" t="s">
        <v>18</v>
      </c>
      <c r="I1150" s="137" t="s">
        <v>18</v>
      </c>
      <c r="J1150" s="172" t="s">
        <v>18</v>
      </c>
      <c r="K1150" s="137" t="e">
        <v>#VALUE!</v>
      </c>
      <c r="L1150" s="172">
        <v>5</v>
      </c>
      <c r="M1150" s="172">
        <v>14</v>
      </c>
      <c r="N1150" s="172">
        <v>0</v>
      </c>
      <c r="O1150" s="137">
        <v>0</v>
      </c>
      <c r="P1150" s="137">
        <v>171</v>
      </c>
      <c r="Q1150" s="172">
        <v>0</v>
      </c>
      <c r="R1150" s="137">
        <v>113</v>
      </c>
      <c r="S1150" s="172">
        <v>0</v>
      </c>
      <c r="T1150" s="137">
        <v>0</v>
      </c>
      <c r="U1150" s="137">
        <v>0</v>
      </c>
      <c r="V1150" s="137">
        <v>235</v>
      </c>
      <c r="W1150" s="172">
        <v>0</v>
      </c>
      <c r="X1150" s="137">
        <v>0</v>
      </c>
      <c r="Y1150" s="137">
        <v>293</v>
      </c>
      <c r="Z1150" s="172">
        <v>0</v>
      </c>
      <c r="AA1150" s="137">
        <v>0</v>
      </c>
      <c r="AB1150" s="137">
        <v>0</v>
      </c>
      <c r="AC1150" s="137">
        <v>125</v>
      </c>
      <c r="AD1150" s="172">
        <v>0</v>
      </c>
      <c r="AE1150" s="137">
        <v>0</v>
      </c>
      <c r="AF1150" s="137">
        <v>0</v>
      </c>
      <c r="AG1150" s="137">
        <v>331</v>
      </c>
      <c r="AH1150" s="172">
        <v>0</v>
      </c>
      <c r="AI1150" s="137">
        <v>0</v>
      </c>
      <c r="AJ1150" s="137">
        <v>176</v>
      </c>
      <c r="AK1150" s="172">
        <v>36</v>
      </c>
      <c r="AL1150" s="171">
        <v>0</v>
      </c>
      <c r="AM1150" s="137">
        <v>143</v>
      </c>
      <c r="AN1150" s="172">
        <v>0</v>
      </c>
      <c r="AO1150" s="137">
        <v>0</v>
      </c>
      <c r="AP1150" s="137">
        <v>0</v>
      </c>
      <c r="AQ1150" s="137">
        <v>0</v>
      </c>
      <c r="AR1150" s="137" t="s">
        <v>18</v>
      </c>
      <c r="AS1150" s="137" t="s">
        <v>18</v>
      </c>
      <c r="AT1150" s="161"/>
      <c r="AU1150" s="161"/>
      <c r="AV1150" s="161"/>
      <c r="AW1150" s="161"/>
      <c r="AX1150" s="161"/>
      <c r="AY1150" s="161"/>
      <c r="AZ1150" s="161"/>
      <c r="BA1150" s="161"/>
      <c r="BB1150" s="161"/>
      <c r="BC1150" s="161"/>
    </row>
    <row r="1151" spans="1:55" ht="15.75" customHeight="1" x14ac:dyDescent="0.25">
      <c r="A1151" s="128" t="e">
        <v>#VALUE!</v>
      </c>
      <c r="B1151" s="136" t="s">
        <v>14</v>
      </c>
      <c r="C1151" s="137"/>
      <c r="D1151" s="172"/>
      <c r="E1151" s="124"/>
      <c r="F1151" s="172"/>
      <c r="G1151" s="137">
        <v>0</v>
      </c>
      <c r="H1151" s="171" t="s">
        <v>18</v>
      </c>
      <c r="I1151" s="137" t="s">
        <v>18</v>
      </c>
      <c r="J1151" s="172" t="s">
        <v>18</v>
      </c>
      <c r="K1151" s="137" t="e">
        <v>#VALUE!</v>
      </c>
      <c r="L1151" s="172">
        <v>0</v>
      </c>
      <c r="M1151" s="172">
        <v>0</v>
      </c>
      <c r="N1151" s="172">
        <v>0</v>
      </c>
      <c r="O1151" s="137">
        <v>0</v>
      </c>
      <c r="P1151" s="137">
        <v>0</v>
      </c>
      <c r="Q1151" s="172">
        <v>0</v>
      </c>
      <c r="R1151" s="137">
        <v>1</v>
      </c>
      <c r="S1151" s="172">
        <v>0</v>
      </c>
      <c r="T1151" s="137">
        <v>0</v>
      </c>
      <c r="U1151" s="137">
        <v>0</v>
      </c>
      <c r="V1151" s="137">
        <v>6</v>
      </c>
      <c r="W1151" s="172">
        <v>0</v>
      </c>
      <c r="X1151" s="137">
        <v>0</v>
      </c>
      <c r="Y1151" s="137">
        <v>2</v>
      </c>
      <c r="Z1151" s="172">
        <v>0</v>
      </c>
      <c r="AA1151" s="137">
        <v>0</v>
      </c>
      <c r="AB1151" s="137">
        <v>0</v>
      </c>
      <c r="AC1151" s="137">
        <v>4</v>
      </c>
      <c r="AD1151" s="172">
        <v>0</v>
      </c>
      <c r="AE1151" s="137">
        <v>0</v>
      </c>
      <c r="AF1151" s="137">
        <v>0</v>
      </c>
      <c r="AG1151" s="137">
        <v>6</v>
      </c>
      <c r="AH1151" s="172">
        <v>0</v>
      </c>
      <c r="AI1151" s="137">
        <v>0</v>
      </c>
      <c r="AJ1151" s="137">
        <v>2</v>
      </c>
      <c r="AK1151" s="172">
        <v>0</v>
      </c>
      <c r="AL1151" s="171">
        <v>0</v>
      </c>
      <c r="AM1151" s="137">
        <v>0</v>
      </c>
      <c r="AN1151" s="172">
        <v>0</v>
      </c>
      <c r="AO1151" s="137">
        <v>0</v>
      </c>
      <c r="AP1151" s="137">
        <v>0</v>
      </c>
      <c r="AQ1151" s="137">
        <v>0</v>
      </c>
      <c r="AR1151" s="137" t="s">
        <v>18</v>
      </c>
      <c r="AS1151" s="137" t="s">
        <v>18</v>
      </c>
      <c r="AT1151" s="161"/>
      <c r="AU1151" s="161"/>
      <c r="AV1151" s="161"/>
      <c r="AW1151" s="161"/>
      <c r="AX1151" s="161"/>
      <c r="AY1151" s="161"/>
      <c r="AZ1151" s="161"/>
      <c r="BA1151" s="161"/>
      <c r="BB1151" s="161"/>
      <c r="BC1151" s="161"/>
    </row>
    <row r="1152" spans="1:55" ht="15.75" customHeight="1" x14ac:dyDescent="0.25">
      <c r="A1152" s="128" t="e">
        <v>#VALUE!</v>
      </c>
      <c r="B1152" s="136" t="s">
        <v>15</v>
      </c>
      <c r="C1152" s="137"/>
      <c r="D1152" s="172"/>
      <c r="E1152" s="124"/>
      <c r="F1152" s="172"/>
      <c r="G1152" s="137">
        <v>0</v>
      </c>
      <c r="H1152" s="171" t="s">
        <v>18</v>
      </c>
      <c r="I1152" s="137" t="s">
        <v>18</v>
      </c>
      <c r="J1152" s="172" t="s">
        <v>18</v>
      </c>
      <c r="K1152" s="137" t="e">
        <v>#VALUE!</v>
      </c>
      <c r="L1152" s="172">
        <v>0</v>
      </c>
      <c r="M1152" s="172">
        <v>0</v>
      </c>
      <c r="N1152" s="172">
        <v>0</v>
      </c>
      <c r="O1152" s="137">
        <v>0</v>
      </c>
      <c r="P1152" s="137">
        <v>1</v>
      </c>
      <c r="Q1152" s="172">
        <v>0</v>
      </c>
      <c r="R1152" s="137">
        <v>1</v>
      </c>
      <c r="S1152" s="172">
        <v>0</v>
      </c>
      <c r="T1152" s="137">
        <v>0</v>
      </c>
      <c r="U1152" s="137">
        <v>0</v>
      </c>
      <c r="V1152" s="137">
        <v>6</v>
      </c>
      <c r="W1152" s="172">
        <v>0</v>
      </c>
      <c r="X1152" s="137">
        <v>0</v>
      </c>
      <c r="Y1152" s="137">
        <v>4</v>
      </c>
      <c r="Z1152" s="172">
        <v>0</v>
      </c>
      <c r="AA1152" s="137">
        <v>0</v>
      </c>
      <c r="AB1152" s="137">
        <v>0</v>
      </c>
      <c r="AC1152" s="137">
        <v>4</v>
      </c>
      <c r="AD1152" s="172">
        <v>0</v>
      </c>
      <c r="AE1152" s="137">
        <v>0</v>
      </c>
      <c r="AF1152" s="137">
        <v>0</v>
      </c>
      <c r="AG1152" s="137">
        <v>3</v>
      </c>
      <c r="AH1152" s="172">
        <v>0</v>
      </c>
      <c r="AI1152" s="137">
        <v>0</v>
      </c>
      <c r="AJ1152" s="137">
        <v>2</v>
      </c>
      <c r="AK1152" s="172">
        <v>0</v>
      </c>
      <c r="AL1152" s="171">
        <v>0</v>
      </c>
      <c r="AM1152" s="137">
        <v>0</v>
      </c>
      <c r="AN1152" s="172">
        <v>0</v>
      </c>
      <c r="AO1152" s="137">
        <v>0</v>
      </c>
      <c r="AP1152" s="137">
        <v>0</v>
      </c>
      <c r="AQ1152" s="137">
        <v>0</v>
      </c>
      <c r="AR1152" s="137" t="s">
        <v>18</v>
      </c>
      <c r="AS1152" s="137" t="s">
        <v>18</v>
      </c>
      <c r="AT1152" s="161"/>
      <c r="AU1152" s="161"/>
      <c r="AV1152" s="161"/>
      <c r="AW1152" s="161"/>
      <c r="AX1152" s="161"/>
      <c r="AY1152" s="161"/>
      <c r="AZ1152" s="161"/>
      <c r="BA1152" s="161"/>
      <c r="BB1152" s="161"/>
      <c r="BC1152" s="161"/>
    </row>
    <row r="1153" spans="1:55" ht="15.75" customHeight="1" x14ac:dyDescent="0.25">
      <c r="A1153" s="128" t="e">
        <v>#VALUE!</v>
      </c>
      <c r="B1153" s="136" t="s">
        <v>16</v>
      </c>
      <c r="C1153" s="137"/>
      <c r="D1153" s="172"/>
      <c r="E1153" s="124"/>
      <c r="F1153" s="172"/>
      <c r="G1153" s="137">
        <v>0</v>
      </c>
      <c r="H1153" s="171" t="s">
        <v>18</v>
      </c>
      <c r="I1153" s="137" t="s">
        <v>18</v>
      </c>
      <c r="J1153" s="172" t="s">
        <v>18</v>
      </c>
      <c r="K1153" s="137" t="e">
        <v>#VALUE!</v>
      </c>
      <c r="L1153" s="172" t="e">
        <v>#VALUE!</v>
      </c>
      <c r="M1153" s="172" t="e">
        <v>#VALUE!</v>
      </c>
      <c r="N1153" s="172">
        <v>0</v>
      </c>
      <c r="O1153" s="137">
        <v>0</v>
      </c>
      <c r="P1153" s="137">
        <v>350</v>
      </c>
      <c r="Q1153" s="172">
        <v>0</v>
      </c>
      <c r="R1153" s="137">
        <v>350</v>
      </c>
      <c r="S1153" s="172">
        <v>0</v>
      </c>
      <c r="T1153" s="137">
        <v>0</v>
      </c>
      <c r="U1153" s="137">
        <v>0</v>
      </c>
      <c r="V1153" s="137">
        <v>2100</v>
      </c>
      <c r="W1153" s="172">
        <v>0</v>
      </c>
      <c r="X1153" s="137">
        <v>0</v>
      </c>
      <c r="Y1153" s="137">
        <v>1400</v>
      </c>
      <c r="Z1153" s="172">
        <v>0</v>
      </c>
      <c r="AA1153" s="137">
        <v>0</v>
      </c>
      <c r="AB1153" s="137">
        <v>0</v>
      </c>
      <c r="AC1153" s="137">
        <v>1400</v>
      </c>
      <c r="AD1153" s="172">
        <v>0</v>
      </c>
      <c r="AE1153" s="137">
        <v>0</v>
      </c>
      <c r="AF1153" s="137">
        <v>0</v>
      </c>
      <c r="AG1153" s="137">
        <v>1050</v>
      </c>
      <c r="AH1153" s="172">
        <v>0</v>
      </c>
      <c r="AI1153" s="137">
        <v>0</v>
      </c>
      <c r="AJ1153" s="137">
        <v>700</v>
      </c>
      <c r="AK1153" s="172">
        <v>0</v>
      </c>
      <c r="AL1153" s="171">
        <v>0</v>
      </c>
      <c r="AM1153" s="137">
        <v>0</v>
      </c>
      <c r="AN1153" s="172">
        <v>0</v>
      </c>
      <c r="AO1153" s="137">
        <v>0</v>
      </c>
      <c r="AP1153" s="137">
        <v>0</v>
      </c>
      <c r="AQ1153" s="137">
        <v>0</v>
      </c>
      <c r="AR1153" s="137" t="s">
        <v>18</v>
      </c>
      <c r="AS1153" s="137" t="s">
        <v>18</v>
      </c>
      <c r="AT1153" s="161"/>
      <c r="AU1153" s="161"/>
      <c r="AV1153" s="161"/>
      <c r="AW1153" s="161"/>
      <c r="AX1153" s="161"/>
      <c r="AY1153" s="161"/>
      <c r="AZ1153" s="161"/>
      <c r="BA1153" s="161"/>
      <c r="BB1153" s="161"/>
      <c r="BC1153" s="161"/>
    </row>
    <row r="1154" spans="1:55" ht="15.75" customHeight="1" x14ac:dyDescent="0.25">
      <c r="A1154" s="138" t="e">
        <v>#VALUE!</v>
      </c>
      <c r="B1154" s="136" t="s">
        <v>17</v>
      </c>
      <c r="C1154" s="147"/>
      <c r="D1154" s="184"/>
      <c r="E1154" s="193"/>
      <c r="F1154" s="184"/>
      <c r="G1154" s="147" t="s">
        <v>18</v>
      </c>
      <c r="H1154" s="183" t="s">
        <v>18</v>
      </c>
      <c r="I1154" s="147" t="s">
        <v>18</v>
      </c>
      <c r="J1154" s="184" t="s">
        <v>18</v>
      </c>
      <c r="K1154" s="147" t="e">
        <v>#VALUE!</v>
      </c>
      <c r="L1154" s="184" t="e">
        <v>#VALUE!</v>
      </c>
      <c r="M1154" s="184" t="e">
        <v>#VALUE!</v>
      </c>
      <c r="N1154" s="184" t="s">
        <v>18</v>
      </c>
      <c r="O1154" s="147" t="s">
        <v>18</v>
      </c>
      <c r="P1154" s="147">
        <v>2.046783625730994E-2</v>
      </c>
      <c r="Q1154" s="184" t="s">
        <v>18</v>
      </c>
      <c r="R1154" s="147">
        <v>3.0973451327433628E-2</v>
      </c>
      <c r="S1154" s="184" t="s">
        <v>18</v>
      </c>
      <c r="T1154" s="147" t="s">
        <v>18</v>
      </c>
      <c r="U1154" s="147" t="s">
        <v>18</v>
      </c>
      <c r="V1154" s="147">
        <v>8.9361702127659579E-2</v>
      </c>
      <c r="W1154" s="184" t="s">
        <v>18</v>
      </c>
      <c r="X1154" s="147" t="s">
        <v>18</v>
      </c>
      <c r="Y1154" s="147">
        <v>4.778156996587031E-2</v>
      </c>
      <c r="Z1154" s="184" t="s">
        <v>18</v>
      </c>
      <c r="AA1154" s="147" t="s">
        <v>18</v>
      </c>
      <c r="AB1154" s="147" t="s">
        <v>18</v>
      </c>
      <c r="AC1154" s="147">
        <v>0.112</v>
      </c>
      <c r="AD1154" s="184" t="s">
        <v>18</v>
      </c>
      <c r="AE1154" s="147" t="s">
        <v>18</v>
      </c>
      <c r="AF1154" s="147" t="s">
        <v>18</v>
      </c>
      <c r="AG1154" s="147">
        <v>3.1722054380664652E-2</v>
      </c>
      <c r="AH1154" s="184" t="s">
        <v>18</v>
      </c>
      <c r="AI1154" s="147" t="s">
        <v>18</v>
      </c>
      <c r="AJ1154" s="147">
        <v>3.9772727272727272E-2</v>
      </c>
      <c r="AK1154" s="184" t="s">
        <v>18</v>
      </c>
      <c r="AL1154" s="183" t="s">
        <v>18</v>
      </c>
      <c r="AM1154" s="147" t="s">
        <v>18</v>
      </c>
      <c r="AN1154" s="184" t="s">
        <v>18</v>
      </c>
      <c r="AO1154" s="147" t="s">
        <v>18</v>
      </c>
      <c r="AP1154" s="147" t="s">
        <v>18</v>
      </c>
      <c r="AQ1154" s="147" t="s">
        <v>18</v>
      </c>
      <c r="AR1154" s="147" t="s">
        <v>18</v>
      </c>
      <c r="AS1154" s="147" t="s">
        <v>18</v>
      </c>
      <c r="AT1154" s="161"/>
      <c r="AU1154" s="161"/>
      <c r="AV1154" s="161"/>
      <c r="AW1154" s="161"/>
      <c r="AX1154" s="161"/>
      <c r="AY1154" s="161"/>
      <c r="AZ1154" s="161"/>
      <c r="BA1154" s="161"/>
      <c r="BB1154" s="161"/>
      <c r="BC1154" s="161"/>
    </row>
    <row r="1155" spans="1:55" ht="15.75" customHeight="1" x14ac:dyDescent="0.25">
      <c r="A1155" s="149" t="s">
        <v>1</v>
      </c>
      <c r="B1155" s="150" t="s">
        <v>2</v>
      </c>
      <c r="C1155" s="130"/>
      <c r="D1155" s="175"/>
      <c r="E1155" s="130"/>
      <c r="F1155" s="175"/>
      <c r="G1155" s="130">
        <v>13316</v>
      </c>
      <c r="H1155" s="174" t="s">
        <v>18</v>
      </c>
      <c r="I1155" s="130" t="s">
        <v>18</v>
      </c>
      <c r="J1155" s="175" t="s">
        <v>18</v>
      </c>
      <c r="K1155" s="130">
        <v>13459</v>
      </c>
      <c r="L1155" s="175">
        <v>13493</v>
      </c>
      <c r="M1155" s="175">
        <v>13521</v>
      </c>
      <c r="N1155" s="175">
        <v>13521</v>
      </c>
      <c r="O1155" s="130">
        <v>13521</v>
      </c>
      <c r="P1155" s="130">
        <v>13553</v>
      </c>
      <c r="Q1155" s="175">
        <v>13553</v>
      </c>
      <c r="R1155" s="130">
        <v>13596</v>
      </c>
      <c r="S1155" s="175">
        <v>13596</v>
      </c>
      <c r="T1155" s="130">
        <v>13596</v>
      </c>
      <c r="U1155" s="130">
        <v>13596</v>
      </c>
      <c r="V1155" s="130">
        <v>13720</v>
      </c>
      <c r="W1155" s="175">
        <v>13720</v>
      </c>
      <c r="X1155" s="130">
        <v>13720</v>
      </c>
      <c r="Y1155" s="130">
        <v>13871</v>
      </c>
      <c r="Z1155" s="175">
        <v>13871</v>
      </c>
      <c r="AA1155" s="130">
        <v>13871</v>
      </c>
      <c r="AB1155" s="130">
        <v>13871</v>
      </c>
      <c r="AC1155" s="130">
        <v>13904</v>
      </c>
      <c r="AD1155" s="175">
        <v>13904</v>
      </c>
      <c r="AE1155" s="130">
        <v>13904</v>
      </c>
      <c r="AF1155" s="130">
        <v>13904</v>
      </c>
      <c r="AG1155" s="130">
        <v>14008</v>
      </c>
      <c r="AH1155" s="175">
        <v>14008</v>
      </c>
      <c r="AI1155" s="130">
        <v>14008</v>
      </c>
      <c r="AJ1155" s="130">
        <v>14079</v>
      </c>
      <c r="AK1155" s="175">
        <v>14094</v>
      </c>
      <c r="AL1155" s="174">
        <v>14094</v>
      </c>
      <c r="AM1155" s="130">
        <v>14154</v>
      </c>
      <c r="AN1155" s="175">
        <v>14154</v>
      </c>
      <c r="AO1155" s="130">
        <v>14154</v>
      </c>
      <c r="AP1155" s="130">
        <v>14154</v>
      </c>
      <c r="AQ1155" s="130">
        <v>14154</v>
      </c>
      <c r="AR1155" s="130" t="s">
        <v>18</v>
      </c>
      <c r="AS1155" s="130" t="s">
        <v>18</v>
      </c>
      <c r="AT1155" s="161"/>
      <c r="AU1155" s="161"/>
      <c r="AV1155" s="161"/>
      <c r="AW1155" s="161"/>
      <c r="AX1155" s="161"/>
      <c r="AY1155" s="161"/>
      <c r="AZ1155" s="161"/>
      <c r="BA1155" s="161"/>
      <c r="BB1155" s="161"/>
      <c r="BC1155" s="161"/>
    </row>
    <row r="1156" spans="1:55" ht="15.75" customHeight="1" x14ac:dyDescent="0.25">
      <c r="A1156" s="121" t="s">
        <v>29</v>
      </c>
      <c r="B1156" s="122" t="s">
        <v>4</v>
      </c>
      <c r="C1156" s="124"/>
      <c r="D1156" s="172"/>
      <c r="E1156" s="124"/>
      <c r="F1156" s="172"/>
      <c r="G1156" s="124">
        <v>1434</v>
      </c>
      <c r="H1156" s="171" t="s">
        <v>18</v>
      </c>
      <c r="I1156" s="124" t="s">
        <v>18</v>
      </c>
      <c r="J1156" s="172" t="s">
        <v>18</v>
      </c>
      <c r="K1156" s="124">
        <v>1449</v>
      </c>
      <c r="L1156" s="172">
        <v>1453</v>
      </c>
      <c r="M1156" s="172">
        <v>1456</v>
      </c>
      <c r="N1156" s="172">
        <v>1456</v>
      </c>
      <c r="O1156" s="124">
        <v>1456</v>
      </c>
      <c r="P1156" s="124">
        <v>1460</v>
      </c>
      <c r="Q1156" s="172">
        <v>1460</v>
      </c>
      <c r="R1156" s="124">
        <v>1462</v>
      </c>
      <c r="S1156" s="172">
        <v>1462</v>
      </c>
      <c r="T1156" s="124">
        <v>1462</v>
      </c>
      <c r="U1156" s="124">
        <v>1462</v>
      </c>
      <c r="V1156" s="124">
        <v>1473</v>
      </c>
      <c r="W1156" s="172">
        <v>1473</v>
      </c>
      <c r="X1156" s="124">
        <v>1473</v>
      </c>
      <c r="Y1156" s="124">
        <v>1500</v>
      </c>
      <c r="Z1156" s="172">
        <v>1500</v>
      </c>
      <c r="AA1156" s="124">
        <v>1500</v>
      </c>
      <c r="AB1156" s="124">
        <v>1500</v>
      </c>
      <c r="AC1156" s="124">
        <v>1507</v>
      </c>
      <c r="AD1156" s="172">
        <v>1507</v>
      </c>
      <c r="AE1156" s="124">
        <v>1507</v>
      </c>
      <c r="AF1156" s="124">
        <v>1507</v>
      </c>
      <c r="AG1156" s="124">
        <v>1514</v>
      </c>
      <c r="AH1156" s="172">
        <v>1514</v>
      </c>
      <c r="AI1156" s="124">
        <v>1514</v>
      </c>
      <c r="AJ1156" s="124">
        <v>1523</v>
      </c>
      <c r="AK1156" s="172">
        <v>1525</v>
      </c>
      <c r="AL1156" s="171">
        <v>1525</v>
      </c>
      <c r="AM1156" s="124">
        <v>1535</v>
      </c>
      <c r="AN1156" s="172">
        <v>1535</v>
      </c>
      <c r="AO1156" s="124">
        <v>1535</v>
      </c>
      <c r="AP1156" s="124">
        <v>1535</v>
      </c>
      <c r="AQ1156" s="124">
        <v>1535</v>
      </c>
      <c r="AR1156" s="124" t="s">
        <v>18</v>
      </c>
      <c r="AS1156" s="124" t="s">
        <v>18</v>
      </c>
      <c r="AT1156" s="161"/>
      <c r="AU1156" s="161"/>
      <c r="AV1156" s="161"/>
      <c r="AW1156" s="161"/>
      <c r="AX1156" s="161"/>
      <c r="AY1156" s="161"/>
      <c r="AZ1156" s="161"/>
      <c r="BA1156" s="161"/>
      <c r="BB1156" s="161"/>
      <c r="BC1156" s="161"/>
    </row>
    <row r="1157" spans="1:55" ht="15.75" customHeight="1" x14ac:dyDescent="0.25">
      <c r="A1157" s="143">
        <v>4</v>
      </c>
      <c r="B1157" s="122" t="s">
        <v>5</v>
      </c>
      <c r="C1157" s="124"/>
      <c r="D1157" s="172"/>
      <c r="E1157" s="124"/>
      <c r="F1157" s="172"/>
      <c r="G1157" s="124">
        <v>271</v>
      </c>
      <c r="H1157" s="171" t="s">
        <v>18</v>
      </c>
      <c r="I1157" s="124" t="s">
        <v>18</v>
      </c>
      <c r="J1157" s="172" t="s">
        <v>18</v>
      </c>
      <c r="K1157" s="124">
        <v>266</v>
      </c>
      <c r="L1157" s="172">
        <v>266</v>
      </c>
      <c r="M1157" s="172">
        <v>260</v>
      </c>
      <c r="N1157" s="172">
        <v>260</v>
      </c>
      <c r="O1157" s="124">
        <v>260</v>
      </c>
      <c r="P1157" s="124">
        <v>260</v>
      </c>
      <c r="Q1157" s="172">
        <v>260</v>
      </c>
      <c r="R1157" s="124">
        <v>220</v>
      </c>
      <c r="S1157" s="172">
        <v>220</v>
      </c>
      <c r="T1157" s="124">
        <v>220</v>
      </c>
      <c r="U1157" s="124">
        <v>220</v>
      </c>
      <c r="V1157" s="124">
        <v>209</v>
      </c>
      <c r="W1157" s="172">
        <v>209</v>
      </c>
      <c r="X1157" s="124">
        <v>209</v>
      </c>
      <c r="Y1157" s="124">
        <v>209</v>
      </c>
      <c r="Z1157" s="172">
        <v>209</v>
      </c>
      <c r="AA1157" s="124">
        <v>209</v>
      </c>
      <c r="AB1157" s="124">
        <v>209</v>
      </c>
      <c r="AC1157" s="124">
        <v>202</v>
      </c>
      <c r="AD1157" s="172">
        <v>202</v>
      </c>
      <c r="AE1157" s="124">
        <v>202</v>
      </c>
      <c r="AF1157" s="124">
        <v>202</v>
      </c>
      <c r="AG1157" s="124">
        <v>196</v>
      </c>
      <c r="AH1157" s="172">
        <v>196</v>
      </c>
      <c r="AI1157" s="124">
        <v>196</v>
      </c>
      <c r="AJ1157" s="124">
        <v>190</v>
      </c>
      <c r="AK1157" s="172">
        <v>188</v>
      </c>
      <c r="AL1157" s="171">
        <v>188</v>
      </c>
      <c r="AM1157" s="124">
        <v>180</v>
      </c>
      <c r="AN1157" s="172">
        <v>180</v>
      </c>
      <c r="AO1157" s="124">
        <v>180</v>
      </c>
      <c r="AP1157" s="124">
        <v>180</v>
      </c>
      <c r="AQ1157" s="124">
        <v>180</v>
      </c>
      <c r="AR1157" s="124" t="s">
        <v>18</v>
      </c>
      <c r="AS1157" s="124" t="s">
        <v>18</v>
      </c>
      <c r="AT1157" s="161"/>
      <c r="AU1157" s="161"/>
      <c r="AV1157" s="161"/>
      <c r="AW1157" s="161"/>
      <c r="AX1157" s="161"/>
      <c r="AY1157" s="161"/>
      <c r="AZ1157" s="161"/>
      <c r="BA1157" s="161"/>
      <c r="BB1157" s="161"/>
      <c r="BC1157" s="161"/>
    </row>
    <row r="1158" spans="1:55" ht="15.75" customHeight="1" x14ac:dyDescent="0.25">
      <c r="A1158" s="127"/>
      <c r="B1158" s="122" t="s">
        <v>6</v>
      </c>
      <c r="C1158" s="124"/>
      <c r="D1158" s="172"/>
      <c r="E1158" s="124"/>
      <c r="F1158" s="172"/>
      <c r="G1158" s="124"/>
      <c r="H1158" s="171"/>
      <c r="I1158" s="124"/>
      <c r="J1158" s="172"/>
      <c r="K1158" s="124"/>
      <c r="L1158" s="172"/>
      <c r="M1158" s="172"/>
      <c r="N1158" s="172"/>
      <c r="O1158" s="124"/>
      <c r="P1158" s="124"/>
      <c r="Q1158" s="172"/>
      <c r="R1158" s="124"/>
      <c r="S1158" s="172"/>
      <c r="T1158" s="124"/>
      <c r="U1158" s="124"/>
      <c r="V1158" s="124"/>
      <c r="W1158" s="172"/>
      <c r="X1158" s="124"/>
      <c r="Y1158" s="124"/>
      <c r="Z1158" s="172"/>
      <c r="AA1158" s="124"/>
      <c r="AB1158" s="124"/>
      <c r="AC1158" s="124"/>
      <c r="AD1158" s="172"/>
      <c r="AE1158" s="124"/>
      <c r="AF1158" s="124"/>
      <c r="AG1158" s="124"/>
      <c r="AH1158" s="172"/>
      <c r="AI1158" s="124"/>
      <c r="AJ1158" s="124"/>
      <c r="AK1158" s="172"/>
      <c r="AL1158" s="171"/>
      <c r="AM1158" s="124"/>
      <c r="AN1158" s="172"/>
      <c r="AO1158" s="124"/>
      <c r="AP1158" s="124"/>
      <c r="AQ1158" s="124"/>
      <c r="AR1158" s="124"/>
      <c r="AS1158" s="124"/>
      <c r="AT1158" s="161"/>
      <c r="AU1158" s="161"/>
      <c r="AV1158" s="161"/>
      <c r="AW1158" s="161"/>
      <c r="AX1158" s="161"/>
      <c r="AY1158" s="161"/>
      <c r="AZ1158" s="161"/>
      <c r="BA1158" s="161"/>
      <c r="BB1158" s="161"/>
      <c r="BC1158" s="161"/>
    </row>
    <row r="1159" spans="1:55" ht="15.75" customHeight="1" x14ac:dyDescent="0.25">
      <c r="A1159" s="128"/>
      <c r="B1159" s="122" t="s">
        <v>8</v>
      </c>
      <c r="C1159" s="130"/>
      <c r="D1159" s="175"/>
      <c r="E1159" s="130"/>
      <c r="F1159" s="175"/>
      <c r="G1159" s="130">
        <v>200</v>
      </c>
      <c r="H1159" s="174" t="s">
        <v>18</v>
      </c>
      <c r="I1159" s="130" t="s">
        <v>18</v>
      </c>
      <c r="J1159" s="175" t="s">
        <v>18</v>
      </c>
      <c r="K1159" s="130" t="s">
        <v>18</v>
      </c>
      <c r="L1159" s="175" t="s">
        <v>18</v>
      </c>
      <c r="M1159" s="175" t="s">
        <v>18</v>
      </c>
      <c r="N1159" s="175" t="s">
        <v>18</v>
      </c>
      <c r="O1159" s="130" t="s">
        <v>18</v>
      </c>
      <c r="P1159" s="130" t="s">
        <v>18</v>
      </c>
      <c r="Q1159" s="175" t="s">
        <v>18</v>
      </c>
      <c r="R1159" s="130" t="s">
        <v>18</v>
      </c>
      <c r="S1159" s="175" t="s">
        <v>18</v>
      </c>
      <c r="T1159" s="130" t="s">
        <v>18</v>
      </c>
      <c r="U1159" s="130" t="s">
        <v>18</v>
      </c>
      <c r="V1159" s="130" t="s">
        <v>18</v>
      </c>
      <c r="W1159" s="175" t="s">
        <v>18</v>
      </c>
      <c r="X1159" s="130" t="s">
        <v>18</v>
      </c>
      <c r="Y1159" s="130" t="s">
        <v>18</v>
      </c>
      <c r="Z1159" s="175" t="s">
        <v>18</v>
      </c>
      <c r="AA1159" s="130" t="s">
        <v>18</v>
      </c>
      <c r="AB1159" s="130" t="s">
        <v>18</v>
      </c>
      <c r="AC1159" s="130" t="s">
        <v>18</v>
      </c>
      <c r="AD1159" s="175" t="s">
        <v>18</v>
      </c>
      <c r="AE1159" s="130" t="s">
        <v>18</v>
      </c>
      <c r="AF1159" s="130" t="s">
        <v>18</v>
      </c>
      <c r="AG1159" s="130" t="s">
        <v>18</v>
      </c>
      <c r="AH1159" s="175" t="s">
        <v>18</v>
      </c>
      <c r="AI1159" s="130" t="s">
        <v>18</v>
      </c>
      <c r="AJ1159" s="130" t="s">
        <v>18</v>
      </c>
      <c r="AK1159" s="175" t="s">
        <v>18</v>
      </c>
      <c r="AL1159" s="174" t="s">
        <v>18</v>
      </c>
      <c r="AM1159" s="130" t="s">
        <v>18</v>
      </c>
      <c r="AN1159" s="175" t="s">
        <v>18</v>
      </c>
      <c r="AO1159" s="130" t="s">
        <v>18</v>
      </c>
      <c r="AP1159" s="130" t="s">
        <v>18</v>
      </c>
      <c r="AQ1159" s="130" t="s">
        <v>18</v>
      </c>
      <c r="AR1159" s="130" t="s">
        <v>18</v>
      </c>
      <c r="AS1159" s="130" t="s">
        <v>18</v>
      </c>
      <c r="AT1159" s="161"/>
      <c r="AU1159" s="161"/>
      <c r="AV1159" s="161"/>
      <c r="AW1159" s="161"/>
      <c r="AX1159" s="161"/>
      <c r="AY1159" s="161"/>
      <c r="AZ1159" s="161"/>
      <c r="BA1159" s="161"/>
      <c r="BB1159" s="161"/>
      <c r="BC1159" s="161"/>
    </row>
    <row r="1160" spans="1:55" ht="15.75" customHeight="1" x14ac:dyDescent="0.25">
      <c r="A1160" s="127" t="s">
        <v>9</v>
      </c>
      <c r="B1160" s="132" t="s">
        <v>10</v>
      </c>
      <c r="C1160" s="134"/>
      <c r="D1160" s="178"/>
      <c r="E1160" s="134"/>
      <c r="F1160" s="178"/>
      <c r="G1160" s="134" t="s">
        <v>168</v>
      </c>
      <c r="H1160" s="177" t="s">
        <v>18</v>
      </c>
      <c r="I1160" s="134" t="s">
        <v>18</v>
      </c>
      <c r="J1160" s="178" t="s">
        <v>18</v>
      </c>
      <c r="K1160" s="134" t="s">
        <v>18</v>
      </c>
      <c r="L1160" s="178" t="s">
        <v>18</v>
      </c>
      <c r="M1160" s="178" t="s">
        <v>18</v>
      </c>
      <c r="N1160" s="178" t="s">
        <v>18</v>
      </c>
      <c r="O1160" s="134" t="s">
        <v>18</v>
      </c>
      <c r="P1160" s="134" t="s">
        <v>18</v>
      </c>
      <c r="Q1160" s="178" t="s">
        <v>18</v>
      </c>
      <c r="R1160" s="134" t="s">
        <v>18</v>
      </c>
      <c r="S1160" s="178" t="s">
        <v>18</v>
      </c>
      <c r="T1160" s="134" t="s">
        <v>18</v>
      </c>
      <c r="U1160" s="134" t="s">
        <v>18</v>
      </c>
      <c r="V1160" s="134" t="s">
        <v>18</v>
      </c>
      <c r="W1160" s="178" t="s">
        <v>18</v>
      </c>
      <c r="X1160" s="134" t="s">
        <v>18</v>
      </c>
      <c r="Y1160" s="134" t="s">
        <v>18</v>
      </c>
      <c r="Z1160" s="178" t="s">
        <v>18</v>
      </c>
      <c r="AA1160" s="134" t="s">
        <v>18</v>
      </c>
      <c r="AB1160" s="134" t="s">
        <v>18</v>
      </c>
      <c r="AC1160" s="134" t="s">
        <v>18</v>
      </c>
      <c r="AD1160" s="178" t="s">
        <v>18</v>
      </c>
      <c r="AE1160" s="134" t="s">
        <v>18</v>
      </c>
      <c r="AF1160" s="134" t="s">
        <v>18</v>
      </c>
      <c r="AG1160" s="134" t="s">
        <v>18</v>
      </c>
      <c r="AH1160" s="178" t="s">
        <v>18</v>
      </c>
      <c r="AI1160" s="134" t="s">
        <v>18</v>
      </c>
      <c r="AJ1160" s="134" t="s">
        <v>18</v>
      </c>
      <c r="AK1160" s="178" t="s">
        <v>18</v>
      </c>
      <c r="AL1160" s="177" t="s">
        <v>18</v>
      </c>
      <c r="AM1160" s="134" t="s">
        <v>18</v>
      </c>
      <c r="AN1160" s="178" t="s">
        <v>18</v>
      </c>
      <c r="AO1160" s="134" t="s">
        <v>18</v>
      </c>
      <c r="AP1160" s="134" t="s">
        <v>18</v>
      </c>
      <c r="AQ1160" s="134" t="s">
        <v>18</v>
      </c>
      <c r="AR1160" s="134" t="s">
        <v>18</v>
      </c>
      <c r="AS1160" s="134" t="s">
        <v>18</v>
      </c>
      <c r="AT1160" s="189"/>
      <c r="AU1160" s="189"/>
      <c r="AV1160" s="189"/>
      <c r="AW1160" s="189"/>
      <c r="AX1160" s="189"/>
      <c r="AY1160" s="189"/>
      <c r="AZ1160" s="189"/>
      <c r="BA1160" s="189"/>
      <c r="BB1160" s="189"/>
      <c r="BC1160" s="189"/>
    </row>
    <row r="1161" spans="1:55" ht="15.75" customHeight="1" x14ac:dyDescent="0.25">
      <c r="A1161" s="128" t="e">
        <v>#VALUE!</v>
      </c>
      <c r="B1161" s="122" t="s">
        <v>12</v>
      </c>
      <c r="C1161" s="124"/>
      <c r="D1161" s="172"/>
      <c r="E1161" s="124"/>
      <c r="F1161" s="172"/>
      <c r="G1161" s="124"/>
      <c r="H1161" s="171"/>
      <c r="I1161" s="124"/>
      <c r="J1161" s="172"/>
      <c r="K1161" s="124"/>
      <c r="L1161" s="172"/>
      <c r="M1161" s="172"/>
      <c r="N1161" s="172"/>
      <c r="O1161" s="124"/>
      <c r="P1161" s="124"/>
      <c r="Q1161" s="172"/>
      <c r="R1161" s="124"/>
      <c r="S1161" s="172"/>
      <c r="T1161" s="124"/>
      <c r="U1161" s="124"/>
      <c r="V1161" s="124"/>
      <c r="W1161" s="172"/>
      <c r="X1161" s="124"/>
      <c r="Y1161" s="124"/>
      <c r="Z1161" s="172"/>
      <c r="AA1161" s="124"/>
      <c r="AB1161" s="124"/>
      <c r="AC1161" s="124"/>
      <c r="AD1161" s="172"/>
      <c r="AE1161" s="124"/>
      <c r="AF1161" s="124"/>
      <c r="AG1161" s="124"/>
      <c r="AH1161" s="172"/>
      <c r="AI1161" s="124"/>
      <c r="AJ1161" s="124"/>
      <c r="AK1161" s="172"/>
      <c r="AL1161" s="171"/>
      <c r="AM1161" s="124"/>
      <c r="AN1161" s="172"/>
      <c r="AO1161" s="124"/>
      <c r="AP1161" s="124"/>
      <c r="AQ1161" s="124"/>
      <c r="AR1161" s="124"/>
      <c r="AS1161" s="124"/>
      <c r="AT1161" s="161"/>
      <c r="AU1161" s="161"/>
      <c r="AV1161" s="161"/>
      <c r="AW1161" s="161"/>
      <c r="AX1161" s="161"/>
      <c r="AY1161" s="161"/>
      <c r="AZ1161" s="161"/>
      <c r="BA1161" s="161"/>
      <c r="BB1161" s="161"/>
      <c r="BC1161" s="161"/>
    </row>
    <row r="1162" spans="1:55" ht="15.75" customHeight="1" x14ac:dyDescent="0.25">
      <c r="A1162" s="128" t="e">
        <v>#VALUE!</v>
      </c>
      <c r="B1162" s="136" t="s">
        <v>13</v>
      </c>
      <c r="C1162" s="137"/>
      <c r="D1162" s="172"/>
      <c r="E1162" s="124"/>
      <c r="F1162" s="172"/>
      <c r="G1162" s="137">
        <v>0</v>
      </c>
      <c r="H1162" s="171" t="s">
        <v>18</v>
      </c>
      <c r="I1162" s="137" t="s">
        <v>18</v>
      </c>
      <c r="J1162" s="172" t="s">
        <v>18</v>
      </c>
      <c r="K1162" s="137" t="e">
        <v>#VALUE!</v>
      </c>
      <c r="L1162" s="172">
        <v>34</v>
      </c>
      <c r="M1162" s="172">
        <v>28</v>
      </c>
      <c r="N1162" s="172">
        <v>0</v>
      </c>
      <c r="O1162" s="137">
        <v>0</v>
      </c>
      <c r="P1162" s="137">
        <v>32</v>
      </c>
      <c r="Q1162" s="172">
        <v>0</v>
      </c>
      <c r="R1162" s="137">
        <v>43</v>
      </c>
      <c r="S1162" s="172">
        <v>0</v>
      </c>
      <c r="T1162" s="137">
        <v>0</v>
      </c>
      <c r="U1162" s="137">
        <v>0</v>
      </c>
      <c r="V1162" s="137">
        <v>124</v>
      </c>
      <c r="W1162" s="172">
        <v>0</v>
      </c>
      <c r="X1162" s="137">
        <v>0</v>
      </c>
      <c r="Y1162" s="137">
        <v>151</v>
      </c>
      <c r="Z1162" s="172">
        <v>0</v>
      </c>
      <c r="AA1162" s="137">
        <v>0</v>
      </c>
      <c r="AB1162" s="137">
        <v>0</v>
      </c>
      <c r="AC1162" s="137">
        <v>33</v>
      </c>
      <c r="AD1162" s="172">
        <v>0</v>
      </c>
      <c r="AE1162" s="137">
        <v>0</v>
      </c>
      <c r="AF1162" s="137">
        <v>0</v>
      </c>
      <c r="AG1162" s="137">
        <v>104</v>
      </c>
      <c r="AH1162" s="172">
        <v>0</v>
      </c>
      <c r="AI1162" s="137">
        <v>0</v>
      </c>
      <c r="AJ1162" s="137">
        <v>71</v>
      </c>
      <c r="AK1162" s="172">
        <v>15</v>
      </c>
      <c r="AL1162" s="171">
        <v>0</v>
      </c>
      <c r="AM1162" s="137">
        <v>60</v>
      </c>
      <c r="AN1162" s="172">
        <v>0</v>
      </c>
      <c r="AO1162" s="137">
        <v>0</v>
      </c>
      <c r="AP1162" s="137">
        <v>0</v>
      </c>
      <c r="AQ1162" s="137">
        <v>0</v>
      </c>
      <c r="AR1162" s="137" t="s">
        <v>18</v>
      </c>
      <c r="AS1162" s="137" t="s">
        <v>18</v>
      </c>
      <c r="AT1162" s="161"/>
      <c r="AU1162" s="161"/>
      <c r="AV1162" s="161"/>
      <c r="AW1162" s="161"/>
      <c r="AX1162" s="161"/>
      <c r="AY1162" s="161"/>
      <c r="AZ1162" s="161"/>
      <c r="BA1162" s="161"/>
      <c r="BB1162" s="161"/>
      <c r="BC1162" s="161"/>
    </row>
    <row r="1163" spans="1:55" ht="15.75" customHeight="1" x14ac:dyDescent="0.25">
      <c r="A1163" s="128" t="e">
        <v>#VALUE!</v>
      </c>
      <c r="B1163" s="136" t="s">
        <v>14</v>
      </c>
      <c r="C1163" s="137"/>
      <c r="D1163" s="172"/>
      <c r="E1163" s="124"/>
      <c r="F1163" s="172"/>
      <c r="G1163" s="137">
        <v>0</v>
      </c>
      <c r="H1163" s="171" t="s">
        <v>18</v>
      </c>
      <c r="I1163" s="137" t="s">
        <v>18</v>
      </c>
      <c r="J1163" s="172" t="s">
        <v>18</v>
      </c>
      <c r="K1163" s="137" t="e">
        <v>#VALUE!</v>
      </c>
      <c r="L1163" s="172">
        <v>4</v>
      </c>
      <c r="M1163" s="172">
        <v>3</v>
      </c>
      <c r="N1163" s="172">
        <v>0</v>
      </c>
      <c r="O1163" s="137">
        <v>0</v>
      </c>
      <c r="P1163" s="137">
        <v>4</v>
      </c>
      <c r="Q1163" s="172">
        <v>0</v>
      </c>
      <c r="R1163" s="137">
        <v>2</v>
      </c>
      <c r="S1163" s="172">
        <v>0</v>
      </c>
      <c r="T1163" s="137">
        <v>0</v>
      </c>
      <c r="U1163" s="137">
        <v>0</v>
      </c>
      <c r="V1163" s="137">
        <v>11</v>
      </c>
      <c r="W1163" s="172">
        <v>0</v>
      </c>
      <c r="X1163" s="137">
        <v>0</v>
      </c>
      <c r="Y1163" s="137">
        <v>27</v>
      </c>
      <c r="Z1163" s="172">
        <v>0</v>
      </c>
      <c r="AA1163" s="137">
        <v>0</v>
      </c>
      <c r="AB1163" s="137">
        <v>0</v>
      </c>
      <c r="AC1163" s="137">
        <v>7</v>
      </c>
      <c r="AD1163" s="172">
        <v>0</v>
      </c>
      <c r="AE1163" s="137">
        <v>0</v>
      </c>
      <c r="AF1163" s="137">
        <v>0</v>
      </c>
      <c r="AG1163" s="137">
        <v>7</v>
      </c>
      <c r="AH1163" s="172">
        <v>0</v>
      </c>
      <c r="AI1163" s="137">
        <v>0</v>
      </c>
      <c r="AJ1163" s="137">
        <v>9</v>
      </c>
      <c r="AK1163" s="172">
        <v>2</v>
      </c>
      <c r="AL1163" s="171">
        <v>0</v>
      </c>
      <c r="AM1163" s="137">
        <v>10</v>
      </c>
      <c r="AN1163" s="172">
        <v>0</v>
      </c>
      <c r="AO1163" s="137">
        <v>0</v>
      </c>
      <c r="AP1163" s="137">
        <v>0</v>
      </c>
      <c r="AQ1163" s="137">
        <v>0</v>
      </c>
      <c r="AR1163" s="137" t="s">
        <v>18</v>
      </c>
      <c r="AS1163" s="137" t="s">
        <v>18</v>
      </c>
      <c r="AT1163" s="161"/>
      <c r="AU1163" s="161"/>
      <c r="AV1163" s="161"/>
      <c r="AW1163" s="161"/>
      <c r="AX1163" s="161"/>
      <c r="AY1163" s="161"/>
      <c r="AZ1163" s="161"/>
      <c r="BA1163" s="161"/>
      <c r="BB1163" s="161"/>
      <c r="BC1163" s="161"/>
    </row>
    <row r="1164" spans="1:55" ht="15.75" customHeight="1" x14ac:dyDescent="0.25">
      <c r="A1164" s="128" t="e">
        <v>#VALUE!</v>
      </c>
      <c r="B1164" s="136" t="s">
        <v>15</v>
      </c>
      <c r="C1164" s="137"/>
      <c r="D1164" s="172"/>
      <c r="E1164" s="124"/>
      <c r="F1164" s="172"/>
      <c r="G1164" s="137">
        <v>0</v>
      </c>
      <c r="H1164" s="171" t="s">
        <v>18</v>
      </c>
      <c r="I1164" s="137" t="s">
        <v>18</v>
      </c>
      <c r="J1164" s="172" t="s">
        <v>18</v>
      </c>
      <c r="K1164" s="137" t="e">
        <v>#VALUE!</v>
      </c>
      <c r="L1164" s="172">
        <v>0</v>
      </c>
      <c r="M1164" s="172">
        <v>6</v>
      </c>
      <c r="N1164" s="172">
        <v>0</v>
      </c>
      <c r="O1164" s="137">
        <v>0</v>
      </c>
      <c r="P1164" s="137">
        <v>0</v>
      </c>
      <c r="Q1164" s="172">
        <v>0</v>
      </c>
      <c r="R1164" s="137">
        <v>40</v>
      </c>
      <c r="S1164" s="172">
        <v>0</v>
      </c>
      <c r="T1164" s="137">
        <v>0</v>
      </c>
      <c r="U1164" s="137">
        <v>0</v>
      </c>
      <c r="V1164" s="137">
        <v>11</v>
      </c>
      <c r="W1164" s="172">
        <v>0</v>
      </c>
      <c r="X1164" s="137">
        <v>0</v>
      </c>
      <c r="Y1164" s="137">
        <v>0</v>
      </c>
      <c r="Z1164" s="172">
        <v>0</v>
      </c>
      <c r="AA1164" s="137">
        <v>0</v>
      </c>
      <c r="AB1164" s="137">
        <v>0</v>
      </c>
      <c r="AC1164" s="137">
        <v>7</v>
      </c>
      <c r="AD1164" s="172">
        <v>0</v>
      </c>
      <c r="AE1164" s="137">
        <v>0</v>
      </c>
      <c r="AF1164" s="137">
        <v>0</v>
      </c>
      <c r="AG1164" s="137">
        <v>6</v>
      </c>
      <c r="AH1164" s="172">
        <v>0</v>
      </c>
      <c r="AI1164" s="137">
        <v>0</v>
      </c>
      <c r="AJ1164" s="137">
        <v>6</v>
      </c>
      <c r="AK1164" s="172">
        <v>2</v>
      </c>
      <c r="AL1164" s="171">
        <v>0</v>
      </c>
      <c r="AM1164" s="137">
        <v>8</v>
      </c>
      <c r="AN1164" s="172">
        <v>0</v>
      </c>
      <c r="AO1164" s="137">
        <v>0</v>
      </c>
      <c r="AP1164" s="137">
        <v>0</v>
      </c>
      <c r="AQ1164" s="137">
        <v>0</v>
      </c>
      <c r="AR1164" s="137" t="s">
        <v>18</v>
      </c>
      <c r="AS1164" s="137" t="s">
        <v>18</v>
      </c>
      <c r="AT1164" s="161"/>
      <c r="AU1164" s="161"/>
      <c r="AV1164" s="161"/>
      <c r="AW1164" s="161"/>
      <c r="AX1164" s="161"/>
      <c r="AY1164" s="161"/>
      <c r="AZ1164" s="161"/>
      <c r="BA1164" s="161"/>
      <c r="BB1164" s="161"/>
      <c r="BC1164" s="161"/>
    </row>
    <row r="1165" spans="1:55" ht="15.75" customHeight="1" x14ac:dyDescent="0.25">
      <c r="A1165" s="128" t="e">
        <v>#VALUE!</v>
      </c>
      <c r="B1165" s="136" t="s">
        <v>16</v>
      </c>
      <c r="C1165" s="137"/>
      <c r="D1165" s="172"/>
      <c r="E1165" s="124"/>
      <c r="F1165" s="172"/>
      <c r="G1165" s="137">
        <v>0</v>
      </c>
      <c r="H1165" s="171" t="s">
        <v>18</v>
      </c>
      <c r="I1165" s="137" t="s">
        <v>18</v>
      </c>
      <c r="J1165" s="172" t="s">
        <v>18</v>
      </c>
      <c r="K1165" s="137" t="e">
        <v>#VALUE!</v>
      </c>
      <c r="L1165" s="172" t="e">
        <v>#VALUE!</v>
      </c>
      <c r="M1165" s="172" t="e">
        <v>#VALUE!</v>
      </c>
      <c r="N1165" s="172" t="e">
        <v>#VALUE!</v>
      </c>
      <c r="O1165" s="137" t="e">
        <v>#VALUE!</v>
      </c>
      <c r="P1165" s="137" t="e">
        <v>#VALUE!</v>
      </c>
      <c r="Q1165" s="172" t="e">
        <v>#VALUE!</v>
      </c>
      <c r="R1165" s="137" t="e">
        <v>#VALUE!</v>
      </c>
      <c r="S1165" s="172" t="e">
        <v>#VALUE!</v>
      </c>
      <c r="T1165" s="137" t="e">
        <v>#VALUE!</v>
      </c>
      <c r="U1165" s="137" t="e">
        <v>#VALUE!</v>
      </c>
      <c r="V1165" s="137" t="e">
        <v>#VALUE!</v>
      </c>
      <c r="W1165" s="172" t="e">
        <v>#VALUE!</v>
      </c>
      <c r="X1165" s="137" t="e">
        <v>#VALUE!</v>
      </c>
      <c r="Y1165" s="137" t="e">
        <v>#VALUE!</v>
      </c>
      <c r="Z1165" s="172" t="e">
        <v>#VALUE!</v>
      </c>
      <c r="AA1165" s="137" t="e">
        <v>#VALUE!</v>
      </c>
      <c r="AB1165" s="137" t="e">
        <v>#VALUE!</v>
      </c>
      <c r="AC1165" s="137" t="e">
        <v>#VALUE!</v>
      </c>
      <c r="AD1165" s="172" t="e">
        <v>#VALUE!</v>
      </c>
      <c r="AE1165" s="137" t="e">
        <v>#VALUE!</v>
      </c>
      <c r="AF1165" s="137" t="e">
        <v>#VALUE!</v>
      </c>
      <c r="AG1165" s="137" t="e">
        <v>#VALUE!</v>
      </c>
      <c r="AH1165" s="172" t="e">
        <v>#VALUE!</v>
      </c>
      <c r="AI1165" s="137" t="e">
        <v>#VALUE!</v>
      </c>
      <c r="AJ1165" s="137" t="e">
        <v>#VALUE!</v>
      </c>
      <c r="AK1165" s="172" t="e">
        <v>#VALUE!</v>
      </c>
      <c r="AL1165" s="171" t="e">
        <v>#VALUE!</v>
      </c>
      <c r="AM1165" s="137" t="e">
        <v>#VALUE!</v>
      </c>
      <c r="AN1165" s="172" t="e">
        <v>#VALUE!</v>
      </c>
      <c r="AO1165" s="137" t="e">
        <v>#VALUE!</v>
      </c>
      <c r="AP1165" s="137" t="e">
        <v>#VALUE!</v>
      </c>
      <c r="AQ1165" s="137" t="e">
        <v>#VALUE!</v>
      </c>
      <c r="AR1165" s="137" t="s">
        <v>18</v>
      </c>
      <c r="AS1165" s="137" t="s">
        <v>18</v>
      </c>
      <c r="AT1165" s="161"/>
      <c r="AU1165" s="161"/>
      <c r="AV1165" s="161"/>
      <c r="AW1165" s="161"/>
      <c r="AX1165" s="161"/>
      <c r="AY1165" s="161"/>
      <c r="AZ1165" s="161"/>
      <c r="BA1165" s="161"/>
      <c r="BB1165" s="161"/>
      <c r="BC1165" s="161"/>
    </row>
    <row r="1166" spans="1:55" ht="15.75" customHeight="1" x14ac:dyDescent="0.25">
      <c r="A1166" s="138" t="e">
        <v>#VALUE!</v>
      </c>
      <c r="B1166" s="139" t="s">
        <v>17</v>
      </c>
      <c r="C1166" s="141"/>
      <c r="D1166" s="181"/>
      <c r="E1166" s="192"/>
      <c r="F1166" s="181"/>
      <c r="G1166" s="141" t="s">
        <v>18</v>
      </c>
      <c r="H1166" s="180" t="s">
        <v>18</v>
      </c>
      <c r="I1166" s="141" t="s">
        <v>18</v>
      </c>
      <c r="J1166" s="181" t="s">
        <v>18</v>
      </c>
      <c r="K1166" s="141" t="e">
        <v>#VALUE!</v>
      </c>
      <c r="L1166" s="181" t="e">
        <v>#VALUE!</v>
      </c>
      <c r="M1166" s="181" t="e">
        <v>#VALUE!</v>
      </c>
      <c r="N1166" s="181" t="e">
        <v>#VALUE!</v>
      </c>
      <c r="O1166" s="141" t="e">
        <v>#VALUE!</v>
      </c>
      <c r="P1166" s="141" t="e">
        <v>#VALUE!</v>
      </c>
      <c r="Q1166" s="181" t="e">
        <v>#VALUE!</v>
      </c>
      <c r="R1166" s="141" t="e">
        <v>#VALUE!</v>
      </c>
      <c r="S1166" s="181" t="e">
        <v>#VALUE!</v>
      </c>
      <c r="T1166" s="141" t="e">
        <v>#VALUE!</v>
      </c>
      <c r="U1166" s="141" t="e">
        <v>#VALUE!</v>
      </c>
      <c r="V1166" s="141" t="e">
        <v>#VALUE!</v>
      </c>
      <c r="W1166" s="181" t="e">
        <v>#VALUE!</v>
      </c>
      <c r="X1166" s="141" t="e">
        <v>#VALUE!</v>
      </c>
      <c r="Y1166" s="141" t="e">
        <v>#VALUE!</v>
      </c>
      <c r="Z1166" s="181" t="e">
        <v>#VALUE!</v>
      </c>
      <c r="AA1166" s="141" t="e">
        <v>#VALUE!</v>
      </c>
      <c r="AB1166" s="141" t="e">
        <v>#VALUE!</v>
      </c>
      <c r="AC1166" s="141" t="e">
        <v>#VALUE!</v>
      </c>
      <c r="AD1166" s="181" t="e">
        <v>#VALUE!</v>
      </c>
      <c r="AE1166" s="141" t="e">
        <v>#VALUE!</v>
      </c>
      <c r="AF1166" s="141" t="e">
        <v>#VALUE!</v>
      </c>
      <c r="AG1166" s="141" t="e">
        <v>#VALUE!</v>
      </c>
      <c r="AH1166" s="181" t="e">
        <v>#VALUE!</v>
      </c>
      <c r="AI1166" s="141" t="e">
        <v>#VALUE!</v>
      </c>
      <c r="AJ1166" s="141" t="e">
        <v>#VALUE!</v>
      </c>
      <c r="AK1166" s="181" t="e">
        <v>#VALUE!</v>
      </c>
      <c r="AL1166" s="180" t="e">
        <v>#VALUE!</v>
      </c>
      <c r="AM1166" s="141" t="e">
        <v>#VALUE!</v>
      </c>
      <c r="AN1166" s="181" t="e">
        <v>#VALUE!</v>
      </c>
      <c r="AO1166" s="141" t="e">
        <v>#VALUE!</v>
      </c>
      <c r="AP1166" s="141" t="e">
        <v>#VALUE!</v>
      </c>
      <c r="AQ1166" s="141" t="e">
        <v>#VALUE!</v>
      </c>
      <c r="AR1166" s="141" t="s">
        <v>18</v>
      </c>
      <c r="AS1166" s="141" t="s">
        <v>18</v>
      </c>
      <c r="AT1166" s="161"/>
      <c r="AU1166" s="161"/>
      <c r="AV1166" s="161"/>
      <c r="AW1166" s="161"/>
      <c r="AX1166" s="161"/>
      <c r="AY1166" s="161"/>
      <c r="AZ1166" s="161"/>
      <c r="BA1166" s="161"/>
      <c r="BB1166" s="161"/>
      <c r="BC1166" s="161"/>
    </row>
    <row r="1167" spans="1:55" ht="15.75" customHeight="1" x14ac:dyDescent="0.25">
      <c r="A1167" s="116" t="s">
        <v>1</v>
      </c>
      <c r="B1167" s="117" t="s">
        <v>2</v>
      </c>
      <c r="C1167" s="119"/>
      <c r="D1167" s="169"/>
      <c r="E1167" s="119"/>
      <c r="F1167" s="169"/>
      <c r="G1167" s="119">
        <v>4563</v>
      </c>
      <c r="H1167" s="168" t="s">
        <v>18</v>
      </c>
      <c r="I1167" s="119" t="s">
        <v>18</v>
      </c>
      <c r="J1167" s="169" t="s">
        <v>18</v>
      </c>
      <c r="K1167" s="119">
        <v>4597</v>
      </c>
      <c r="L1167" s="169">
        <v>4605</v>
      </c>
      <c r="M1167" s="169">
        <v>4628</v>
      </c>
      <c r="N1167" s="169">
        <v>4628</v>
      </c>
      <c r="O1167" s="119">
        <v>4628</v>
      </c>
      <c r="P1167" s="119">
        <v>4668</v>
      </c>
      <c r="Q1167" s="169">
        <v>4668</v>
      </c>
      <c r="R1167" s="119">
        <v>4708</v>
      </c>
      <c r="S1167" s="169">
        <v>4708</v>
      </c>
      <c r="T1167" s="119">
        <v>4708</v>
      </c>
      <c r="U1167" s="119">
        <v>4708</v>
      </c>
      <c r="V1167" s="119">
        <v>4734</v>
      </c>
      <c r="W1167" s="169">
        <v>4734</v>
      </c>
      <c r="X1167" s="119">
        <v>4734</v>
      </c>
      <c r="Y1167" s="119">
        <v>4780</v>
      </c>
      <c r="Z1167" s="169">
        <v>4780</v>
      </c>
      <c r="AA1167" s="119">
        <v>4780</v>
      </c>
      <c r="AB1167" s="119">
        <v>4780</v>
      </c>
      <c r="AC1167" s="119">
        <v>4811</v>
      </c>
      <c r="AD1167" s="169">
        <v>4811</v>
      </c>
      <c r="AE1167" s="119">
        <v>4811</v>
      </c>
      <c r="AF1167" s="119">
        <v>4811</v>
      </c>
      <c r="AG1167" s="119">
        <v>4852</v>
      </c>
      <c r="AH1167" s="169">
        <v>4852</v>
      </c>
      <c r="AI1167" s="119">
        <v>4852</v>
      </c>
      <c r="AJ1167" s="119">
        <v>4919</v>
      </c>
      <c r="AK1167" s="169">
        <v>4921</v>
      </c>
      <c r="AL1167" s="168">
        <v>4921</v>
      </c>
      <c r="AM1167" s="119">
        <v>4937</v>
      </c>
      <c r="AN1167" s="169">
        <v>4937</v>
      </c>
      <c r="AO1167" s="119">
        <v>4937</v>
      </c>
      <c r="AP1167" s="119">
        <v>4937</v>
      </c>
      <c r="AQ1167" s="119">
        <v>4937</v>
      </c>
      <c r="AR1167" s="119" t="s">
        <v>18</v>
      </c>
      <c r="AS1167" s="119" t="s">
        <v>18</v>
      </c>
      <c r="AT1167" s="161"/>
      <c r="AU1167" s="161"/>
      <c r="AV1167" s="161"/>
      <c r="AW1167" s="161"/>
      <c r="AX1167" s="161"/>
      <c r="AY1167" s="161"/>
      <c r="AZ1167" s="161"/>
      <c r="BA1167" s="161"/>
      <c r="BB1167" s="161"/>
      <c r="BC1167" s="161"/>
    </row>
    <row r="1168" spans="1:55" ht="15.75" customHeight="1" x14ac:dyDescent="0.25">
      <c r="A1168" s="121" t="s">
        <v>40</v>
      </c>
      <c r="B1168" s="122" t="s">
        <v>4</v>
      </c>
      <c r="C1168" s="124"/>
      <c r="D1168" s="172"/>
      <c r="E1168" s="124"/>
      <c r="F1168" s="172"/>
      <c r="G1168" s="124">
        <v>133</v>
      </c>
      <c r="H1168" s="171" t="s">
        <v>18</v>
      </c>
      <c r="I1168" s="124" t="s">
        <v>18</v>
      </c>
      <c r="J1168" s="172" t="s">
        <v>18</v>
      </c>
      <c r="K1168" s="124">
        <v>136</v>
      </c>
      <c r="L1168" s="172">
        <v>137</v>
      </c>
      <c r="M1168" s="172">
        <v>138</v>
      </c>
      <c r="N1168" s="172">
        <v>138</v>
      </c>
      <c r="O1168" s="124">
        <v>138</v>
      </c>
      <c r="P1168" s="124">
        <v>138</v>
      </c>
      <c r="Q1168" s="172">
        <v>138</v>
      </c>
      <c r="R1168" s="124">
        <v>138</v>
      </c>
      <c r="S1168" s="172">
        <v>138</v>
      </c>
      <c r="T1168" s="124">
        <v>138</v>
      </c>
      <c r="U1168" s="124">
        <v>138</v>
      </c>
      <c r="V1168" s="124">
        <v>139</v>
      </c>
      <c r="W1168" s="172">
        <v>139</v>
      </c>
      <c r="X1168" s="124">
        <v>139</v>
      </c>
      <c r="Y1168" s="124">
        <v>140</v>
      </c>
      <c r="Z1168" s="172">
        <v>140</v>
      </c>
      <c r="AA1168" s="124">
        <v>140</v>
      </c>
      <c r="AB1168" s="124">
        <v>140</v>
      </c>
      <c r="AC1168" s="124">
        <v>142</v>
      </c>
      <c r="AD1168" s="172">
        <v>142</v>
      </c>
      <c r="AE1168" s="124">
        <v>142</v>
      </c>
      <c r="AF1168" s="124">
        <v>142</v>
      </c>
      <c r="AG1168" s="124">
        <v>142</v>
      </c>
      <c r="AH1168" s="172">
        <v>142</v>
      </c>
      <c r="AI1168" s="124">
        <v>142</v>
      </c>
      <c r="AJ1168" s="124">
        <v>142</v>
      </c>
      <c r="AK1168" s="172">
        <v>142</v>
      </c>
      <c r="AL1168" s="171">
        <v>142</v>
      </c>
      <c r="AM1168" s="124">
        <v>143</v>
      </c>
      <c r="AN1168" s="172">
        <v>143</v>
      </c>
      <c r="AO1168" s="124">
        <v>143</v>
      </c>
      <c r="AP1168" s="124">
        <v>143</v>
      </c>
      <c r="AQ1168" s="124">
        <v>143</v>
      </c>
      <c r="AR1168" s="124" t="s">
        <v>18</v>
      </c>
      <c r="AS1168" s="124" t="s">
        <v>18</v>
      </c>
      <c r="AT1168" s="161"/>
      <c r="AU1168" s="161"/>
      <c r="AV1168" s="161"/>
      <c r="AW1168" s="161"/>
      <c r="AX1168" s="161"/>
      <c r="AY1168" s="161"/>
      <c r="AZ1168" s="161"/>
      <c r="BA1168" s="161"/>
      <c r="BB1168" s="161"/>
      <c r="BC1168" s="161"/>
    </row>
    <row r="1169" spans="1:55" ht="15.75" customHeight="1" x14ac:dyDescent="0.25">
      <c r="A1169" s="143">
        <v>1</v>
      </c>
      <c r="B1169" s="122" t="s">
        <v>5</v>
      </c>
      <c r="C1169" s="124"/>
      <c r="D1169" s="172"/>
      <c r="E1169" s="124"/>
      <c r="F1169" s="172"/>
      <c r="G1169" s="124">
        <v>5</v>
      </c>
      <c r="H1169" s="171" t="s">
        <v>18</v>
      </c>
      <c r="I1169" s="124" t="s">
        <v>18</v>
      </c>
      <c r="J1169" s="172" t="s">
        <v>18</v>
      </c>
      <c r="K1169" s="124">
        <v>11</v>
      </c>
      <c r="L1169" s="172">
        <v>13</v>
      </c>
      <c r="M1169" s="172">
        <v>11</v>
      </c>
      <c r="N1169" s="172">
        <v>11</v>
      </c>
      <c r="O1169" s="124">
        <v>11</v>
      </c>
      <c r="P1169" s="124">
        <v>11</v>
      </c>
      <c r="Q1169" s="172">
        <v>11</v>
      </c>
      <c r="R1169" s="124">
        <v>11</v>
      </c>
      <c r="S1169" s="172">
        <v>11</v>
      </c>
      <c r="T1169" s="124">
        <v>11</v>
      </c>
      <c r="U1169" s="124">
        <v>11</v>
      </c>
      <c r="V1169" s="124">
        <v>11</v>
      </c>
      <c r="W1169" s="172">
        <v>11</v>
      </c>
      <c r="X1169" s="124">
        <v>11</v>
      </c>
      <c r="Y1169" s="124">
        <v>11</v>
      </c>
      <c r="Z1169" s="172">
        <v>11</v>
      </c>
      <c r="AA1169" s="124">
        <v>11</v>
      </c>
      <c r="AB1169" s="124">
        <v>11</v>
      </c>
      <c r="AC1169" s="124">
        <v>11</v>
      </c>
      <c r="AD1169" s="172">
        <v>11</v>
      </c>
      <c r="AE1169" s="124">
        <v>11</v>
      </c>
      <c r="AF1169" s="124">
        <v>11</v>
      </c>
      <c r="AG1169" s="124">
        <v>11</v>
      </c>
      <c r="AH1169" s="172">
        <v>11</v>
      </c>
      <c r="AI1169" s="124">
        <v>11</v>
      </c>
      <c r="AJ1169" s="124">
        <v>11</v>
      </c>
      <c r="AK1169" s="172">
        <v>11</v>
      </c>
      <c r="AL1169" s="171">
        <v>11</v>
      </c>
      <c r="AM1169" s="124">
        <v>10</v>
      </c>
      <c r="AN1169" s="172">
        <v>10</v>
      </c>
      <c r="AO1169" s="124">
        <v>10</v>
      </c>
      <c r="AP1169" s="124">
        <v>10</v>
      </c>
      <c r="AQ1169" s="124">
        <v>10</v>
      </c>
      <c r="AR1169" s="124" t="s">
        <v>18</v>
      </c>
      <c r="AS1169" s="124" t="s">
        <v>18</v>
      </c>
      <c r="AT1169" s="161"/>
      <c r="AU1169" s="161"/>
      <c r="AV1169" s="161"/>
      <c r="AW1169" s="161"/>
      <c r="AX1169" s="161"/>
      <c r="AY1169" s="161"/>
      <c r="AZ1169" s="161"/>
      <c r="BA1169" s="161"/>
      <c r="BB1169" s="161"/>
      <c r="BC1169" s="161"/>
    </row>
    <row r="1170" spans="1:55" ht="15.75" customHeight="1" x14ac:dyDescent="0.25">
      <c r="A1170" s="144" t="s">
        <v>20</v>
      </c>
      <c r="B1170" s="122" t="s">
        <v>6</v>
      </c>
      <c r="C1170" s="124"/>
      <c r="D1170" s="172"/>
      <c r="E1170" s="124"/>
      <c r="F1170" s="172"/>
      <c r="G1170" s="124"/>
      <c r="H1170" s="171"/>
      <c r="I1170" s="124">
        <v>7</v>
      </c>
      <c r="J1170" s="172"/>
      <c r="K1170" s="124">
        <v>2</v>
      </c>
      <c r="L1170" s="172"/>
      <c r="M1170" s="172"/>
      <c r="N1170" s="172"/>
      <c r="O1170" s="124"/>
      <c r="P1170" s="124"/>
      <c r="Q1170" s="172"/>
      <c r="R1170" s="124"/>
      <c r="S1170" s="172"/>
      <c r="T1170" s="124"/>
      <c r="U1170" s="124"/>
      <c r="V1170" s="124"/>
      <c r="W1170" s="172"/>
      <c r="X1170" s="124"/>
      <c r="Y1170" s="124"/>
      <c r="Z1170" s="172"/>
      <c r="AA1170" s="124"/>
      <c r="AB1170" s="124"/>
      <c r="AC1170" s="124"/>
      <c r="AD1170" s="172"/>
      <c r="AE1170" s="124"/>
      <c r="AF1170" s="124"/>
      <c r="AG1170" s="124"/>
      <c r="AH1170" s="172"/>
      <c r="AI1170" s="124"/>
      <c r="AJ1170" s="124"/>
      <c r="AK1170" s="172"/>
      <c r="AL1170" s="171"/>
      <c r="AM1170" s="124"/>
      <c r="AN1170" s="172"/>
      <c r="AO1170" s="124"/>
      <c r="AP1170" s="124"/>
      <c r="AQ1170" s="124"/>
      <c r="AR1170" s="124"/>
      <c r="AS1170" s="124"/>
      <c r="AT1170" s="161"/>
      <c r="AU1170" s="161"/>
      <c r="AV1170" s="161"/>
      <c r="AW1170" s="161"/>
      <c r="AX1170" s="161"/>
      <c r="AY1170" s="161"/>
      <c r="AZ1170" s="161"/>
      <c r="BA1170" s="161"/>
      <c r="BB1170" s="161"/>
      <c r="BC1170" s="161"/>
    </row>
    <row r="1171" spans="1:55" ht="15.75" customHeight="1" x14ac:dyDescent="0.25">
      <c r="A1171" s="145" t="e">
        <v>#VALUE!</v>
      </c>
      <c r="B1171" s="122" t="s">
        <v>8</v>
      </c>
      <c r="C1171" s="130"/>
      <c r="D1171" s="175"/>
      <c r="E1171" s="130"/>
      <c r="F1171" s="175"/>
      <c r="G1171" s="130">
        <v>1100</v>
      </c>
      <c r="H1171" s="174" t="s">
        <v>18</v>
      </c>
      <c r="I1171" s="130" t="s">
        <v>18</v>
      </c>
      <c r="J1171" s="175">
        <v>880</v>
      </c>
      <c r="K1171" s="130">
        <v>880</v>
      </c>
      <c r="L1171" s="175">
        <v>880</v>
      </c>
      <c r="M1171" s="175">
        <v>880</v>
      </c>
      <c r="N1171" s="175">
        <v>880</v>
      </c>
      <c r="O1171" s="130">
        <v>880</v>
      </c>
      <c r="P1171" s="130">
        <v>880</v>
      </c>
      <c r="Q1171" s="175">
        <v>880</v>
      </c>
      <c r="R1171" s="130">
        <v>880</v>
      </c>
      <c r="S1171" s="175">
        <v>880</v>
      </c>
      <c r="T1171" s="130">
        <v>880</v>
      </c>
      <c r="U1171" s="130">
        <v>880</v>
      </c>
      <c r="V1171" s="130">
        <v>880</v>
      </c>
      <c r="W1171" s="175">
        <v>880</v>
      </c>
      <c r="X1171" s="130">
        <v>880</v>
      </c>
      <c r="Y1171" s="130">
        <v>880</v>
      </c>
      <c r="Z1171" s="175">
        <v>880</v>
      </c>
      <c r="AA1171" s="130">
        <v>880</v>
      </c>
      <c r="AB1171" s="130">
        <v>880</v>
      </c>
      <c r="AC1171" s="130">
        <v>880</v>
      </c>
      <c r="AD1171" s="175">
        <v>880</v>
      </c>
      <c r="AE1171" s="130">
        <v>880</v>
      </c>
      <c r="AF1171" s="130">
        <v>880</v>
      </c>
      <c r="AG1171" s="130">
        <v>880</v>
      </c>
      <c r="AH1171" s="175">
        <v>880</v>
      </c>
      <c r="AI1171" s="130">
        <v>880</v>
      </c>
      <c r="AJ1171" s="130">
        <v>880</v>
      </c>
      <c r="AK1171" s="175">
        <v>880</v>
      </c>
      <c r="AL1171" s="174">
        <v>880</v>
      </c>
      <c r="AM1171" s="130">
        <v>880</v>
      </c>
      <c r="AN1171" s="175">
        <v>880</v>
      </c>
      <c r="AO1171" s="130">
        <v>880</v>
      </c>
      <c r="AP1171" s="130">
        <v>880</v>
      </c>
      <c r="AQ1171" s="130">
        <v>880</v>
      </c>
      <c r="AR1171" s="130" t="s">
        <v>18</v>
      </c>
      <c r="AS1171" s="130" t="s">
        <v>18</v>
      </c>
      <c r="AT1171" s="161"/>
      <c r="AU1171" s="161"/>
      <c r="AV1171" s="161"/>
      <c r="AW1171" s="161"/>
      <c r="AX1171" s="161"/>
      <c r="AY1171" s="161"/>
      <c r="AZ1171" s="161"/>
      <c r="BA1171" s="161"/>
      <c r="BB1171" s="161"/>
      <c r="BC1171" s="161"/>
    </row>
    <row r="1172" spans="1:55" ht="15.75" customHeight="1" x14ac:dyDescent="0.25">
      <c r="A1172" s="127" t="s">
        <v>9</v>
      </c>
      <c r="B1172" s="132" t="s">
        <v>10</v>
      </c>
      <c r="C1172" s="134"/>
      <c r="D1172" s="178"/>
      <c r="E1172" s="134"/>
      <c r="F1172" s="178"/>
      <c r="G1172" s="134" t="s">
        <v>154</v>
      </c>
      <c r="H1172" s="177" t="s">
        <v>18</v>
      </c>
      <c r="I1172" s="134" t="s">
        <v>18</v>
      </c>
      <c r="J1172" s="178" t="s">
        <v>118</v>
      </c>
      <c r="K1172" s="134" t="s">
        <v>118</v>
      </c>
      <c r="L1172" s="178" t="s">
        <v>118</v>
      </c>
      <c r="M1172" s="178" t="s">
        <v>118</v>
      </c>
      <c r="N1172" s="178" t="s">
        <v>118</v>
      </c>
      <c r="O1172" s="134" t="s">
        <v>118</v>
      </c>
      <c r="P1172" s="134" t="s">
        <v>118</v>
      </c>
      <c r="Q1172" s="178" t="s">
        <v>118</v>
      </c>
      <c r="R1172" s="134" t="s">
        <v>118</v>
      </c>
      <c r="S1172" s="178" t="s">
        <v>118</v>
      </c>
      <c r="T1172" s="134" t="s">
        <v>118</v>
      </c>
      <c r="U1172" s="134" t="s">
        <v>118</v>
      </c>
      <c r="V1172" s="134" t="s">
        <v>118</v>
      </c>
      <c r="W1172" s="178" t="s">
        <v>118</v>
      </c>
      <c r="X1172" s="134" t="s">
        <v>118</v>
      </c>
      <c r="Y1172" s="134" t="s">
        <v>118</v>
      </c>
      <c r="Z1172" s="178" t="s">
        <v>118</v>
      </c>
      <c r="AA1172" s="134" t="s">
        <v>118</v>
      </c>
      <c r="AB1172" s="134" t="s">
        <v>118</v>
      </c>
      <c r="AC1172" s="134" t="s">
        <v>118</v>
      </c>
      <c r="AD1172" s="178" t="s">
        <v>118</v>
      </c>
      <c r="AE1172" s="134" t="s">
        <v>118</v>
      </c>
      <c r="AF1172" s="134" t="s">
        <v>118</v>
      </c>
      <c r="AG1172" s="134" t="s">
        <v>118</v>
      </c>
      <c r="AH1172" s="178" t="s">
        <v>118</v>
      </c>
      <c r="AI1172" s="134" t="s">
        <v>118</v>
      </c>
      <c r="AJ1172" s="134" t="s">
        <v>118</v>
      </c>
      <c r="AK1172" s="178" t="s">
        <v>118</v>
      </c>
      <c r="AL1172" s="177" t="s">
        <v>118</v>
      </c>
      <c r="AM1172" s="134" t="s">
        <v>118</v>
      </c>
      <c r="AN1172" s="178" t="s">
        <v>118</v>
      </c>
      <c r="AO1172" s="134" t="s">
        <v>118</v>
      </c>
      <c r="AP1172" s="134" t="s">
        <v>118</v>
      </c>
      <c r="AQ1172" s="134" t="s">
        <v>118</v>
      </c>
      <c r="AR1172" s="134" t="s">
        <v>18</v>
      </c>
      <c r="AS1172" s="134" t="s">
        <v>18</v>
      </c>
      <c r="AT1172" s="189"/>
      <c r="AU1172" s="189"/>
      <c r="AV1172" s="189"/>
      <c r="AW1172" s="189"/>
      <c r="AX1172" s="189"/>
      <c r="AY1172" s="189"/>
      <c r="AZ1172" s="189"/>
      <c r="BA1172" s="189"/>
      <c r="BB1172" s="189"/>
      <c r="BC1172" s="189"/>
    </row>
    <row r="1173" spans="1:55" ht="15.75" customHeight="1" x14ac:dyDescent="0.25">
      <c r="A1173" s="128" t="e">
        <v>#VALUE!</v>
      </c>
      <c r="B1173" s="122" t="s">
        <v>12</v>
      </c>
      <c r="C1173" s="124"/>
      <c r="D1173" s="172"/>
      <c r="E1173" s="124"/>
      <c r="F1173" s="172"/>
      <c r="G1173" s="124"/>
      <c r="H1173" s="171"/>
      <c r="I1173" s="124"/>
      <c r="J1173" s="172"/>
      <c r="K1173" s="124"/>
      <c r="L1173" s="172" t="s">
        <v>169</v>
      </c>
      <c r="M1173" s="172"/>
      <c r="N1173" s="172" t="s">
        <v>170</v>
      </c>
      <c r="O1173" s="124"/>
      <c r="P1173" s="124"/>
      <c r="Q1173" s="172"/>
      <c r="R1173" s="124"/>
      <c r="S1173" s="172"/>
      <c r="T1173" s="124"/>
      <c r="U1173" s="124"/>
      <c r="V1173" s="124"/>
      <c r="W1173" s="172"/>
      <c r="X1173" s="124"/>
      <c r="Y1173" s="124"/>
      <c r="Z1173" s="172"/>
      <c r="AA1173" s="124"/>
      <c r="AB1173" s="124"/>
      <c r="AC1173" s="124"/>
      <c r="AD1173" s="172" t="s">
        <v>171</v>
      </c>
      <c r="AE1173" s="124"/>
      <c r="AF1173" s="124"/>
      <c r="AG1173" s="124"/>
      <c r="AH1173" s="172"/>
      <c r="AI1173" s="124"/>
      <c r="AJ1173" s="124"/>
      <c r="AK1173" s="172"/>
      <c r="AL1173" s="171"/>
      <c r="AM1173" s="124"/>
      <c r="AN1173" s="172"/>
      <c r="AO1173" s="124"/>
      <c r="AP1173" s="124"/>
      <c r="AQ1173" s="124"/>
      <c r="AR1173" s="124"/>
      <c r="AS1173" s="124"/>
      <c r="AT1173" s="161"/>
      <c r="AU1173" s="161"/>
      <c r="AV1173" s="161"/>
      <c r="AW1173" s="161"/>
      <c r="AX1173" s="161"/>
      <c r="AY1173" s="161"/>
      <c r="AZ1173" s="161"/>
      <c r="BA1173" s="161"/>
      <c r="BB1173" s="161"/>
      <c r="BC1173" s="161"/>
    </row>
    <row r="1174" spans="1:55" ht="15.75" customHeight="1" x14ac:dyDescent="0.25">
      <c r="A1174" s="128" t="e">
        <v>#VALUE!</v>
      </c>
      <c r="B1174" s="136" t="s">
        <v>13</v>
      </c>
      <c r="C1174" s="137"/>
      <c r="D1174" s="172"/>
      <c r="E1174" s="124"/>
      <c r="F1174" s="172"/>
      <c r="G1174" s="137">
        <v>0</v>
      </c>
      <c r="H1174" s="171" t="s">
        <v>18</v>
      </c>
      <c r="I1174" s="137" t="s">
        <v>18</v>
      </c>
      <c r="J1174" s="172" t="s">
        <v>18</v>
      </c>
      <c r="K1174" s="137" t="e">
        <v>#VALUE!</v>
      </c>
      <c r="L1174" s="172">
        <v>8</v>
      </c>
      <c r="M1174" s="172">
        <v>23</v>
      </c>
      <c r="N1174" s="172">
        <v>0</v>
      </c>
      <c r="O1174" s="137">
        <v>0</v>
      </c>
      <c r="P1174" s="137">
        <v>40</v>
      </c>
      <c r="Q1174" s="172">
        <v>0</v>
      </c>
      <c r="R1174" s="137">
        <v>40</v>
      </c>
      <c r="S1174" s="172">
        <v>0</v>
      </c>
      <c r="T1174" s="137">
        <v>0</v>
      </c>
      <c r="U1174" s="137">
        <v>0</v>
      </c>
      <c r="V1174" s="137">
        <v>26</v>
      </c>
      <c r="W1174" s="172">
        <v>0</v>
      </c>
      <c r="X1174" s="137">
        <v>0</v>
      </c>
      <c r="Y1174" s="137">
        <v>46</v>
      </c>
      <c r="Z1174" s="172">
        <v>0</v>
      </c>
      <c r="AA1174" s="137">
        <v>0</v>
      </c>
      <c r="AB1174" s="137">
        <v>0</v>
      </c>
      <c r="AC1174" s="137">
        <v>31</v>
      </c>
      <c r="AD1174" s="172">
        <v>0</v>
      </c>
      <c r="AE1174" s="137">
        <v>0</v>
      </c>
      <c r="AF1174" s="137">
        <v>0</v>
      </c>
      <c r="AG1174" s="137">
        <v>41</v>
      </c>
      <c r="AH1174" s="172">
        <v>0</v>
      </c>
      <c r="AI1174" s="137">
        <v>0</v>
      </c>
      <c r="AJ1174" s="137">
        <v>67</v>
      </c>
      <c r="AK1174" s="172">
        <v>2</v>
      </c>
      <c r="AL1174" s="171">
        <v>0</v>
      </c>
      <c r="AM1174" s="137">
        <v>16</v>
      </c>
      <c r="AN1174" s="172">
        <v>0</v>
      </c>
      <c r="AO1174" s="137">
        <v>0</v>
      </c>
      <c r="AP1174" s="137">
        <v>0</v>
      </c>
      <c r="AQ1174" s="137">
        <v>0</v>
      </c>
      <c r="AR1174" s="137" t="s">
        <v>18</v>
      </c>
      <c r="AS1174" s="137" t="s">
        <v>18</v>
      </c>
      <c r="AT1174" s="161"/>
      <c r="AU1174" s="161"/>
      <c r="AV1174" s="161"/>
      <c r="AW1174" s="161"/>
      <c r="AX1174" s="161"/>
      <c r="AY1174" s="161"/>
      <c r="AZ1174" s="161"/>
      <c r="BA1174" s="161"/>
      <c r="BB1174" s="161"/>
      <c r="BC1174" s="161"/>
    </row>
    <row r="1175" spans="1:55" ht="15.75" customHeight="1" x14ac:dyDescent="0.25">
      <c r="A1175" s="128" t="e">
        <v>#VALUE!</v>
      </c>
      <c r="B1175" s="136" t="s">
        <v>14</v>
      </c>
      <c r="C1175" s="137"/>
      <c r="D1175" s="172"/>
      <c r="E1175" s="124"/>
      <c r="F1175" s="172"/>
      <c r="G1175" s="137">
        <v>0</v>
      </c>
      <c r="H1175" s="171" t="s">
        <v>18</v>
      </c>
      <c r="I1175" s="137" t="s">
        <v>18</v>
      </c>
      <c r="J1175" s="172" t="s">
        <v>18</v>
      </c>
      <c r="K1175" s="137" t="e">
        <v>#VALUE!</v>
      </c>
      <c r="L1175" s="172">
        <v>1</v>
      </c>
      <c r="M1175" s="172">
        <v>1</v>
      </c>
      <c r="N1175" s="172">
        <v>0</v>
      </c>
      <c r="O1175" s="137">
        <v>0</v>
      </c>
      <c r="P1175" s="137">
        <v>0</v>
      </c>
      <c r="Q1175" s="172">
        <v>0</v>
      </c>
      <c r="R1175" s="137">
        <v>0</v>
      </c>
      <c r="S1175" s="172">
        <v>0</v>
      </c>
      <c r="T1175" s="137">
        <v>0</v>
      </c>
      <c r="U1175" s="137">
        <v>0</v>
      </c>
      <c r="V1175" s="137">
        <v>1</v>
      </c>
      <c r="W1175" s="172">
        <v>0</v>
      </c>
      <c r="X1175" s="137">
        <v>0</v>
      </c>
      <c r="Y1175" s="137">
        <v>1</v>
      </c>
      <c r="Z1175" s="172">
        <v>0</v>
      </c>
      <c r="AA1175" s="137">
        <v>0</v>
      </c>
      <c r="AB1175" s="137">
        <v>0</v>
      </c>
      <c r="AC1175" s="137">
        <v>2</v>
      </c>
      <c r="AD1175" s="172">
        <v>0</v>
      </c>
      <c r="AE1175" s="137">
        <v>0</v>
      </c>
      <c r="AF1175" s="137">
        <v>0</v>
      </c>
      <c r="AG1175" s="137">
        <v>0</v>
      </c>
      <c r="AH1175" s="172">
        <v>0</v>
      </c>
      <c r="AI1175" s="137">
        <v>0</v>
      </c>
      <c r="AJ1175" s="137">
        <v>0</v>
      </c>
      <c r="AK1175" s="172">
        <v>0</v>
      </c>
      <c r="AL1175" s="171">
        <v>0</v>
      </c>
      <c r="AM1175" s="137">
        <v>1</v>
      </c>
      <c r="AN1175" s="172">
        <v>0</v>
      </c>
      <c r="AO1175" s="137">
        <v>0</v>
      </c>
      <c r="AP1175" s="137">
        <v>0</v>
      </c>
      <c r="AQ1175" s="137">
        <v>0</v>
      </c>
      <c r="AR1175" s="137" t="s">
        <v>18</v>
      </c>
      <c r="AS1175" s="137" t="s">
        <v>18</v>
      </c>
      <c r="AT1175" s="161"/>
      <c r="AU1175" s="161"/>
      <c r="AV1175" s="161"/>
      <c r="AW1175" s="161"/>
      <c r="AX1175" s="161"/>
      <c r="AY1175" s="161"/>
      <c r="AZ1175" s="161"/>
      <c r="BA1175" s="161"/>
      <c r="BB1175" s="161"/>
      <c r="BC1175" s="161"/>
    </row>
    <row r="1176" spans="1:55" ht="15.75" customHeight="1" x14ac:dyDescent="0.25">
      <c r="A1176" s="128" t="e">
        <v>#VALUE!</v>
      </c>
      <c r="B1176" s="136" t="s">
        <v>15</v>
      </c>
      <c r="C1176" s="137"/>
      <c r="D1176" s="172"/>
      <c r="E1176" s="124"/>
      <c r="F1176" s="172"/>
      <c r="G1176" s="137">
        <v>0</v>
      </c>
      <c r="H1176" s="171" t="s">
        <v>18</v>
      </c>
      <c r="I1176" s="137" t="s">
        <v>18</v>
      </c>
      <c r="J1176" s="172" t="s">
        <v>18</v>
      </c>
      <c r="K1176" s="137" t="e">
        <v>#VALUE!</v>
      </c>
      <c r="L1176" s="172">
        <v>0</v>
      </c>
      <c r="M1176" s="172">
        <v>2</v>
      </c>
      <c r="N1176" s="172">
        <v>0</v>
      </c>
      <c r="O1176" s="137">
        <v>0</v>
      </c>
      <c r="P1176" s="137">
        <v>0</v>
      </c>
      <c r="Q1176" s="172">
        <v>0</v>
      </c>
      <c r="R1176" s="137">
        <v>0</v>
      </c>
      <c r="S1176" s="172">
        <v>0</v>
      </c>
      <c r="T1176" s="137">
        <v>0</v>
      </c>
      <c r="U1176" s="137">
        <v>0</v>
      </c>
      <c r="V1176" s="137">
        <v>0</v>
      </c>
      <c r="W1176" s="172">
        <v>0</v>
      </c>
      <c r="X1176" s="137">
        <v>0</v>
      </c>
      <c r="Y1176" s="137">
        <v>0</v>
      </c>
      <c r="Z1176" s="172">
        <v>0</v>
      </c>
      <c r="AA1176" s="137">
        <v>0</v>
      </c>
      <c r="AB1176" s="137">
        <v>0</v>
      </c>
      <c r="AC1176" s="137">
        <v>0</v>
      </c>
      <c r="AD1176" s="172">
        <v>0</v>
      </c>
      <c r="AE1176" s="137">
        <v>0</v>
      </c>
      <c r="AF1176" s="137">
        <v>0</v>
      </c>
      <c r="AG1176" s="137">
        <v>0</v>
      </c>
      <c r="AH1176" s="172">
        <v>0</v>
      </c>
      <c r="AI1176" s="137">
        <v>0</v>
      </c>
      <c r="AJ1176" s="137">
        <v>0</v>
      </c>
      <c r="AK1176" s="172">
        <v>0</v>
      </c>
      <c r="AL1176" s="171">
        <v>0</v>
      </c>
      <c r="AM1176" s="137">
        <v>1</v>
      </c>
      <c r="AN1176" s="172">
        <v>0</v>
      </c>
      <c r="AO1176" s="137">
        <v>0</v>
      </c>
      <c r="AP1176" s="137">
        <v>0</v>
      </c>
      <c r="AQ1176" s="137">
        <v>0</v>
      </c>
      <c r="AR1176" s="137" t="s">
        <v>18</v>
      </c>
      <c r="AS1176" s="137" t="s">
        <v>18</v>
      </c>
      <c r="AT1176" s="161"/>
      <c r="AU1176" s="161"/>
      <c r="AV1176" s="161"/>
      <c r="AW1176" s="161"/>
      <c r="AX1176" s="161"/>
      <c r="AY1176" s="161"/>
      <c r="AZ1176" s="161"/>
      <c r="BA1176" s="161"/>
      <c r="BB1176" s="161"/>
      <c r="BC1176" s="161"/>
    </row>
    <row r="1177" spans="1:55" ht="15.75" customHeight="1" x14ac:dyDescent="0.25">
      <c r="A1177" s="128" t="e">
        <v>#VALUE!</v>
      </c>
      <c r="B1177" s="136" t="s">
        <v>16</v>
      </c>
      <c r="C1177" s="137"/>
      <c r="D1177" s="172"/>
      <c r="E1177" s="124"/>
      <c r="F1177" s="172"/>
      <c r="G1177" s="137">
        <v>0</v>
      </c>
      <c r="H1177" s="171" t="s">
        <v>18</v>
      </c>
      <c r="I1177" s="137" t="s">
        <v>18</v>
      </c>
      <c r="J1177" s="172" t="s">
        <v>18</v>
      </c>
      <c r="K1177" s="137" t="e">
        <v>#VALUE!</v>
      </c>
      <c r="L1177" s="172">
        <v>0</v>
      </c>
      <c r="M1177" s="172">
        <v>1760</v>
      </c>
      <c r="N1177" s="172">
        <v>0</v>
      </c>
      <c r="O1177" s="137">
        <v>0</v>
      </c>
      <c r="P1177" s="137">
        <v>0</v>
      </c>
      <c r="Q1177" s="172">
        <v>0</v>
      </c>
      <c r="R1177" s="137">
        <v>0</v>
      </c>
      <c r="S1177" s="172">
        <v>0</v>
      </c>
      <c r="T1177" s="137">
        <v>0</v>
      </c>
      <c r="U1177" s="137">
        <v>0</v>
      </c>
      <c r="V1177" s="137">
        <v>0</v>
      </c>
      <c r="W1177" s="172">
        <v>0</v>
      </c>
      <c r="X1177" s="137">
        <v>0</v>
      </c>
      <c r="Y1177" s="137">
        <v>0</v>
      </c>
      <c r="Z1177" s="172">
        <v>0</v>
      </c>
      <c r="AA1177" s="137">
        <v>0</v>
      </c>
      <c r="AB1177" s="137">
        <v>0</v>
      </c>
      <c r="AC1177" s="137">
        <v>0</v>
      </c>
      <c r="AD1177" s="172">
        <v>0</v>
      </c>
      <c r="AE1177" s="137">
        <v>0</v>
      </c>
      <c r="AF1177" s="137">
        <v>0</v>
      </c>
      <c r="AG1177" s="137">
        <v>0</v>
      </c>
      <c r="AH1177" s="172">
        <v>0</v>
      </c>
      <c r="AI1177" s="137">
        <v>0</v>
      </c>
      <c r="AJ1177" s="137">
        <v>0</v>
      </c>
      <c r="AK1177" s="172">
        <v>0</v>
      </c>
      <c r="AL1177" s="171">
        <v>0</v>
      </c>
      <c r="AM1177" s="137">
        <v>880</v>
      </c>
      <c r="AN1177" s="172">
        <v>0</v>
      </c>
      <c r="AO1177" s="137">
        <v>0</v>
      </c>
      <c r="AP1177" s="137">
        <v>0</v>
      </c>
      <c r="AQ1177" s="137">
        <v>0</v>
      </c>
      <c r="AR1177" s="137" t="s">
        <v>18</v>
      </c>
      <c r="AS1177" s="137" t="s">
        <v>18</v>
      </c>
      <c r="AT1177" s="161"/>
      <c r="AU1177" s="161"/>
      <c r="AV1177" s="161"/>
      <c r="AW1177" s="161"/>
      <c r="AX1177" s="161"/>
      <c r="AY1177" s="161"/>
      <c r="AZ1177" s="161"/>
      <c r="BA1177" s="161"/>
      <c r="BB1177" s="161"/>
      <c r="BC1177" s="161"/>
    </row>
    <row r="1178" spans="1:55" ht="15.75" customHeight="1" x14ac:dyDescent="0.25">
      <c r="A1178" s="138" t="e">
        <v>#VALUE!</v>
      </c>
      <c r="B1178" s="136" t="s">
        <v>17</v>
      </c>
      <c r="C1178" s="147"/>
      <c r="D1178" s="184"/>
      <c r="E1178" s="193"/>
      <c r="F1178" s="184"/>
      <c r="G1178" s="147" t="s">
        <v>18</v>
      </c>
      <c r="H1178" s="183" t="s">
        <v>18</v>
      </c>
      <c r="I1178" s="147" t="s">
        <v>18</v>
      </c>
      <c r="J1178" s="184" t="s">
        <v>18</v>
      </c>
      <c r="K1178" s="147" t="e">
        <v>#VALUE!</v>
      </c>
      <c r="L1178" s="184" t="s">
        <v>18</v>
      </c>
      <c r="M1178" s="184">
        <v>0.76521739130434785</v>
      </c>
      <c r="N1178" s="184" t="s">
        <v>18</v>
      </c>
      <c r="O1178" s="147" t="s">
        <v>18</v>
      </c>
      <c r="P1178" s="147" t="s">
        <v>18</v>
      </c>
      <c r="Q1178" s="184" t="s">
        <v>18</v>
      </c>
      <c r="R1178" s="147" t="s">
        <v>18</v>
      </c>
      <c r="S1178" s="184" t="s">
        <v>18</v>
      </c>
      <c r="T1178" s="147" t="s">
        <v>18</v>
      </c>
      <c r="U1178" s="147" t="s">
        <v>18</v>
      </c>
      <c r="V1178" s="147" t="s">
        <v>18</v>
      </c>
      <c r="W1178" s="184" t="s">
        <v>18</v>
      </c>
      <c r="X1178" s="147" t="s">
        <v>18</v>
      </c>
      <c r="Y1178" s="147" t="s">
        <v>18</v>
      </c>
      <c r="Z1178" s="184" t="s">
        <v>18</v>
      </c>
      <c r="AA1178" s="147" t="s">
        <v>18</v>
      </c>
      <c r="AB1178" s="147" t="s">
        <v>18</v>
      </c>
      <c r="AC1178" s="147" t="s">
        <v>18</v>
      </c>
      <c r="AD1178" s="184" t="s">
        <v>18</v>
      </c>
      <c r="AE1178" s="147" t="s">
        <v>18</v>
      </c>
      <c r="AF1178" s="147" t="s">
        <v>18</v>
      </c>
      <c r="AG1178" s="147" t="s">
        <v>18</v>
      </c>
      <c r="AH1178" s="184" t="s">
        <v>18</v>
      </c>
      <c r="AI1178" s="147" t="s">
        <v>18</v>
      </c>
      <c r="AJ1178" s="147" t="s">
        <v>18</v>
      </c>
      <c r="AK1178" s="184" t="s">
        <v>18</v>
      </c>
      <c r="AL1178" s="183" t="s">
        <v>18</v>
      </c>
      <c r="AM1178" s="147">
        <v>0.55000000000000004</v>
      </c>
      <c r="AN1178" s="184" t="s">
        <v>18</v>
      </c>
      <c r="AO1178" s="147" t="s">
        <v>18</v>
      </c>
      <c r="AP1178" s="147" t="s">
        <v>18</v>
      </c>
      <c r="AQ1178" s="147" t="s">
        <v>18</v>
      </c>
      <c r="AR1178" s="147" t="s">
        <v>18</v>
      </c>
      <c r="AS1178" s="147" t="s">
        <v>18</v>
      </c>
      <c r="AT1178" s="161"/>
      <c r="AU1178" s="161"/>
      <c r="AV1178" s="161"/>
      <c r="AW1178" s="161"/>
      <c r="AX1178" s="161"/>
      <c r="AY1178" s="161"/>
      <c r="AZ1178" s="161"/>
      <c r="BA1178" s="161"/>
      <c r="BB1178" s="161"/>
      <c r="BC1178" s="161"/>
    </row>
    <row r="1179" spans="1:55" ht="15.75" customHeight="1" x14ac:dyDescent="0.25">
      <c r="A1179" s="149" t="s">
        <v>1</v>
      </c>
      <c r="B1179" s="150" t="s">
        <v>2</v>
      </c>
      <c r="C1179" s="130"/>
      <c r="D1179" s="175"/>
      <c r="E1179" s="130"/>
      <c r="F1179" s="175"/>
      <c r="G1179" s="130">
        <v>8031</v>
      </c>
      <c r="H1179" s="174" t="s">
        <v>18</v>
      </c>
      <c r="I1179" s="130" t="s">
        <v>18</v>
      </c>
      <c r="J1179" s="175" t="s">
        <v>18</v>
      </c>
      <c r="K1179" s="130">
        <v>8081</v>
      </c>
      <c r="L1179" s="175">
        <v>8085</v>
      </c>
      <c r="M1179" s="175">
        <v>8090</v>
      </c>
      <c r="N1179" s="175">
        <v>8090</v>
      </c>
      <c r="O1179" s="130">
        <v>8090</v>
      </c>
      <c r="P1179" s="130">
        <v>8097</v>
      </c>
      <c r="Q1179" s="175">
        <v>8097</v>
      </c>
      <c r="R1179" s="130">
        <v>8118</v>
      </c>
      <c r="S1179" s="175">
        <v>8118</v>
      </c>
      <c r="T1179" s="130">
        <v>8118</v>
      </c>
      <c r="U1179" s="130">
        <v>8118</v>
      </c>
      <c r="V1179" s="130">
        <v>8171</v>
      </c>
      <c r="W1179" s="175">
        <v>8171</v>
      </c>
      <c r="X1179" s="130">
        <v>8171</v>
      </c>
      <c r="Y1179" s="130">
        <v>8252</v>
      </c>
      <c r="Z1179" s="175">
        <v>8252</v>
      </c>
      <c r="AA1179" s="130">
        <v>8252</v>
      </c>
      <c r="AB1179" s="130">
        <v>8252</v>
      </c>
      <c r="AC1179" s="130">
        <v>8286</v>
      </c>
      <c r="AD1179" s="175">
        <v>8286</v>
      </c>
      <c r="AE1179" s="130">
        <v>8286</v>
      </c>
      <c r="AF1179" s="130">
        <v>8286</v>
      </c>
      <c r="AG1179" s="130">
        <v>8346</v>
      </c>
      <c r="AH1179" s="175">
        <v>8346</v>
      </c>
      <c r="AI1179" s="130">
        <v>8346</v>
      </c>
      <c r="AJ1179" s="130">
        <v>8374</v>
      </c>
      <c r="AK1179" s="175">
        <v>8385</v>
      </c>
      <c r="AL1179" s="174">
        <v>8385</v>
      </c>
      <c r="AM1179" s="130">
        <v>8424</v>
      </c>
      <c r="AN1179" s="175">
        <v>8424</v>
      </c>
      <c r="AO1179" s="130">
        <v>8424</v>
      </c>
      <c r="AP1179" s="130">
        <v>8424</v>
      </c>
      <c r="AQ1179" s="130">
        <v>8424</v>
      </c>
      <c r="AR1179" s="130" t="s">
        <v>18</v>
      </c>
      <c r="AS1179" s="130" t="s">
        <v>18</v>
      </c>
      <c r="AT1179" s="161"/>
      <c r="AU1179" s="161"/>
      <c r="AV1179" s="161"/>
      <c r="AW1179" s="161"/>
      <c r="AX1179" s="161"/>
      <c r="AY1179" s="161"/>
      <c r="AZ1179" s="161"/>
      <c r="BA1179" s="161"/>
      <c r="BB1179" s="161"/>
      <c r="BC1179" s="161"/>
    </row>
    <row r="1180" spans="1:55" ht="15.75" customHeight="1" x14ac:dyDescent="0.25">
      <c r="A1180" s="121" t="s">
        <v>40</v>
      </c>
      <c r="B1180" s="122" t="s">
        <v>4</v>
      </c>
      <c r="C1180" s="124"/>
      <c r="D1180" s="172"/>
      <c r="E1180" s="124"/>
      <c r="F1180" s="172"/>
      <c r="G1180" s="124">
        <v>77</v>
      </c>
      <c r="H1180" s="171" t="s">
        <v>18</v>
      </c>
      <c r="I1180" s="124" t="s">
        <v>18</v>
      </c>
      <c r="J1180" s="172" t="s">
        <v>18</v>
      </c>
      <c r="K1180" s="124">
        <v>78</v>
      </c>
      <c r="L1180" s="172">
        <v>78</v>
      </c>
      <c r="M1180" s="172">
        <v>78</v>
      </c>
      <c r="N1180" s="172">
        <v>78</v>
      </c>
      <c r="O1180" s="124">
        <v>78</v>
      </c>
      <c r="P1180" s="124">
        <v>78</v>
      </c>
      <c r="Q1180" s="172">
        <v>78</v>
      </c>
      <c r="R1180" s="124">
        <v>80</v>
      </c>
      <c r="S1180" s="172">
        <v>80</v>
      </c>
      <c r="T1180" s="124">
        <v>80</v>
      </c>
      <c r="U1180" s="124">
        <v>80</v>
      </c>
      <c r="V1180" s="124">
        <v>89</v>
      </c>
      <c r="W1180" s="172">
        <v>89</v>
      </c>
      <c r="X1180" s="124">
        <v>89</v>
      </c>
      <c r="Y1180" s="124">
        <v>90</v>
      </c>
      <c r="Z1180" s="172">
        <v>90</v>
      </c>
      <c r="AA1180" s="124">
        <v>90</v>
      </c>
      <c r="AB1180" s="124">
        <v>90</v>
      </c>
      <c r="AC1180" s="124">
        <v>90</v>
      </c>
      <c r="AD1180" s="172">
        <v>90</v>
      </c>
      <c r="AE1180" s="124">
        <v>90</v>
      </c>
      <c r="AF1180" s="124">
        <v>90</v>
      </c>
      <c r="AG1180" s="124">
        <v>91</v>
      </c>
      <c r="AH1180" s="172">
        <v>91</v>
      </c>
      <c r="AI1180" s="124">
        <v>91</v>
      </c>
      <c r="AJ1180" s="124">
        <v>91</v>
      </c>
      <c r="AK1180" s="172">
        <v>91</v>
      </c>
      <c r="AL1180" s="171">
        <v>91</v>
      </c>
      <c r="AM1180" s="124">
        <v>91</v>
      </c>
      <c r="AN1180" s="172">
        <v>91</v>
      </c>
      <c r="AO1180" s="124">
        <v>91</v>
      </c>
      <c r="AP1180" s="124">
        <v>91</v>
      </c>
      <c r="AQ1180" s="124">
        <v>91</v>
      </c>
      <c r="AR1180" s="124" t="s">
        <v>18</v>
      </c>
      <c r="AS1180" s="124" t="s">
        <v>18</v>
      </c>
      <c r="AT1180" s="161"/>
      <c r="AU1180" s="161"/>
      <c r="AV1180" s="161"/>
      <c r="AW1180" s="161"/>
      <c r="AX1180" s="161"/>
      <c r="AY1180" s="161"/>
      <c r="AZ1180" s="161"/>
      <c r="BA1180" s="161"/>
      <c r="BB1180" s="161"/>
      <c r="BC1180" s="161"/>
    </row>
    <row r="1181" spans="1:55" ht="15.75" customHeight="1" x14ac:dyDescent="0.25">
      <c r="A1181" s="143">
        <v>2</v>
      </c>
      <c r="B1181" s="122" t="s">
        <v>5</v>
      </c>
      <c r="C1181" s="124"/>
      <c r="D1181" s="172"/>
      <c r="E1181" s="124"/>
      <c r="F1181" s="172"/>
      <c r="G1181" s="124">
        <v>18</v>
      </c>
      <c r="H1181" s="171" t="s">
        <v>18</v>
      </c>
      <c r="I1181" s="124" t="s">
        <v>18</v>
      </c>
      <c r="J1181" s="172" t="s">
        <v>18</v>
      </c>
      <c r="K1181" s="124">
        <v>10</v>
      </c>
      <c r="L1181" s="172">
        <v>10</v>
      </c>
      <c r="M1181" s="172">
        <v>10</v>
      </c>
      <c r="N1181" s="172">
        <v>10</v>
      </c>
      <c r="O1181" s="124">
        <v>10</v>
      </c>
      <c r="P1181" s="124">
        <v>10</v>
      </c>
      <c r="Q1181" s="172">
        <v>7</v>
      </c>
      <c r="R1181" s="124">
        <v>6</v>
      </c>
      <c r="S1181" s="172">
        <v>8</v>
      </c>
      <c r="T1181" s="124">
        <v>8</v>
      </c>
      <c r="U1181" s="124">
        <v>8</v>
      </c>
      <c r="V1181" s="124">
        <v>8</v>
      </c>
      <c r="W1181" s="172">
        <v>9</v>
      </c>
      <c r="X1181" s="124">
        <v>9</v>
      </c>
      <c r="Y1181" s="124">
        <v>8</v>
      </c>
      <c r="Z1181" s="172">
        <v>10</v>
      </c>
      <c r="AA1181" s="124">
        <v>10</v>
      </c>
      <c r="AB1181" s="124">
        <v>10</v>
      </c>
      <c r="AC1181" s="124">
        <v>10</v>
      </c>
      <c r="AD1181" s="172">
        <v>10</v>
      </c>
      <c r="AE1181" s="124">
        <v>10</v>
      </c>
      <c r="AF1181" s="124">
        <v>10</v>
      </c>
      <c r="AG1181" s="124">
        <v>9</v>
      </c>
      <c r="AH1181" s="172">
        <v>9</v>
      </c>
      <c r="AI1181" s="124">
        <v>9</v>
      </c>
      <c r="AJ1181" s="124">
        <v>9</v>
      </c>
      <c r="AK1181" s="172">
        <v>9</v>
      </c>
      <c r="AL1181" s="171">
        <v>9</v>
      </c>
      <c r="AM1181" s="124">
        <v>9</v>
      </c>
      <c r="AN1181" s="172">
        <v>9</v>
      </c>
      <c r="AO1181" s="124">
        <v>9</v>
      </c>
      <c r="AP1181" s="124">
        <v>9</v>
      </c>
      <c r="AQ1181" s="124">
        <v>9</v>
      </c>
      <c r="AR1181" s="124" t="s">
        <v>18</v>
      </c>
      <c r="AS1181" s="124" t="s">
        <v>18</v>
      </c>
      <c r="AT1181" s="161"/>
      <c r="AU1181" s="161"/>
      <c r="AV1181" s="161"/>
      <c r="AW1181" s="161"/>
      <c r="AX1181" s="161"/>
      <c r="AY1181" s="161"/>
      <c r="AZ1181" s="161"/>
      <c r="BA1181" s="161"/>
      <c r="BB1181" s="161"/>
      <c r="BC1181" s="161"/>
    </row>
    <row r="1182" spans="1:55" ht="15.75" customHeight="1" x14ac:dyDescent="0.25">
      <c r="A1182" s="127"/>
      <c r="B1182" s="122" t="s">
        <v>6</v>
      </c>
      <c r="C1182" s="124"/>
      <c r="D1182" s="172"/>
      <c r="E1182" s="124"/>
      <c r="F1182" s="172"/>
      <c r="G1182" s="124"/>
      <c r="H1182" s="171"/>
      <c r="I1182" s="124">
        <v>-8</v>
      </c>
      <c r="J1182" s="172"/>
      <c r="K1182" s="124"/>
      <c r="L1182" s="172"/>
      <c r="M1182" s="172"/>
      <c r="N1182" s="172"/>
      <c r="O1182" s="124"/>
      <c r="P1182" s="124">
        <v>-3</v>
      </c>
      <c r="Q1182" s="172"/>
      <c r="R1182" s="124">
        <v>2</v>
      </c>
      <c r="S1182" s="172"/>
      <c r="T1182" s="124"/>
      <c r="U1182" s="124"/>
      <c r="V1182" s="124">
        <v>1</v>
      </c>
      <c r="W1182" s="172"/>
      <c r="X1182" s="124"/>
      <c r="Y1182" s="124">
        <v>2</v>
      </c>
      <c r="Z1182" s="172"/>
      <c r="AA1182" s="124"/>
      <c r="AB1182" s="124"/>
      <c r="AC1182" s="124"/>
      <c r="AD1182" s="172"/>
      <c r="AE1182" s="124"/>
      <c r="AF1182" s="124"/>
      <c r="AG1182" s="124"/>
      <c r="AH1182" s="172"/>
      <c r="AI1182" s="124"/>
      <c r="AJ1182" s="124"/>
      <c r="AK1182" s="172"/>
      <c r="AL1182" s="171"/>
      <c r="AM1182" s="124"/>
      <c r="AN1182" s="172"/>
      <c r="AO1182" s="124"/>
      <c r="AP1182" s="124"/>
      <c r="AQ1182" s="124"/>
      <c r="AR1182" s="124"/>
      <c r="AS1182" s="124"/>
      <c r="AT1182" s="161"/>
      <c r="AU1182" s="161"/>
      <c r="AV1182" s="161"/>
      <c r="AW1182" s="161"/>
      <c r="AX1182" s="161"/>
      <c r="AY1182" s="161"/>
      <c r="AZ1182" s="161"/>
      <c r="BA1182" s="161"/>
      <c r="BB1182" s="161"/>
      <c r="BC1182" s="161"/>
    </row>
    <row r="1183" spans="1:55" ht="15.75" customHeight="1" x14ac:dyDescent="0.25">
      <c r="A1183" s="128"/>
      <c r="B1183" s="122" t="s">
        <v>8</v>
      </c>
      <c r="C1183" s="130"/>
      <c r="D1183" s="175"/>
      <c r="E1183" s="130"/>
      <c r="F1183" s="175"/>
      <c r="G1183" s="130">
        <v>1100</v>
      </c>
      <c r="H1183" s="174" t="s">
        <v>18</v>
      </c>
      <c r="I1183" s="130" t="s">
        <v>18</v>
      </c>
      <c r="J1183" s="175" t="s">
        <v>18</v>
      </c>
      <c r="K1183" s="130" t="s">
        <v>18</v>
      </c>
      <c r="L1183" s="175" t="s">
        <v>18</v>
      </c>
      <c r="M1183" s="175" t="s">
        <v>18</v>
      </c>
      <c r="N1183" s="175" t="s">
        <v>18</v>
      </c>
      <c r="O1183" s="130" t="s">
        <v>18</v>
      </c>
      <c r="P1183" s="130" t="s">
        <v>18</v>
      </c>
      <c r="Q1183" s="175">
        <v>880</v>
      </c>
      <c r="R1183" s="130">
        <v>880</v>
      </c>
      <c r="S1183" s="175">
        <v>700</v>
      </c>
      <c r="T1183" s="130">
        <v>700</v>
      </c>
      <c r="U1183" s="130">
        <v>700</v>
      </c>
      <c r="V1183" s="130">
        <v>700</v>
      </c>
      <c r="W1183" s="175">
        <v>1000</v>
      </c>
      <c r="X1183" s="130">
        <v>1000</v>
      </c>
      <c r="Y1183" s="130">
        <v>1000</v>
      </c>
      <c r="Z1183" s="175">
        <v>1000</v>
      </c>
      <c r="AA1183" s="130">
        <v>1000</v>
      </c>
      <c r="AB1183" s="130">
        <v>1000</v>
      </c>
      <c r="AC1183" s="130">
        <v>1000</v>
      </c>
      <c r="AD1183" s="175">
        <v>1000</v>
      </c>
      <c r="AE1183" s="130">
        <v>1000</v>
      </c>
      <c r="AF1183" s="130">
        <v>1000</v>
      </c>
      <c r="AG1183" s="130">
        <v>1000</v>
      </c>
      <c r="AH1183" s="175">
        <v>1000</v>
      </c>
      <c r="AI1183" s="130">
        <v>1000</v>
      </c>
      <c r="AJ1183" s="130">
        <v>1000</v>
      </c>
      <c r="AK1183" s="175">
        <v>1000</v>
      </c>
      <c r="AL1183" s="174">
        <v>1000</v>
      </c>
      <c r="AM1183" s="130">
        <v>1000</v>
      </c>
      <c r="AN1183" s="175">
        <v>1000</v>
      </c>
      <c r="AO1183" s="130">
        <v>1000</v>
      </c>
      <c r="AP1183" s="130">
        <v>1000</v>
      </c>
      <c r="AQ1183" s="130">
        <v>1000</v>
      </c>
      <c r="AR1183" s="130" t="s">
        <v>18</v>
      </c>
      <c r="AS1183" s="130" t="s">
        <v>18</v>
      </c>
      <c r="AT1183" s="161"/>
      <c r="AU1183" s="161"/>
      <c r="AV1183" s="161"/>
      <c r="AW1183" s="161"/>
      <c r="AX1183" s="161"/>
      <c r="AY1183" s="161"/>
      <c r="AZ1183" s="161"/>
      <c r="BA1183" s="161"/>
      <c r="BB1183" s="161"/>
      <c r="BC1183" s="161"/>
    </row>
    <row r="1184" spans="1:55" ht="15.75" customHeight="1" x14ac:dyDescent="0.25">
      <c r="A1184" s="127" t="s">
        <v>9</v>
      </c>
      <c r="B1184" s="132" t="s">
        <v>10</v>
      </c>
      <c r="C1184" s="134"/>
      <c r="D1184" s="178"/>
      <c r="E1184" s="134"/>
      <c r="F1184" s="178"/>
      <c r="G1184" s="134" t="s">
        <v>172</v>
      </c>
      <c r="H1184" s="177" t="s">
        <v>18</v>
      </c>
      <c r="I1184" s="134" t="s">
        <v>18</v>
      </c>
      <c r="J1184" s="178" t="s">
        <v>173</v>
      </c>
      <c r="K1184" s="134" t="s">
        <v>173</v>
      </c>
      <c r="L1184" s="178" t="s">
        <v>173</v>
      </c>
      <c r="M1184" s="178" t="s">
        <v>173</v>
      </c>
      <c r="N1184" s="178" t="s">
        <v>173</v>
      </c>
      <c r="O1184" s="134" t="s">
        <v>173</v>
      </c>
      <c r="P1184" s="134" t="s">
        <v>173</v>
      </c>
      <c r="Q1184" s="178" t="s">
        <v>174</v>
      </c>
      <c r="R1184" s="134" t="s">
        <v>174</v>
      </c>
      <c r="S1184" s="178" t="s">
        <v>175</v>
      </c>
      <c r="T1184" s="134" t="s">
        <v>175</v>
      </c>
      <c r="U1184" s="134" t="s">
        <v>175</v>
      </c>
      <c r="V1184" s="134" t="s">
        <v>175</v>
      </c>
      <c r="W1184" s="178" t="s">
        <v>176</v>
      </c>
      <c r="X1184" s="134" t="s">
        <v>176</v>
      </c>
      <c r="Y1184" s="134" t="s">
        <v>176</v>
      </c>
      <c r="Z1184" s="178" t="s">
        <v>176</v>
      </c>
      <c r="AA1184" s="134" t="s">
        <v>176</v>
      </c>
      <c r="AB1184" s="134" t="s">
        <v>176</v>
      </c>
      <c r="AC1184" s="134" t="s">
        <v>176</v>
      </c>
      <c r="AD1184" s="178" t="s">
        <v>176</v>
      </c>
      <c r="AE1184" s="134" t="s">
        <v>176</v>
      </c>
      <c r="AF1184" s="134" t="s">
        <v>176</v>
      </c>
      <c r="AG1184" s="134" t="s">
        <v>176</v>
      </c>
      <c r="AH1184" s="178" t="s">
        <v>176</v>
      </c>
      <c r="AI1184" s="134" t="s">
        <v>176</v>
      </c>
      <c r="AJ1184" s="134" t="s">
        <v>176</v>
      </c>
      <c r="AK1184" s="178" t="s">
        <v>176</v>
      </c>
      <c r="AL1184" s="177" t="s">
        <v>176</v>
      </c>
      <c r="AM1184" s="134" t="s">
        <v>176</v>
      </c>
      <c r="AN1184" s="178" t="s">
        <v>176</v>
      </c>
      <c r="AO1184" s="134" t="s">
        <v>176</v>
      </c>
      <c r="AP1184" s="134" t="s">
        <v>176</v>
      </c>
      <c r="AQ1184" s="134" t="s">
        <v>176</v>
      </c>
      <c r="AR1184" s="134" t="s">
        <v>18</v>
      </c>
      <c r="AS1184" s="134" t="s">
        <v>18</v>
      </c>
      <c r="AT1184" s="189"/>
      <c r="AU1184" s="189"/>
      <c r="AV1184" s="189"/>
      <c r="AW1184" s="189"/>
      <c r="AX1184" s="189"/>
      <c r="AY1184" s="189"/>
      <c r="AZ1184" s="189"/>
      <c r="BA1184" s="189"/>
      <c r="BB1184" s="189"/>
      <c r="BC1184" s="189"/>
    </row>
    <row r="1185" spans="1:55" ht="15.75" customHeight="1" x14ac:dyDescent="0.25">
      <c r="A1185" s="128" t="e">
        <v>#VALUE!</v>
      </c>
      <c r="B1185" s="122" t="s">
        <v>12</v>
      </c>
      <c r="C1185" s="124"/>
      <c r="D1185" s="172"/>
      <c r="E1185" s="124"/>
      <c r="F1185" s="172"/>
      <c r="G1185" s="124"/>
      <c r="H1185" s="171"/>
      <c r="I1185" s="124"/>
      <c r="J1185" s="172"/>
      <c r="K1185" s="124"/>
      <c r="L1185" s="172"/>
      <c r="M1185" s="172"/>
      <c r="N1185" s="172"/>
      <c r="O1185" s="124"/>
      <c r="P1185" s="124"/>
      <c r="Q1185" s="172" t="s">
        <v>164</v>
      </c>
      <c r="R1185" s="124"/>
      <c r="S1185" s="172" t="s">
        <v>177</v>
      </c>
      <c r="T1185" s="124"/>
      <c r="U1185" s="124"/>
      <c r="V1185" s="124"/>
      <c r="W1185" s="172" t="s">
        <v>136</v>
      </c>
      <c r="X1185" s="124"/>
      <c r="Y1185" s="124"/>
      <c r="Z1185" s="172"/>
      <c r="AA1185" s="124"/>
      <c r="AB1185" s="124"/>
      <c r="AC1185" s="124"/>
      <c r="AD1185" s="172"/>
      <c r="AE1185" s="124"/>
      <c r="AF1185" s="124"/>
      <c r="AG1185" s="124"/>
      <c r="AH1185" s="172"/>
      <c r="AI1185" s="124"/>
      <c r="AJ1185" s="124"/>
      <c r="AK1185" s="172"/>
      <c r="AL1185" s="171"/>
      <c r="AM1185" s="124"/>
      <c r="AN1185" s="172"/>
      <c r="AO1185" s="124"/>
      <c r="AP1185" s="124"/>
      <c r="AQ1185" s="124"/>
      <c r="AR1185" s="124"/>
      <c r="AS1185" s="124"/>
      <c r="AT1185" s="161"/>
      <c r="AU1185" s="161"/>
      <c r="AV1185" s="161"/>
      <c r="AW1185" s="161"/>
      <c r="AX1185" s="161"/>
      <c r="AY1185" s="161"/>
      <c r="AZ1185" s="161"/>
      <c r="BA1185" s="161"/>
      <c r="BB1185" s="161"/>
      <c r="BC1185" s="161"/>
    </row>
    <row r="1186" spans="1:55" ht="15.75" customHeight="1" x14ac:dyDescent="0.25">
      <c r="A1186" s="128" t="e">
        <v>#VALUE!</v>
      </c>
      <c r="B1186" s="136" t="s">
        <v>13</v>
      </c>
      <c r="C1186" s="137"/>
      <c r="D1186" s="172"/>
      <c r="E1186" s="124"/>
      <c r="F1186" s="172"/>
      <c r="G1186" s="137">
        <v>0</v>
      </c>
      <c r="H1186" s="171" t="s">
        <v>18</v>
      </c>
      <c r="I1186" s="137" t="s">
        <v>18</v>
      </c>
      <c r="J1186" s="172" t="s">
        <v>18</v>
      </c>
      <c r="K1186" s="137" t="e">
        <v>#VALUE!</v>
      </c>
      <c r="L1186" s="172">
        <v>4</v>
      </c>
      <c r="M1186" s="172">
        <v>5</v>
      </c>
      <c r="N1186" s="172">
        <v>0</v>
      </c>
      <c r="O1186" s="137">
        <v>0</v>
      </c>
      <c r="P1186" s="137">
        <v>7</v>
      </c>
      <c r="Q1186" s="172">
        <v>0</v>
      </c>
      <c r="R1186" s="137">
        <v>21</v>
      </c>
      <c r="S1186" s="172">
        <v>0</v>
      </c>
      <c r="T1186" s="137">
        <v>0</v>
      </c>
      <c r="U1186" s="137">
        <v>0</v>
      </c>
      <c r="V1186" s="137">
        <v>53</v>
      </c>
      <c r="W1186" s="172">
        <v>0</v>
      </c>
      <c r="X1186" s="137">
        <v>0</v>
      </c>
      <c r="Y1186" s="137">
        <v>81</v>
      </c>
      <c r="Z1186" s="172">
        <v>0</v>
      </c>
      <c r="AA1186" s="137">
        <v>0</v>
      </c>
      <c r="AB1186" s="137">
        <v>0</v>
      </c>
      <c r="AC1186" s="137">
        <v>34</v>
      </c>
      <c r="AD1186" s="172">
        <v>0</v>
      </c>
      <c r="AE1186" s="137">
        <v>0</v>
      </c>
      <c r="AF1186" s="137">
        <v>0</v>
      </c>
      <c r="AG1186" s="137">
        <v>60</v>
      </c>
      <c r="AH1186" s="172">
        <v>0</v>
      </c>
      <c r="AI1186" s="137">
        <v>0</v>
      </c>
      <c r="AJ1186" s="137">
        <v>28</v>
      </c>
      <c r="AK1186" s="172">
        <v>11</v>
      </c>
      <c r="AL1186" s="171">
        <v>0</v>
      </c>
      <c r="AM1186" s="137">
        <v>39</v>
      </c>
      <c r="AN1186" s="172">
        <v>0</v>
      </c>
      <c r="AO1186" s="137">
        <v>0</v>
      </c>
      <c r="AP1186" s="137">
        <v>0</v>
      </c>
      <c r="AQ1186" s="137">
        <v>0</v>
      </c>
      <c r="AR1186" s="137" t="s">
        <v>18</v>
      </c>
      <c r="AS1186" s="137" t="s">
        <v>18</v>
      </c>
      <c r="AT1186" s="161"/>
      <c r="AU1186" s="161"/>
      <c r="AV1186" s="161"/>
      <c r="AW1186" s="161"/>
      <c r="AX1186" s="161"/>
      <c r="AY1186" s="161"/>
      <c r="AZ1186" s="161"/>
      <c r="BA1186" s="161"/>
      <c r="BB1186" s="161"/>
      <c r="BC1186" s="161"/>
    </row>
    <row r="1187" spans="1:55" ht="15.75" customHeight="1" x14ac:dyDescent="0.25">
      <c r="A1187" s="128" t="e">
        <v>#VALUE!</v>
      </c>
      <c r="B1187" s="136" t="s">
        <v>14</v>
      </c>
      <c r="C1187" s="137"/>
      <c r="D1187" s="172"/>
      <c r="E1187" s="124"/>
      <c r="F1187" s="172"/>
      <c r="G1187" s="137">
        <v>0</v>
      </c>
      <c r="H1187" s="171" t="s">
        <v>18</v>
      </c>
      <c r="I1187" s="137" t="s">
        <v>18</v>
      </c>
      <c r="J1187" s="172" t="s">
        <v>18</v>
      </c>
      <c r="K1187" s="137" t="e">
        <v>#VALUE!</v>
      </c>
      <c r="L1187" s="172">
        <v>0</v>
      </c>
      <c r="M1187" s="172">
        <v>0</v>
      </c>
      <c r="N1187" s="172">
        <v>0</v>
      </c>
      <c r="O1187" s="137">
        <v>0</v>
      </c>
      <c r="P1187" s="137">
        <v>0</v>
      </c>
      <c r="Q1187" s="172">
        <v>0</v>
      </c>
      <c r="R1187" s="137">
        <v>2</v>
      </c>
      <c r="S1187" s="172">
        <v>0</v>
      </c>
      <c r="T1187" s="137">
        <v>0</v>
      </c>
      <c r="U1187" s="137">
        <v>0</v>
      </c>
      <c r="V1187" s="137">
        <v>9</v>
      </c>
      <c r="W1187" s="172">
        <v>0</v>
      </c>
      <c r="X1187" s="137">
        <v>0</v>
      </c>
      <c r="Y1187" s="137">
        <v>1</v>
      </c>
      <c r="Z1187" s="172">
        <v>0</v>
      </c>
      <c r="AA1187" s="137">
        <v>0</v>
      </c>
      <c r="AB1187" s="137">
        <v>0</v>
      </c>
      <c r="AC1187" s="137">
        <v>0</v>
      </c>
      <c r="AD1187" s="172">
        <v>0</v>
      </c>
      <c r="AE1187" s="137">
        <v>0</v>
      </c>
      <c r="AF1187" s="137">
        <v>0</v>
      </c>
      <c r="AG1187" s="137">
        <v>1</v>
      </c>
      <c r="AH1187" s="172">
        <v>0</v>
      </c>
      <c r="AI1187" s="137">
        <v>0</v>
      </c>
      <c r="AJ1187" s="137">
        <v>0</v>
      </c>
      <c r="AK1187" s="172">
        <v>0</v>
      </c>
      <c r="AL1187" s="171">
        <v>0</v>
      </c>
      <c r="AM1187" s="137">
        <v>0</v>
      </c>
      <c r="AN1187" s="172">
        <v>0</v>
      </c>
      <c r="AO1187" s="137">
        <v>0</v>
      </c>
      <c r="AP1187" s="137">
        <v>0</v>
      </c>
      <c r="AQ1187" s="137">
        <v>0</v>
      </c>
      <c r="AR1187" s="137" t="s">
        <v>18</v>
      </c>
      <c r="AS1187" s="137" t="s">
        <v>18</v>
      </c>
      <c r="AT1187" s="161"/>
      <c r="AU1187" s="161"/>
      <c r="AV1187" s="161"/>
      <c r="AW1187" s="161"/>
      <c r="AX1187" s="161"/>
      <c r="AY1187" s="161"/>
      <c r="AZ1187" s="161"/>
      <c r="BA1187" s="161"/>
      <c r="BB1187" s="161"/>
      <c r="BC1187" s="161"/>
    </row>
    <row r="1188" spans="1:55" ht="15.75" customHeight="1" x14ac:dyDescent="0.25">
      <c r="A1188" s="128" t="e">
        <v>#VALUE!</v>
      </c>
      <c r="B1188" s="136" t="s">
        <v>15</v>
      </c>
      <c r="C1188" s="137"/>
      <c r="D1188" s="172"/>
      <c r="E1188" s="124"/>
      <c r="F1188" s="172"/>
      <c r="G1188" s="137">
        <v>0</v>
      </c>
      <c r="H1188" s="171" t="s">
        <v>18</v>
      </c>
      <c r="I1188" s="137" t="s">
        <v>18</v>
      </c>
      <c r="J1188" s="172" t="s">
        <v>18</v>
      </c>
      <c r="K1188" s="137" t="e">
        <v>#VALUE!</v>
      </c>
      <c r="L1188" s="172">
        <v>0</v>
      </c>
      <c r="M1188" s="172">
        <v>0</v>
      </c>
      <c r="N1188" s="172">
        <v>0</v>
      </c>
      <c r="O1188" s="137">
        <v>0</v>
      </c>
      <c r="P1188" s="137">
        <v>0</v>
      </c>
      <c r="Q1188" s="172">
        <v>0</v>
      </c>
      <c r="R1188" s="137">
        <v>1</v>
      </c>
      <c r="S1188" s="172">
        <v>0</v>
      </c>
      <c r="T1188" s="137">
        <v>0</v>
      </c>
      <c r="U1188" s="137">
        <v>0</v>
      </c>
      <c r="V1188" s="137">
        <v>0</v>
      </c>
      <c r="W1188" s="172">
        <v>0</v>
      </c>
      <c r="X1188" s="137">
        <v>0</v>
      </c>
      <c r="Y1188" s="137">
        <v>1</v>
      </c>
      <c r="Z1188" s="172">
        <v>0</v>
      </c>
      <c r="AA1188" s="137">
        <v>0</v>
      </c>
      <c r="AB1188" s="137">
        <v>0</v>
      </c>
      <c r="AC1188" s="137">
        <v>0</v>
      </c>
      <c r="AD1188" s="172">
        <v>0</v>
      </c>
      <c r="AE1188" s="137">
        <v>0</v>
      </c>
      <c r="AF1188" s="137">
        <v>0</v>
      </c>
      <c r="AG1188" s="137">
        <v>1</v>
      </c>
      <c r="AH1188" s="172">
        <v>0</v>
      </c>
      <c r="AI1188" s="137">
        <v>0</v>
      </c>
      <c r="AJ1188" s="137">
        <v>0</v>
      </c>
      <c r="AK1188" s="172">
        <v>0</v>
      </c>
      <c r="AL1188" s="171">
        <v>0</v>
      </c>
      <c r="AM1188" s="137">
        <v>0</v>
      </c>
      <c r="AN1188" s="172">
        <v>0</v>
      </c>
      <c r="AO1188" s="137">
        <v>0</v>
      </c>
      <c r="AP1188" s="137">
        <v>0</v>
      </c>
      <c r="AQ1188" s="137">
        <v>0</v>
      </c>
      <c r="AR1188" s="137" t="s">
        <v>18</v>
      </c>
      <c r="AS1188" s="137" t="s">
        <v>18</v>
      </c>
      <c r="AT1188" s="161"/>
      <c r="AU1188" s="161"/>
      <c r="AV1188" s="161"/>
      <c r="AW1188" s="161"/>
      <c r="AX1188" s="161"/>
      <c r="AY1188" s="161"/>
      <c r="AZ1188" s="161"/>
      <c r="BA1188" s="161"/>
      <c r="BB1188" s="161"/>
      <c r="BC1188" s="161"/>
    </row>
    <row r="1189" spans="1:55" ht="15.75" customHeight="1" x14ac:dyDescent="0.25">
      <c r="A1189" s="128" t="e">
        <v>#VALUE!</v>
      </c>
      <c r="B1189" s="136" t="s">
        <v>16</v>
      </c>
      <c r="C1189" s="137"/>
      <c r="D1189" s="172"/>
      <c r="E1189" s="124"/>
      <c r="F1189" s="172"/>
      <c r="G1189" s="137">
        <v>0</v>
      </c>
      <c r="H1189" s="171" t="s">
        <v>18</v>
      </c>
      <c r="I1189" s="137" t="s">
        <v>18</v>
      </c>
      <c r="J1189" s="172" t="s">
        <v>18</v>
      </c>
      <c r="K1189" s="137" t="e">
        <v>#VALUE!</v>
      </c>
      <c r="L1189" s="172" t="e">
        <v>#VALUE!</v>
      </c>
      <c r="M1189" s="172" t="e">
        <v>#VALUE!</v>
      </c>
      <c r="N1189" s="172" t="e">
        <v>#VALUE!</v>
      </c>
      <c r="O1189" s="137" t="e">
        <v>#VALUE!</v>
      </c>
      <c r="P1189" s="137" t="e">
        <v>#VALUE!</v>
      </c>
      <c r="Q1189" s="172">
        <v>0</v>
      </c>
      <c r="R1189" s="137">
        <v>880</v>
      </c>
      <c r="S1189" s="172">
        <v>0</v>
      </c>
      <c r="T1189" s="137">
        <v>0</v>
      </c>
      <c r="U1189" s="137">
        <v>0</v>
      </c>
      <c r="V1189" s="137">
        <v>0</v>
      </c>
      <c r="W1189" s="172">
        <v>0</v>
      </c>
      <c r="X1189" s="137">
        <v>0</v>
      </c>
      <c r="Y1189" s="137">
        <v>1000</v>
      </c>
      <c r="Z1189" s="172">
        <v>0</v>
      </c>
      <c r="AA1189" s="137">
        <v>0</v>
      </c>
      <c r="AB1189" s="137">
        <v>0</v>
      </c>
      <c r="AC1189" s="137">
        <v>0</v>
      </c>
      <c r="AD1189" s="172">
        <v>0</v>
      </c>
      <c r="AE1189" s="137">
        <v>0</v>
      </c>
      <c r="AF1189" s="137">
        <v>0</v>
      </c>
      <c r="AG1189" s="137">
        <v>1000</v>
      </c>
      <c r="AH1189" s="172">
        <v>0</v>
      </c>
      <c r="AI1189" s="137">
        <v>0</v>
      </c>
      <c r="AJ1189" s="137">
        <v>0</v>
      </c>
      <c r="AK1189" s="172">
        <v>0</v>
      </c>
      <c r="AL1189" s="171">
        <v>0</v>
      </c>
      <c r="AM1189" s="137">
        <v>0</v>
      </c>
      <c r="AN1189" s="172">
        <v>0</v>
      </c>
      <c r="AO1189" s="137">
        <v>0</v>
      </c>
      <c r="AP1189" s="137">
        <v>0</v>
      </c>
      <c r="AQ1189" s="137">
        <v>0</v>
      </c>
      <c r="AR1189" s="137" t="s">
        <v>18</v>
      </c>
      <c r="AS1189" s="137" t="s">
        <v>18</v>
      </c>
      <c r="AT1189" s="161"/>
      <c r="AU1189" s="161"/>
      <c r="AV1189" s="161"/>
      <c r="AW1189" s="161"/>
      <c r="AX1189" s="161"/>
      <c r="AY1189" s="161"/>
      <c r="AZ1189" s="161"/>
      <c r="BA1189" s="161"/>
      <c r="BB1189" s="161"/>
      <c r="BC1189" s="161"/>
    </row>
    <row r="1190" spans="1:55" ht="15.75" customHeight="1" x14ac:dyDescent="0.25">
      <c r="A1190" s="138" t="e">
        <v>#VALUE!</v>
      </c>
      <c r="B1190" s="136" t="s">
        <v>17</v>
      </c>
      <c r="C1190" s="147"/>
      <c r="D1190" s="184"/>
      <c r="E1190" s="193"/>
      <c r="F1190" s="184"/>
      <c r="G1190" s="147" t="s">
        <v>18</v>
      </c>
      <c r="H1190" s="183" t="s">
        <v>18</v>
      </c>
      <c r="I1190" s="147" t="s">
        <v>18</v>
      </c>
      <c r="J1190" s="184" t="s">
        <v>18</v>
      </c>
      <c r="K1190" s="147" t="e">
        <v>#VALUE!</v>
      </c>
      <c r="L1190" s="184" t="e">
        <v>#VALUE!</v>
      </c>
      <c r="M1190" s="184" t="e">
        <v>#VALUE!</v>
      </c>
      <c r="N1190" s="184" t="e">
        <v>#VALUE!</v>
      </c>
      <c r="O1190" s="147" t="e">
        <v>#VALUE!</v>
      </c>
      <c r="P1190" s="147" t="e">
        <v>#VALUE!</v>
      </c>
      <c r="Q1190" s="184" t="s">
        <v>18</v>
      </c>
      <c r="R1190" s="147">
        <v>0.41904761904761906</v>
      </c>
      <c r="S1190" s="184" t="s">
        <v>18</v>
      </c>
      <c r="T1190" s="147" t="s">
        <v>18</v>
      </c>
      <c r="U1190" s="147" t="s">
        <v>18</v>
      </c>
      <c r="V1190" s="147" t="s">
        <v>18</v>
      </c>
      <c r="W1190" s="184" t="s">
        <v>18</v>
      </c>
      <c r="X1190" s="147" t="s">
        <v>18</v>
      </c>
      <c r="Y1190" s="147">
        <v>0.12345679012345678</v>
      </c>
      <c r="Z1190" s="184" t="s">
        <v>18</v>
      </c>
      <c r="AA1190" s="147" t="s">
        <v>18</v>
      </c>
      <c r="AB1190" s="147" t="s">
        <v>18</v>
      </c>
      <c r="AC1190" s="147" t="s">
        <v>18</v>
      </c>
      <c r="AD1190" s="184" t="s">
        <v>18</v>
      </c>
      <c r="AE1190" s="147" t="s">
        <v>18</v>
      </c>
      <c r="AF1190" s="147" t="s">
        <v>18</v>
      </c>
      <c r="AG1190" s="147">
        <v>0.16666666666666666</v>
      </c>
      <c r="AH1190" s="184" t="s">
        <v>18</v>
      </c>
      <c r="AI1190" s="147" t="s">
        <v>18</v>
      </c>
      <c r="AJ1190" s="147" t="s">
        <v>18</v>
      </c>
      <c r="AK1190" s="184" t="s">
        <v>18</v>
      </c>
      <c r="AL1190" s="183" t="s">
        <v>18</v>
      </c>
      <c r="AM1190" s="147" t="s">
        <v>18</v>
      </c>
      <c r="AN1190" s="184" t="s">
        <v>18</v>
      </c>
      <c r="AO1190" s="147" t="s">
        <v>18</v>
      </c>
      <c r="AP1190" s="147" t="s">
        <v>18</v>
      </c>
      <c r="AQ1190" s="147" t="s">
        <v>18</v>
      </c>
      <c r="AR1190" s="147" t="s">
        <v>18</v>
      </c>
      <c r="AS1190" s="147" t="s">
        <v>18</v>
      </c>
      <c r="AT1190" s="161"/>
      <c r="AU1190" s="161"/>
      <c r="AV1190" s="161"/>
      <c r="AW1190" s="161"/>
      <c r="AX1190" s="161"/>
      <c r="AY1190" s="161"/>
      <c r="AZ1190" s="161"/>
      <c r="BA1190" s="161"/>
      <c r="BB1190" s="161"/>
      <c r="BC1190" s="161"/>
    </row>
    <row r="1191" spans="1:55" ht="15.75" customHeight="1" x14ac:dyDescent="0.25">
      <c r="A1191" s="149" t="s">
        <v>1</v>
      </c>
      <c r="B1191" s="150" t="s">
        <v>2</v>
      </c>
      <c r="C1191" s="130"/>
      <c r="D1191" s="175"/>
      <c r="E1191" s="130"/>
      <c r="F1191" s="175"/>
      <c r="G1191" s="130">
        <v>3582</v>
      </c>
      <c r="H1191" s="174" t="s">
        <v>18</v>
      </c>
      <c r="I1191" s="130" t="s">
        <v>18</v>
      </c>
      <c r="J1191" s="175" t="s">
        <v>18</v>
      </c>
      <c r="K1191" s="130">
        <v>3643</v>
      </c>
      <c r="L1191" s="175">
        <v>3648</v>
      </c>
      <c r="M1191" s="175">
        <v>3665</v>
      </c>
      <c r="N1191" s="175">
        <v>3665</v>
      </c>
      <c r="O1191" s="130">
        <v>3665</v>
      </c>
      <c r="P1191" s="130">
        <v>3727</v>
      </c>
      <c r="Q1191" s="175">
        <v>3727</v>
      </c>
      <c r="R1191" s="130">
        <v>3743</v>
      </c>
      <c r="S1191" s="175">
        <v>3743</v>
      </c>
      <c r="T1191" s="130">
        <v>3743</v>
      </c>
      <c r="U1191" s="130">
        <v>3743</v>
      </c>
      <c r="V1191" s="130">
        <v>3768</v>
      </c>
      <c r="W1191" s="175">
        <v>3768</v>
      </c>
      <c r="X1191" s="130">
        <v>3768</v>
      </c>
      <c r="Y1191" s="130">
        <v>3822</v>
      </c>
      <c r="Z1191" s="175">
        <v>3822</v>
      </c>
      <c r="AA1191" s="130">
        <v>3822</v>
      </c>
      <c r="AB1191" s="130">
        <v>3822</v>
      </c>
      <c r="AC1191" s="130">
        <v>3855</v>
      </c>
      <c r="AD1191" s="175">
        <v>3855</v>
      </c>
      <c r="AE1191" s="130">
        <v>3855</v>
      </c>
      <c r="AF1191" s="130">
        <v>3855</v>
      </c>
      <c r="AG1191" s="130">
        <v>3917</v>
      </c>
      <c r="AH1191" s="175">
        <v>3917</v>
      </c>
      <c r="AI1191" s="130">
        <v>3917</v>
      </c>
      <c r="AJ1191" s="130">
        <v>3934</v>
      </c>
      <c r="AK1191" s="175">
        <v>3941</v>
      </c>
      <c r="AL1191" s="174">
        <v>3941</v>
      </c>
      <c r="AM1191" s="130">
        <v>4005</v>
      </c>
      <c r="AN1191" s="175">
        <v>4005</v>
      </c>
      <c r="AO1191" s="130">
        <v>4005</v>
      </c>
      <c r="AP1191" s="130">
        <v>4005</v>
      </c>
      <c r="AQ1191" s="130">
        <v>4005</v>
      </c>
      <c r="AR1191" s="130" t="s">
        <v>18</v>
      </c>
      <c r="AS1191" s="130" t="s">
        <v>18</v>
      </c>
      <c r="AT1191" s="161"/>
      <c r="AU1191" s="161"/>
      <c r="AV1191" s="161"/>
      <c r="AW1191" s="161"/>
      <c r="AX1191" s="161"/>
      <c r="AY1191" s="161"/>
      <c r="AZ1191" s="161"/>
      <c r="BA1191" s="161"/>
      <c r="BB1191" s="161"/>
      <c r="BC1191" s="161"/>
    </row>
    <row r="1192" spans="1:55" ht="15.75" customHeight="1" x14ac:dyDescent="0.25">
      <c r="A1192" s="121" t="s">
        <v>40</v>
      </c>
      <c r="B1192" s="122" t="s">
        <v>4</v>
      </c>
      <c r="C1192" s="124"/>
      <c r="D1192" s="172"/>
      <c r="E1192" s="124"/>
      <c r="F1192" s="172"/>
      <c r="G1192" s="124">
        <v>197</v>
      </c>
      <c r="H1192" s="171" t="s">
        <v>18</v>
      </c>
      <c r="I1192" s="124" t="s">
        <v>18</v>
      </c>
      <c r="J1192" s="172" t="s">
        <v>18</v>
      </c>
      <c r="K1192" s="124">
        <v>198</v>
      </c>
      <c r="L1192" s="172">
        <v>198</v>
      </c>
      <c r="M1192" s="172">
        <v>199</v>
      </c>
      <c r="N1192" s="172">
        <v>199</v>
      </c>
      <c r="O1192" s="124">
        <v>199</v>
      </c>
      <c r="P1192" s="124">
        <v>200</v>
      </c>
      <c r="Q1192" s="172">
        <v>200</v>
      </c>
      <c r="R1192" s="124">
        <v>201</v>
      </c>
      <c r="S1192" s="172">
        <v>201</v>
      </c>
      <c r="T1192" s="124">
        <v>201</v>
      </c>
      <c r="U1192" s="124">
        <v>201</v>
      </c>
      <c r="V1192" s="124">
        <v>202</v>
      </c>
      <c r="W1192" s="172">
        <v>202</v>
      </c>
      <c r="X1192" s="124">
        <v>202</v>
      </c>
      <c r="Y1192" s="124">
        <v>204</v>
      </c>
      <c r="Z1192" s="172">
        <v>204</v>
      </c>
      <c r="AA1192" s="124">
        <v>204</v>
      </c>
      <c r="AB1192" s="124">
        <v>204</v>
      </c>
      <c r="AC1192" s="124">
        <v>204</v>
      </c>
      <c r="AD1192" s="172">
        <v>204</v>
      </c>
      <c r="AE1192" s="124">
        <v>204</v>
      </c>
      <c r="AF1192" s="124">
        <v>204</v>
      </c>
      <c r="AG1192" s="124">
        <v>207</v>
      </c>
      <c r="AH1192" s="172">
        <v>207</v>
      </c>
      <c r="AI1192" s="124">
        <v>207</v>
      </c>
      <c r="AJ1192" s="124">
        <v>207</v>
      </c>
      <c r="AK1192" s="172">
        <v>207</v>
      </c>
      <c r="AL1192" s="171">
        <v>207</v>
      </c>
      <c r="AM1192" s="124">
        <v>207</v>
      </c>
      <c r="AN1192" s="172">
        <v>207</v>
      </c>
      <c r="AO1192" s="124">
        <v>207</v>
      </c>
      <c r="AP1192" s="124">
        <v>207</v>
      </c>
      <c r="AQ1192" s="124">
        <v>207</v>
      </c>
      <c r="AR1192" s="124" t="s">
        <v>18</v>
      </c>
      <c r="AS1192" s="124" t="s">
        <v>18</v>
      </c>
      <c r="AT1192" s="161"/>
      <c r="AU1192" s="161"/>
      <c r="AV1192" s="161"/>
      <c r="AW1192" s="161"/>
      <c r="AX1192" s="161"/>
      <c r="AY1192" s="161"/>
      <c r="AZ1192" s="161"/>
      <c r="BA1192" s="161"/>
      <c r="BB1192" s="161"/>
      <c r="BC1192" s="161"/>
    </row>
    <row r="1193" spans="1:55" ht="15.75" customHeight="1" x14ac:dyDescent="0.25">
      <c r="A1193" s="143">
        <v>3</v>
      </c>
      <c r="B1193" s="122" t="s">
        <v>5</v>
      </c>
      <c r="C1193" s="124"/>
      <c r="D1193" s="172"/>
      <c r="E1193" s="124"/>
      <c r="F1193" s="172"/>
      <c r="G1193" s="124">
        <v>12</v>
      </c>
      <c r="H1193" s="171" t="s">
        <v>18</v>
      </c>
      <c r="I1193" s="124" t="s">
        <v>18</v>
      </c>
      <c r="J1193" s="172" t="s">
        <v>18</v>
      </c>
      <c r="K1193" s="124">
        <v>19</v>
      </c>
      <c r="L1193" s="172">
        <v>19</v>
      </c>
      <c r="M1193" s="172">
        <v>18</v>
      </c>
      <c r="N1193" s="172">
        <v>18</v>
      </c>
      <c r="O1193" s="124">
        <v>18</v>
      </c>
      <c r="P1193" s="124">
        <v>18</v>
      </c>
      <c r="Q1193" s="172">
        <v>18</v>
      </c>
      <c r="R1193" s="124">
        <v>17</v>
      </c>
      <c r="S1193" s="172">
        <v>17</v>
      </c>
      <c r="T1193" s="124">
        <v>17</v>
      </c>
      <c r="U1193" s="124">
        <v>17</v>
      </c>
      <c r="V1193" s="124">
        <v>17</v>
      </c>
      <c r="W1193" s="172">
        <v>17</v>
      </c>
      <c r="X1193" s="124">
        <v>17</v>
      </c>
      <c r="Y1193" s="124">
        <v>16</v>
      </c>
      <c r="Z1193" s="172">
        <v>16</v>
      </c>
      <c r="AA1193" s="124">
        <v>16</v>
      </c>
      <c r="AB1193" s="124">
        <v>16</v>
      </c>
      <c r="AC1193" s="124">
        <v>16</v>
      </c>
      <c r="AD1193" s="172">
        <v>16</v>
      </c>
      <c r="AE1193" s="124">
        <v>16</v>
      </c>
      <c r="AF1193" s="124">
        <v>16</v>
      </c>
      <c r="AG1193" s="124">
        <v>15</v>
      </c>
      <c r="AH1193" s="172">
        <v>15</v>
      </c>
      <c r="AI1193" s="124">
        <v>15</v>
      </c>
      <c r="AJ1193" s="124">
        <v>15</v>
      </c>
      <c r="AK1193" s="172">
        <v>15</v>
      </c>
      <c r="AL1193" s="171">
        <v>15</v>
      </c>
      <c r="AM1193" s="124">
        <v>15</v>
      </c>
      <c r="AN1193" s="172">
        <v>15</v>
      </c>
      <c r="AO1193" s="124">
        <v>15</v>
      </c>
      <c r="AP1193" s="124">
        <v>15</v>
      </c>
      <c r="AQ1193" s="124">
        <v>15</v>
      </c>
      <c r="AR1193" s="124" t="s">
        <v>18</v>
      </c>
      <c r="AS1193" s="124" t="s">
        <v>18</v>
      </c>
      <c r="AT1193" s="161"/>
      <c r="AU1193" s="161"/>
      <c r="AV1193" s="161"/>
      <c r="AW1193" s="161"/>
      <c r="AX1193" s="161"/>
      <c r="AY1193" s="161"/>
      <c r="AZ1193" s="161"/>
      <c r="BA1193" s="161"/>
      <c r="BB1193" s="161"/>
      <c r="BC1193" s="161"/>
    </row>
    <row r="1194" spans="1:55" ht="15.75" customHeight="1" x14ac:dyDescent="0.25">
      <c r="A1194" s="127"/>
      <c r="B1194" s="122" t="s">
        <v>6</v>
      </c>
      <c r="C1194" s="124"/>
      <c r="D1194" s="172"/>
      <c r="E1194" s="124"/>
      <c r="F1194" s="172"/>
      <c r="G1194" s="124">
        <v>8</v>
      </c>
      <c r="H1194" s="171"/>
      <c r="I1194" s="124"/>
      <c r="J1194" s="172"/>
      <c r="K1194" s="124"/>
      <c r="L1194" s="172"/>
      <c r="M1194" s="172"/>
      <c r="N1194" s="172"/>
      <c r="O1194" s="124"/>
      <c r="P1194" s="124"/>
      <c r="Q1194" s="172"/>
      <c r="R1194" s="124"/>
      <c r="S1194" s="172"/>
      <c r="T1194" s="124"/>
      <c r="U1194" s="124"/>
      <c r="V1194" s="124"/>
      <c r="W1194" s="172"/>
      <c r="X1194" s="124"/>
      <c r="Y1194" s="124"/>
      <c r="Z1194" s="172"/>
      <c r="AA1194" s="124"/>
      <c r="AB1194" s="124"/>
      <c r="AC1194" s="124"/>
      <c r="AD1194" s="172"/>
      <c r="AE1194" s="124"/>
      <c r="AF1194" s="124"/>
      <c r="AG1194" s="124"/>
      <c r="AH1194" s="172"/>
      <c r="AI1194" s="124"/>
      <c r="AJ1194" s="124"/>
      <c r="AK1194" s="172"/>
      <c r="AL1194" s="171"/>
      <c r="AM1194" s="124"/>
      <c r="AN1194" s="172"/>
      <c r="AO1194" s="124"/>
      <c r="AP1194" s="124"/>
      <c r="AQ1194" s="124"/>
      <c r="AR1194" s="124"/>
      <c r="AS1194" s="124"/>
      <c r="AT1194" s="161"/>
      <c r="AU1194" s="161"/>
      <c r="AV1194" s="161"/>
      <c r="AW1194" s="161"/>
      <c r="AX1194" s="161"/>
      <c r="AY1194" s="161"/>
      <c r="AZ1194" s="161"/>
      <c r="BA1194" s="161"/>
      <c r="BB1194" s="161"/>
      <c r="BC1194" s="161"/>
    </row>
    <row r="1195" spans="1:55" ht="15.75" customHeight="1" x14ac:dyDescent="0.25">
      <c r="A1195" s="128"/>
      <c r="B1195" s="122" t="s">
        <v>8</v>
      </c>
      <c r="C1195" s="130"/>
      <c r="D1195" s="175"/>
      <c r="E1195" s="130"/>
      <c r="F1195" s="175"/>
      <c r="G1195" s="130">
        <v>161</v>
      </c>
      <c r="H1195" s="174" t="s">
        <v>18</v>
      </c>
      <c r="I1195" s="130" t="s">
        <v>18</v>
      </c>
      <c r="J1195" s="175" t="s">
        <v>18</v>
      </c>
      <c r="K1195" s="130" t="s">
        <v>18</v>
      </c>
      <c r="L1195" s="175" t="s">
        <v>18</v>
      </c>
      <c r="M1195" s="175" t="s">
        <v>18</v>
      </c>
      <c r="N1195" s="175" t="s">
        <v>18</v>
      </c>
      <c r="O1195" s="130" t="s">
        <v>18</v>
      </c>
      <c r="P1195" s="130" t="s">
        <v>18</v>
      </c>
      <c r="Q1195" s="175" t="s">
        <v>18</v>
      </c>
      <c r="R1195" s="130" t="s">
        <v>18</v>
      </c>
      <c r="S1195" s="175" t="s">
        <v>18</v>
      </c>
      <c r="T1195" s="130" t="s">
        <v>18</v>
      </c>
      <c r="U1195" s="130" t="s">
        <v>18</v>
      </c>
      <c r="V1195" s="130" t="s">
        <v>18</v>
      </c>
      <c r="W1195" s="175" t="s">
        <v>18</v>
      </c>
      <c r="X1195" s="130" t="s">
        <v>18</v>
      </c>
      <c r="Y1195" s="130" t="s">
        <v>18</v>
      </c>
      <c r="Z1195" s="175" t="s">
        <v>18</v>
      </c>
      <c r="AA1195" s="130" t="s">
        <v>18</v>
      </c>
      <c r="AB1195" s="130" t="s">
        <v>18</v>
      </c>
      <c r="AC1195" s="130" t="s">
        <v>18</v>
      </c>
      <c r="AD1195" s="175" t="s">
        <v>18</v>
      </c>
      <c r="AE1195" s="130" t="s">
        <v>18</v>
      </c>
      <c r="AF1195" s="130" t="s">
        <v>18</v>
      </c>
      <c r="AG1195" s="130" t="s">
        <v>18</v>
      </c>
      <c r="AH1195" s="175" t="s">
        <v>18</v>
      </c>
      <c r="AI1195" s="130" t="s">
        <v>18</v>
      </c>
      <c r="AJ1195" s="130" t="s">
        <v>18</v>
      </c>
      <c r="AK1195" s="175" t="s">
        <v>18</v>
      </c>
      <c r="AL1195" s="174" t="s">
        <v>18</v>
      </c>
      <c r="AM1195" s="130" t="s">
        <v>18</v>
      </c>
      <c r="AN1195" s="175" t="s">
        <v>18</v>
      </c>
      <c r="AO1195" s="130" t="s">
        <v>18</v>
      </c>
      <c r="AP1195" s="130" t="s">
        <v>18</v>
      </c>
      <c r="AQ1195" s="130" t="s">
        <v>18</v>
      </c>
      <c r="AR1195" s="130" t="s">
        <v>18</v>
      </c>
      <c r="AS1195" s="130" t="s">
        <v>18</v>
      </c>
      <c r="AT1195" s="161"/>
      <c r="AU1195" s="161"/>
      <c r="AV1195" s="161"/>
      <c r="AW1195" s="161"/>
      <c r="AX1195" s="161"/>
      <c r="AY1195" s="161"/>
      <c r="AZ1195" s="161"/>
      <c r="BA1195" s="161"/>
      <c r="BB1195" s="161"/>
      <c r="BC1195" s="161"/>
    </row>
    <row r="1196" spans="1:55" ht="15.75" customHeight="1" x14ac:dyDescent="0.25">
      <c r="A1196" s="127" t="s">
        <v>9</v>
      </c>
      <c r="B1196" s="132" t="s">
        <v>10</v>
      </c>
      <c r="C1196" s="134"/>
      <c r="D1196" s="178"/>
      <c r="E1196" s="134"/>
      <c r="F1196" s="178"/>
      <c r="G1196" s="134" t="s">
        <v>178</v>
      </c>
      <c r="H1196" s="177" t="s">
        <v>18</v>
      </c>
      <c r="I1196" s="134" t="s">
        <v>18</v>
      </c>
      <c r="J1196" s="178" t="s">
        <v>18</v>
      </c>
      <c r="K1196" s="134" t="s">
        <v>18</v>
      </c>
      <c r="L1196" s="178" t="s">
        <v>18</v>
      </c>
      <c r="M1196" s="178" t="s">
        <v>18</v>
      </c>
      <c r="N1196" s="178" t="s">
        <v>18</v>
      </c>
      <c r="O1196" s="134" t="s">
        <v>18</v>
      </c>
      <c r="P1196" s="134" t="s">
        <v>18</v>
      </c>
      <c r="Q1196" s="178" t="s">
        <v>18</v>
      </c>
      <c r="R1196" s="134" t="s">
        <v>18</v>
      </c>
      <c r="S1196" s="178" t="s">
        <v>18</v>
      </c>
      <c r="T1196" s="134" t="s">
        <v>18</v>
      </c>
      <c r="U1196" s="134" t="s">
        <v>18</v>
      </c>
      <c r="V1196" s="134" t="s">
        <v>18</v>
      </c>
      <c r="W1196" s="178" t="s">
        <v>18</v>
      </c>
      <c r="X1196" s="134" t="s">
        <v>18</v>
      </c>
      <c r="Y1196" s="134" t="s">
        <v>18</v>
      </c>
      <c r="Z1196" s="178" t="s">
        <v>18</v>
      </c>
      <c r="AA1196" s="134" t="s">
        <v>18</v>
      </c>
      <c r="AB1196" s="134" t="s">
        <v>18</v>
      </c>
      <c r="AC1196" s="134" t="s">
        <v>18</v>
      </c>
      <c r="AD1196" s="178" t="s">
        <v>18</v>
      </c>
      <c r="AE1196" s="134" t="s">
        <v>18</v>
      </c>
      <c r="AF1196" s="134" t="s">
        <v>18</v>
      </c>
      <c r="AG1196" s="134" t="s">
        <v>18</v>
      </c>
      <c r="AH1196" s="178" t="s">
        <v>18</v>
      </c>
      <c r="AI1196" s="134" t="s">
        <v>18</v>
      </c>
      <c r="AJ1196" s="134" t="s">
        <v>18</v>
      </c>
      <c r="AK1196" s="178" t="s">
        <v>18</v>
      </c>
      <c r="AL1196" s="177" t="s">
        <v>18</v>
      </c>
      <c r="AM1196" s="134" t="s">
        <v>18</v>
      </c>
      <c r="AN1196" s="178" t="s">
        <v>18</v>
      </c>
      <c r="AO1196" s="134" t="s">
        <v>18</v>
      </c>
      <c r="AP1196" s="134" t="s">
        <v>18</v>
      </c>
      <c r="AQ1196" s="134" t="s">
        <v>18</v>
      </c>
      <c r="AR1196" s="134" t="s">
        <v>18</v>
      </c>
      <c r="AS1196" s="134" t="s">
        <v>18</v>
      </c>
      <c r="AT1196" s="189"/>
      <c r="AU1196" s="189"/>
      <c r="AV1196" s="189"/>
      <c r="AW1196" s="189"/>
      <c r="AX1196" s="189"/>
      <c r="AY1196" s="189"/>
      <c r="AZ1196" s="189"/>
      <c r="BA1196" s="189"/>
      <c r="BB1196" s="189"/>
      <c r="BC1196" s="189"/>
    </row>
    <row r="1197" spans="1:55" ht="15.75" customHeight="1" x14ac:dyDescent="0.25">
      <c r="A1197" s="128" t="e">
        <v>#VALUE!</v>
      </c>
      <c r="B1197" s="122" t="s">
        <v>12</v>
      </c>
      <c r="C1197" s="124"/>
      <c r="D1197" s="172"/>
      <c r="E1197" s="124"/>
      <c r="F1197" s="172"/>
      <c r="G1197" s="124"/>
      <c r="H1197" s="171"/>
      <c r="I1197" s="124"/>
      <c r="J1197" s="172"/>
      <c r="K1197" s="124"/>
      <c r="L1197" s="172"/>
      <c r="M1197" s="172"/>
      <c r="N1197" s="172"/>
      <c r="O1197" s="124"/>
      <c r="P1197" s="124"/>
      <c r="Q1197" s="172"/>
      <c r="R1197" s="124"/>
      <c r="S1197" s="172"/>
      <c r="T1197" s="124"/>
      <c r="U1197" s="124"/>
      <c r="V1197" s="124"/>
      <c r="W1197" s="172" t="s">
        <v>104</v>
      </c>
      <c r="X1197" s="124"/>
      <c r="Y1197" s="124"/>
      <c r="Z1197" s="172"/>
      <c r="AA1197" s="124"/>
      <c r="AB1197" s="124"/>
      <c r="AC1197" s="124"/>
      <c r="AD1197" s="172"/>
      <c r="AE1197" s="124"/>
      <c r="AF1197" s="124"/>
      <c r="AG1197" s="124"/>
      <c r="AH1197" s="172"/>
      <c r="AI1197" s="124"/>
      <c r="AJ1197" s="124"/>
      <c r="AK1197" s="172"/>
      <c r="AL1197" s="171"/>
      <c r="AM1197" s="124"/>
      <c r="AN1197" s="172"/>
      <c r="AO1197" s="124"/>
      <c r="AP1197" s="124"/>
      <c r="AQ1197" s="124"/>
      <c r="AR1197" s="124"/>
      <c r="AS1197" s="124"/>
      <c r="AT1197" s="161"/>
      <c r="AU1197" s="161"/>
      <c r="AV1197" s="161"/>
      <c r="AW1197" s="161"/>
      <c r="AX1197" s="161"/>
      <c r="AY1197" s="161"/>
      <c r="AZ1197" s="161"/>
      <c r="BA1197" s="161"/>
      <c r="BB1197" s="161"/>
      <c r="BC1197" s="161"/>
    </row>
    <row r="1198" spans="1:55" ht="15.75" customHeight="1" x14ac:dyDescent="0.25">
      <c r="A1198" s="128" t="e">
        <v>#VALUE!</v>
      </c>
      <c r="B1198" s="136" t="s">
        <v>13</v>
      </c>
      <c r="C1198" s="137"/>
      <c r="D1198" s="172"/>
      <c r="E1198" s="124"/>
      <c r="F1198" s="172"/>
      <c r="G1198" s="137">
        <v>0</v>
      </c>
      <c r="H1198" s="171" t="s">
        <v>18</v>
      </c>
      <c r="I1198" s="137" t="s">
        <v>18</v>
      </c>
      <c r="J1198" s="172" t="s">
        <v>18</v>
      </c>
      <c r="K1198" s="137" t="e">
        <v>#VALUE!</v>
      </c>
      <c r="L1198" s="172">
        <v>5</v>
      </c>
      <c r="M1198" s="172">
        <v>17</v>
      </c>
      <c r="N1198" s="172">
        <v>0</v>
      </c>
      <c r="O1198" s="137">
        <v>0</v>
      </c>
      <c r="P1198" s="137">
        <v>62</v>
      </c>
      <c r="Q1198" s="172">
        <v>0</v>
      </c>
      <c r="R1198" s="137">
        <v>16</v>
      </c>
      <c r="S1198" s="172">
        <v>0</v>
      </c>
      <c r="T1198" s="137">
        <v>0</v>
      </c>
      <c r="U1198" s="137">
        <v>0</v>
      </c>
      <c r="V1198" s="137">
        <v>25</v>
      </c>
      <c r="W1198" s="172">
        <v>0</v>
      </c>
      <c r="X1198" s="137">
        <v>0</v>
      </c>
      <c r="Y1198" s="137">
        <v>54</v>
      </c>
      <c r="Z1198" s="172">
        <v>0</v>
      </c>
      <c r="AA1198" s="137">
        <v>0</v>
      </c>
      <c r="AB1198" s="137">
        <v>0</v>
      </c>
      <c r="AC1198" s="137">
        <v>33</v>
      </c>
      <c r="AD1198" s="172">
        <v>0</v>
      </c>
      <c r="AE1198" s="137">
        <v>0</v>
      </c>
      <c r="AF1198" s="137">
        <v>0</v>
      </c>
      <c r="AG1198" s="137">
        <v>62</v>
      </c>
      <c r="AH1198" s="172">
        <v>0</v>
      </c>
      <c r="AI1198" s="137">
        <v>0</v>
      </c>
      <c r="AJ1198" s="137">
        <v>17</v>
      </c>
      <c r="AK1198" s="172">
        <v>7</v>
      </c>
      <c r="AL1198" s="171">
        <v>0</v>
      </c>
      <c r="AM1198" s="137">
        <v>64</v>
      </c>
      <c r="AN1198" s="172">
        <v>0</v>
      </c>
      <c r="AO1198" s="137">
        <v>0</v>
      </c>
      <c r="AP1198" s="137">
        <v>0</v>
      </c>
      <c r="AQ1198" s="137">
        <v>0</v>
      </c>
      <c r="AR1198" s="137" t="s">
        <v>18</v>
      </c>
      <c r="AS1198" s="137" t="s">
        <v>18</v>
      </c>
      <c r="AT1198" s="161"/>
      <c r="AU1198" s="161"/>
      <c r="AV1198" s="161"/>
      <c r="AW1198" s="161"/>
      <c r="AX1198" s="161"/>
      <c r="AY1198" s="161"/>
      <c r="AZ1198" s="161"/>
      <c r="BA1198" s="161"/>
      <c r="BB1198" s="161"/>
      <c r="BC1198" s="161"/>
    </row>
    <row r="1199" spans="1:55" ht="15.75" customHeight="1" x14ac:dyDescent="0.25">
      <c r="A1199" s="128" t="e">
        <v>#VALUE!</v>
      </c>
      <c r="B1199" s="136" t="s">
        <v>14</v>
      </c>
      <c r="C1199" s="137"/>
      <c r="D1199" s="172"/>
      <c r="E1199" s="124"/>
      <c r="F1199" s="172"/>
      <c r="G1199" s="137">
        <v>0</v>
      </c>
      <c r="H1199" s="171" t="s">
        <v>18</v>
      </c>
      <c r="I1199" s="137" t="s">
        <v>18</v>
      </c>
      <c r="J1199" s="172" t="s">
        <v>18</v>
      </c>
      <c r="K1199" s="137" t="e">
        <v>#VALUE!</v>
      </c>
      <c r="L1199" s="172">
        <v>0</v>
      </c>
      <c r="M1199" s="172">
        <v>1</v>
      </c>
      <c r="N1199" s="172">
        <v>0</v>
      </c>
      <c r="O1199" s="137">
        <v>0</v>
      </c>
      <c r="P1199" s="137">
        <v>1</v>
      </c>
      <c r="Q1199" s="172">
        <v>0</v>
      </c>
      <c r="R1199" s="137">
        <v>1</v>
      </c>
      <c r="S1199" s="172">
        <v>0</v>
      </c>
      <c r="T1199" s="137">
        <v>0</v>
      </c>
      <c r="U1199" s="137">
        <v>0</v>
      </c>
      <c r="V1199" s="137">
        <v>1</v>
      </c>
      <c r="W1199" s="172">
        <v>0</v>
      </c>
      <c r="X1199" s="137">
        <v>0</v>
      </c>
      <c r="Y1199" s="137">
        <v>2</v>
      </c>
      <c r="Z1199" s="172">
        <v>0</v>
      </c>
      <c r="AA1199" s="137">
        <v>0</v>
      </c>
      <c r="AB1199" s="137">
        <v>0</v>
      </c>
      <c r="AC1199" s="137">
        <v>0</v>
      </c>
      <c r="AD1199" s="172">
        <v>0</v>
      </c>
      <c r="AE1199" s="137">
        <v>0</v>
      </c>
      <c r="AF1199" s="137">
        <v>0</v>
      </c>
      <c r="AG1199" s="137">
        <v>3</v>
      </c>
      <c r="AH1199" s="172">
        <v>0</v>
      </c>
      <c r="AI1199" s="137">
        <v>0</v>
      </c>
      <c r="AJ1199" s="137">
        <v>0</v>
      </c>
      <c r="AK1199" s="172">
        <v>0</v>
      </c>
      <c r="AL1199" s="171">
        <v>0</v>
      </c>
      <c r="AM1199" s="137">
        <v>0</v>
      </c>
      <c r="AN1199" s="172">
        <v>0</v>
      </c>
      <c r="AO1199" s="137">
        <v>0</v>
      </c>
      <c r="AP1199" s="137">
        <v>0</v>
      </c>
      <c r="AQ1199" s="137">
        <v>0</v>
      </c>
      <c r="AR1199" s="137" t="s">
        <v>18</v>
      </c>
      <c r="AS1199" s="137" t="s">
        <v>18</v>
      </c>
      <c r="AT1199" s="161"/>
      <c r="AU1199" s="161"/>
      <c r="AV1199" s="161"/>
      <c r="AW1199" s="161"/>
      <c r="AX1199" s="161"/>
      <c r="AY1199" s="161"/>
      <c r="AZ1199" s="161"/>
      <c r="BA1199" s="161"/>
      <c r="BB1199" s="161"/>
      <c r="BC1199" s="161"/>
    </row>
    <row r="1200" spans="1:55" ht="15.75" customHeight="1" x14ac:dyDescent="0.25">
      <c r="A1200" s="128" t="e">
        <v>#VALUE!</v>
      </c>
      <c r="B1200" s="136" t="s">
        <v>15</v>
      </c>
      <c r="C1200" s="137"/>
      <c r="D1200" s="172"/>
      <c r="E1200" s="124"/>
      <c r="F1200" s="172"/>
      <c r="G1200" s="137">
        <v>8</v>
      </c>
      <c r="H1200" s="171" t="s">
        <v>18</v>
      </c>
      <c r="I1200" s="137" t="s">
        <v>18</v>
      </c>
      <c r="J1200" s="172" t="s">
        <v>18</v>
      </c>
      <c r="K1200" s="137" t="e">
        <v>#VALUE!</v>
      </c>
      <c r="L1200" s="172">
        <v>0</v>
      </c>
      <c r="M1200" s="172">
        <v>1</v>
      </c>
      <c r="N1200" s="172">
        <v>0</v>
      </c>
      <c r="O1200" s="137">
        <v>0</v>
      </c>
      <c r="P1200" s="137">
        <v>0</v>
      </c>
      <c r="Q1200" s="172">
        <v>0</v>
      </c>
      <c r="R1200" s="137">
        <v>1</v>
      </c>
      <c r="S1200" s="172">
        <v>0</v>
      </c>
      <c r="T1200" s="137">
        <v>0</v>
      </c>
      <c r="U1200" s="137">
        <v>0</v>
      </c>
      <c r="V1200" s="137">
        <v>0</v>
      </c>
      <c r="W1200" s="172">
        <v>0</v>
      </c>
      <c r="X1200" s="137">
        <v>0</v>
      </c>
      <c r="Y1200" s="137">
        <v>1</v>
      </c>
      <c r="Z1200" s="172">
        <v>0</v>
      </c>
      <c r="AA1200" s="137">
        <v>0</v>
      </c>
      <c r="AB1200" s="137">
        <v>0</v>
      </c>
      <c r="AC1200" s="137">
        <v>0</v>
      </c>
      <c r="AD1200" s="172">
        <v>0</v>
      </c>
      <c r="AE1200" s="137">
        <v>0</v>
      </c>
      <c r="AF1200" s="137">
        <v>0</v>
      </c>
      <c r="AG1200" s="137">
        <v>1</v>
      </c>
      <c r="AH1200" s="172">
        <v>0</v>
      </c>
      <c r="AI1200" s="137">
        <v>0</v>
      </c>
      <c r="AJ1200" s="137">
        <v>0</v>
      </c>
      <c r="AK1200" s="172">
        <v>0</v>
      </c>
      <c r="AL1200" s="171">
        <v>0</v>
      </c>
      <c r="AM1200" s="137">
        <v>0</v>
      </c>
      <c r="AN1200" s="172">
        <v>0</v>
      </c>
      <c r="AO1200" s="137">
        <v>0</v>
      </c>
      <c r="AP1200" s="137">
        <v>0</v>
      </c>
      <c r="AQ1200" s="137">
        <v>0</v>
      </c>
      <c r="AR1200" s="137" t="s">
        <v>18</v>
      </c>
      <c r="AS1200" s="137" t="s">
        <v>18</v>
      </c>
      <c r="AT1200" s="161"/>
      <c r="AU1200" s="161"/>
      <c r="AV1200" s="161"/>
      <c r="AW1200" s="161"/>
      <c r="AX1200" s="161"/>
      <c r="AY1200" s="161"/>
      <c r="AZ1200" s="161"/>
      <c r="BA1200" s="161"/>
      <c r="BB1200" s="161"/>
      <c r="BC1200" s="161"/>
    </row>
    <row r="1201" spans="1:55" ht="15.75" customHeight="1" x14ac:dyDescent="0.25">
      <c r="A1201" s="128" t="e">
        <v>#VALUE!</v>
      </c>
      <c r="B1201" s="136" t="s">
        <v>16</v>
      </c>
      <c r="C1201" s="137"/>
      <c r="D1201" s="172"/>
      <c r="E1201" s="124"/>
      <c r="F1201" s="172"/>
      <c r="G1201" s="137">
        <v>1288</v>
      </c>
      <c r="H1201" s="171" t="s">
        <v>18</v>
      </c>
      <c r="I1201" s="137" t="s">
        <v>18</v>
      </c>
      <c r="J1201" s="172" t="s">
        <v>18</v>
      </c>
      <c r="K1201" s="137" t="e">
        <v>#VALUE!</v>
      </c>
      <c r="L1201" s="172" t="e">
        <v>#VALUE!</v>
      </c>
      <c r="M1201" s="172" t="e">
        <v>#VALUE!</v>
      </c>
      <c r="N1201" s="172" t="e">
        <v>#VALUE!</v>
      </c>
      <c r="O1201" s="137" t="e">
        <v>#VALUE!</v>
      </c>
      <c r="P1201" s="137" t="e">
        <v>#VALUE!</v>
      </c>
      <c r="Q1201" s="172" t="e">
        <v>#VALUE!</v>
      </c>
      <c r="R1201" s="137" t="e">
        <v>#VALUE!</v>
      </c>
      <c r="S1201" s="172" t="e">
        <v>#VALUE!</v>
      </c>
      <c r="T1201" s="137" t="e">
        <v>#VALUE!</v>
      </c>
      <c r="U1201" s="137" t="e">
        <v>#VALUE!</v>
      </c>
      <c r="V1201" s="137" t="e">
        <v>#VALUE!</v>
      </c>
      <c r="W1201" s="172" t="e">
        <v>#VALUE!</v>
      </c>
      <c r="X1201" s="137" t="e">
        <v>#VALUE!</v>
      </c>
      <c r="Y1201" s="137" t="e">
        <v>#VALUE!</v>
      </c>
      <c r="Z1201" s="172" t="e">
        <v>#VALUE!</v>
      </c>
      <c r="AA1201" s="137" t="e">
        <v>#VALUE!</v>
      </c>
      <c r="AB1201" s="137" t="e">
        <v>#VALUE!</v>
      </c>
      <c r="AC1201" s="137" t="e">
        <v>#VALUE!</v>
      </c>
      <c r="AD1201" s="172" t="e">
        <v>#VALUE!</v>
      </c>
      <c r="AE1201" s="137" t="e">
        <v>#VALUE!</v>
      </c>
      <c r="AF1201" s="137" t="e">
        <v>#VALUE!</v>
      </c>
      <c r="AG1201" s="137" t="e">
        <v>#VALUE!</v>
      </c>
      <c r="AH1201" s="172" t="e">
        <v>#VALUE!</v>
      </c>
      <c r="AI1201" s="137" t="e">
        <v>#VALUE!</v>
      </c>
      <c r="AJ1201" s="137" t="e">
        <v>#VALUE!</v>
      </c>
      <c r="AK1201" s="172" t="e">
        <v>#VALUE!</v>
      </c>
      <c r="AL1201" s="171" t="e">
        <v>#VALUE!</v>
      </c>
      <c r="AM1201" s="137" t="e">
        <v>#VALUE!</v>
      </c>
      <c r="AN1201" s="172" t="e">
        <v>#VALUE!</v>
      </c>
      <c r="AO1201" s="137" t="e">
        <v>#VALUE!</v>
      </c>
      <c r="AP1201" s="137" t="e">
        <v>#VALUE!</v>
      </c>
      <c r="AQ1201" s="137" t="e">
        <v>#VALUE!</v>
      </c>
      <c r="AR1201" s="137" t="s">
        <v>18</v>
      </c>
      <c r="AS1201" s="137" t="s">
        <v>18</v>
      </c>
      <c r="AT1201" s="161"/>
      <c r="AU1201" s="161"/>
      <c r="AV1201" s="161"/>
      <c r="AW1201" s="161"/>
      <c r="AX1201" s="161"/>
      <c r="AY1201" s="161"/>
      <c r="AZ1201" s="161"/>
      <c r="BA1201" s="161"/>
      <c r="BB1201" s="161"/>
      <c r="BC1201" s="161"/>
    </row>
    <row r="1202" spans="1:55" ht="15.75" customHeight="1" x14ac:dyDescent="0.25">
      <c r="A1202" s="138" t="e">
        <v>#VALUE!</v>
      </c>
      <c r="B1202" s="136" t="s">
        <v>17</v>
      </c>
      <c r="C1202" s="147"/>
      <c r="D1202" s="184"/>
      <c r="E1202" s="193"/>
      <c r="F1202" s="184"/>
      <c r="G1202" s="147" t="e">
        <v>#DIV/0!</v>
      </c>
      <c r="H1202" s="183" t="s">
        <v>18</v>
      </c>
      <c r="I1202" s="147" t="s">
        <v>18</v>
      </c>
      <c r="J1202" s="184" t="s">
        <v>18</v>
      </c>
      <c r="K1202" s="147" t="e">
        <v>#VALUE!</v>
      </c>
      <c r="L1202" s="184" t="e">
        <v>#VALUE!</v>
      </c>
      <c r="M1202" s="184" t="e">
        <v>#VALUE!</v>
      </c>
      <c r="N1202" s="184" t="e">
        <v>#VALUE!</v>
      </c>
      <c r="O1202" s="147" t="e">
        <v>#VALUE!</v>
      </c>
      <c r="P1202" s="147" t="e">
        <v>#VALUE!</v>
      </c>
      <c r="Q1202" s="184" t="e">
        <v>#VALUE!</v>
      </c>
      <c r="R1202" s="147" t="e">
        <v>#VALUE!</v>
      </c>
      <c r="S1202" s="184" t="e">
        <v>#VALUE!</v>
      </c>
      <c r="T1202" s="147" t="e">
        <v>#VALUE!</v>
      </c>
      <c r="U1202" s="147" t="e">
        <v>#VALUE!</v>
      </c>
      <c r="V1202" s="147" t="e">
        <v>#VALUE!</v>
      </c>
      <c r="W1202" s="184" t="e">
        <v>#VALUE!</v>
      </c>
      <c r="X1202" s="147" t="e">
        <v>#VALUE!</v>
      </c>
      <c r="Y1202" s="147" t="e">
        <v>#VALUE!</v>
      </c>
      <c r="Z1202" s="184" t="e">
        <v>#VALUE!</v>
      </c>
      <c r="AA1202" s="147" t="e">
        <v>#VALUE!</v>
      </c>
      <c r="AB1202" s="147" t="e">
        <v>#VALUE!</v>
      </c>
      <c r="AC1202" s="147" t="e">
        <v>#VALUE!</v>
      </c>
      <c r="AD1202" s="184" t="e">
        <v>#VALUE!</v>
      </c>
      <c r="AE1202" s="147" t="e">
        <v>#VALUE!</v>
      </c>
      <c r="AF1202" s="147" t="e">
        <v>#VALUE!</v>
      </c>
      <c r="AG1202" s="147" t="e">
        <v>#VALUE!</v>
      </c>
      <c r="AH1202" s="184" t="e">
        <v>#VALUE!</v>
      </c>
      <c r="AI1202" s="147" t="e">
        <v>#VALUE!</v>
      </c>
      <c r="AJ1202" s="147" t="e">
        <v>#VALUE!</v>
      </c>
      <c r="AK1202" s="184" t="e">
        <v>#VALUE!</v>
      </c>
      <c r="AL1202" s="183" t="e">
        <v>#VALUE!</v>
      </c>
      <c r="AM1202" s="147" t="e">
        <v>#VALUE!</v>
      </c>
      <c r="AN1202" s="184" t="e">
        <v>#VALUE!</v>
      </c>
      <c r="AO1202" s="147" t="e">
        <v>#VALUE!</v>
      </c>
      <c r="AP1202" s="147" t="e">
        <v>#VALUE!</v>
      </c>
      <c r="AQ1202" s="147" t="e">
        <v>#VALUE!</v>
      </c>
      <c r="AR1202" s="147" t="s">
        <v>18</v>
      </c>
      <c r="AS1202" s="147" t="s">
        <v>18</v>
      </c>
      <c r="AT1202" s="161"/>
      <c r="AU1202" s="161"/>
      <c r="AV1202" s="161"/>
      <c r="AW1202" s="161"/>
      <c r="AX1202" s="161"/>
      <c r="AY1202" s="161"/>
      <c r="AZ1202" s="161"/>
      <c r="BA1202" s="161"/>
      <c r="BB1202" s="161"/>
      <c r="BC1202" s="161"/>
    </row>
    <row r="1203" spans="1:55" ht="15.75" customHeight="1" x14ac:dyDescent="0.25">
      <c r="A1203" s="149" t="s">
        <v>1</v>
      </c>
      <c r="B1203" s="150" t="s">
        <v>2</v>
      </c>
      <c r="C1203" s="130"/>
      <c r="D1203" s="175"/>
      <c r="E1203" s="130"/>
      <c r="F1203" s="175"/>
      <c r="G1203" s="130">
        <v>3531</v>
      </c>
      <c r="H1203" s="174" t="s">
        <v>18</v>
      </c>
      <c r="I1203" s="130" t="s">
        <v>18</v>
      </c>
      <c r="J1203" s="175" t="s">
        <v>18</v>
      </c>
      <c r="K1203" s="130">
        <v>3670</v>
      </c>
      <c r="L1203" s="175">
        <v>3711</v>
      </c>
      <c r="M1203" s="175">
        <v>3752</v>
      </c>
      <c r="N1203" s="175">
        <v>3752</v>
      </c>
      <c r="O1203" s="130">
        <v>3752</v>
      </c>
      <c r="P1203" s="130">
        <v>3804</v>
      </c>
      <c r="Q1203" s="175">
        <v>3804</v>
      </c>
      <c r="R1203" s="130">
        <v>3869</v>
      </c>
      <c r="S1203" s="175">
        <v>3869</v>
      </c>
      <c r="T1203" s="130">
        <v>3869</v>
      </c>
      <c r="U1203" s="130">
        <v>3869</v>
      </c>
      <c r="V1203" s="130">
        <v>3940</v>
      </c>
      <c r="W1203" s="175">
        <v>3940</v>
      </c>
      <c r="X1203" s="130">
        <v>3940</v>
      </c>
      <c r="Y1203" s="130">
        <v>4007</v>
      </c>
      <c r="Z1203" s="175">
        <v>4007</v>
      </c>
      <c r="AA1203" s="130">
        <v>4007</v>
      </c>
      <c r="AB1203" s="130">
        <v>4007</v>
      </c>
      <c r="AC1203" s="130">
        <v>4047</v>
      </c>
      <c r="AD1203" s="175">
        <v>4047</v>
      </c>
      <c r="AE1203" s="130">
        <v>4047</v>
      </c>
      <c r="AF1203" s="130">
        <v>4047</v>
      </c>
      <c r="AG1203" s="130">
        <v>4138</v>
      </c>
      <c r="AH1203" s="175">
        <v>4138</v>
      </c>
      <c r="AI1203" s="130">
        <v>4138</v>
      </c>
      <c r="AJ1203" s="130">
        <v>4182</v>
      </c>
      <c r="AK1203" s="175">
        <v>4210</v>
      </c>
      <c r="AL1203" s="174">
        <v>4210</v>
      </c>
      <c r="AM1203" s="130">
        <v>4291</v>
      </c>
      <c r="AN1203" s="175">
        <v>4291</v>
      </c>
      <c r="AO1203" s="130">
        <v>4291</v>
      </c>
      <c r="AP1203" s="130">
        <v>4291</v>
      </c>
      <c r="AQ1203" s="130">
        <v>4291</v>
      </c>
      <c r="AR1203" s="130" t="s">
        <v>18</v>
      </c>
      <c r="AS1203" s="130" t="s">
        <v>18</v>
      </c>
      <c r="AT1203" s="161"/>
      <c r="AU1203" s="161"/>
      <c r="AV1203" s="161"/>
      <c r="AW1203" s="161"/>
      <c r="AX1203" s="161"/>
      <c r="AY1203" s="161"/>
      <c r="AZ1203" s="161"/>
      <c r="BA1203" s="161"/>
      <c r="BB1203" s="161"/>
      <c r="BC1203" s="161"/>
    </row>
    <row r="1204" spans="1:55" ht="15.75" customHeight="1" x14ac:dyDescent="0.25">
      <c r="A1204" s="121" t="s">
        <v>40</v>
      </c>
      <c r="B1204" s="122" t="s">
        <v>4</v>
      </c>
      <c r="C1204" s="124"/>
      <c r="D1204" s="172"/>
      <c r="E1204" s="124"/>
      <c r="F1204" s="172"/>
      <c r="G1204" s="124">
        <v>268</v>
      </c>
      <c r="H1204" s="171" t="s">
        <v>18</v>
      </c>
      <c r="I1204" s="124" t="s">
        <v>18</v>
      </c>
      <c r="J1204" s="172" t="s">
        <v>18</v>
      </c>
      <c r="K1204" s="124">
        <v>291</v>
      </c>
      <c r="L1204" s="172">
        <v>294</v>
      </c>
      <c r="M1204" s="172">
        <v>302</v>
      </c>
      <c r="N1204" s="172">
        <v>302</v>
      </c>
      <c r="O1204" s="124">
        <v>302</v>
      </c>
      <c r="P1204" s="124">
        <v>310</v>
      </c>
      <c r="Q1204" s="172">
        <v>310</v>
      </c>
      <c r="R1204" s="124">
        <v>322</v>
      </c>
      <c r="S1204" s="172">
        <v>322</v>
      </c>
      <c r="T1204" s="124">
        <v>322</v>
      </c>
      <c r="U1204" s="124">
        <v>322</v>
      </c>
      <c r="V1204" s="124">
        <v>330</v>
      </c>
      <c r="W1204" s="172">
        <v>330</v>
      </c>
      <c r="X1204" s="124">
        <v>330</v>
      </c>
      <c r="Y1204" s="124">
        <v>339</v>
      </c>
      <c r="Z1204" s="172">
        <v>339</v>
      </c>
      <c r="AA1204" s="124">
        <v>339</v>
      </c>
      <c r="AB1204" s="124">
        <v>339</v>
      </c>
      <c r="AC1204" s="124">
        <v>346</v>
      </c>
      <c r="AD1204" s="172">
        <v>346</v>
      </c>
      <c r="AE1204" s="124">
        <v>346</v>
      </c>
      <c r="AF1204" s="124">
        <v>346</v>
      </c>
      <c r="AG1204" s="124">
        <v>353</v>
      </c>
      <c r="AH1204" s="172">
        <v>353</v>
      </c>
      <c r="AI1204" s="124">
        <v>353</v>
      </c>
      <c r="AJ1204" s="124">
        <v>358</v>
      </c>
      <c r="AK1204" s="172">
        <v>363</v>
      </c>
      <c r="AL1204" s="171">
        <v>363</v>
      </c>
      <c r="AM1204" s="124">
        <v>372</v>
      </c>
      <c r="AN1204" s="172">
        <v>372</v>
      </c>
      <c r="AO1204" s="124">
        <v>372</v>
      </c>
      <c r="AP1204" s="124">
        <v>372</v>
      </c>
      <c r="AQ1204" s="124">
        <v>372</v>
      </c>
      <c r="AR1204" s="124" t="s">
        <v>18</v>
      </c>
      <c r="AS1204" s="124" t="s">
        <v>18</v>
      </c>
      <c r="AT1204" s="161"/>
      <c r="AU1204" s="161"/>
      <c r="AV1204" s="161"/>
      <c r="AW1204" s="161"/>
      <c r="AX1204" s="161"/>
      <c r="AY1204" s="161"/>
      <c r="AZ1204" s="161"/>
      <c r="BA1204" s="161"/>
      <c r="BB1204" s="161"/>
      <c r="BC1204" s="161"/>
    </row>
    <row r="1205" spans="1:55" ht="15.75" customHeight="1" x14ac:dyDescent="0.25">
      <c r="A1205" s="143">
        <v>4</v>
      </c>
      <c r="B1205" s="122" t="s">
        <v>5</v>
      </c>
      <c r="C1205" s="124"/>
      <c r="D1205" s="172"/>
      <c r="E1205" s="124"/>
      <c r="F1205" s="172"/>
      <c r="G1205" s="124">
        <v>59</v>
      </c>
      <c r="H1205" s="171" t="s">
        <v>18</v>
      </c>
      <c r="I1205" s="124" t="s">
        <v>18</v>
      </c>
      <c r="J1205" s="172" t="s">
        <v>18</v>
      </c>
      <c r="K1205" s="124">
        <v>55</v>
      </c>
      <c r="L1205" s="172">
        <v>55</v>
      </c>
      <c r="M1205" s="172">
        <v>47</v>
      </c>
      <c r="N1205" s="172">
        <v>67</v>
      </c>
      <c r="O1205" s="124">
        <v>67</v>
      </c>
      <c r="P1205" s="124">
        <v>59</v>
      </c>
      <c r="Q1205" s="172">
        <v>59</v>
      </c>
      <c r="R1205" s="124">
        <v>59</v>
      </c>
      <c r="S1205" s="172">
        <v>69</v>
      </c>
      <c r="T1205" s="124">
        <v>69</v>
      </c>
      <c r="U1205" s="124">
        <v>69</v>
      </c>
      <c r="V1205" s="124">
        <v>61</v>
      </c>
      <c r="W1205" s="172">
        <v>61</v>
      </c>
      <c r="X1205" s="124">
        <v>61</v>
      </c>
      <c r="Y1205" s="124">
        <v>52</v>
      </c>
      <c r="Z1205" s="172">
        <v>72</v>
      </c>
      <c r="AA1205" s="124">
        <v>72</v>
      </c>
      <c r="AB1205" s="124">
        <v>72</v>
      </c>
      <c r="AC1205" s="124">
        <v>66</v>
      </c>
      <c r="AD1205" s="172">
        <v>66</v>
      </c>
      <c r="AE1205" s="124">
        <v>66</v>
      </c>
      <c r="AF1205" s="124">
        <v>66</v>
      </c>
      <c r="AG1205" s="124">
        <v>59</v>
      </c>
      <c r="AH1205" s="172">
        <v>59</v>
      </c>
      <c r="AI1205" s="124">
        <v>59</v>
      </c>
      <c r="AJ1205" s="124">
        <v>54</v>
      </c>
      <c r="AK1205" s="172">
        <v>79</v>
      </c>
      <c r="AL1205" s="171">
        <v>79</v>
      </c>
      <c r="AM1205" s="124">
        <v>79</v>
      </c>
      <c r="AN1205" s="172">
        <v>79</v>
      </c>
      <c r="AO1205" s="124">
        <v>79</v>
      </c>
      <c r="AP1205" s="124">
        <v>79</v>
      </c>
      <c r="AQ1205" s="124">
        <v>79</v>
      </c>
      <c r="AR1205" s="124" t="s">
        <v>18</v>
      </c>
      <c r="AS1205" s="124" t="s">
        <v>18</v>
      </c>
      <c r="AT1205" s="161"/>
      <c r="AU1205" s="161"/>
      <c r="AV1205" s="161"/>
      <c r="AW1205" s="161"/>
      <c r="AX1205" s="161"/>
      <c r="AY1205" s="161"/>
      <c r="AZ1205" s="161"/>
      <c r="BA1205" s="161"/>
      <c r="BB1205" s="161"/>
      <c r="BC1205" s="161"/>
    </row>
    <row r="1206" spans="1:55" ht="15.75" customHeight="1" x14ac:dyDescent="0.25">
      <c r="A1206" s="127"/>
      <c r="B1206" s="122" t="s">
        <v>6</v>
      </c>
      <c r="C1206" s="124"/>
      <c r="D1206" s="172"/>
      <c r="E1206" s="124"/>
      <c r="F1206" s="172"/>
      <c r="G1206" s="124">
        <v>10</v>
      </c>
      <c r="H1206" s="171"/>
      <c r="I1206" s="124"/>
      <c r="J1206" s="172"/>
      <c r="K1206" s="124"/>
      <c r="L1206" s="172"/>
      <c r="M1206" s="172">
        <v>20</v>
      </c>
      <c r="N1206" s="172"/>
      <c r="O1206" s="124"/>
      <c r="P1206" s="124"/>
      <c r="Q1206" s="172"/>
      <c r="R1206" s="124">
        <v>10</v>
      </c>
      <c r="S1206" s="172"/>
      <c r="T1206" s="124"/>
      <c r="U1206" s="124"/>
      <c r="V1206" s="124"/>
      <c r="W1206" s="172"/>
      <c r="X1206" s="124"/>
      <c r="Y1206" s="124">
        <v>20</v>
      </c>
      <c r="Z1206" s="172"/>
      <c r="AA1206" s="124"/>
      <c r="AB1206" s="124"/>
      <c r="AC1206" s="124"/>
      <c r="AD1206" s="172"/>
      <c r="AE1206" s="124"/>
      <c r="AF1206" s="124"/>
      <c r="AG1206" s="124"/>
      <c r="AH1206" s="172"/>
      <c r="AI1206" s="124"/>
      <c r="AJ1206" s="124">
        <v>30</v>
      </c>
      <c r="AK1206" s="172"/>
      <c r="AL1206" s="171"/>
      <c r="AM1206" s="124"/>
      <c r="AN1206" s="172"/>
      <c r="AO1206" s="124"/>
      <c r="AP1206" s="124"/>
      <c r="AQ1206" s="124"/>
      <c r="AR1206" s="124"/>
      <c r="AS1206" s="124"/>
      <c r="AT1206" s="161"/>
      <c r="AU1206" s="161"/>
      <c r="AV1206" s="161"/>
      <c r="AW1206" s="161"/>
      <c r="AX1206" s="161"/>
      <c r="AY1206" s="161"/>
      <c r="AZ1206" s="161"/>
      <c r="BA1206" s="161"/>
      <c r="BB1206" s="161"/>
      <c r="BC1206" s="161"/>
    </row>
    <row r="1207" spans="1:55" ht="15.75" customHeight="1" x14ac:dyDescent="0.25">
      <c r="A1207" s="128"/>
      <c r="B1207" s="122" t="s">
        <v>8</v>
      </c>
      <c r="C1207" s="130"/>
      <c r="D1207" s="175"/>
      <c r="E1207" s="130"/>
      <c r="F1207" s="175"/>
      <c r="G1207" s="130">
        <v>200</v>
      </c>
      <c r="H1207" s="174" t="s">
        <v>18</v>
      </c>
      <c r="I1207" s="130" t="s">
        <v>18</v>
      </c>
      <c r="J1207" s="175" t="s">
        <v>18</v>
      </c>
      <c r="K1207" s="130" t="s">
        <v>18</v>
      </c>
      <c r="L1207" s="175" t="s">
        <v>18</v>
      </c>
      <c r="M1207" s="175" t="s">
        <v>18</v>
      </c>
      <c r="N1207" s="175" t="s">
        <v>18</v>
      </c>
      <c r="O1207" s="130" t="s">
        <v>18</v>
      </c>
      <c r="P1207" s="130" t="s">
        <v>18</v>
      </c>
      <c r="Q1207" s="175" t="s">
        <v>18</v>
      </c>
      <c r="R1207" s="130" t="s">
        <v>18</v>
      </c>
      <c r="S1207" s="175" t="s">
        <v>18</v>
      </c>
      <c r="T1207" s="130" t="s">
        <v>18</v>
      </c>
      <c r="U1207" s="130" t="s">
        <v>18</v>
      </c>
      <c r="V1207" s="130" t="s">
        <v>18</v>
      </c>
      <c r="W1207" s="175" t="s">
        <v>18</v>
      </c>
      <c r="X1207" s="130" t="s">
        <v>18</v>
      </c>
      <c r="Y1207" s="130" t="s">
        <v>18</v>
      </c>
      <c r="Z1207" s="175" t="s">
        <v>18</v>
      </c>
      <c r="AA1207" s="130" t="s">
        <v>18</v>
      </c>
      <c r="AB1207" s="130" t="s">
        <v>18</v>
      </c>
      <c r="AC1207" s="130" t="s">
        <v>18</v>
      </c>
      <c r="AD1207" s="175" t="s">
        <v>18</v>
      </c>
      <c r="AE1207" s="130" t="s">
        <v>18</v>
      </c>
      <c r="AF1207" s="130" t="s">
        <v>18</v>
      </c>
      <c r="AG1207" s="130" t="s">
        <v>18</v>
      </c>
      <c r="AH1207" s="175" t="s">
        <v>18</v>
      </c>
      <c r="AI1207" s="130" t="s">
        <v>18</v>
      </c>
      <c r="AJ1207" s="130" t="s">
        <v>18</v>
      </c>
      <c r="AK1207" s="175" t="s">
        <v>18</v>
      </c>
      <c r="AL1207" s="174" t="s">
        <v>18</v>
      </c>
      <c r="AM1207" s="130" t="s">
        <v>18</v>
      </c>
      <c r="AN1207" s="175" t="s">
        <v>18</v>
      </c>
      <c r="AO1207" s="130" t="s">
        <v>18</v>
      </c>
      <c r="AP1207" s="130" t="s">
        <v>18</v>
      </c>
      <c r="AQ1207" s="130" t="s">
        <v>18</v>
      </c>
      <c r="AR1207" s="130" t="s">
        <v>18</v>
      </c>
      <c r="AS1207" s="130" t="s">
        <v>18</v>
      </c>
      <c r="AT1207" s="161"/>
      <c r="AU1207" s="161"/>
      <c r="AV1207" s="161"/>
      <c r="AW1207" s="161"/>
      <c r="AX1207" s="161"/>
      <c r="AY1207" s="161"/>
      <c r="AZ1207" s="161"/>
      <c r="BA1207" s="161"/>
      <c r="BB1207" s="161"/>
      <c r="BC1207" s="161"/>
    </row>
    <row r="1208" spans="1:55" ht="15.75" customHeight="1" x14ac:dyDescent="0.25">
      <c r="A1208" s="127" t="s">
        <v>9</v>
      </c>
      <c r="B1208" s="132" t="s">
        <v>10</v>
      </c>
      <c r="C1208" s="134"/>
      <c r="D1208" s="178"/>
      <c r="E1208" s="134"/>
      <c r="F1208" s="178"/>
      <c r="G1208" s="134" t="s">
        <v>123</v>
      </c>
      <c r="H1208" s="177" t="s">
        <v>18</v>
      </c>
      <c r="I1208" s="134" t="s">
        <v>18</v>
      </c>
      <c r="J1208" s="178" t="s">
        <v>18</v>
      </c>
      <c r="K1208" s="134" t="s">
        <v>18</v>
      </c>
      <c r="L1208" s="178" t="s">
        <v>18</v>
      </c>
      <c r="M1208" s="178" t="s">
        <v>18</v>
      </c>
      <c r="N1208" s="178" t="s">
        <v>18</v>
      </c>
      <c r="O1208" s="134" t="s">
        <v>18</v>
      </c>
      <c r="P1208" s="134" t="s">
        <v>18</v>
      </c>
      <c r="Q1208" s="178" t="s">
        <v>18</v>
      </c>
      <c r="R1208" s="134" t="s">
        <v>18</v>
      </c>
      <c r="S1208" s="178" t="s">
        <v>18</v>
      </c>
      <c r="T1208" s="134" t="s">
        <v>18</v>
      </c>
      <c r="U1208" s="134" t="s">
        <v>18</v>
      </c>
      <c r="V1208" s="134" t="s">
        <v>18</v>
      </c>
      <c r="W1208" s="178" t="s">
        <v>18</v>
      </c>
      <c r="X1208" s="134" t="s">
        <v>18</v>
      </c>
      <c r="Y1208" s="134" t="s">
        <v>18</v>
      </c>
      <c r="Z1208" s="178" t="s">
        <v>18</v>
      </c>
      <c r="AA1208" s="134" t="s">
        <v>18</v>
      </c>
      <c r="AB1208" s="134" t="s">
        <v>18</v>
      </c>
      <c r="AC1208" s="134" t="s">
        <v>18</v>
      </c>
      <c r="AD1208" s="178" t="s">
        <v>18</v>
      </c>
      <c r="AE1208" s="134" t="s">
        <v>18</v>
      </c>
      <c r="AF1208" s="134" t="s">
        <v>18</v>
      </c>
      <c r="AG1208" s="134" t="s">
        <v>18</v>
      </c>
      <c r="AH1208" s="178" t="s">
        <v>18</v>
      </c>
      <c r="AI1208" s="134" t="s">
        <v>18</v>
      </c>
      <c r="AJ1208" s="134" t="s">
        <v>18</v>
      </c>
      <c r="AK1208" s="178" t="s">
        <v>18</v>
      </c>
      <c r="AL1208" s="177" t="s">
        <v>18</v>
      </c>
      <c r="AM1208" s="134" t="s">
        <v>18</v>
      </c>
      <c r="AN1208" s="178" t="s">
        <v>18</v>
      </c>
      <c r="AO1208" s="134" t="s">
        <v>18</v>
      </c>
      <c r="AP1208" s="134" t="s">
        <v>18</v>
      </c>
      <c r="AQ1208" s="134" t="s">
        <v>18</v>
      </c>
      <c r="AR1208" s="134" t="s">
        <v>18</v>
      </c>
      <c r="AS1208" s="134" t="s">
        <v>18</v>
      </c>
      <c r="AT1208" s="189"/>
      <c r="AU1208" s="189"/>
      <c r="AV1208" s="189"/>
      <c r="AW1208" s="189"/>
      <c r="AX1208" s="189"/>
      <c r="AY1208" s="189"/>
      <c r="AZ1208" s="189"/>
      <c r="BA1208" s="189"/>
      <c r="BB1208" s="189"/>
      <c r="BC1208" s="189"/>
    </row>
    <row r="1209" spans="1:55" ht="15.75" customHeight="1" x14ac:dyDescent="0.25">
      <c r="A1209" s="128" t="e">
        <v>#VALUE!</v>
      </c>
      <c r="B1209" s="122" t="s">
        <v>12</v>
      </c>
      <c r="C1209" s="124"/>
      <c r="D1209" s="172"/>
      <c r="E1209" s="124"/>
      <c r="F1209" s="172"/>
      <c r="G1209" s="124"/>
      <c r="H1209" s="171"/>
      <c r="I1209" s="124"/>
      <c r="J1209" s="172"/>
      <c r="K1209" s="124"/>
      <c r="L1209" s="172"/>
      <c r="M1209" s="172"/>
      <c r="N1209" s="172"/>
      <c r="O1209" s="124"/>
      <c r="P1209" s="124"/>
      <c r="Q1209" s="172"/>
      <c r="R1209" s="124"/>
      <c r="S1209" s="172"/>
      <c r="T1209" s="124"/>
      <c r="U1209" s="124"/>
      <c r="V1209" s="124"/>
      <c r="W1209" s="172"/>
      <c r="X1209" s="124"/>
      <c r="Y1209" s="124"/>
      <c r="Z1209" s="172"/>
      <c r="AA1209" s="124"/>
      <c r="AB1209" s="124"/>
      <c r="AC1209" s="124"/>
      <c r="AD1209" s="172"/>
      <c r="AE1209" s="124"/>
      <c r="AF1209" s="124"/>
      <c r="AG1209" s="124"/>
      <c r="AH1209" s="172"/>
      <c r="AI1209" s="124"/>
      <c r="AJ1209" s="124"/>
      <c r="AK1209" s="172"/>
      <c r="AL1209" s="171"/>
      <c r="AM1209" s="124"/>
      <c r="AN1209" s="172"/>
      <c r="AO1209" s="124"/>
      <c r="AP1209" s="124"/>
      <c r="AQ1209" s="124"/>
      <c r="AR1209" s="124"/>
      <c r="AS1209" s="124"/>
      <c r="AT1209" s="161"/>
      <c r="AU1209" s="161"/>
      <c r="AV1209" s="161"/>
      <c r="AW1209" s="161"/>
      <c r="AX1209" s="161"/>
      <c r="AY1209" s="161"/>
      <c r="AZ1209" s="161"/>
      <c r="BA1209" s="161"/>
      <c r="BB1209" s="161"/>
      <c r="BC1209" s="161"/>
    </row>
    <row r="1210" spans="1:55" ht="15.75" customHeight="1" x14ac:dyDescent="0.25">
      <c r="A1210" s="128" t="e">
        <v>#VALUE!</v>
      </c>
      <c r="B1210" s="136" t="s">
        <v>13</v>
      </c>
      <c r="C1210" s="137"/>
      <c r="D1210" s="172"/>
      <c r="E1210" s="124"/>
      <c r="F1210" s="172"/>
      <c r="G1210" s="137">
        <v>0</v>
      </c>
      <c r="H1210" s="171" t="s">
        <v>18</v>
      </c>
      <c r="I1210" s="137" t="s">
        <v>18</v>
      </c>
      <c r="J1210" s="172" t="s">
        <v>18</v>
      </c>
      <c r="K1210" s="137" t="e">
        <v>#VALUE!</v>
      </c>
      <c r="L1210" s="172">
        <v>41</v>
      </c>
      <c r="M1210" s="172">
        <v>41</v>
      </c>
      <c r="N1210" s="172">
        <v>0</v>
      </c>
      <c r="O1210" s="137">
        <v>0</v>
      </c>
      <c r="P1210" s="137">
        <v>52</v>
      </c>
      <c r="Q1210" s="172">
        <v>0</v>
      </c>
      <c r="R1210" s="137">
        <v>65</v>
      </c>
      <c r="S1210" s="172">
        <v>0</v>
      </c>
      <c r="T1210" s="137">
        <v>0</v>
      </c>
      <c r="U1210" s="137">
        <v>0</v>
      </c>
      <c r="V1210" s="137">
        <v>71</v>
      </c>
      <c r="W1210" s="172">
        <v>0</v>
      </c>
      <c r="X1210" s="137">
        <v>0</v>
      </c>
      <c r="Y1210" s="137">
        <v>67</v>
      </c>
      <c r="Z1210" s="172">
        <v>0</v>
      </c>
      <c r="AA1210" s="137">
        <v>0</v>
      </c>
      <c r="AB1210" s="137">
        <v>0</v>
      </c>
      <c r="AC1210" s="137">
        <v>40</v>
      </c>
      <c r="AD1210" s="172">
        <v>0</v>
      </c>
      <c r="AE1210" s="137">
        <v>0</v>
      </c>
      <c r="AF1210" s="137">
        <v>0</v>
      </c>
      <c r="AG1210" s="137">
        <v>91</v>
      </c>
      <c r="AH1210" s="172">
        <v>0</v>
      </c>
      <c r="AI1210" s="137">
        <v>0</v>
      </c>
      <c r="AJ1210" s="137">
        <v>44</v>
      </c>
      <c r="AK1210" s="172">
        <v>28</v>
      </c>
      <c r="AL1210" s="171">
        <v>0</v>
      </c>
      <c r="AM1210" s="137">
        <v>81</v>
      </c>
      <c r="AN1210" s="172">
        <v>0</v>
      </c>
      <c r="AO1210" s="137">
        <v>0</v>
      </c>
      <c r="AP1210" s="137">
        <v>0</v>
      </c>
      <c r="AQ1210" s="137">
        <v>0</v>
      </c>
      <c r="AR1210" s="137" t="s">
        <v>18</v>
      </c>
      <c r="AS1210" s="137" t="s">
        <v>18</v>
      </c>
      <c r="AT1210" s="161"/>
      <c r="AU1210" s="161"/>
      <c r="AV1210" s="161"/>
      <c r="AW1210" s="161"/>
      <c r="AX1210" s="161"/>
      <c r="AY1210" s="161"/>
      <c r="AZ1210" s="161"/>
      <c r="BA1210" s="161"/>
      <c r="BB1210" s="161"/>
      <c r="BC1210" s="161"/>
    </row>
    <row r="1211" spans="1:55" ht="15.75" customHeight="1" x14ac:dyDescent="0.25">
      <c r="A1211" s="128" t="e">
        <v>#VALUE!</v>
      </c>
      <c r="B1211" s="136" t="s">
        <v>14</v>
      </c>
      <c r="C1211" s="137"/>
      <c r="D1211" s="172"/>
      <c r="E1211" s="124"/>
      <c r="F1211" s="172"/>
      <c r="G1211" s="137">
        <v>0</v>
      </c>
      <c r="H1211" s="171" t="s">
        <v>18</v>
      </c>
      <c r="I1211" s="137" t="s">
        <v>18</v>
      </c>
      <c r="J1211" s="172" t="s">
        <v>18</v>
      </c>
      <c r="K1211" s="137" t="e">
        <v>#VALUE!</v>
      </c>
      <c r="L1211" s="172">
        <v>3</v>
      </c>
      <c r="M1211" s="172">
        <v>8</v>
      </c>
      <c r="N1211" s="172">
        <v>0</v>
      </c>
      <c r="O1211" s="137">
        <v>0</v>
      </c>
      <c r="P1211" s="137">
        <v>8</v>
      </c>
      <c r="Q1211" s="172">
        <v>0</v>
      </c>
      <c r="R1211" s="137">
        <v>12</v>
      </c>
      <c r="S1211" s="172">
        <v>0</v>
      </c>
      <c r="T1211" s="137">
        <v>0</v>
      </c>
      <c r="U1211" s="137">
        <v>0</v>
      </c>
      <c r="V1211" s="137">
        <v>8</v>
      </c>
      <c r="W1211" s="172">
        <v>0</v>
      </c>
      <c r="X1211" s="137">
        <v>0</v>
      </c>
      <c r="Y1211" s="137">
        <v>9</v>
      </c>
      <c r="Z1211" s="172">
        <v>0</v>
      </c>
      <c r="AA1211" s="137">
        <v>0</v>
      </c>
      <c r="AB1211" s="137">
        <v>0</v>
      </c>
      <c r="AC1211" s="137">
        <v>7</v>
      </c>
      <c r="AD1211" s="172">
        <v>0</v>
      </c>
      <c r="AE1211" s="137">
        <v>0</v>
      </c>
      <c r="AF1211" s="137">
        <v>0</v>
      </c>
      <c r="AG1211" s="137">
        <v>7</v>
      </c>
      <c r="AH1211" s="172">
        <v>0</v>
      </c>
      <c r="AI1211" s="137">
        <v>0</v>
      </c>
      <c r="AJ1211" s="137">
        <v>5</v>
      </c>
      <c r="AK1211" s="172">
        <v>5</v>
      </c>
      <c r="AL1211" s="171">
        <v>0</v>
      </c>
      <c r="AM1211" s="137">
        <v>9</v>
      </c>
      <c r="AN1211" s="172">
        <v>0</v>
      </c>
      <c r="AO1211" s="137">
        <v>0</v>
      </c>
      <c r="AP1211" s="137">
        <v>0</v>
      </c>
      <c r="AQ1211" s="137">
        <v>0</v>
      </c>
      <c r="AR1211" s="137" t="s">
        <v>18</v>
      </c>
      <c r="AS1211" s="137" t="s">
        <v>18</v>
      </c>
      <c r="AT1211" s="161"/>
      <c r="AU1211" s="161"/>
      <c r="AV1211" s="161"/>
      <c r="AW1211" s="161"/>
      <c r="AX1211" s="161"/>
      <c r="AY1211" s="161"/>
      <c r="AZ1211" s="161"/>
      <c r="BA1211" s="161"/>
      <c r="BB1211" s="161"/>
      <c r="BC1211" s="161"/>
    </row>
    <row r="1212" spans="1:55" ht="15.75" customHeight="1" x14ac:dyDescent="0.25">
      <c r="A1212" s="128" t="e">
        <v>#VALUE!</v>
      </c>
      <c r="B1212" s="136" t="s">
        <v>15</v>
      </c>
      <c r="C1212" s="137"/>
      <c r="D1212" s="172"/>
      <c r="E1212" s="124"/>
      <c r="F1212" s="172"/>
      <c r="G1212" s="137">
        <v>10</v>
      </c>
      <c r="H1212" s="171" t="s">
        <v>18</v>
      </c>
      <c r="I1212" s="137" t="s">
        <v>18</v>
      </c>
      <c r="J1212" s="172" t="s">
        <v>18</v>
      </c>
      <c r="K1212" s="137" t="e">
        <v>#VALUE!</v>
      </c>
      <c r="L1212" s="172">
        <v>0</v>
      </c>
      <c r="M1212" s="172">
        <v>8</v>
      </c>
      <c r="N1212" s="172">
        <v>0</v>
      </c>
      <c r="O1212" s="137">
        <v>0</v>
      </c>
      <c r="P1212" s="137">
        <v>8</v>
      </c>
      <c r="Q1212" s="172">
        <v>0</v>
      </c>
      <c r="R1212" s="137">
        <v>0</v>
      </c>
      <c r="S1212" s="172">
        <v>0</v>
      </c>
      <c r="T1212" s="137">
        <v>0</v>
      </c>
      <c r="U1212" s="137">
        <v>0</v>
      </c>
      <c r="V1212" s="137">
        <v>8</v>
      </c>
      <c r="W1212" s="172">
        <v>0</v>
      </c>
      <c r="X1212" s="137">
        <v>0</v>
      </c>
      <c r="Y1212" s="137">
        <v>9</v>
      </c>
      <c r="Z1212" s="172">
        <v>0</v>
      </c>
      <c r="AA1212" s="137">
        <v>0</v>
      </c>
      <c r="AB1212" s="137">
        <v>0</v>
      </c>
      <c r="AC1212" s="137">
        <v>6</v>
      </c>
      <c r="AD1212" s="172">
        <v>0</v>
      </c>
      <c r="AE1212" s="137">
        <v>0</v>
      </c>
      <c r="AF1212" s="137">
        <v>0</v>
      </c>
      <c r="AG1212" s="137">
        <v>7</v>
      </c>
      <c r="AH1212" s="172">
        <v>0</v>
      </c>
      <c r="AI1212" s="137">
        <v>0</v>
      </c>
      <c r="AJ1212" s="137">
        <v>5</v>
      </c>
      <c r="AK1212" s="172">
        <v>5</v>
      </c>
      <c r="AL1212" s="171">
        <v>0</v>
      </c>
      <c r="AM1212" s="137">
        <v>0</v>
      </c>
      <c r="AN1212" s="172">
        <v>0</v>
      </c>
      <c r="AO1212" s="137">
        <v>0</v>
      </c>
      <c r="AP1212" s="137">
        <v>0</v>
      </c>
      <c r="AQ1212" s="137">
        <v>0</v>
      </c>
      <c r="AR1212" s="137" t="s">
        <v>18</v>
      </c>
      <c r="AS1212" s="137" t="s">
        <v>18</v>
      </c>
      <c r="AT1212" s="161"/>
      <c r="AU1212" s="161"/>
      <c r="AV1212" s="161"/>
      <c r="AW1212" s="161"/>
      <c r="AX1212" s="161"/>
      <c r="AY1212" s="161"/>
      <c r="AZ1212" s="161"/>
      <c r="BA1212" s="161"/>
      <c r="BB1212" s="161"/>
      <c r="BC1212" s="161"/>
    </row>
    <row r="1213" spans="1:55" ht="15.75" customHeight="1" x14ac:dyDescent="0.25">
      <c r="A1213" s="128" t="e">
        <v>#VALUE!</v>
      </c>
      <c r="B1213" s="136" t="s">
        <v>16</v>
      </c>
      <c r="C1213" s="137"/>
      <c r="D1213" s="172"/>
      <c r="E1213" s="124"/>
      <c r="F1213" s="172"/>
      <c r="G1213" s="137">
        <v>2000</v>
      </c>
      <c r="H1213" s="171" t="s">
        <v>18</v>
      </c>
      <c r="I1213" s="137" t="s">
        <v>18</v>
      </c>
      <c r="J1213" s="172" t="s">
        <v>18</v>
      </c>
      <c r="K1213" s="137" t="e">
        <v>#VALUE!</v>
      </c>
      <c r="L1213" s="172" t="e">
        <v>#VALUE!</v>
      </c>
      <c r="M1213" s="172" t="e">
        <v>#VALUE!</v>
      </c>
      <c r="N1213" s="172" t="e">
        <v>#VALUE!</v>
      </c>
      <c r="O1213" s="137" t="e">
        <v>#VALUE!</v>
      </c>
      <c r="P1213" s="137" t="e">
        <v>#VALUE!</v>
      </c>
      <c r="Q1213" s="172" t="e">
        <v>#VALUE!</v>
      </c>
      <c r="R1213" s="137" t="e">
        <v>#VALUE!</v>
      </c>
      <c r="S1213" s="172" t="e">
        <v>#VALUE!</v>
      </c>
      <c r="T1213" s="137" t="e">
        <v>#VALUE!</v>
      </c>
      <c r="U1213" s="137" t="e">
        <v>#VALUE!</v>
      </c>
      <c r="V1213" s="137" t="e">
        <v>#VALUE!</v>
      </c>
      <c r="W1213" s="172" t="e">
        <v>#VALUE!</v>
      </c>
      <c r="X1213" s="137" t="e">
        <v>#VALUE!</v>
      </c>
      <c r="Y1213" s="137" t="e">
        <v>#VALUE!</v>
      </c>
      <c r="Z1213" s="172" t="e">
        <v>#VALUE!</v>
      </c>
      <c r="AA1213" s="137" t="e">
        <v>#VALUE!</v>
      </c>
      <c r="AB1213" s="137" t="e">
        <v>#VALUE!</v>
      </c>
      <c r="AC1213" s="137" t="e">
        <v>#VALUE!</v>
      </c>
      <c r="AD1213" s="172" t="e">
        <v>#VALUE!</v>
      </c>
      <c r="AE1213" s="137" t="e">
        <v>#VALUE!</v>
      </c>
      <c r="AF1213" s="137" t="e">
        <v>#VALUE!</v>
      </c>
      <c r="AG1213" s="137" t="e">
        <v>#VALUE!</v>
      </c>
      <c r="AH1213" s="172" t="e">
        <v>#VALUE!</v>
      </c>
      <c r="AI1213" s="137" t="e">
        <v>#VALUE!</v>
      </c>
      <c r="AJ1213" s="137" t="e">
        <v>#VALUE!</v>
      </c>
      <c r="AK1213" s="172" t="e">
        <v>#VALUE!</v>
      </c>
      <c r="AL1213" s="171" t="e">
        <v>#VALUE!</v>
      </c>
      <c r="AM1213" s="137" t="e">
        <v>#VALUE!</v>
      </c>
      <c r="AN1213" s="172" t="e">
        <v>#VALUE!</v>
      </c>
      <c r="AO1213" s="137" t="e">
        <v>#VALUE!</v>
      </c>
      <c r="AP1213" s="137" t="e">
        <v>#VALUE!</v>
      </c>
      <c r="AQ1213" s="137" t="e">
        <v>#VALUE!</v>
      </c>
      <c r="AR1213" s="137" t="s">
        <v>18</v>
      </c>
      <c r="AS1213" s="137" t="s">
        <v>18</v>
      </c>
      <c r="AT1213" s="161"/>
      <c r="AU1213" s="161"/>
      <c r="AV1213" s="161"/>
      <c r="AW1213" s="161"/>
      <c r="AX1213" s="161"/>
      <c r="AY1213" s="161"/>
      <c r="AZ1213" s="161"/>
      <c r="BA1213" s="161"/>
      <c r="BB1213" s="161"/>
      <c r="BC1213" s="161"/>
    </row>
    <row r="1214" spans="1:55" ht="15.75" customHeight="1" x14ac:dyDescent="0.25">
      <c r="A1214" s="138" t="e">
        <v>#VALUE!</v>
      </c>
      <c r="B1214" s="139" t="s">
        <v>17</v>
      </c>
      <c r="C1214" s="141"/>
      <c r="D1214" s="181"/>
      <c r="E1214" s="192"/>
      <c r="F1214" s="181"/>
      <c r="G1214" s="141" t="e">
        <v>#DIV/0!</v>
      </c>
      <c r="H1214" s="180" t="s">
        <v>18</v>
      </c>
      <c r="I1214" s="141" t="s">
        <v>18</v>
      </c>
      <c r="J1214" s="181" t="s">
        <v>18</v>
      </c>
      <c r="K1214" s="141" t="e">
        <v>#VALUE!</v>
      </c>
      <c r="L1214" s="181" t="e">
        <v>#VALUE!</v>
      </c>
      <c r="M1214" s="181" t="e">
        <v>#VALUE!</v>
      </c>
      <c r="N1214" s="181" t="e">
        <v>#VALUE!</v>
      </c>
      <c r="O1214" s="141" t="e">
        <v>#VALUE!</v>
      </c>
      <c r="P1214" s="141" t="e">
        <v>#VALUE!</v>
      </c>
      <c r="Q1214" s="181" t="e">
        <v>#VALUE!</v>
      </c>
      <c r="R1214" s="141" t="e">
        <v>#VALUE!</v>
      </c>
      <c r="S1214" s="181" t="e">
        <v>#VALUE!</v>
      </c>
      <c r="T1214" s="141" t="e">
        <v>#VALUE!</v>
      </c>
      <c r="U1214" s="141" t="e">
        <v>#VALUE!</v>
      </c>
      <c r="V1214" s="141" t="e">
        <v>#VALUE!</v>
      </c>
      <c r="W1214" s="181" t="e">
        <v>#VALUE!</v>
      </c>
      <c r="X1214" s="141" t="e">
        <v>#VALUE!</v>
      </c>
      <c r="Y1214" s="141" t="e">
        <v>#VALUE!</v>
      </c>
      <c r="Z1214" s="181" t="e">
        <v>#VALUE!</v>
      </c>
      <c r="AA1214" s="141" t="e">
        <v>#VALUE!</v>
      </c>
      <c r="AB1214" s="141" t="e">
        <v>#VALUE!</v>
      </c>
      <c r="AC1214" s="141" t="e">
        <v>#VALUE!</v>
      </c>
      <c r="AD1214" s="181" t="e">
        <v>#VALUE!</v>
      </c>
      <c r="AE1214" s="141" t="e">
        <v>#VALUE!</v>
      </c>
      <c r="AF1214" s="141" t="e">
        <v>#VALUE!</v>
      </c>
      <c r="AG1214" s="141" t="e">
        <v>#VALUE!</v>
      </c>
      <c r="AH1214" s="181" t="e">
        <v>#VALUE!</v>
      </c>
      <c r="AI1214" s="141" t="e">
        <v>#VALUE!</v>
      </c>
      <c r="AJ1214" s="141" t="e">
        <v>#VALUE!</v>
      </c>
      <c r="AK1214" s="181" t="e">
        <v>#VALUE!</v>
      </c>
      <c r="AL1214" s="180" t="e">
        <v>#VALUE!</v>
      </c>
      <c r="AM1214" s="141" t="e">
        <v>#VALUE!</v>
      </c>
      <c r="AN1214" s="181" t="e">
        <v>#VALUE!</v>
      </c>
      <c r="AO1214" s="141" t="e">
        <v>#VALUE!</v>
      </c>
      <c r="AP1214" s="141" t="e">
        <v>#VALUE!</v>
      </c>
      <c r="AQ1214" s="141" t="e">
        <v>#VALUE!</v>
      </c>
      <c r="AR1214" s="141" t="s">
        <v>18</v>
      </c>
      <c r="AS1214" s="141" t="s">
        <v>18</v>
      </c>
      <c r="AT1214" s="161"/>
      <c r="AU1214" s="161"/>
      <c r="AV1214" s="161"/>
      <c r="AW1214" s="161"/>
      <c r="AX1214" s="161"/>
      <c r="AY1214" s="161"/>
      <c r="AZ1214" s="161"/>
      <c r="BA1214" s="161"/>
      <c r="BB1214" s="161"/>
      <c r="BC1214" s="161"/>
    </row>
    <row r="1215" spans="1:55" ht="15.75" customHeight="1" x14ac:dyDescent="0.25">
      <c r="A1215" s="116" t="s">
        <v>1</v>
      </c>
      <c r="B1215" s="117" t="s">
        <v>2</v>
      </c>
      <c r="C1215" s="119"/>
      <c r="D1215" s="169"/>
      <c r="E1215" s="119"/>
      <c r="F1215" s="169"/>
      <c r="G1215" s="119">
        <v>11567</v>
      </c>
      <c r="H1215" s="168" t="s">
        <v>18</v>
      </c>
      <c r="I1215" s="119" t="s">
        <v>18</v>
      </c>
      <c r="J1215" s="169" t="s">
        <v>18</v>
      </c>
      <c r="K1215" s="119">
        <v>11767</v>
      </c>
      <c r="L1215" s="169">
        <v>11784</v>
      </c>
      <c r="M1215" s="169">
        <v>11853</v>
      </c>
      <c r="N1215" s="169">
        <v>11853</v>
      </c>
      <c r="O1215" s="119">
        <v>11853</v>
      </c>
      <c r="P1215" s="119">
        <v>11904</v>
      </c>
      <c r="Q1215" s="169">
        <v>11904</v>
      </c>
      <c r="R1215" s="119">
        <v>12072</v>
      </c>
      <c r="S1215" s="169">
        <v>12072</v>
      </c>
      <c r="T1215" s="119">
        <v>12072</v>
      </c>
      <c r="U1215" s="119">
        <v>12072</v>
      </c>
      <c r="V1215" s="119">
        <v>12276</v>
      </c>
      <c r="W1215" s="169">
        <v>12276</v>
      </c>
      <c r="X1215" s="119">
        <v>12276</v>
      </c>
      <c r="Y1215" s="119">
        <v>12478</v>
      </c>
      <c r="Z1215" s="169">
        <v>12478</v>
      </c>
      <c r="AA1215" s="119">
        <v>12478</v>
      </c>
      <c r="AB1215" s="119">
        <v>12478</v>
      </c>
      <c r="AC1215" s="119">
        <v>12601</v>
      </c>
      <c r="AD1215" s="169">
        <v>12601</v>
      </c>
      <c r="AE1215" s="119">
        <v>12601</v>
      </c>
      <c r="AF1215" s="119">
        <v>12601</v>
      </c>
      <c r="AG1215" s="119">
        <v>12955</v>
      </c>
      <c r="AH1215" s="169">
        <v>12955</v>
      </c>
      <c r="AI1215" s="119">
        <v>12955</v>
      </c>
      <c r="AJ1215" s="119">
        <v>13111</v>
      </c>
      <c r="AK1215" s="169">
        <v>13142</v>
      </c>
      <c r="AL1215" s="168">
        <v>13142</v>
      </c>
      <c r="AM1215" s="119">
        <v>13422</v>
      </c>
      <c r="AN1215" s="169">
        <v>13422</v>
      </c>
      <c r="AO1215" s="119">
        <v>13422</v>
      </c>
      <c r="AP1215" s="119">
        <v>13422</v>
      </c>
      <c r="AQ1215" s="119">
        <v>13422</v>
      </c>
      <c r="AR1215" s="119" t="s">
        <v>18</v>
      </c>
      <c r="AS1215" s="119" t="s">
        <v>18</v>
      </c>
      <c r="AT1215" s="161"/>
      <c r="AU1215" s="161"/>
      <c r="AV1215" s="161"/>
      <c r="AW1215" s="161"/>
      <c r="AX1215" s="161"/>
      <c r="AY1215" s="161"/>
      <c r="AZ1215" s="161"/>
      <c r="BA1215" s="161"/>
      <c r="BB1215" s="161"/>
      <c r="BC1215" s="161"/>
    </row>
    <row r="1216" spans="1:55" ht="15.75" customHeight="1" x14ac:dyDescent="0.25">
      <c r="A1216" s="121" t="s">
        <v>46</v>
      </c>
      <c r="B1216" s="122" t="s">
        <v>4</v>
      </c>
      <c r="C1216" s="124"/>
      <c r="D1216" s="172"/>
      <c r="E1216" s="124"/>
      <c r="F1216" s="172"/>
      <c r="G1216" s="124">
        <v>191</v>
      </c>
      <c r="H1216" s="171" t="s">
        <v>18</v>
      </c>
      <c r="I1216" s="124" t="s">
        <v>18</v>
      </c>
      <c r="J1216" s="172" t="s">
        <v>18</v>
      </c>
      <c r="K1216" s="124">
        <v>194</v>
      </c>
      <c r="L1216" s="172">
        <v>195</v>
      </c>
      <c r="M1216" s="172">
        <v>196</v>
      </c>
      <c r="N1216" s="172">
        <v>196</v>
      </c>
      <c r="O1216" s="124">
        <v>196</v>
      </c>
      <c r="P1216" s="124">
        <v>197</v>
      </c>
      <c r="Q1216" s="172">
        <v>197</v>
      </c>
      <c r="R1216" s="124">
        <v>199</v>
      </c>
      <c r="S1216" s="172">
        <v>199</v>
      </c>
      <c r="T1216" s="124">
        <v>199</v>
      </c>
      <c r="U1216" s="124">
        <v>199</v>
      </c>
      <c r="V1216" s="124">
        <v>202</v>
      </c>
      <c r="W1216" s="172">
        <v>202</v>
      </c>
      <c r="X1216" s="124">
        <v>202</v>
      </c>
      <c r="Y1216" s="124">
        <v>205</v>
      </c>
      <c r="Z1216" s="172">
        <v>205</v>
      </c>
      <c r="AA1216" s="124">
        <v>205</v>
      </c>
      <c r="AB1216" s="124">
        <v>205</v>
      </c>
      <c r="AC1216" s="124">
        <v>206</v>
      </c>
      <c r="AD1216" s="172">
        <v>206</v>
      </c>
      <c r="AE1216" s="124">
        <v>206</v>
      </c>
      <c r="AF1216" s="124">
        <v>206</v>
      </c>
      <c r="AG1216" s="124">
        <v>210</v>
      </c>
      <c r="AH1216" s="172">
        <v>210</v>
      </c>
      <c r="AI1216" s="124">
        <v>210</v>
      </c>
      <c r="AJ1216" s="124">
        <v>211</v>
      </c>
      <c r="AK1216" s="172">
        <v>211</v>
      </c>
      <c r="AL1216" s="171">
        <v>211</v>
      </c>
      <c r="AM1216" s="124">
        <v>215</v>
      </c>
      <c r="AN1216" s="172">
        <v>215</v>
      </c>
      <c r="AO1216" s="124">
        <v>215</v>
      </c>
      <c r="AP1216" s="124">
        <v>215</v>
      </c>
      <c r="AQ1216" s="124">
        <v>215</v>
      </c>
      <c r="AR1216" s="124" t="s">
        <v>18</v>
      </c>
      <c r="AS1216" s="124" t="s">
        <v>18</v>
      </c>
      <c r="AT1216" s="161"/>
      <c r="AU1216" s="161"/>
      <c r="AV1216" s="161"/>
      <c r="AW1216" s="161"/>
      <c r="AX1216" s="161"/>
      <c r="AY1216" s="161"/>
      <c r="AZ1216" s="161"/>
      <c r="BA1216" s="161"/>
      <c r="BB1216" s="161"/>
      <c r="BC1216" s="161"/>
    </row>
    <row r="1217" spans="1:55" ht="15.75" customHeight="1" x14ac:dyDescent="0.25">
      <c r="A1217" s="126"/>
      <c r="B1217" s="122" t="s">
        <v>5</v>
      </c>
      <c r="C1217" s="124"/>
      <c r="D1217" s="172"/>
      <c r="E1217" s="124"/>
      <c r="F1217" s="172"/>
      <c r="G1217" s="124">
        <v>33</v>
      </c>
      <c r="H1217" s="171" t="s">
        <v>18</v>
      </c>
      <c r="I1217" s="124" t="s">
        <v>18</v>
      </c>
      <c r="J1217" s="172" t="s">
        <v>18</v>
      </c>
      <c r="K1217" s="124">
        <v>30</v>
      </c>
      <c r="L1217" s="172">
        <v>30</v>
      </c>
      <c r="M1217" s="172">
        <v>29</v>
      </c>
      <c r="N1217" s="172">
        <v>29</v>
      </c>
      <c r="O1217" s="124">
        <v>29</v>
      </c>
      <c r="P1217" s="124">
        <v>28</v>
      </c>
      <c r="Q1217" s="172">
        <v>11</v>
      </c>
      <c r="R1217" s="124">
        <v>9</v>
      </c>
      <c r="S1217" s="172">
        <v>9</v>
      </c>
      <c r="T1217" s="124">
        <v>9</v>
      </c>
      <c r="U1217" s="124">
        <v>9</v>
      </c>
      <c r="V1217" s="124">
        <v>7</v>
      </c>
      <c r="W1217" s="172">
        <v>12</v>
      </c>
      <c r="X1217" s="124">
        <v>12</v>
      </c>
      <c r="Y1217" s="124">
        <v>9</v>
      </c>
      <c r="Z1217" s="172">
        <v>9</v>
      </c>
      <c r="AA1217" s="124">
        <v>9</v>
      </c>
      <c r="AB1217" s="124">
        <v>9</v>
      </c>
      <c r="AC1217" s="124">
        <v>9</v>
      </c>
      <c r="AD1217" s="172">
        <v>9</v>
      </c>
      <c r="AE1217" s="124">
        <v>9</v>
      </c>
      <c r="AF1217" s="124">
        <v>9</v>
      </c>
      <c r="AG1217" s="124">
        <v>7</v>
      </c>
      <c r="AH1217" s="172">
        <v>14</v>
      </c>
      <c r="AI1217" s="124">
        <v>14</v>
      </c>
      <c r="AJ1217" s="124">
        <v>13</v>
      </c>
      <c r="AK1217" s="172">
        <v>13</v>
      </c>
      <c r="AL1217" s="171">
        <v>13</v>
      </c>
      <c r="AM1217" s="124">
        <v>9</v>
      </c>
      <c r="AN1217" s="172">
        <v>9</v>
      </c>
      <c r="AO1217" s="124">
        <v>9</v>
      </c>
      <c r="AP1217" s="124">
        <v>9</v>
      </c>
      <c r="AQ1217" s="124">
        <v>9</v>
      </c>
      <c r="AR1217" s="124" t="s">
        <v>18</v>
      </c>
      <c r="AS1217" s="124" t="s">
        <v>18</v>
      </c>
      <c r="AT1217" s="161"/>
      <c r="AU1217" s="161"/>
      <c r="AV1217" s="161"/>
      <c r="AW1217" s="161"/>
      <c r="AX1217" s="161"/>
      <c r="AY1217" s="161"/>
      <c r="AZ1217" s="161"/>
      <c r="BA1217" s="161"/>
      <c r="BB1217" s="161"/>
      <c r="BC1217" s="161"/>
    </row>
    <row r="1218" spans="1:55" ht="15.75" customHeight="1" x14ac:dyDescent="0.25">
      <c r="A1218" s="127"/>
      <c r="B1218" s="122" t="s">
        <v>6</v>
      </c>
      <c r="C1218" s="124"/>
      <c r="D1218" s="172"/>
      <c r="E1218" s="124"/>
      <c r="F1218" s="172"/>
      <c r="G1218" s="124"/>
      <c r="H1218" s="171"/>
      <c r="I1218" s="124"/>
      <c r="J1218" s="172"/>
      <c r="K1218" s="124"/>
      <c r="L1218" s="172"/>
      <c r="M1218" s="172"/>
      <c r="N1218" s="172"/>
      <c r="O1218" s="124"/>
      <c r="P1218" s="124">
        <v>-17</v>
      </c>
      <c r="Q1218" s="172"/>
      <c r="R1218" s="124"/>
      <c r="S1218" s="172"/>
      <c r="T1218" s="124"/>
      <c r="U1218" s="124"/>
      <c r="V1218" s="124">
        <v>5</v>
      </c>
      <c r="W1218" s="172"/>
      <c r="X1218" s="124"/>
      <c r="Y1218" s="124"/>
      <c r="Z1218" s="172"/>
      <c r="AA1218" s="124"/>
      <c r="AB1218" s="124"/>
      <c r="AC1218" s="124"/>
      <c r="AD1218" s="172"/>
      <c r="AE1218" s="124"/>
      <c r="AF1218" s="124"/>
      <c r="AG1218" s="124">
        <v>7</v>
      </c>
      <c r="AH1218" s="172"/>
      <c r="AI1218" s="124"/>
      <c r="AJ1218" s="124"/>
      <c r="AK1218" s="172"/>
      <c r="AL1218" s="171"/>
      <c r="AM1218" s="124"/>
      <c r="AN1218" s="172"/>
      <c r="AO1218" s="124"/>
      <c r="AP1218" s="124"/>
      <c r="AQ1218" s="124"/>
      <c r="AR1218" s="124"/>
      <c r="AS1218" s="124"/>
      <c r="AT1218" s="161"/>
      <c r="AU1218" s="161"/>
      <c r="AV1218" s="161"/>
      <c r="AW1218" s="161"/>
      <c r="AX1218" s="161"/>
      <c r="AY1218" s="161"/>
      <c r="AZ1218" s="161"/>
      <c r="BA1218" s="161"/>
      <c r="BB1218" s="161"/>
      <c r="BC1218" s="161"/>
    </row>
    <row r="1219" spans="1:55" ht="15.75" customHeight="1" x14ac:dyDescent="0.25">
      <c r="A1219" s="128"/>
      <c r="B1219" s="122" t="s">
        <v>8</v>
      </c>
      <c r="C1219" s="130"/>
      <c r="D1219" s="175"/>
      <c r="E1219" s="130"/>
      <c r="F1219" s="175"/>
      <c r="G1219" s="130">
        <v>1100</v>
      </c>
      <c r="H1219" s="174" t="s">
        <v>18</v>
      </c>
      <c r="I1219" s="130" t="s">
        <v>18</v>
      </c>
      <c r="J1219" s="175" t="s">
        <v>18</v>
      </c>
      <c r="K1219" s="130" t="s">
        <v>18</v>
      </c>
      <c r="L1219" s="175" t="s">
        <v>18</v>
      </c>
      <c r="M1219" s="175" t="s">
        <v>18</v>
      </c>
      <c r="N1219" s="175" t="s">
        <v>18</v>
      </c>
      <c r="O1219" s="130" t="s">
        <v>18</v>
      </c>
      <c r="P1219" s="130" t="s">
        <v>18</v>
      </c>
      <c r="Q1219" s="175">
        <v>750</v>
      </c>
      <c r="R1219" s="130">
        <v>750</v>
      </c>
      <c r="S1219" s="175">
        <v>750</v>
      </c>
      <c r="T1219" s="130">
        <v>750</v>
      </c>
      <c r="U1219" s="130">
        <v>750</v>
      </c>
      <c r="V1219" s="130">
        <v>750</v>
      </c>
      <c r="W1219" s="175">
        <v>750</v>
      </c>
      <c r="X1219" s="130">
        <v>750</v>
      </c>
      <c r="Y1219" s="130">
        <v>750</v>
      </c>
      <c r="Z1219" s="175">
        <v>750</v>
      </c>
      <c r="AA1219" s="130">
        <v>750</v>
      </c>
      <c r="AB1219" s="130">
        <v>750</v>
      </c>
      <c r="AC1219" s="130">
        <v>750</v>
      </c>
      <c r="AD1219" s="175">
        <v>750</v>
      </c>
      <c r="AE1219" s="130">
        <v>750</v>
      </c>
      <c r="AF1219" s="130">
        <v>750</v>
      </c>
      <c r="AG1219" s="130">
        <v>750</v>
      </c>
      <c r="AH1219" s="175">
        <v>750</v>
      </c>
      <c r="AI1219" s="130">
        <v>750</v>
      </c>
      <c r="AJ1219" s="130">
        <v>750</v>
      </c>
      <c r="AK1219" s="175">
        <v>750</v>
      </c>
      <c r="AL1219" s="174">
        <v>750</v>
      </c>
      <c r="AM1219" s="130">
        <v>750</v>
      </c>
      <c r="AN1219" s="175">
        <v>750</v>
      </c>
      <c r="AO1219" s="130">
        <v>750</v>
      </c>
      <c r="AP1219" s="130">
        <v>750</v>
      </c>
      <c r="AQ1219" s="130">
        <v>750</v>
      </c>
      <c r="AR1219" s="130" t="s">
        <v>18</v>
      </c>
      <c r="AS1219" s="130" t="s">
        <v>18</v>
      </c>
      <c r="AT1219" s="161"/>
      <c r="AU1219" s="161"/>
      <c r="AV1219" s="161"/>
      <c r="AW1219" s="161"/>
      <c r="AX1219" s="161"/>
      <c r="AY1219" s="161"/>
      <c r="AZ1219" s="161"/>
      <c r="BA1219" s="161"/>
      <c r="BB1219" s="161"/>
      <c r="BC1219" s="161"/>
    </row>
    <row r="1220" spans="1:55" ht="15.75" customHeight="1" x14ac:dyDescent="0.25">
      <c r="A1220" s="127" t="s">
        <v>9</v>
      </c>
      <c r="B1220" s="132" t="s">
        <v>10</v>
      </c>
      <c r="C1220" s="134"/>
      <c r="D1220" s="178"/>
      <c r="E1220" s="134"/>
      <c r="F1220" s="178"/>
      <c r="G1220" s="134" t="s">
        <v>179</v>
      </c>
      <c r="H1220" s="177" t="s">
        <v>18</v>
      </c>
      <c r="I1220" s="134" t="s">
        <v>18</v>
      </c>
      <c r="J1220" s="178" t="s">
        <v>18</v>
      </c>
      <c r="K1220" s="134" t="s">
        <v>18</v>
      </c>
      <c r="L1220" s="178" t="s">
        <v>18</v>
      </c>
      <c r="M1220" s="178" t="s">
        <v>18</v>
      </c>
      <c r="N1220" s="178" t="s">
        <v>18</v>
      </c>
      <c r="O1220" s="134" t="s">
        <v>18</v>
      </c>
      <c r="P1220" s="134" t="s">
        <v>18</v>
      </c>
      <c r="Q1220" s="178" t="s">
        <v>180</v>
      </c>
      <c r="R1220" s="134" t="s">
        <v>180</v>
      </c>
      <c r="S1220" s="178" t="s">
        <v>180</v>
      </c>
      <c r="T1220" s="134" t="s">
        <v>180</v>
      </c>
      <c r="U1220" s="134" t="s">
        <v>180</v>
      </c>
      <c r="V1220" s="134" t="s">
        <v>180</v>
      </c>
      <c r="W1220" s="178" t="s">
        <v>180</v>
      </c>
      <c r="X1220" s="134" t="s">
        <v>180</v>
      </c>
      <c r="Y1220" s="134" t="s">
        <v>180</v>
      </c>
      <c r="Z1220" s="178" t="s">
        <v>180</v>
      </c>
      <c r="AA1220" s="134" t="s">
        <v>180</v>
      </c>
      <c r="AB1220" s="134" t="s">
        <v>180</v>
      </c>
      <c r="AC1220" s="134" t="s">
        <v>180</v>
      </c>
      <c r="AD1220" s="178" t="s">
        <v>180</v>
      </c>
      <c r="AE1220" s="134" t="s">
        <v>180</v>
      </c>
      <c r="AF1220" s="134" t="s">
        <v>180</v>
      </c>
      <c r="AG1220" s="134" t="s">
        <v>180</v>
      </c>
      <c r="AH1220" s="178" t="s">
        <v>180</v>
      </c>
      <c r="AI1220" s="134" t="s">
        <v>180</v>
      </c>
      <c r="AJ1220" s="134" t="s">
        <v>180</v>
      </c>
      <c r="AK1220" s="178" t="s">
        <v>180</v>
      </c>
      <c r="AL1220" s="177" t="s">
        <v>180</v>
      </c>
      <c r="AM1220" s="134" t="s">
        <v>180</v>
      </c>
      <c r="AN1220" s="178" t="s">
        <v>180</v>
      </c>
      <c r="AO1220" s="134" t="s">
        <v>180</v>
      </c>
      <c r="AP1220" s="134" t="s">
        <v>180</v>
      </c>
      <c r="AQ1220" s="134" t="s">
        <v>180</v>
      </c>
      <c r="AR1220" s="134" t="s">
        <v>18</v>
      </c>
      <c r="AS1220" s="134" t="s">
        <v>18</v>
      </c>
      <c r="AT1220" s="189"/>
      <c r="AU1220" s="189"/>
      <c r="AV1220" s="189"/>
      <c r="AW1220" s="189"/>
      <c r="AX1220" s="189"/>
      <c r="AY1220" s="189"/>
      <c r="AZ1220" s="189"/>
      <c r="BA1220" s="189"/>
      <c r="BB1220" s="189"/>
      <c r="BC1220" s="189"/>
    </row>
    <row r="1221" spans="1:55" ht="15.75" customHeight="1" x14ac:dyDescent="0.25">
      <c r="A1221" s="128" t="e">
        <v>#VALUE!</v>
      </c>
      <c r="B1221" s="122" t="s">
        <v>12</v>
      </c>
      <c r="C1221" s="124"/>
      <c r="D1221" s="172"/>
      <c r="E1221" s="124"/>
      <c r="F1221" s="172"/>
      <c r="G1221" s="124"/>
      <c r="H1221" s="171"/>
      <c r="I1221" s="124"/>
      <c r="J1221" s="172"/>
      <c r="K1221" s="124"/>
      <c r="L1221" s="172"/>
      <c r="M1221" s="172"/>
      <c r="N1221" s="172"/>
      <c r="O1221" s="124"/>
      <c r="P1221" s="124"/>
      <c r="Q1221" s="172" t="s">
        <v>181</v>
      </c>
      <c r="R1221" s="124"/>
      <c r="S1221" s="172"/>
      <c r="T1221" s="124"/>
      <c r="U1221" s="124"/>
      <c r="V1221" s="124"/>
      <c r="W1221" s="172"/>
      <c r="X1221" s="124"/>
      <c r="Y1221" s="124"/>
      <c r="Z1221" s="172"/>
      <c r="AA1221" s="124"/>
      <c r="AB1221" s="124"/>
      <c r="AC1221" s="124"/>
      <c r="AD1221" s="172"/>
      <c r="AE1221" s="124"/>
      <c r="AF1221" s="124"/>
      <c r="AG1221" s="124"/>
      <c r="AH1221" s="172"/>
      <c r="AI1221" s="124"/>
      <c r="AJ1221" s="124"/>
      <c r="AK1221" s="172"/>
      <c r="AL1221" s="171"/>
      <c r="AM1221" s="124"/>
      <c r="AN1221" s="172"/>
      <c r="AO1221" s="124"/>
      <c r="AP1221" s="124"/>
      <c r="AQ1221" s="124"/>
      <c r="AR1221" s="124"/>
      <c r="AS1221" s="124"/>
      <c r="AT1221" s="161"/>
      <c r="AU1221" s="161"/>
      <c r="AV1221" s="161"/>
      <c r="AW1221" s="161"/>
      <c r="AX1221" s="161"/>
      <c r="AY1221" s="161"/>
      <c r="AZ1221" s="161"/>
      <c r="BA1221" s="161"/>
      <c r="BB1221" s="161"/>
      <c r="BC1221" s="161"/>
    </row>
    <row r="1222" spans="1:55" ht="15.75" customHeight="1" x14ac:dyDescent="0.25">
      <c r="A1222" s="128" t="e">
        <v>#VALUE!</v>
      </c>
      <c r="B1222" s="136" t="s">
        <v>13</v>
      </c>
      <c r="C1222" s="137"/>
      <c r="D1222" s="172"/>
      <c r="E1222" s="124"/>
      <c r="F1222" s="172"/>
      <c r="G1222" s="137">
        <v>0</v>
      </c>
      <c r="H1222" s="171" t="s">
        <v>18</v>
      </c>
      <c r="I1222" s="137" t="s">
        <v>18</v>
      </c>
      <c r="J1222" s="172" t="s">
        <v>18</v>
      </c>
      <c r="K1222" s="137" t="e">
        <v>#VALUE!</v>
      </c>
      <c r="L1222" s="172">
        <v>17</v>
      </c>
      <c r="M1222" s="172">
        <v>69</v>
      </c>
      <c r="N1222" s="172">
        <v>0</v>
      </c>
      <c r="O1222" s="137">
        <v>0</v>
      </c>
      <c r="P1222" s="137">
        <v>51</v>
      </c>
      <c r="Q1222" s="172">
        <v>0</v>
      </c>
      <c r="R1222" s="137">
        <v>168</v>
      </c>
      <c r="S1222" s="172">
        <v>0</v>
      </c>
      <c r="T1222" s="137">
        <v>0</v>
      </c>
      <c r="U1222" s="137">
        <v>0</v>
      </c>
      <c r="V1222" s="137">
        <v>204</v>
      </c>
      <c r="W1222" s="172">
        <v>0</v>
      </c>
      <c r="X1222" s="137">
        <v>0</v>
      </c>
      <c r="Y1222" s="137">
        <v>202</v>
      </c>
      <c r="Z1222" s="172">
        <v>0</v>
      </c>
      <c r="AA1222" s="137">
        <v>0</v>
      </c>
      <c r="AB1222" s="137">
        <v>0</v>
      </c>
      <c r="AC1222" s="137">
        <v>123</v>
      </c>
      <c r="AD1222" s="172">
        <v>0</v>
      </c>
      <c r="AE1222" s="137">
        <v>0</v>
      </c>
      <c r="AF1222" s="137">
        <v>0</v>
      </c>
      <c r="AG1222" s="137">
        <v>354</v>
      </c>
      <c r="AH1222" s="172">
        <v>0</v>
      </c>
      <c r="AI1222" s="137">
        <v>0</v>
      </c>
      <c r="AJ1222" s="137">
        <v>156</v>
      </c>
      <c r="AK1222" s="172">
        <v>31</v>
      </c>
      <c r="AL1222" s="171">
        <v>0</v>
      </c>
      <c r="AM1222" s="137">
        <v>280</v>
      </c>
      <c r="AN1222" s="172">
        <v>0</v>
      </c>
      <c r="AO1222" s="137">
        <v>0</v>
      </c>
      <c r="AP1222" s="137">
        <v>0</v>
      </c>
      <c r="AQ1222" s="137">
        <v>0</v>
      </c>
      <c r="AR1222" s="137" t="s">
        <v>18</v>
      </c>
      <c r="AS1222" s="137" t="s">
        <v>18</v>
      </c>
      <c r="AT1222" s="161"/>
      <c r="AU1222" s="161"/>
      <c r="AV1222" s="161"/>
      <c r="AW1222" s="161"/>
      <c r="AX1222" s="161"/>
      <c r="AY1222" s="161"/>
      <c r="AZ1222" s="161"/>
      <c r="BA1222" s="161"/>
      <c r="BB1222" s="161"/>
      <c r="BC1222" s="161"/>
    </row>
    <row r="1223" spans="1:55" ht="15.75" customHeight="1" x14ac:dyDescent="0.25">
      <c r="A1223" s="128" t="e">
        <v>#VALUE!</v>
      </c>
      <c r="B1223" s="136" t="s">
        <v>14</v>
      </c>
      <c r="C1223" s="137"/>
      <c r="D1223" s="172"/>
      <c r="E1223" s="124"/>
      <c r="F1223" s="172"/>
      <c r="G1223" s="137">
        <v>0</v>
      </c>
      <c r="H1223" s="171" t="s">
        <v>18</v>
      </c>
      <c r="I1223" s="137" t="s">
        <v>18</v>
      </c>
      <c r="J1223" s="172" t="s">
        <v>18</v>
      </c>
      <c r="K1223" s="137" t="e">
        <v>#VALUE!</v>
      </c>
      <c r="L1223" s="172">
        <v>1</v>
      </c>
      <c r="M1223" s="172">
        <v>1</v>
      </c>
      <c r="N1223" s="172">
        <v>0</v>
      </c>
      <c r="O1223" s="137">
        <v>0</v>
      </c>
      <c r="P1223" s="137">
        <v>1</v>
      </c>
      <c r="Q1223" s="172">
        <v>0</v>
      </c>
      <c r="R1223" s="137">
        <v>2</v>
      </c>
      <c r="S1223" s="172">
        <v>0</v>
      </c>
      <c r="T1223" s="137">
        <v>0</v>
      </c>
      <c r="U1223" s="137">
        <v>0</v>
      </c>
      <c r="V1223" s="137">
        <v>3</v>
      </c>
      <c r="W1223" s="172">
        <v>0</v>
      </c>
      <c r="X1223" s="137">
        <v>0</v>
      </c>
      <c r="Y1223" s="137">
        <v>3</v>
      </c>
      <c r="Z1223" s="172">
        <v>0</v>
      </c>
      <c r="AA1223" s="137">
        <v>0</v>
      </c>
      <c r="AB1223" s="137">
        <v>0</v>
      </c>
      <c r="AC1223" s="137">
        <v>1</v>
      </c>
      <c r="AD1223" s="172">
        <v>0</v>
      </c>
      <c r="AE1223" s="137">
        <v>0</v>
      </c>
      <c r="AF1223" s="137">
        <v>0</v>
      </c>
      <c r="AG1223" s="137">
        <v>4</v>
      </c>
      <c r="AH1223" s="172">
        <v>0</v>
      </c>
      <c r="AI1223" s="137">
        <v>0</v>
      </c>
      <c r="AJ1223" s="137">
        <v>1</v>
      </c>
      <c r="AK1223" s="172">
        <v>0</v>
      </c>
      <c r="AL1223" s="171">
        <v>0</v>
      </c>
      <c r="AM1223" s="137">
        <v>4</v>
      </c>
      <c r="AN1223" s="172">
        <v>0</v>
      </c>
      <c r="AO1223" s="137">
        <v>0</v>
      </c>
      <c r="AP1223" s="137">
        <v>0</v>
      </c>
      <c r="AQ1223" s="137">
        <v>0</v>
      </c>
      <c r="AR1223" s="137" t="s">
        <v>18</v>
      </c>
      <c r="AS1223" s="137" t="s">
        <v>18</v>
      </c>
      <c r="AT1223" s="161"/>
      <c r="AU1223" s="161"/>
      <c r="AV1223" s="161"/>
      <c r="AW1223" s="161"/>
      <c r="AX1223" s="161"/>
      <c r="AY1223" s="161"/>
      <c r="AZ1223" s="161"/>
      <c r="BA1223" s="161"/>
      <c r="BB1223" s="161"/>
      <c r="BC1223" s="161"/>
    </row>
    <row r="1224" spans="1:55" ht="15.75" customHeight="1" x14ac:dyDescent="0.25">
      <c r="A1224" s="128" t="e">
        <v>#VALUE!</v>
      </c>
      <c r="B1224" s="136" t="s">
        <v>15</v>
      </c>
      <c r="C1224" s="137"/>
      <c r="D1224" s="172"/>
      <c r="E1224" s="124"/>
      <c r="F1224" s="172"/>
      <c r="G1224" s="137">
        <v>0</v>
      </c>
      <c r="H1224" s="171" t="s">
        <v>18</v>
      </c>
      <c r="I1224" s="137" t="s">
        <v>18</v>
      </c>
      <c r="J1224" s="172" t="s">
        <v>18</v>
      </c>
      <c r="K1224" s="137" t="e">
        <v>#VALUE!</v>
      </c>
      <c r="L1224" s="172">
        <v>0</v>
      </c>
      <c r="M1224" s="172">
        <v>1</v>
      </c>
      <c r="N1224" s="172">
        <v>0</v>
      </c>
      <c r="O1224" s="137">
        <v>0</v>
      </c>
      <c r="P1224" s="137">
        <v>1</v>
      </c>
      <c r="Q1224" s="172">
        <v>0</v>
      </c>
      <c r="R1224" s="137">
        <v>2</v>
      </c>
      <c r="S1224" s="172">
        <v>0</v>
      </c>
      <c r="T1224" s="137">
        <v>0</v>
      </c>
      <c r="U1224" s="137">
        <v>0</v>
      </c>
      <c r="V1224" s="137">
        <v>2</v>
      </c>
      <c r="W1224" s="172">
        <v>0</v>
      </c>
      <c r="X1224" s="137">
        <v>0</v>
      </c>
      <c r="Y1224" s="137">
        <v>3</v>
      </c>
      <c r="Z1224" s="172">
        <v>0</v>
      </c>
      <c r="AA1224" s="137">
        <v>0</v>
      </c>
      <c r="AB1224" s="137">
        <v>0</v>
      </c>
      <c r="AC1224" s="137">
        <v>0</v>
      </c>
      <c r="AD1224" s="172">
        <v>0</v>
      </c>
      <c r="AE1224" s="137">
        <v>0</v>
      </c>
      <c r="AF1224" s="137">
        <v>0</v>
      </c>
      <c r="AG1224" s="137">
        <v>2</v>
      </c>
      <c r="AH1224" s="172">
        <v>0</v>
      </c>
      <c r="AI1224" s="137">
        <v>0</v>
      </c>
      <c r="AJ1224" s="137">
        <v>1</v>
      </c>
      <c r="AK1224" s="172">
        <v>0</v>
      </c>
      <c r="AL1224" s="171">
        <v>0</v>
      </c>
      <c r="AM1224" s="137">
        <v>4</v>
      </c>
      <c r="AN1224" s="172">
        <v>0</v>
      </c>
      <c r="AO1224" s="137">
        <v>0</v>
      </c>
      <c r="AP1224" s="137">
        <v>0</v>
      </c>
      <c r="AQ1224" s="137">
        <v>0</v>
      </c>
      <c r="AR1224" s="137" t="s">
        <v>18</v>
      </c>
      <c r="AS1224" s="137" t="s">
        <v>18</v>
      </c>
      <c r="AT1224" s="161"/>
      <c r="AU1224" s="161"/>
      <c r="AV1224" s="161"/>
      <c r="AW1224" s="161"/>
      <c r="AX1224" s="161"/>
      <c r="AY1224" s="161"/>
      <c r="AZ1224" s="161"/>
      <c r="BA1224" s="161"/>
      <c r="BB1224" s="161"/>
      <c r="BC1224" s="161"/>
    </row>
    <row r="1225" spans="1:55" ht="15.75" customHeight="1" x14ac:dyDescent="0.25">
      <c r="A1225" s="128" t="e">
        <v>#VALUE!</v>
      </c>
      <c r="B1225" s="136" t="s">
        <v>16</v>
      </c>
      <c r="C1225" s="137"/>
      <c r="D1225" s="172"/>
      <c r="E1225" s="124"/>
      <c r="F1225" s="172"/>
      <c r="G1225" s="137">
        <v>0</v>
      </c>
      <c r="H1225" s="171" t="s">
        <v>18</v>
      </c>
      <c r="I1225" s="137" t="s">
        <v>18</v>
      </c>
      <c r="J1225" s="172" t="s">
        <v>18</v>
      </c>
      <c r="K1225" s="137" t="e">
        <v>#VALUE!</v>
      </c>
      <c r="L1225" s="172" t="e">
        <v>#VALUE!</v>
      </c>
      <c r="M1225" s="172" t="e">
        <v>#VALUE!</v>
      </c>
      <c r="N1225" s="172" t="e">
        <v>#VALUE!</v>
      </c>
      <c r="O1225" s="137" t="e">
        <v>#VALUE!</v>
      </c>
      <c r="P1225" s="137" t="e">
        <v>#VALUE!</v>
      </c>
      <c r="Q1225" s="172">
        <v>0</v>
      </c>
      <c r="R1225" s="137">
        <v>1500</v>
      </c>
      <c r="S1225" s="172">
        <v>0</v>
      </c>
      <c r="T1225" s="137">
        <v>0</v>
      </c>
      <c r="U1225" s="137">
        <v>0</v>
      </c>
      <c r="V1225" s="137">
        <v>1500</v>
      </c>
      <c r="W1225" s="172">
        <v>0</v>
      </c>
      <c r="X1225" s="137">
        <v>0</v>
      </c>
      <c r="Y1225" s="137">
        <v>2250</v>
      </c>
      <c r="Z1225" s="172">
        <v>0</v>
      </c>
      <c r="AA1225" s="137">
        <v>0</v>
      </c>
      <c r="AB1225" s="137">
        <v>0</v>
      </c>
      <c r="AC1225" s="137">
        <v>0</v>
      </c>
      <c r="AD1225" s="172">
        <v>0</v>
      </c>
      <c r="AE1225" s="137">
        <v>0</v>
      </c>
      <c r="AF1225" s="137">
        <v>0</v>
      </c>
      <c r="AG1225" s="137">
        <v>1500</v>
      </c>
      <c r="AH1225" s="172">
        <v>0</v>
      </c>
      <c r="AI1225" s="137">
        <v>0</v>
      </c>
      <c r="AJ1225" s="137">
        <v>750</v>
      </c>
      <c r="AK1225" s="172">
        <v>0</v>
      </c>
      <c r="AL1225" s="171">
        <v>0</v>
      </c>
      <c r="AM1225" s="137">
        <v>3000</v>
      </c>
      <c r="AN1225" s="172">
        <v>0</v>
      </c>
      <c r="AO1225" s="137">
        <v>0</v>
      </c>
      <c r="AP1225" s="137">
        <v>0</v>
      </c>
      <c r="AQ1225" s="137">
        <v>0</v>
      </c>
      <c r="AR1225" s="137" t="s">
        <v>18</v>
      </c>
      <c r="AS1225" s="137" t="s">
        <v>18</v>
      </c>
      <c r="AT1225" s="161"/>
      <c r="AU1225" s="161"/>
      <c r="AV1225" s="161"/>
      <c r="AW1225" s="161"/>
      <c r="AX1225" s="161"/>
      <c r="AY1225" s="161"/>
      <c r="AZ1225" s="161"/>
      <c r="BA1225" s="161"/>
      <c r="BB1225" s="161"/>
      <c r="BC1225" s="161"/>
    </row>
    <row r="1226" spans="1:55" ht="15.75" customHeight="1" x14ac:dyDescent="0.25">
      <c r="A1226" s="138" t="e">
        <v>#VALUE!</v>
      </c>
      <c r="B1226" s="139" t="s">
        <v>17</v>
      </c>
      <c r="C1226" s="141"/>
      <c r="D1226" s="181"/>
      <c r="E1226" s="192"/>
      <c r="F1226" s="181"/>
      <c r="G1226" s="141" t="s">
        <v>18</v>
      </c>
      <c r="H1226" s="180" t="s">
        <v>18</v>
      </c>
      <c r="I1226" s="141" t="s">
        <v>18</v>
      </c>
      <c r="J1226" s="181" t="s">
        <v>18</v>
      </c>
      <c r="K1226" s="141" t="e">
        <v>#VALUE!</v>
      </c>
      <c r="L1226" s="181" t="e">
        <v>#VALUE!</v>
      </c>
      <c r="M1226" s="181" t="e">
        <v>#VALUE!</v>
      </c>
      <c r="N1226" s="181" t="e">
        <v>#VALUE!</v>
      </c>
      <c r="O1226" s="141" t="e">
        <v>#VALUE!</v>
      </c>
      <c r="P1226" s="141" t="e">
        <v>#VALUE!</v>
      </c>
      <c r="Q1226" s="181" t="s">
        <v>18</v>
      </c>
      <c r="R1226" s="141">
        <v>8.9285714285714288E-2</v>
      </c>
      <c r="S1226" s="181" t="s">
        <v>18</v>
      </c>
      <c r="T1226" s="141" t="s">
        <v>18</v>
      </c>
      <c r="U1226" s="141" t="s">
        <v>18</v>
      </c>
      <c r="V1226" s="141">
        <v>7.3529411764705885E-2</v>
      </c>
      <c r="W1226" s="181" t="s">
        <v>18</v>
      </c>
      <c r="X1226" s="141" t="s">
        <v>18</v>
      </c>
      <c r="Y1226" s="141">
        <v>0.11138613861386139</v>
      </c>
      <c r="Z1226" s="181" t="s">
        <v>18</v>
      </c>
      <c r="AA1226" s="141" t="s">
        <v>18</v>
      </c>
      <c r="AB1226" s="141" t="s">
        <v>18</v>
      </c>
      <c r="AC1226" s="141" t="s">
        <v>18</v>
      </c>
      <c r="AD1226" s="181" t="s">
        <v>18</v>
      </c>
      <c r="AE1226" s="141" t="s">
        <v>18</v>
      </c>
      <c r="AF1226" s="141" t="s">
        <v>18</v>
      </c>
      <c r="AG1226" s="141">
        <v>4.2372881355932202E-2</v>
      </c>
      <c r="AH1226" s="181" t="s">
        <v>18</v>
      </c>
      <c r="AI1226" s="141" t="s">
        <v>18</v>
      </c>
      <c r="AJ1226" s="141">
        <v>4.807692307692308E-2</v>
      </c>
      <c r="AK1226" s="181" t="s">
        <v>18</v>
      </c>
      <c r="AL1226" s="180" t="s">
        <v>18</v>
      </c>
      <c r="AM1226" s="141">
        <v>0.10714285714285714</v>
      </c>
      <c r="AN1226" s="181" t="s">
        <v>18</v>
      </c>
      <c r="AO1226" s="141" t="s">
        <v>18</v>
      </c>
      <c r="AP1226" s="141" t="s">
        <v>18</v>
      </c>
      <c r="AQ1226" s="141" t="s">
        <v>18</v>
      </c>
      <c r="AR1226" s="141" t="s">
        <v>18</v>
      </c>
      <c r="AS1226" s="141" t="s">
        <v>18</v>
      </c>
      <c r="AT1226" s="161"/>
      <c r="AU1226" s="161"/>
      <c r="AV1226" s="161"/>
      <c r="AW1226" s="161"/>
      <c r="AX1226" s="161"/>
      <c r="AY1226" s="161"/>
      <c r="AZ1226" s="161"/>
      <c r="BA1226" s="161"/>
      <c r="BB1226" s="161"/>
      <c r="BC1226" s="161"/>
    </row>
    <row r="1227" spans="1:55" ht="15.75" customHeight="1" x14ac:dyDescent="0.25">
      <c r="A1227" s="116" t="s">
        <v>1</v>
      </c>
      <c r="B1227" s="117" t="s">
        <v>2</v>
      </c>
      <c r="C1227" s="119"/>
      <c r="D1227" s="169"/>
      <c r="E1227" s="119"/>
      <c r="F1227" s="169"/>
      <c r="G1227" s="119">
        <v>9664</v>
      </c>
      <c r="H1227" s="168" t="s">
        <v>18</v>
      </c>
      <c r="I1227" s="119" t="s">
        <v>18</v>
      </c>
      <c r="J1227" s="169" t="s">
        <v>18</v>
      </c>
      <c r="K1227" s="119">
        <v>9869</v>
      </c>
      <c r="L1227" s="169">
        <v>9945</v>
      </c>
      <c r="M1227" s="169">
        <v>9980</v>
      </c>
      <c r="N1227" s="169">
        <v>9980</v>
      </c>
      <c r="O1227" s="119">
        <v>9980</v>
      </c>
      <c r="P1227" s="119">
        <v>10027</v>
      </c>
      <c r="Q1227" s="169">
        <v>10027</v>
      </c>
      <c r="R1227" s="119">
        <v>10074</v>
      </c>
      <c r="S1227" s="169">
        <v>10074</v>
      </c>
      <c r="T1227" s="119">
        <v>10074</v>
      </c>
      <c r="U1227" s="119">
        <v>10074</v>
      </c>
      <c r="V1227" s="119">
        <v>10121</v>
      </c>
      <c r="W1227" s="169">
        <v>10121</v>
      </c>
      <c r="X1227" s="119">
        <v>10121</v>
      </c>
      <c r="Y1227" s="119">
        <v>10201</v>
      </c>
      <c r="Z1227" s="169">
        <v>10201</v>
      </c>
      <c r="AA1227" s="119">
        <v>10201</v>
      </c>
      <c r="AB1227" s="119">
        <v>10201</v>
      </c>
      <c r="AC1227" s="119">
        <v>10254</v>
      </c>
      <c r="AD1227" s="169">
        <v>10254</v>
      </c>
      <c r="AE1227" s="119">
        <v>10254</v>
      </c>
      <c r="AF1227" s="119">
        <v>10254</v>
      </c>
      <c r="AG1227" s="119">
        <v>10308</v>
      </c>
      <c r="AH1227" s="169">
        <v>10308</v>
      </c>
      <c r="AI1227" s="119">
        <v>10308</v>
      </c>
      <c r="AJ1227" s="119">
        <v>10354</v>
      </c>
      <c r="AK1227" s="169">
        <v>10365</v>
      </c>
      <c r="AL1227" s="168">
        <v>10365</v>
      </c>
      <c r="AM1227" s="119">
        <v>10400</v>
      </c>
      <c r="AN1227" s="169">
        <v>10400</v>
      </c>
      <c r="AO1227" s="119">
        <v>10400</v>
      </c>
      <c r="AP1227" s="119">
        <v>10400</v>
      </c>
      <c r="AQ1227" s="119">
        <v>10400</v>
      </c>
      <c r="AR1227" s="119" t="s">
        <v>18</v>
      </c>
      <c r="AS1227" s="119" t="s">
        <v>18</v>
      </c>
      <c r="AT1227" s="161"/>
      <c r="AU1227" s="161"/>
      <c r="AV1227" s="161"/>
      <c r="AW1227" s="161"/>
      <c r="AX1227" s="161"/>
      <c r="AY1227" s="161"/>
      <c r="AZ1227" s="161"/>
      <c r="BA1227" s="161"/>
      <c r="BB1227" s="161"/>
      <c r="BC1227" s="161"/>
    </row>
    <row r="1228" spans="1:55" ht="15.75" customHeight="1" x14ac:dyDescent="0.25">
      <c r="A1228" s="121" t="s">
        <v>47</v>
      </c>
      <c r="B1228" s="122" t="s">
        <v>4</v>
      </c>
      <c r="C1228" s="124"/>
      <c r="D1228" s="172"/>
      <c r="E1228" s="124"/>
      <c r="F1228" s="172"/>
      <c r="G1228" s="124">
        <v>256</v>
      </c>
      <c r="H1228" s="171" t="s">
        <v>18</v>
      </c>
      <c r="I1228" s="124" t="s">
        <v>18</v>
      </c>
      <c r="J1228" s="172" t="s">
        <v>18</v>
      </c>
      <c r="K1228" s="124">
        <v>262</v>
      </c>
      <c r="L1228" s="172">
        <v>264</v>
      </c>
      <c r="M1228" s="172">
        <v>265</v>
      </c>
      <c r="N1228" s="172">
        <v>265</v>
      </c>
      <c r="O1228" s="124">
        <v>265</v>
      </c>
      <c r="P1228" s="124">
        <v>265</v>
      </c>
      <c r="Q1228" s="172">
        <v>265</v>
      </c>
      <c r="R1228" s="124">
        <v>269</v>
      </c>
      <c r="S1228" s="172">
        <v>269</v>
      </c>
      <c r="T1228" s="124">
        <v>269</v>
      </c>
      <c r="U1228" s="124">
        <v>269</v>
      </c>
      <c r="V1228" s="124">
        <v>272</v>
      </c>
      <c r="W1228" s="172">
        <v>272</v>
      </c>
      <c r="X1228" s="124">
        <v>272</v>
      </c>
      <c r="Y1228" s="124">
        <v>272</v>
      </c>
      <c r="Z1228" s="172">
        <v>272</v>
      </c>
      <c r="AA1228" s="124">
        <v>272</v>
      </c>
      <c r="AB1228" s="124">
        <v>272</v>
      </c>
      <c r="AC1228" s="124">
        <v>272</v>
      </c>
      <c r="AD1228" s="172">
        <v>272</v>
      </c>
      <c r="AE1228" s="124">
        <v>272</v>
      </c>
      <c r="AF1228" s="124">
        <v>272</v>
      </c>
      <c r="AG1228" s="124">
        <v>272</v>
      </c>
      <c r="AH1228" s="172">
        <v>272</v>
      </c>
      <c r="AI1228" s="124">
        <v>272</v>
      </c>
      <c r="AJ1228" s="124">
        <v>273</v>
      </c>
      <c r="AK1228" s="172">
        <v>273</v>
      </c>
      <c r="AL1228" s="171">
        <v>273</v>
      </c>
      <c r="AM1228" s="124">
        <v>273</v>
      </c>
      <c r="AN1228" s="172">
        <v>273</v>
      </c>
      <c r="AO1228" s="124">
        <v>273</v>
      </c>
      <c r="AP1228" s="124">
        <v>273</v>
      </c>
      <c r="AQ1228" s="124">
        <v>273</v>
      </c>
      <c r="AR1228" s="124" t="s">
        <v>18</v>
      </c>
      <c r="AS1228" s="124" t="s">
        <v>18</v>
      </c>
      <c r="AT1228" s="161"/>
      <c r="AU1228" s="161"/>
      <c r="AV1228" s="161"/>
      <c r="AW1228" s="161"/>
      <c r="AX1228" s="161"/>
      <c r="AY1228" s="161"/>
      <c r="AZ1228" s="161"/>
      <c r="BA1228" s="161"/>
      <c r="BB1228" s="161"/>
      <c r="BC1228" s="161"/>
    </row>
    <row r="1229" spans="1:55" ht="15.75" customHeight="1" x14ac:dyDescent="0.25">
      <c r="A1229" s="126"/>
      <c r="B1229" s="122" t="s">
        <v>5</v>
      </c>
      <c r="C1229" s="124"/>
      <c r="D1229" s="172"/>
      <c r="E1229" s="124"/>
      <c r="F1229" s="172"/>
      <c r="G1229" s="124">
        <v>20</v>
      </c>
      <c r="H1229" s="171" t="s">
        <v>18</v>
      </c>
      <c r="I1229" s="124" t="s">
        <v>18</v>
      </c>
      <c r="J1229" s="172" t="s">
        <v>18</v>
      </c>
      <c r="K1229" s="124">
        <v>18</v>
      </c>
      <c r="L1229" s="172">
        <v>16</v>
      </c>
      <c r="M1229" s="172">
        <v>15</v>
      </c>
      <c r="N1229" s="172">
        <v>15</v>
      </c>
      <c r="O1229" s="124">
        <v>15</v>
      </c>
      <c r="P1229" s="124">
        <v>15</v>
      </c>
      <c r="Q1229" s="172">
        <v>15</v>
      </c>
      <c r="R1229" s="124">
        <v>15</v>
      </c>
      <c r="S1229" s="172">
        <v>15</v>
      </c>
      <c r="T1229" s="124">
        <v>15</v>
      </c>
      <c r="U1229" s="124">
        <v>15</v>
      </c>
      <c r="V1229" s="124">
        <v>12</v>
      </c>
      <c r="W1229" s="172">
        <v>12</v>
      </c>
      <c r="X1229" s="124">
        <v>12</v>
      </c>
      <c r="Y1229" s="124">
        <v>12</v>
      </c>
      <c r="Z1229" s="172">
        <v>14</v>
      </c>
      <c r="AA1229" s="124">
        <v>14</v>
      </c>
      <c r="AB1229" s="124">
        <v>14</v>
      </c>
      <c r="AC1229" s="124">
        <v>14</v>
      </c>
      <c r="AD1229" s="172">
        <v>14</v>
      </c>
      <c r="AE1229" s="124">
        <v>14</v>
      </c>
      <c r="AF1229" s="124">
        <v>14</v>
      </c>
      <c r="AG1229" s="124">
        <v>14</v>
      </c>
      <c r="AH1229" s="172">
        <v>14</v>
      </c>
      <c r="AI1229" s="124">
        <v>14</v>
      </c>
      <c r="AJ1229" s="124">
        <v>13</v>
      </c>
      <c r="AK1229" s="172">
        <v>13</v>
      </c>
      <c r="AL1229" s="171">
        <v>13</v>
      </c>
      <c r="AM1229" s="124">
        <v>13</v>
      </c>
      <c r="AN1229" s="172">
        <v>13</v>
      </c>
      <c r="AO1229" s="124">
        <v>13</v>
      </c>
      <c r="AP1229" s="124">
        <v>13</v>
      </c>
      <c r="AQ1229" s="124">
        <v>13</v>
      </c>
      <c r="AR1229" s="124" t="s">
        <v>18</v>
      </c>
      <c r="AS1229" s="124" t="s">
        <v>18</v>
      </c>
      <c r="AT1229" s="161"/>
      <c r="AU1229" s="161"/>
      <c r="AV1229" s="161"/>
      <c r="AW1229" s="161"/>
      <c r="AX1229" s="161"/>
      <c r="AY1229" s="161"/>
      <c r="AZ1229" s="161"/>
      <c r="BA1229" s="161"/>
      <c r="BB1229" s="161"/>
      <c r="BC1229" s="161"/>
    </row>
    <row r="1230" spans="1:55" ht="15.75" customHeight="1" x14ac:dyDescent="0.25">
      <c r="A1230" s="127"/>
      <c r="B1230" s="122" t="s">
        <v>6</v>
      </c>
      <c r="C1230" s="124"/>
      <c r="D1230" s="172"/>
      <c r="E1230" s="124"/>
      <c r="F1230" s="172"/>
      <c r="G1230" s="124"/>
      <c r="H1230" s="171"/>
      <c r="I1230" s="124"/>
      <c r="J1230" s="172"/>
      <c r="K1230" s="124"/>
      <c r="L1230" s="172"/>
      <c r="M1230" s="172"/>
      <c r="N1230" s="172"/>
      <c r="O1230" s="124"/>
      <c r="P1230" s="124"/>
      <c r="Q1230" s="172"/>
      <c r="R1230" s="124"/>
      <c r="S1230" s="172"/>
      <c r="T1230" s="124"/>
      <c r="U1230" s="124"/>
      <c r="V1230" s="124"/>
      <c r="W1230" s="172"/>
      <c r="X1230" s="124"/>
      <c r="Y1230" s="124">
        <v>2</v>
      </c>
      <c r="Z1230" s="172"/>
      <c r="AA1230" s="124"/>
      <c r="AB1230" s="124"/>
      <c r="AC1230" s="124"/>
      <c r="AD1230" s="172"/>
      <c r="AE1230" s="124"/>
      <c r="AF1230" s="124"/>
      <c r="AG1230" s="124"/>
      <c r="AH1230" s="172"/>
      <c r="AI1230" s="124"/>
      <c r="AJ1230" s="124"/>
      <c r="AK1230" s="172"/>
      <c r="AL1230" s="171"/>
      <c r="AM1230" s="124"/>
      <c r="AN1230" s="172"/>
      <c r="AO1230" s="124"/>
      <c r="AP1230" s="124"/>
      <c r="AQ1230" s="124"/>
      <c r="AR1230" s="124"/>
      <c r="AS1230" s="124"/>
      <c r="AT1230" s="161"/>
      <c r="AU1230" s="161"/>
      <c r="AV1230" s="161"/>
      <c r="AW1230" s="161"/>
      <c r="AX1230" s="161"/>
      <c r="AY1230" s="161"/>
      <c r="AZ1230" s="161"/>
      <c r="BA1230" s="161"/>
      <c r="BB1230" s="161"/>
      <c r="BC1230" s="161"/>
    </row>
    <row r="1231" spans="1:55" ht="15.75" customHeight="1" x14ac:dyDescent="0.25">
      <c r="A1231" s="128"/>
      <c r="B1231" s="122" t="s">
        <v>8</v>
      </c>
      <c r="C1231" s="130"/>
      <c r="D1231" s="175"/>
      <c r="E1231" s="130"/>
      <c r="F1231" s="175"/>
      <c r="G1231" s="130">
        <v>495</v>
      </c>
      <c r="H1231" s="174" t="s">
        <v>18</v>
      </c>
      <c r="I1231" s="130" t="s">
        <v>18</v>
      </c>
      <c r="J1231" s="175" t="s">
        <v>18</v>
      </c>
      <c r="K1231" s="130" t="s">
        <v>18</v>
      </c>
      <c r="L1231" s="175" t="s">
        <v>18</v>
      </c>
      <c r="M1231" s="175" t="s">
        <v>18</v>
      </c>
      <c r="N1231" s="175" t="s">
        <v>18</v>
      </c>
      <c r="O1231" s="130" t="s">
        <v>18</v>
      </c>
      <c r="P1231" s="130" t="s">
        <v>18</v>
      </c>
      <c r="Q1231" s="175" t="s">
        <v>18</v>
      </c>
      <c r="R1231" s="130" t="s">
        <v>18</v>
      </c>
      <c r="S1231" s="175" t="s">
        <v>18</v>
      </c>
      <c r="T1231" s="130" t="s">
        <v>18</v>
      </c>
      <c r="U1231" s="130" t="s">
        <v>18</v>
      </c>
      <c r="V1231" s="130" t="s">
        <v>18</v>
      </c>
      <c r="W1231" s="175">
        <v>1100</v>
      </c>
      <c r="X1231" s="130">
        <v>1100</v>
      </c>
      <c r="Y1231" s="130">
        <v>1100</v>
      </c>
      <c r="Z1231" s="175">
        <v>1100</v>
      </c>
      <c r="AA1231" s="130">
        <v>1100</v>
      </c>
      <c r="AB1231" s="130">
        <v>1100</v>
      </c>
      <c r="AC1231" s="130">
        <v>1100</v>
      </c>
      <c r="AD1231" s="175">
        <v>1100</v>
      </c>
      <c r="AE1231" s="130">
        <v>1100</v>
      </c>
      <c r="AF1231" s="130">
        <v>1100</v>
      </c>
      <c r="AG1231" s="130">
        <v>1100</v>
      </c>
      <c r="AH1231" s="175">
        <v>1100</v>
      </c>
      <c r="AI1231" s="130">
        <v>1100</v>
      </c>
      <c r="AJ1231" s="130">
        <v>1100</v>
      </c>
      <c r="AK1231" s="175">
        <v>1100</v>
      </c>
      <c r="AL1231" s="174">
        <v>1100</v>
      </c>
      <c r="AM1231" s="130">
        <v>1100</v>
      </c>
      <c r="AN1231" s="175">
        <v>1100</v>
      </c>
      <c r="AO1231" s="130">
        <v>1100</v>
      </c>
      <c r="AP1231" s="130">
        <v>1100</v>
      </c>
      <c r="AQ1231" s="130">
        <v>1100</v>
      </c>
      <c r="AR1231" s="130" t="s">
        <v>18</v>
      </c>
      <c r="AS1231" s="130" t="s">
        <v>18</v>
      </c>
      <c r="AT1231" s="161"/>
      <c r="AU1231" s="161"/>
      <c r="AV1231" s="161"/>
      <c r="AW1231" s="161"/>
      <c r="AX1231" s="161"/>
      <c r="AY1231" s="161"/>
      <c r="AZ1231" s="161"/>
      <c r="BA1231" s="161"/>
      <c r="BB1231" s="161"/>
      <c r="BC1231" s="161"/>
    </row>
    <row r="1232" spans="1:55" ht="15.75" customHeight="1" x14ac:dyDescent="0.25">
      <c r="A1232" s="127" t="s">
        <v>9</v>
      </c>
      <c r="B1232" s="132" t="s">
        <v>10</v>
      </c>
      <c r="C1232" s="134"/>
      <c r="D1232" s="178"/>
      <c r="E1232" s="134"/>
      <c r="F1232" s="178"/>
      <c r="G1232" s="134" t="s">
        <v>182</v>
      </c>
      <c r="H1232" s="177" t="s">
        <v>18</v>
      </c>
      <c r="I1232" s="134" t="s">
        <v>18</v>
      </c>
      <c r="J1232" s="178" t="s">
        <v>18</v>
      </c>
      <c r="K1232" s="134" t="s">
        <v>18</v>
      </c>
      <c r="L1232" s="178" t="s">
        <v>18</v>
      </c>
      <c r="M1232" s="178" t="s">
        <v>18</v>
      </c>
      <c r="N1232" s="178" t="s">
        <v>18</v>
      </c>
      <c r="O1232" s="134" t="s">
        <v>18</v>
      </c>
      <c r="P1232" s="134" t="s">
        <v>18</v>
      </c>
      <c r="Q1232" s="178" t="s">
        <v>18</v>
      </c>
      <c r="R1232" s="134" t="s">
        <v>18</v>
      </c>
      <c r="S1232" s="178" t="s">
        <v>18</v>
      </c>
      <c r="T1232" s="134" t="s">
        <v>18</v>
      </c>
      <c r="U1232" s="134" t="s">
        <v>18</v>
      </c>
      <c r="V1232" s="134" t="s">
        <v>18</v>
      </c>
      <c r="W1232" s="178" t="s">
        <v>183</v>
      </c>
      <c r="X1232" s="134" t="s">
        <v>183</v>
      </c>
      <c r="Y1232" s="134" t="s">
        <v>183</v>
      </c>
      <c r="Z1232" s="178" t="s">
        <v>183</v>
      </c>
      <c r="AA1232" s="134" t="s">
        <v>183</v>
      </c>
      <c r="AB1232" s="134" t="s">
        <v>183</v>
      </c>
      <c r="AC1232" s="134" t="s">
        <v>183</v>
      </c>
      <c r="AD1232" s="178" t="s">
        <v>183</v>
      </c>
      <c r="AE1232" s="134" t="s">
        <v>183</v>
      </c>
      <c r="AF1232" s="134" t="s">
        <v>183</v>
      </c>
      <c r="AG1232" s="134" t="s">
        <v>183</v>
      </c>
      <c r="AH1232" s="178" t="s">
        <v>183</v>
      </c>
      <c r="AI1232" s="134" t="s">
        <v>183</v>
      </c>
      <c r="AJ1232" s="134" t="s">
        <v>183</v>
      </c>
      <c r="AK1232" s="178" t="s">
        <v>183</v>
      </c>
      <c r="AL1232" s="177" t="s">
        <v>183</v>
      </c>
      <c r="AM1232" s="134" t="s">
        <v>183</v>
      </c>
      <c r="AN1232" s="178" t="s">
        <v>183</v>
      </c>
      <c r="AO1232" s="134" t="s">
        <v>183</v>
      </c>
      <c r="AP1232" s="134" t="s">
        <v>183</v>
      </c>
      <c r="AQ1232" s="134" t="s">
        <v>183</v>
      </c>
      <c r="AR1232" s="134" t="s">
        <v>18</v>
      </c>
      <c r="AS1232" s="134" t="s">
        <v>18</v>
      </c>
      <c r="AT1232" s="189"/>
      <c r="AU1232" s="189"/>
      <c r="AV1232" s="189"/>
      <c r="AW1232" s="189"/>
      <c r="AX1232" s="189"/>
      <c r="AY1232" s="189"/>
      <c r="AZ1232" s="189"/>
      <c r="BA1232" s="189"/>
      <c r="BB1232" s="189"/>
      <c r="BC1232" s="189"/>
    </row>
    <row r="1233" spans="1:55" ht="15.75" customHeight="1" x14ac:dyDescent="0.25">
      <c r="A1233" s="128" t="e">
        <v>#VALUE!</v>
      </c>
      <c r="B1233" s="122" t="s">
        <v>12</v>
      </c>
      <c r="C1233" s="124"/>
      <c r="D1233" s="172"/>
      <c r="E1233" s="124"/>
      <c r="F1233" s="172"/>
      <c r="G1233" s="124"/>
      <c r="H1233" s="171"/>
      <c r="I1233" s="124"/>
      <c r="J1233" s="172"/>
      <c r="K1233" s="124"/>
      <c r="L1233" s="172"/>
      <c r="M1233" s="172"/>
      <c r="N1233" s="172"/>
      <c r="O1233" s="124"/>
      <c r="P1233" s="124"/>
      <c r="Q1233" s="172"/>
      <c r="R1233" s="124"/>
      <c r="S1233" s="172"/>
      <c r="T1233" s="124"/>
      <c r="U1233" s="124"/>
      <c r="V1233" s="124"/>
      <c r="W1233" s="172" t="s">
        <v>184</v>
      </c>
      <c r="X1233" s="124"/>
      <c r="Y1233" s="124"/>
      <c r="Z1233" s="172"/>
      <c r="AA1233" s="124"/>
      <c r="AB1233" s="124"/>
      <c r="AC1233" s="124"/>
      <c r="AD1233" s="172"/>
      <c r="AE1233" s="124"/>
      <c r="AF1233" s="124"/>
      <c r="AG1233" s="124"/>
      <c r="AH1233" s="172"/>
      <c r="AI1233" s="124"/>
      <c r="AJ1233" s="124"/>
      <c r="AK1233" s="172"/>
      <c r="AL1233" s="171"/>
      <c r="AM1233" s="124"/>
      <c r="AN1233" s="172"/>
      <c r="AO1233" s="124"/>
      <c r="AP1233" s="124"/>
      <c r="AQ1233" s="124"/>
      <c r="AR1233" s="124"/>
      <c r="AS1233" s="124"/>
      <c r="AT1233" s="161"/>
      <c r="AU1233" s="161"/>
      <c r="AV1233" s="161"/>
      <c r="AW1233" s="161"/>
      <c r="AX1233" s="161"/>
      <c r="AY1233" s="161"/>
      <c r="AZ1233" s="161"/>
      <c r="BA1233" s="161"/>
      <c r="BB1233" s="161"/>
      <c r="BC1233" s="161"/>
    </row>
    <row r="1234" spans="1:55" ht="15.75" customHeight="1" x14ac:dyDescent="0.25">
      <c r="A1234" s="128" t="e">
        <v>#VALUE!</v>
      </c>
      <c r="B1234" s="136" t="s">
        <v>13</v>
      </c>
      <c r="C1234" s="137"/>
      <c r="D1234" s="172"/>
      <c r="E1234" s="124"/>
      <c r="F1234" s="172"/>
      <c r="G1234" s="137">
        <v>0</v>
      </c>
      <c r="H1234" s="171" t="s">
        <v>18</v>
      </c>
      <c r="I1234" s="137" t="s">
        <v>18</v>
      </c>
      <c r="J1234" s="172" t="s">
        <v>18</v>
      </c>
      <c r="K1234" s="137" t="e">
        <v>#VALUE!</v>
      </c>
      <c r="L1234" s="172">
        <v>76</v>
      </c>
      <c r="M1234" s="172">
        <v>35</v>
      </c>
      <c r="N1234" s="172">
        <v>0</v>
      </c>
      <c r="O1234" s="137">
        <v>0</v>
      </c>
      <c r="P1234" s="137">
        <v>47</v>
      </c>
      <c r="Q1234" s="172">
        <v>0</v>
      </c>
      <c r="R1234" s="137">
        <v>47</v>
      </c>
      <c r="S1234" s="172">
        <v>0</v>
      </c>
      <c r="T1234" s="137">
        <v>0</v>
      </c>
      <c r="U1234" s="137">
        <v>0</v>
      </c>
      <c r="V1234" s="137">
        <v>47</v>
      </c>
      <c r="W1234" s="172">
        <v>0</v>
      </c>
      <c r="X1234" s="137">
        <v>0</v>
      </c>
      <c r="Y1234" s="137">
        <v>80</v>
      </c>
      <c r="Z1234" s="172">
        <v>0</v>
      </c>
      <c r="AA1234" s="137">
        <v>0</v>
      </c>
      <c r="AB1234" s="137">
        <v>0</v>
      </c>
      <c r="AC1234" s="137">
        <v>53</v>
      </c>
      <c r="AD1234" s="172">
        <v>0</v>
      </c>
      <c r="AE1234" s="137">
        <v>0</v>
      </c>
      <c r="AF1234" s="137">
        <v>0</v>
      </c>
      <c r="AG1234" s="137">
        <v>54</v>
      </c>
      <c r="AH1234" s="172">
        <v>0</v>
      </c>
      <c r="AI1234" s="137">
        <v>0</v>
      </c>
      <c r="AJ1234" s="137">
        <v>46</v>
      </c>
      <c r="AK1234" s="172">
        <v>11</v>
      </c>
      <c r="AL1234" s="171">
        <v>0</v>
      </c>
      <c r="AM1234" s="137">
        <v>35</v>
      </c>
      <c r="AN1234" s="172">
        <v>0</v>
      </c>
      <c r="AO1234" s="137">
        <v>0</v>
      </c>
      <c r="AP1234" s="137">
        <v>0</v>
      </c>
      <c r="AQ1234" s="137">
        <v>0</v>
      </c>
      <c r="AR1234" s="137" t="s">
        <v>18</v>
      </c>
      <c r="AS1234" s="137" t="s">
        <v>18</v>
      </c>
      <c r="AT1234" s="161"/>
      <c r="AU1234" s="161"/>
      <c r="AV1234" s="161"/>
      <c r="AW1234" s="161"/>
      <c r="AX1234" s="161"/>
      <c r="AY1234" s="161"/>
      <c r="AZ1234" s="161"/>
      <c r="BA1234" s="161"/>
      <c r="BB1234" s="161"/>
      <c r="BC1234" s="161"/>
    </row>
    <row r="1235" spans="1:55" ht="15.75" customHeight="1" x14ac:dyDescent="0.25">
      <c r="A1235" s="128" t="e">
        <v>#VALUE!</v>
      </c>
      <c r="B1235" s="136" t="s">
        <v>14</v>
      </c>
      <c r="C1235" s="137"/>
      <c r="D1235" s="172"/>
      <c r="E1235" s="124"/>
      <c r="F1235" s="172"/>
      <c r="G1235" s="137">
        <v>0</v>
      </c>
      <c r="H1235" s="171" t="s">
        <v>18</v>
      </c>
      <c r="I1235" s="137" t="s">
        <v>18</v>
      </c>
      <c r="J1235" s="172" t="s">
        <v>18</v>
      </c>
      <c r="K1235" s="137" t="e">
        <v>#VALUE!</v>
      </c>
      <c r="L1235" s="172">
        <v>2</v>
      </c>
      <c r="M1235" s="172">
        <v>1</v>
      </c>
      <c r="N1235" s="172">
        <v>0</v>
      </c>
      <c r="O1235" s="137">
        <v>0</v>
      </c>
      <c r="P1235" s="137">
        <v>0</v>
      </c>
      <c r="Q1235" s="172">
        <v>0</v>
      </c>
      <c r="R1235" s="137">
        <v>4</v>
      </c>
      <c r="S1235" s="172">
        <v>0</v>
      </c>
      <c r="T1235" s="137">
        <v>0</v>
      </c>
      <c r="U1235" s="137">
        <v>0</v>
      </c>
      <c r="V1235" s="137">
        <v>3</v>
      </c>
      <c r="W1235" s="172">
        <v>0</v>
      </c>
      <c r="X1235" s="137">
        <v>0</v>
      </c>
      <c r="Y1235" s="137">
        <v>0</v>
      </c>
      <c r="Z1235" s="172">
        <v>0</v>
      </c>
      <c r="AA1235" s="137">
        <v>0</v>
      </c>
      <c r="AB1235" s="137">
        <v>0</v>
      </c>
      <c r="AC1235" s="137">
        <v>0</v>
      </c>
      <c r="AD1235" s="172">
        <v>0</v>
      </c>
      <c r="AE1235" s="137">
        <v>0</v>
      </c>
      <c r="AF1235" s="137">
        <v>0</v>
      </c>
      <c r="AG1235" s="137">
        <v>0</v>
      </c>
      <c r="AH1235" s="172">
        <v>0</v>
      </c>
      <c r="AI1235" s="137">
        <v>0</v>
      </c>
      <c r="AJ1235" s="137">
        <v>1</v>
      </c>
      <c r="AK1235" s="172">
        <v>0</v>
      </c>
      <c r="AL1235" s="171">
        <v>0</v>
      </c>
      <c r="AM1235" s="137">
        <v>0</v>
      </c>
      <c r="AN1235" s="172">
        <v>0</v>
      </c>
      <c r="AO1235" s="137">
        <v>0</v>
      </c>
      <c r="AP1235" s="137">
        <v>0</v>
      </c>
      <c r="AQ1235" s="137">
        <v>0</v>
      </c>
      <c r="AR1235" s="137" t="s">
        <v>18</v>
      </c>
      <c r="AS1235" s="137" t="s">
        <v>18</v>
      </c>
      <c r="AT1235" s="161"/>
      <c r="AU1235" s="161"/>
      <c r="AV1235" s="161"/>
      <c r="AW1235" s="161"/>
      <c r="AX1235" s="161"/>
      <c r="AY1235" s="161"/>
      <c r="AZ1235" s="161"/>
      <c r="BA1235" s="161"/>
      <c r="BB1235" s="161"/>
      <c r="BC1235" s="161"/>
    </row>
    <row r="1236" spans="1:55" ht="15.75" customHeight="1" x14ac:dyDescent="0.25">
      <c r="A1236" s="128" t="e">
        <v>#VALUE!</v>
      </c>
      <c r="B1236" s="136" t="s">
        <v>15</v>
      </c>
      <c r="C1236" s="137"/>
      <c r="D1236" s="172"/>
      <c r="E1236" s="124"/>
      <c r="F1236" s="172"/>
      <c r="G1236" s="137">
        <v>0</v>
      </c>
      <c r="H1236" s="171" t="s">
        <v>18</v>
      </c>
      <c r="I1236" s="137" t="s">
        <v>18</v>
      </c>
      <c r="J1236" s="172" t="s">
        <v>18</v>
      </c>
      <c r="K1236" s="137" t="e">
        <v>#VALUE!</v>
      </c>
      <c r="L1236" s="172">
        <v>2</v>
      </c>
      <c r="M1236" s="172">
        <v>1</v>
      </c>
      <c r="N1236" s="172">
        <v>0</v>
      </c>
      <c r="O1236" s="137">
        <v>0</v>
      </c>
      <c r="P1236" s="137">
        <v>0</v>
      </c>
      <c r="Q1236" s="172">
        <v>0</v>
      </c>
      <c r="R1236" s="137">
        <v>0</v>
      </c>
      <c r="S1236" s="172">
        <v>0</v>
      </c>
      <c r="T1236" s="137">
        <v>0</v>
      </c>
      <c r="U1236" s="137">
        <v>0</v>
      </c>
      <c r="V1236" s="137">
        <v>3</v>
      </c>
      <c r="W1236" s="172">
        <v>0</v>
      </c>
      <c r="X1236" s="137">
        <v>0</v>
      </c>
      <c r="Y1236" s="137">
        <v>0</v>
      </c>
      <c r="Z1236" s="172">
        <v>0</v>
      </c>
      <c r="AA1236" s="137">
        <v>0</v>
      </c>
      <c r="AB1236" s="137">
        <v>0</v>
      </c>
      <c r="AC1236" s="137">
        <v>0</v>
      </c>
      <c r="AD1236" s="172">
        <v>0</v>
      </c>
      <c r="AE1236" s="137">
        <v>0</v>
      </c>
      <c r="AF1236" s="137">
        <v>0</v>
      </c>
      <c r="AG1236" s="137">
        <v>0</v>
      </c>
      <c r="AH1236" s="172">
        <v>0</v>
      </c>
      <c r="AI1236" s="137">
        <v>0</v>
      </c>
      <c r="AJ1236" s="137">
        <v>1</v>
      </c>
      <c r="AK1236" s="172">
        <v>0</v>
      </c>
      <c r="AL1236" s="171">
        <v>0</v>
      </c>
      <c r="AM1236" s="137">
        <v>0</v>
      </c>
      <c r="AN1236" s="172">
        <v>0</v>
      </c>
      <c r="AO1236" s="137">
        <v>0</v>
      </c>
      <c r="AP1236" s="137">
        <v>0</v>
      </c>
      <c r="AQ1236" s="137">
        <v>0</v>
      </c>
      <c r="AR1236" s="137" t="s">
        <v>18</v>
      </c>
      <c r="AS1236" s="137" t="s">
        <v>18</v>
      </c>
      <c r="AT1236" s="161"/>
      <c r="AU1236" s="161"/>
      <c r="AV1236" s="161"/>
      <c r="AW1236" s="161"/>
      <c r="AX1236" s="161"/>
      <c r="AY1236" s="161"/>
      <c r="AZ1236" s="161"/>
      <c r="BA1236" s="161"/>
      <c r="BB1236" s="161"/>
      <c r="BC1236" s="161"/>
    </row>
    <row r="1237" spans="1:55" ht="15.75" customHeight="1" x14ac:dyDescent="0.25">
      <c r="A1237" s="128" t="e">
        <v>#VALUE!</v>
      </c>
      <c r="B1237" s="136" t="s">
        <v>16</v>
      </c>
      <c r="C1237" s="137"/>
      <c r="D1237" s="172"/>
      <c r="E1237" s="124"/>
      <c r="F1237" s="172"/>
      <c r="G1237" s="137">
        <v>0</v>
      </c>
      <c r="H1237" s="171" t="s">
        <v>18</v>
      </c>
      <c r="I1237" s="137" t="s">
        <v>18</v>
      </c>
      <c r="J1237" s="172" t="s">
        <v>18</v>
      </c>
      <c r="K1237" s="137" t="e">
        <v>#VALUE!</v>
      </c>
      <c r="L1237" s="172" t="e">
        <v>#VALUE!</v>
      </c>
      <c r="M1237" s="172" t="e">
        <v>#VALUE!</v>
      </c>
      <c r="N1237" s="172" t="e">
        <v>#VALUE!</v>
      </c>
      <c r="O1237" s="137" t="e">
        <v>#VALUE!</v>
      </c>
      <c r="P1237" s="137" t="e">
        <v>#VALUE!</v>
      </c>
      <c r="Q1237" s="172" t="e">
        <v>#VALUE!</v>
      </c>
      <c r="R1237" s="137" t="e">
        <v>#VALUE!</v>
      </c>
      <c r="S1237" s="172" t="e">
        <v>#VALUE!</v>
      </c>
      <c r="T1237" s="137" t="e">
        <v>#VALUE!</v>
      </c>
      <c r="U1237" s="137" t="e">
        <v>#VALUE!</v>
      </c>
      <c r="V1237" s="137" t="e">
        <v>#VALUE!</v>
      </c>
      <c r="W1237" s="172">
        <v>0</v>
      </c>
      <c r="X1237" s="137">
        <v>0</v>
      </c>
      <c r="Y1237" s="137">
        <v>0</v>
      </c>
      <c r="Z1237" s="172">
        <v>0</v>
      </c>
      <c r="AA1237" s="137">
        <v>0</v>
      </c>
      <c r="AB1237" s="137">
        <v>0</v>
      </c>
      <c r="AC1237" s="137">
        <v>0</v>
      </c>
      <c r="AD1237" s="172">
        <v>0</v>
      </c>
      <c r="AE1237" s="137">
        <v>0</v>
      </c>
      <c r="AF1237" s="137">
        <v>0</v>
      </c>
      <c r="AG1237" s="137">
        <v>0</v>
      </c>
      <c r="AH1237" s="172">
        <v>0</v>
      </c>
      <c r="AI1237" s="137">
        <v>0</v>
      </c>
      <c r="AJ1237" s="137">
        <v>1100</v>
      </c>
      <c r="AK1237" s="172">
        <v>0</v>
      </c>
      <c r="AL1237" s="171">
        <v>0</v>
      </c>
      <c r="AM1237" s="137">
        <v>0</v>
      </c>
      <c r="AN1237" s="172">
        <v>0</v>
      </c>
      <c r="AO1237" s="137">
        <v>0</v>
      </c>
      <c r="AP1237" s="137">
        <v>0</v>
      </c>
      <c r="AQ1237" s="137">
        <v>0</v>
      </c>
      <c r="AR1237" s="137" t="s">
        <v>18</v>
      </c>
      <c r="AS1237" s="137" t="s">
        <v>18</v>
      </c>
      <c r="AT1237" s="161"/>
      <c r="AU1237" s="161"/>
      <c r="AV1237" s="161"/>
      <c r="AW1237" s="161"/>
      <c r="AX1237" s="161"/>
      <c r="AY1237" s="161"/>
      <c r="AZ1237" s="161"/>
      <c r="BA1237" s="161"/>
      <c r="BB1237" s="161"/>
      <c r="BC1237" s="161"/>
    </row>
    <row r="1238" spans="1:55" ht="15.75" customHeight="1" x14ac:dyDescent="0.25">
      <c r="A1238" s="138" t="e">
        <v>#VALUE!</v>
      </c>
      <c r="B1238" s="139" t="s">
        <v>17</v>
      </c>
      <c r="C1238" s="141"/>
      <c r="D1238" s="181"/>
      <c r="E1238" s="192"/>
      <c r="F1238" s="181"/>
      <c r="G1238" s="141" t="s">
        <v>18</v>
      </c>
      <c r="H1238" s="180" t="s">
        <v>18</v>
      </c>
      <c r="I1238" s="141" t="s">
        <v>18</v>
      </c>
      <c r="J1238" s="181" t="s">
        <v>18</v>
      </c>
      <c r="K1238" s="141" t="e">
        <v>#VALUE!</v>
      </c>
      <c r="L1238" s="181" t="e">
        <v>#VALUE!</v>
      </c>
      <c r="M1238" s="181" t="e">
        <v>#VALUE!</v>
      </c>
      <c r="N1238" s="181" t="e">
        <v>#VALUE!</v>
      </c>
      <c r="O1238" s="141" t="e">
        <v>#VALUE!</v>
      </c>
      <c r="P1238" s="141" t="e">
        <v>#VALUE!</v>
      </c>
      <c r="Q1238" s="181" t="e">
        <v>#VALUE!</v>
      </c>
      <c r="R1238" s="141" t="e">
        <v>#VALUE!</v>
      </c>
      <c r="S1238" s="181" t="e">
        <v>#VALUE!</v>
      </c>
      <c r="T1238" s="141" t="e">
        <v>#VALUE!</v>
      </c>
      <c r="U1238" s="141" t="e">
        <v>#VALUE!</v>
      </c>
      <c r="V1238" s="141" t="e">
        <v>#VALUE!</v>
      </c>
      <c r="W1238" s="181" t="s">
        <v>18</v>
      </c>
      <c r="X1238" s="141" t="s">
        <v>18</v>
      </c>
      <c r="Y1238" s="141" t="s">
        <v>18</v>
      </c>
      <c r="Z1238" s="181" t="s">
        <v>18</v>
      </c>
      <c r="AA1238" s="141" t="s">
        <v>18</v>
      </c>
      <c r="AB1238" s="141" t="s">
        <v>18</v>
      </c>
      <c r="AC1238" s="141" t="s">
        <v>18</v>
      </c>
      <c r="AD1238" s="181" t="s">
        <v>18</v>
      </c>
      <c r="AE1238" s="141" t="s">
        <v>18</v>
      </c>
      <c r="AF1238" s="141" t="s">
        <v>18</v>
      </c>
      <c r="AG1238" s="141" t="s">
        <v>18</v>
      </c>
      <c r="AH1238" s="181" t="s">
        <v>18</v>
      </c>
      <c r="AI1238" s="141" t="s">
        <v>18</v>
      </c>
      <c r="AJ1238" s="141">
        <v>0.2391304347826087</v>
      </c>
      <c r="AK1238" s="181" t="s">
        <v>18</v>
      </c>
      <c r="AL1238" s="180" t="s">
        <v>18</v>
      </c>
      <c r="AM1238" s="141" t="s">
        <v>18</v>
      </c>
      <c r="AN1238" s="181" t="s">
        <v>18</v>
      </c>
      <c r="AO1238" s="141" t="s">
        <v>18</v>
      </c>
      <c r="AP1238" s="141" t="s">
        <v>18</v>
      </c>
      <c r="AQ1238" s="141" t="s">
        <v>18</v>
      </c>
      <c r="AR1238" s="141" t="s">
        <v>18</v>
      </c>
      <c r="AS1238" s="141" t="s">
        <v>18</v>
      </c>
      <c r="AT1238" s="161"/>
      <c r="AU1238" s="161"/>
      <c r="AV1238" s="161"/>
      <c r="AW1238" s="161"/>
      <c r="AX1238" s="161"/>
      <c r="AY1238" s="161"/>
      <c r="AZ1238" s="161"/>
      <c r="BA1238" s="161"/>
      <c r="BB1238" s="161"/>
      <c r="BC1238" s="161"/>
    </row>
    <row r="1239" spans="1:55" ht="15.75" customHeight="1" x14ac:dyDescent="0.25">
      <c r="A1239" s="116" t="s">
        <v>145</v>
      </c>
      <c r="B1239" s="117" t="s">
        <v>2</v>
      </c>
      <c r="C1239" s="168">
        <v>17109</v>
      </c>
      <c r="D1239" s="119">
        <v>17109</v>
      </c>
      <c r="E1239" s="119">
        <v>17246</v>
      </c>
      <c r="F1239" s="169">
        <v>17246</v>
      </c>
      <c r="G1239" s="119">
        <v>17246</v>
      </c>
      <c r="H1239" s="119">
        <v>17246</v>
      </c>
      <c r="I1239" s="169">
        <v>17246</v>
      </c>
      <c r="J1239" s="119">
        <v>17246</v>
      </c>
      <c r="K1239" s="119">
        <v>17367</v>
      </c>
      <c r="L1239" s="169">
        <v>17367</v>
      </c>
      <c r="M1239" s="119">
        <v>17367</v>
      </c>
      <c r="N1239" s="119">
        <v>17367</v>
      </c>
      <c r="O1239" s="119">
        <v>17440</v>
      </c>
      <c r="P1239" s="169">
        <v>17440</v>
      </c>
      <c r="Q1239" s="119">
        <v>17440</v>
      </c>
      <c r="R1239" s="119">
        <v>17510</v>
      </c>
      <c r="S1239" s="169">
        <v>17510</v>
      </c>
      <c r="T1239" s="119">
        <v>17510</v>
      </c>
      <c r="U1239" s="119">
        <v>17510</v>
      </c>
      <c r="V1239" s="119">
        <v>17547</v>
      </c>
      <c r="W1239" s="169">
        <v>17547</v>
      </c>
      <c r="X1239" s="119">
        <v>17547</v>
      </c>
      <c r="Y1239" s="119">
        <v>17699</v>
      </c>
      <c r="Z1239" s="169">
        <v>17699</v>
      </c>
      <c r="AA1239" s="119">
        <v>17699</v>
      </c>
      <c r="AB1239" s="119">
        <v>17699</v>
      </c>
      <c r="AC1239" s="119">
        <v>17736</v>
      </c>
      <c r="AD1239" s="169">
        <v>17736</v>
      </c>
      <c r="AE1239" s="119">
        <v>17736</v>
      </c>
      <c r="AF1239" s="119">
        <v>17736</v>
      </c>
      <c r="AG1239" s="119">
        <v>17882</v>
      </c>
      <c r="AH1239" s="169">
        <v>17882</v>
      </c>
      <c r="AI1239" s="119">
        <v>17882</v>
      </c>
      <c r="AJ1239" s="119">
        <v>17924</v>
      </c>
      <c r="AK1239" s="168">
        <v>17924</v>
      </c>
      <c r="AL1239" s="119">
        <v>17924</v>
      </c>
      <c r="AM1239" s="119">
        <v>18031</v>
      </c>
      <c r="AN1239" s="169"/>
      <c r="AO1239" s="119"/>
      <c r="AP1239" s="119"/>
      <c r="AQ1239" s="119"/>
      <c r="AR1239" s="119"/>
      <c r="AS1239" s="119"/>
      <c r="AT1239" s="161"/>
      <c r="AU1239" s="161"/>
      <c r="AV1239" s="161"/>
      <c r="AW1239" s="161"/>
      <c r="AX1239" s="161"/>
      <c r="AY1239" s="161"/>
      <c r="AZ1239" s="161"/>
      <c r="BA1239" s="161"/>
      <c r="BB1239" s="161"/>
      <c r="BC1239" s="161"/>
    </row>
    <row r="1240" spans="1:55" ht="15.75" customHeight="1" x14ac:dyDescent="0.25">
      <c r="A1240" s="121" t="s">
        <v>19</v>
      </c>
      <c r="B1240" s="122" t="s">
        <v>4</v>
      </c>
      <c r="C1240" s="171">
        <v>326</v>
      </c>
      <c r="D1240" s="124" t="s">
        <v>18</v>
      </c>
      <c r="E1240" s="124">
        <v>327</v>
      </c>
      <c r="F1240" s="172" t="s">
        <v>18</v>
      </c>
      <c r="G1240" s="124" t="s">
        <v>18</v>
      </c>
      <c r="H1240" s="124" t="s">
        <v>18</v>
      </c>
      <c r="I1240" s="172" t="s">
        <v>18</v>
      </c>
      <c r="J1240" s="124" t="s">
        <v>18</v>
      </c>
      <c r="K1240" s="124">
        <v>328</v>
      </c>
      <c r="L1240" s="172">
        <v>328</v>
      </c>
      <c r="M1240" s="124">
        <v>328</v>
      </c>
      <c r="N1240" s="124">
        <v>328</v>
      </c>
      <c r="O1240" s="124">
        <v>329</v>
      </c>
      <c r="P1240" s="172">
        <v>329</v>
      </c>
      <c r="Q1240" s="124">
        <v>329</v>
      </c>
      <c r="R1240" s="124">
        <v>330</v>
      </c>
      <c r="S1240" s="172">
        <v>330</v>
      </c>
      <c r="T1240" s="124">
        <v>330</v>
      </c>
      <c r="U1240" s="124">
        <v>330</v>
      </c>
      <c r="V1240" s="124">
        <v>332</v>
      </c>
      <c r="W1240" s="172">
        <v>332</v>
      </c>
      <c r="X1240" s="124">
        <v>332</v>
      </c>
      <c r="Y1240" s="124">
        <v>336</v>
      </c>
      <c r="Z1240" s="172">
        <v>336</v>
      </c>
      <c r="AA1240" s="124">
        <v>336</v>
      </c>
      <c r="AB1240" s="124">
        <v>336</v>
      </c>
      <c r="AC1240" s="124">
        <v>339</v>
      </c>
      <c r="AD1240" s="172">
        <v>339</v>
      </c>
      <c r="AE1240" s="124">
        <v>339</v>
      </c>
      <c r="AF1240" s="124">
        <v>339</v>
      </c>
      <c r="AG1240" s="124">
        <v>346</v>
      </c>
      <c r="AH1240" s="172">
        <v>346</v>
      </c>
      <c r="AI1240" s="124">
        <v>346</v>
      </c>
      <c r="AJ1240" s="124">
        <v>349</v>
      </c>
      <c r="AK1240" s="171">
        <v>349</v>
      </c>
      <c r="AL1240" s="124">
        <v>349</v>
      </c>
      <c r="AM1240" s="124">
        <v>355</v>
      </c>
      <c r="AN1240" s="172">
        <v>355</v>
      </c>
      <c r="AO1240" s="124">
        <v>355</v>
      </c>
      <c r="AP1240" s="124">
        <v>355</v>
      </c>
      <c r="AQ1240" s="124">
        <v>355</v>
      </c>
      <c r="AR1240" s="124" t="s">
        <v>18</v>
      </c>
      <c r="AS1240" s="124" t="s">
        <v>18</v>
      </c>
      <c r="AT1240" s="161"/>
      <c r="AU1240" s="161"/>
      <c r="AV1240" s="161"/>
      <c r="AW1240" s="161"/>
      <c r="AX1240" s="161"/>
      <c r="AY1240" s="161"/>
      <c r="AZ1240" s="161"/>
      <c r="BA1240" s="161"/>
      <c r="BB1240" s="161"/>
      <c r="BC1240" s="161"/>
    </row>
    <row r="1241" spans="1:55" ht="15.75" customHeight="1" x14ac:dyDescent="0.25">
      <c r="A1241" s="143">
        <v>1</v>
      </c>
      <c r="B1241" s="122" t="s">
        <v>5</v>
      </c>
      <c r="C1241" s="171">
        <v>8</v>
      </c>
      <c r="D1241" s="124">
        <v>8</v>
      </c>
      <c r="E1241" s="124">
        <v>7</v>
      </c>
      <c r="F1241" s="172">
        <v>7</v>
      </c>
      <c r="G1241" s="124">
        <v>7</v>
      </c>
      <c r="H1241" s="124">
        <v>7</v>
      </c>
      <c r="I1241" s="172">
        <v>7</v>
      </c>
      <c r="J1241" s="124">
        <v>7</v>
      </c>
      <c r="K1241" s="124">
        <v>7</v>
      </c>
      <c r="L1241" s="172">
        <v>7</v>
      </c>
      <c r="M1241" s="124">
        <v>7</v>
      </c>
      <c r="N1241" s="124">
        <v>7</v>
      </c>
      <c r="O1241" s="124">
        <v>7</v>
      </c>
      <c r="P1241" s="172">
        <v>7</v>
      </c>
      <c r="Q1241" s="124">
        <v>7</v>
      </c>
      <c r="R1241" s="124">
        <v>6</v>
      </c>
      <c r="S1241" s="172">
        <v>6</v>
      </c>
      <c r="T1241" s="124">
        <v>6</v>
      </c>
      <c r="U1241" s="124">
        <v>6</v>
      </c>
      <c r="V1241" s="124">
        <v>6</v>
      </c>
      <c r="W1241" s="172">
        <v>9</v>
      </c>
      <c r="X1241" s="124">
        <v>9</v>
      </c>
      <c r="Y1241" s="124">
        <v>6</v>
      </c>
      <c r="Z1241" s="172">
        <v>6</v>
      </c>
      <c r="AA1241" s="124">
        <v>6</v>
      </c>
      <c r="AB1241" s="124">
        <v>6</v>
      </c>
      <c r="AC1241" s="124">
        <v>6</v>
      </c>
      <c r="AD1241" s="172">
        <v>8</v>
      </c>
      <c r="AE1241" s="124">
        <v>8</v>
      </c>
      <c r="AF1241" s="124">
        <v>8</v>
      </c>
      <c r="AG1241" s="124">
        <v>3</v>
      </c>
      <c r="AH1241" s="172">
        <v>5</v>
      </c>
      <c r="AI1241" s="124">
        <v>5</v>
      </c>
      <c r="AJ1241" s="124">
        <v>3</v>
      </c>
      <c r="AK1241" s="171">
        <v>7</v>
      </c>
      <c r="AL1241" s="124">
        <v>7</v>
      </c>
      <c r="AM1241" s="124">
        <v>3</v>
      </c>
      <c r="AN1241" s="172" t="s">
        <v>18</v>
      </c>
      <c r="AO1241" s="124" t="s">
        <v>18</v>
      </c>
      <c r="AP1241" s="124" t="s">
        <v>18</v>
      </c>
      <c r="AQ1241" s="124" t="s">
        <v>18</v>
      </c>
      <c r="AR1241" s="124" t="s">
        <v>18</v>
      </c>
      <c r="AS1241" s="124" t="s">
        <v>18</v>
      </c>
      <c r="AT1241" s="161"/>
      <c r="AU1241" s="161"/>
      <c r="AV1241" s="161"/>
      <c r="AW1241" s="161"/>
      <c r="AX1241" s="161"/>
      <c r="AY1241" s="161"/>
      <c r="AZ1241" s="161"/>
      <c r="BA1241" s="161"/>
      <c r="BB1241" s="161"/>
      <c r="BC1241" s="161"/>
    </row>
    <row r="1242" spans="1:55" ht="15.75" customHeight="1" x14ac:dyDescent="0.25">
      <c r="A1242" s="144" t="s">
        <v>20</v>
      </c>
      <c r="B1242" s="122" t="s">
        <v>6</v>
      </c>
      <c r="C1242" s="171"/>
      <c r="D1242" s="124"/>
      <c r="E1242" s="124"/>
      <c r="F1242" s="172"/>
      <c r="G1242" s="124"/>
      <c r="H1242" s="124"/>
      <c r="I1242" s="172"/>
      <c r="J1242" s="124"/>
      <c r="K1242" s="124"/>
      <c r="L1242" s="172"/>
      <c r="M1242" s="124"/>
      <c r="N1242" s="124"/>
      <c r="O1242" s="124"/>
      <c r="P1242" s="172"/>
      <c r="Q1242" s="124"/>
      <c r="R1242" s="124"/>
      <c r="S1242" s="172"/>
      <c r="T1242" s="124"/>
      <c r="U1242" s="124"/>
      <c r="V1242" s="124">
        <v>3</v>
      </c>
      <c r="W1242" s="172"/>
      <c r="X1242" s="124"/>
      <c r="Y1242" s="124"/>
      <c r="Z1242" s="172"/>
      <c r="AA1242" s="124"/>
      <c r="AB1242" s="124"/>
      <c r="AC1242" s="124">
        <v>2</v>
      </c>
      <c r="AD1242" s="172"/>
      <c r="AE1242" s="124"/>
      <c r="AF1242" s="124"/>
      <c r="AG1242" s="124">
        <v>2</v>
      </c>
      <c r="AH1242" s="172"/>
      <c r="AI1242" s="124"/>
      <c r="AJ1242" s="124">
        <v>4</v>
      </c>
      <c r="AK1242" s="171"/>
      <c r="AL1242" s="124"/>
      <c r="AM1242" s="124">
        <v>4</v>
      </c>
      <c r="AN1242" s="172"/>
      <c r="AO1242" s="124"/>
      <c r="AP1242" s="124"/>
      <c r="AQ1242" s="124"/>
      <c r="AR1242" s="124"/>
      <c r="AS1242" s="124"/>
      <c r="AT1242" s="161"/>
      <c r="AU1242" s="161"/>
      <c r="AV1242" s="161"/>
      <c r="AW1242" s="161"/>
      <c r="AX1242" s="161"/>
      <c r="AY1242" s="161"/>
      <c r="AZ1242" s="161"/>
      <c r="BA1242" s="161"/>
      <c r="BB1242" s="161"/>
      <c r="BC1242" s="161"/>
    </row>
    <row r="1243" spans="1:55" ht="15.75" customHeight="1" x14ac:dyDescent="0.25">
      <c r="A1243" s="145" t="e">
        <v>#VALUE!</v>
      </c>
      <c r="B1243" s="122" t="s">
        <v>8</v>
      </c>
      <c r="C1243" s="174">
        <v>880</v>
      </c>
      <c r="D1243" s="130">
        <v>880</v>
      </c>
      <c r="E1243" s="130">
        <v>880</v>
      </c>
      <c r="F1243" s="175">
        <v>880</v>
      </c>
      <c r="G1243" s="130">
        <v>880</v>
      </c>
      <c r="H1243" s="130">
        <v>880</v>
      </c>
      <c r="I1243" s="175">
        <v>880</v>
      </c>
      <c r="J1243" s="130">
        <v>880</v>
      </c>
      <c r="K1243" s="130">
        <v>880</v>
      </c>
      <c r="L1243" s="175">
        <v>880</v>
      </c>
      <c r="M1243" s="130">
        <v>880</v>
      </c>
      <c r="N1243" s="130">
        <v>880</v>
      </c>
      <c r="O1243" s="130">
        <v>880</v>
      </c>
      <c r="P1243" s="175">
        <v>880</v>
      </c>
      <c r="Q1243" s="130">
        <v>880</v>
      </c>
      <c r="R1243" s="130">
        <v>880</v>
      </c>
      <c r="S1243" s="175">
        <v>880</v>
      </c>
      <c r="T1243" s="130">
        <v>880</v>
      </c>
      <c r="U1243" s="130">
        <v>880</v>
      </c>
      <c r="V1243" s="130">
        <v>880</v>
      </c>
      <c r="W1243" s="175">
        <v>1000</v>
      </c>
      <c r="X1243" s="130">
        <v>1000</v>
      </c>
      <c r="Y1243" s="130">
        <v>1000</v>
      </c>
      <c r="Z1243" s="175">
        <v>1000</v>
      </c>
      <c r="AA1243" s="130">
        <v>1000</v>
      </c>
      <c r="AB1243" s="130">
        <v>1000</v>
      </c>
      <c r="AC1243" s="130">
        <v>1000</v>
      </c>
      <c r="AD1243" s="175">
        <v>450</v>
      </c>
      <c r="AE1243" s="130">
        <v>450</v>
      </c>
      <c r="AF1243" s="130">
        <v>450</v>
      </c>
      <c r="AG1243" s="130">
        <v>450</v>
      </c>
      <c r="AH1243" s="175">
        <v>450</v>
      </c>
      <c r="AI1243" s="130">
        <v>450</v>
      </c>
      <c r="AJ1243" s="130">
        <v>450</v>
      </c>
      <c r="AK1243" s="174">
        <v>880</v>
      </c>
      <c r="AL1243" s="130">
        <v>880</v>
      </c>
      <c r="AM1243" s="130">
        <v>880</v>
      </c>
      <c r="AN1243" s="175" t="s">
        <v>18</v>
      </c>
      <c r="AO1243" s="130" t="s">
        <v>18</v>
      </c>
      <c r="AP1243" s="130" t="s">
        <v>18</v>
      </c>
      <c r="AQ1243" s="130" t="s">
        <v>18</v>
      </c>
      <c r="AR1243" s="130" t="s">
        <v>18</v>
      </c>
      <c r="AS1243" s="130" t="s">
        <v>18</v>
      </c>
      <c r="AT1243" s="161"/>
      <c r="AU1243" s="161"/>
      <c r="AV1243" s="161"/>
      <c r="AW1243" s="161"/>
      <c r="AX1243" s="161"/>
      <c r="AY1243" s="161"/>
      <c r="AZ1243" s="161"/>
      <c r="BA1243" s="161"/>
      <c r="BB1243" s="161"/>
      <c r="BC1243" s="161"/>
    </row>
    <row r="1244" spans="1:55" ht="15.75" customHeight="1" x14ac:dyDescent="0.25">
      <c r="A1244" s="127" t="s">
        <v>9</v>
      </c>
      <c r="B1244" s="132" t="s">
        <v>10</v>
      </c>
      <c r="C1244" s="177" t="s">
        <v>185</v>
      </c>
      <c r="D1244" s="134" t="s">
        <v>185</v>
      </c>
      <c r="E1244" s="134" t="s">
        <v>185</v>
      </c>
      <c r="F1244" s="178" t="s">
        <v>185</v>
      </c>
      <c r="G1244" s="134" t="s">
        <v>185</v>
      </c>
      <c r="H1244" s="134" t="s">
        <v>185</v>
      </c>
      <c r="I1244" s="178" t="s">
        <v>185</v>
      </c>
      <c r="J1244" s="134" t="s">
        <v>185</v>
      </c>
      <c r="K1244" s="134" t="s">
        <v>185</v>
      </c>
      <c r="L1244" s="178" t="s">
        <v>185</v>
      </c>
      <c r="M1244" s="134" t="s">
        <v>185</v>
      </c>
      <c r="N1244" s="134" t="s">
        <v>185</v>
      </c>
      <c r="O1244" s="134" t="s">
        <v>185</v>
      </c>
      <c r="P1244" s="178" t="s">
        <v>185</v>
      </c>
      <c r="Q1244" s="134" t="s">
        <v>185</v>
      </c>
      <c r="R1244" s="134" t="s">
        <v>185</v>
      </c>
      <c r="S1244" s="178" t="s">
        <v>185</v>
      </c>
      <c r="T1244" s="134" t="s">
        <v>185</v>
      </c>
      <c r="U1244" s="134" t="s">
        <v>185</v>
      </c>
      <c r="V1244" s="134" t="s">
        <v>185</v>
      </c>
      <c r="W1244" s="178" t="s">
        <v>186</v>
      </c>
      <c r="X1244" s="134" t="s">
        <v>186</v>
      </c>
      <c r="Y1244" s="134" t="s">
        <v>186</v>
      </c>
      <c r="Z1244" s="178" t="s">
        <v>186</v>
      </c>
      <c r="AA1244" s="134" t="s">
        <v>186</v>
      </c>
      <c r="AB1244" s="134" t="s">
        <v>186</v>
      </c>
      <c r="AC1244" s="134" t="s">
        <v>186</v>
      </c>
      <c r="AD1244" s="178" t="s">
        <v>130</v>
      </c>
      <c r="AE1244" s="134" t="s">
        <v>130</v>
      </c>
      <c r="AF1244" s="134" t="s">
        <v>130</v>
      </c>
      <c r="AG1244" s="134" t="s">
        <v>130</v>
      </c>
      <c r="AH1244" s="178" t="s">
        <v>130</v>
      </c>
      <c r="AI1244" s="134" t="s">
        <v>130</v>
      </c>
      <c r="AJ1244" s="134" t="s">
        <v>130</v>
      </c>
      <c r="AK1244" s="177" t="s">
        <v>187</v>
      </c>
      <c r="AL1244" s="134" t="s">
        <v>187</v>
      </c>
      <c r="AM1244" s="134" t="s">
        <v>187</v>
      </c>
      <c r="AN1244" s="178" t="s">
        <v>18</v>
      </c>
      <c r="AO1244" s="134" t="s">
        <v>18</v>
      </c>
      <c r="AP1244" s="134" t="s">
        <v>18</v>
      </c>
      <c r="AQ1244" s="134" t="s">
        <v>18</v>
      </c>
      <c r="AR1244" s="134" t="s">
        <v>18</v>
      </c>
      <c r="AS1244" s="134" t="s">
        <v>18</v>
      </c>
      <c r="AT1244" s="189"/>
      <c r="AU1244" s="189"/>
      <c r="AV1244" s="189"/>
      <c r="AW1244" s="189"/>
      <c r="AX1244" s="189"/>
      <c r="AY1244" s="189"/>
      <c r="AZ1244" s="189"/>
      <c r="BA1244" s="189"/>
      <c r="BB1244" s="189"/>
      <c r="BC1244" s="189"/>
    </row>
    <row r="1245" spans="1:55" ht="15.75" customHeight="1" x14ac:dyDescent="0.25">
      <c r="A1245" s="128">
        <v>74756.75675675676</v>
      </c>
      <c r="B1245" s="122" t="s">
        <v>12</v>
      </c>
      <c r="C1245" s="171"/>
      <c r="D1245" s="124"/>
      <c r="E1245" s="124"/>
      <c r="F1245" s="172"/>
      <c r="G1245" s="124"/>
      <c r="H1245" s="124"/>
      <c r="I1245" s="172"/>
      <c r="J1245" s="124"/>
      <c r="K1245" s="124"/>
      <c r="L1245" s="172"/>
      <c r="M1245" s="124"/>
      <c r="N1245" s="124"/>
      <c r="O1245" s="124"/>
      <c r="P1245" s="172"/>
      <c r="Q1245" s="124"/>
      <c r="R1245" s="124"/>
      <c r="S1245" s="172" t="s">
        <v>188</v>
      </c>
      <c r="T1245" s="124"/>
      <c r="U1245" s="124"/>
      <c r="V1245" s="124"/>
      <c r="W1245" s="172" t="s">
        <v>189</v>
      </c>
      <c r="X1245" s="124"/>
      <c r="Y1245" s="124"/>
      <c r="Z1245" s="172"/>
      <c r="AA1245" s="124"/>
      <c r="AB1245" s="124"/>
      <c r="AC1245" s="124"/>
      <c r="AD1245" s="172" t="s">
        <v>190</v>
      </c>
      <c r="AE1245" s="124"/>
      <c r="AF1245" s="124"/>
      <c r="AG1245" s="124"/>
      <c r="AH1245" s="172" t="s">
        <v>191</v>
      </c>
      <c r="AI1245" s="124"/>
      <c r="AJ1245" s="124"/>
      <c r="AK1245" s="171" t="s">
        <v>192</v>
      </c>
      <c r="AL1245" s="124"/>
      <c r="AM1245" s="124"/>
      <c r="AN1245" s="172" t="s">
        <v>193</v>
      </c>
      <c r="AO1245" s="124"/>
      <c r="AP1245" s="124"/>
      <c r="AQ1245" s="124"/>
      <c r="AR1245" s="124"/>
      <c r="AS1245" s="124"/>
      <c r="AT1245" s="161"/>
      <c r="AU1245" s="161"/>
      <c r="AV1245" s="161"/>
      <c r="AW1245" s="161"/>
      <c r="AX1245" s="161"/>
      <c r="AY1245" s="161"/>
      <c r="AZ1245" s="161"/>
      <c r="BA1245" s="161"/>
      <c r="BB1245" s="161"/>
      <c r="BC1245" s="161"/>
    </row>
    <row r="1246" spans="1:55" ht="15.75" customHeight="1" x14ac:dyDescent="0.25">
      <c r="A1246" s="128">
        <v>922</v>
      </c>
      <c r="B1246" s="136" t="s">
        <v>13</v>
      </c>
      <c r="C1246" s="171">
        <v>0</v>
      </c>
      <c r="D1246" s="137">
        <v>0</v>
      </c>
      <c r="E1246" s="124">
        <v>137</v>
      </c>
      <c r="F1246" s="172">
        <v>0</v>
      </c>
      <c r="G1246" s="137">
        <v>0</v>
      </c>
      <c r="H1246" s="137">
        <v>0</v>
      </c>
      <c r="I1246" s="172">
        <v>0</v>
      </c>
      <c r="J1246" s="137">
        <v>0</v>
      </c>
      <c r="K1246" s="137">
        <v>121</v>
      </c>
      <c r="L1246" s="172">
        <v>0</v>
      </c>
      <c r="M1246" s="137">
        <v>0</v>
      </c>
      <c r="N1246" s="137">
        <v>0</v>
      </c>
      <c r="O1246" s="137">
        <v>73</v>
      </c>
      <c r="P1246" s="172">
        <v>0</v>
      </c>
      <c r="Q1246" s="137">
        <v>0</v>
      </c>
      <c r="R1246" s="137">
        <v>70</v>
      </c>
      <c r="S1246" s="172">
        <v>0</v>
      </c>
      <c r="T1246" s="137">
        <v>0</v>
      </c>
      <c r="U1246" s="137">
        <v>0</v>
      </c>
      <c r="V1246" s="137">
        <v>37</v>
      </c>
      <c r="W1246" s="172">
        <v>0</v>
      </c>
      <c r="X1246" s="137">
        <v>0</v>
      </c>
      <c r="Y1246" s="137">
        <v>152</v>
      </c>
      <c r="Z1246" s="172">
        <v>0</v>
      </c>
      <c r="AA1246" s="137">
        <v>0</v>
      </c>
      <c r="AB1246" s="137">
        <v>0</v>
      </c>
      <c r="AC1246" s="137">
        <v>37</v>
      </c>
      <c r="AD1246" s="172">
        <v>0</v>
      </c>
      <c r="AE1246" s="137">
        <v>0</v>
      </c>
      <c r="AF1246" s="137">
        <v>0</v>
      </c>
      <c r="AG1246" s="137">
        <v>146</v>
      </c>
      <c r="AH1246" s="172">
        <v>0</v>
      </c>
      <c r="AI1246" s="137">
        <v>0</v>
      </c>
      <c r="AJ1246" s="137">
        <v>42</v>
      </c>
      <c r="AK1246" s="171">
        <v>0</v>
      </c>
      <c r="AL1246" s="137">
        <v>0</v>
      </c>
      <c r="AM1246" s="137">
        <v>107</v>
      </c>
      <c r="AN1246" s="172" t="s">
        <v>18</v>
      </c>
      <c r="AO1246" s="137" t="s">
        <v>18</v>
      </c>
      <c r="AP1246" s="137" t="s">
        <v>18</v>
      </c>
      <c r="AQ1246" s="137" t="s">
        <v>18</v>
      </c>
      <c r="AR1246" s="137" t="s">
        <v>18</v>
      </c>
      <c r="AS1246" s="137" t="s">
        <v>18</v>
      </c>
      <c r="AT1246" s="161"/>
      <c r="AU1246" s="161"/>
      <c r="AV1246" s="161"/>
      <c r="AW1246" s="161"/>
      <c r="AX1246" s="161"/>
      <c r="AY1246" s="161"/>
      <c r="AZ1246" s="161"/>
      <c r="BA1246" s="161"/>
      <c r="BB1246" s="161"/>
      <c r="BC1246" s="161"/>
    </row>
    <row r="1247" spans="1:55" ht="15.75" customHeight="1" x14ac:dyDescent="0.25">
      <c r="A1247" s="128" t="e">
        <v>#VALUE!</v>
      </c>
      <c r="B1247" s="136" t="s">
        <v>14</v>
      </c>
      <c r="C1247" s="171">
        <v>0</v>
      </c>
      <c r="D1247" s="137" t="s">
        <v>18</v>
      </c>
      <c r="E1247" s="124" t="e">
        <v>#VALUE!</v>
      </c>
      <c r="F1247" s="172" t="s">
        <v>18</v>
      </c>
      <c r="G1247" s="137" t="s">
        <v>18</v>
      </c>
      <c r="H1247" s="137" t="s">
        <v>18</v>
      </c>
      <c r="I1247" s="172" t="s">
        <v>18</v>
      </c>
      <c r="J1247" s="137" t="s">
        <v>18</v>
      </c>
      <c r="K1247" s="137" t="e">
        <v>#VALUE!</v>
      </c>
      <c r="L1247" s="172">
        <v>0</v>
      </c>
      <c r="M1247" s="137">
        <v>0</v>
      </c>
      <c r="N1247" s="137">
        <v>0</v>
      </c>
      <c r="O1247" s="137">
        <v>1</v>
      </c>
      <c r="P1247" s="172">
        <v>0</v>
      </c>
      <c r="Q1247" s="137">
        <v>0</v>
      </c>
      <c r="R1247" s="137">
        <v>1</v>
      </c>
      <c r="S1247" s="172">
        <v>0</v>
      </c>
      <c r="T1247" s="137">
        <v>0</v>
      </c>
      <c r="U1247" s="137">
        <v>0</v>
      </c>
      <c r="V1247" s="137">
        <v>2</v>
      </c>
      <c r="W1247" s="172">
        <v>0</v>
      </c>
      <c r="X1247" s="137">
        <v>0</v>
      </c>
      <c r="Y1247" s="137">
        <v>4</v>
      </c>
      <c r="Z1247" s="172">
        <v>0</v>
      </c>
      <c r="AA1247" s="137">
        <v>0</v>
      </c>
      <c r="AB1247" s="137">
        <v>0</v>
      </c>
      <c r="AC1247" s="137">
        <v>3</v>
      </c>
      <c r="AD1247" s="172">
        <v>0</v>
      </c>
      <c r="AE1247" s="137">
        <v>0</v>
      </c>
      <c r="AF1247" s="137">
        <v>0</v>
      </c>
      <c r="AG1247" s="137">
        <v>7</v>
      </c>
      <c r="AH1247" s="172">
        <v>0</v>
      </c>
      <c r="AI1247" s="137">
        <v>0</v>
      </c>
      <c r="AJ1247" s="137">
        <v>3</v>
      </c>
      <c r="AK1247" s="171">
        <v>0</v>
      </c>
      <c r="AL1247" s="137">
        <v>0</v>
      </c>
      <c r="AM1247" s="137">
        <v>6</v>
      </c>
      <c r="AN1247" s="172">
        <v>0</v>
      </c>
      <c r="AO1247" s="137">
        <v>0</v>
      </c>
      <c r="AP1247" s="137">
        <v>0</v>
      </c>
      <c r="AQ1247" s="137">
        <v>0</v>
      </c>
      <c r="AR1247" s="137" t="s">
        <v>18</v>
      </c>
      <c r="AS1247" s="137" t="s">
        <v>18</v>
      </c>
      <c r="AT1247" s="161"/>
      <c r="AU1247" s="161"/>
      <c r="AV1247" s="161"/>
      <c r="AW1247" s="161"/>
      <c r="AX1247" s="161"/>
      <c r="AY1247" s="161"/>
      <c r="AZ1247" s="161"/>
      <c r="BA1247" s="161"/>
      <c r="BB1247" s="161"/>
      <c r="BC1247" s="161"/>
    </row>
    <row r="1248" spans="1:55" ht="15.75" customHeight="1" x14ac:dyDescent="0.25">
      <c r="A1248" s="128">
        <v>16</v>
      </c>
      <c r="B1248" s="136" t="s">
        <v>15</v>
      </c>
      <c r="C1248" s="171">
        <v>0</v>
      </c>
      <c r="D1248" s="137">
        <v>0</v>
      </c>
      <c r="E1248" s="124">
        <v>1</v>
      </c>
      <c r="F1248" s="172">
        <v>0</v>
      </c>
      <c r="G1248" s="137">
        <v>0</v>
      </c>
      <c r="H1248" s="137">
        <v>0</v>
      </c>
      <c r="I1248" s="172">
        <v>0</v>
      </c>
      <c r="J1248" s="137">
        <v>0</v>
      </c>
      <c r="K1248" s="137">
        <v>0</v>
      </c>
      <c r="L1248" s="172">
        <v>0</v>
      </c>
      <c r="M1248" s="137">
        <v>0</v>
      </c>
      <c r="N1248" s="137">
        <v>0</v>
      </c>
      <c r="O1248" s="137">
        <v>0</v>
      </c>
      <c r="P1248" s="172">
        <v>0</v>
      </c>
      <c r="Q1248" s="137">
        <v>0</v>
      </c>
      <c r="R1248" s="137">
        <v>1</v>
      </c>
      <c r="S1248" s="172">
        <v>0</v>
      </c>
      <c r="T1248" s="137">
        <v>0</v>
      </c>
      <c r="U1248" s="137">
        <v>0</v>
      </c>
      <c r="V1248" s="137">
        <v>0</v>
      </c>
      <c r="W1248" s="172">
        <v>0</v>
      </c>
      <c r="X1248" s="137">
        <v>0</v>
      </c>
      <c r="Y1248" s="137">
        <v>3</v>
      </c>
      <c r="Z1248" s="172">
        <v>0</v>
      </c>
      <c r="AA1248" s="137">
        <v>0</v>
      </c>
      <c r="AB1248" s="137">
        <v>0</v>
      </c>
      <c r="AC1248" s="137">
        <v>0</v>
      </c>
      <c r="AD1248" s="172">
        <v>0</v>
      </c>
      <c r="AE1248" s="137">
        <v>0</v>
      </c>
      <c r="AF1248" s="137">
        <v>0</v>
      </c>
      <c r="AG1248" s="137">
        <v>5</v>
      </c>
      <c r="AH1248" s="172">
        <v>0</v>
      </c>
      <c r="AI1248" s="137">
        <v>0</v>
      </c>
      <c r="AJ1248" s="137">
        <v>2</v>
      </c>
      <c r="AK1248" s="171">
        <v>0</v>
      </c>
      <c r="AL1248" s="137">
        <v>0</v>
      </c>
      <c r="AM1248" s="137">
        <v>4</v>
      </c>
      <c r="AN1248" s="172" t="s">
        <v>18</v>
      </c>
      <c r="AO1248" s="137" t="s">
        <v>18</v>
      </c>
      <c r="AP1248" s="137" t="s">
        <v>18</v>
      </c>
      <c r="AQ1248" s="137" t="s">
        <v>18</v>
      </c>
      <c r="AR1248" s="137" t="s">
        <v>18</v>
      </c>
      <c r="AS1248" s="137" t="s">
        <v>18</v>
      </c>
      <c r="AT1248" s="161"/>
      <c r="AU1248" s="161"/>
      <c r="AV1248" s="161"/>
      <c r="AW1248" s="161"/>
      <c r="AX1248" s="161"/>
      <c r="AY1248" s="161"/>
      <c r="AZ1248" s="161"/>
      <c r="BA1248" s="161"/>
      <c r="BB1248" s="161"/>
      <c r="BC1248" s="161"/>
    </row>
    <row r="1249" spans="1:55" ht="15.75" customHeight="1" x14ac:dyDescent="0.25">
      <c r="A1249" s="128">
        <v>11430</v>
      </c>
      <c r="B1249" s="136" t="s">
        <v>16</v>
      </c>
      <c r="C1249" s="171">
        <v>0</v>
      </c>
      <c r="D1249" s="137">
        <v>0</v>
      </c>
      <c r="E1249" s="124">
        <v>880</v>
      </c>
      <c r="F1249" s="172">
        <v>0</v>
      </c>
      <c r="G1249" s="137">
        <v>0</v>
      </c>
      <c r="H1249" s="137">
        <v>0</v>
      </c>
      <c r="I1249" s="172">
        <v>0</v>
      </c>
      <c r="J1249" s="137">
        <v>0</v>
      </c>
      <c r="K1249" s="137">
        <v>0</v>
      </c>
      <c r="L1249" s="172">
        <v>0</v>
      </c>
      <c r="M1249" s="137">
        <v>0</v>
      </c>
      <c r="N1249" s="137">
        <v>0</v>
      </c>
      <c r="O1249" s="137">
        <v>0</v>
      </c>
      <c r="P1249" s="172">
        <v>0</v>
      </c>
      <c r="Q1249" s="137">
        <v>0</v>
      </c>
      <c r="R1249" s="137">
        <v>880</v>
      </c>
      <c r="S1249" s="172">
        <v>0</v>
      </c>
      <c r="T1249" s="137">
        <v>0</v>
      </c>
      <c r="U1249" s="137">
        <v>0</v>
      </c>
      <c r="V1249" s="137">
        <v>0</v>
      </c>
      <c r="W1249" s="172">
        <v>0</v>
      </c>
      <c r="X1249" s="137">
        <v>0</v>
      </c>
      <c r="Y1249" s="137">
        <v>3000</v>
      </c>
      <c r="Z1249" s="172">
        <v>0</v>
      </c>
      <c r="AA1249" s="137">
        <v>0</v>
      </c>
      <c r="AB1249" s="137">
        <v>0</v>
      </c>
      <c r="AC1249" s="137">
        <v>0</v>
      </c>
      <c r="AD1249" s="172">
        <v>0</v>
      </c>
      <c r="AE1249" s="137">
        <v>0</v>
      </c>
      <c r="AF1249" s="137">
        <v>0</v>
      </c>
      <c r="AG1249" s="137">
        <v>2250</v>
      </c>
      <c r="AH1249" s="172">
        <v>0</v>
      </c>
      <c r="AI1249" s="137">
        <v>0</v>
      </c>
      <c r="AJ1249" s="137">
        <v>900</v>
      </c>
      <c r="AK1249" s="171">
        <v>0</v>
      </c>
      <c r="AL1249" s="137">
        <v>0</v>
      </c>
      <c r="AM1249" s="137">
        <v>3520</v>
      </c>
      <c r="AN1249" s="172" t="s">
        <v>18</v>
      </c>
      <c r="AO1249" s="137" t="s">
        <v>18</v>
      </c>
      <c r="AP1249" s="137" t="s">
        <v>18</v>
      </c>
      <c r="AQ1249" s="137" t="s">
        <v>18</v>
      </c>
      <c r="AR1249" s="137" t="s">
        <v>18</v>
      </c>
      <c r="AS1249" s="137" t="s">
        <v>18</v>
      </c>
      <c r="AT1249" s="161"/>
      <c r="AU1249" s="161"/>
      <c r="AV1249" s="161"/>
      <c r="AW1249" s="161"/>
      <c r="AX1249" s="161"/>
      <c r="AY1249" s="161"/>
      <c r="AZ1249" s="161"/>
      <c r="BA1249" s="161"/>
      <c r="BB1249" s="161"/>
      <c r="BC1249" s="161"/>
    </row>
    <row r="1250" spans="1:55" ht="15.75" customHeight="1" x14ac:dyDescent="0.25">
      <c r="A1250" s="138">
        <v>0.12396963123644252</v>
      </c>
      <c r="B1250" s="136" t="s">
        <v>17</v>
      </c>
      <c r="C1250" s="183" t="s">
        <v>18</v>
      </c>
      <c r="D1250" s="147" t="s">
        <v>18</v>
      </c>
      <c r="E1250" s="193">
        <v>6.4233576642335768E-2</v>
      </c>
      <c r="F1250" s="184" t="s">
        <v>18</v>
      </c>
      <c r="G1250" s="147" t="s">
        <v>18</v>
      </c>
      <c r="H1250" s="147" t="s">
        <v>18</v>
      </c>
      <c r="I1250" s="184" t="s">
        <v>18</v>
      </c>
      <c r="J1250" s="147" t="s">
        <v>18</v>
      </c>
      <c r="K1250" s="147" t="s">
        <v>18</v>
      </c>
      <c r="L1250" s="184" t="s">
        <v>18</v>
      </c>
      <c r="M1250" s="147" t="s">
        <v>18</v>
      </c>
      <c r="N1250" s="147" t="s">
        <v>18</v>
      </c>
      <c r="O1250" s="147" t="s">
        <v>18</v>
      </c>
      <c r="P1250" s="184" t="s">
        <v>18</v>
      </c>
      <c r="Q1250" s="147" t="s">
        <v>18</v>
      </c>
      <c r="R1250" s="147">
        <v>0.12571428571428572</v>
      </c>
      <c r="S1250" s="184" t="s">
        <v>18</v>
      </c>
      <c r="T1250" s="147" t="s">
        <v>18</v>
      </c>
      <c r="U1250" s="147" t="s">
        <v>18</v>
      </c>
      <c r="V1250" s="147" t="s">
        <v>18</v>
      </c>
      <c r="W1250" s="184" t="s">
        <v>18</v>
      </c>
      <c r="X1250" s="147" t="s">
        <v>18</v>
      </c>
      <c r="Y1250" s="147">
        <v>0.19736842105263158</v>
      </c>
      <c r="Z1250" s="184" t="s">
        <v>18</v>
      </c>
      <c r="AA1250" s="147" t="s">
        <v>18</v>
      </c>
      <c r="AB1250" s="147" t="s">
        <v>18</v>
      </c>
      <c r="AC1250" s="147" t="s">
        <v>18</v>
      </c>
      <c r="AD1250" s="184" t="s">
        <v>18</v>
      </c>
      <c r="AE1250" s="147" t="s">
        <v>18</v>
      </c>
      <c r="AF1250" s="147" t="s">
        <v>18</v>
      </c>
      <c r="AG1250" s="147">
        <v>0.1541095890410959</v>
      </c>
      <c r="AH1250" s="184" t="s">
        <v>18</v>
      </c>
      <c r="AI1250" s="147" t="s">
        <v>18</v>
      </c>
      <c r="AJ1250" s="147">
        <v>0.21428571428571427</v>
      </c>
      <c r="AK1250" s="183" t="s">
        <v>18</v>
      </c>
      <c r="AL1250" s="147" t="s">
        <v>18</v>
      </c>
      <c r="AM1250" s="147">
        <v>0.32897196261682243</v>
      </c>
      <c r="AN1250" s="184" t="s">
        <v>18</v>
      </c>
      <c r="AO1250" s="147" t="s">
        <v>18</v>
      </c>
      <c r="AP1250" s="147" t="s">
        <v>18</v>
      </c>
      <c r="AQ1250" s="147" t="s">
        <v>18</v>
      </c>
      <c r="AR1250" s="147" t="s">
        <v>18</v>
      </c>
      <c r="AS1250" s="147" t="s">
        <v>18</v>
      </c>
      <c r="AT1250" s="161"/>
      <c r="AU1250" s="161"/>
      <c r="AV1250" s="161"/>
      <c r="AW1250" s="161"/>
      <c r="AX1250" s="161"/>
      <c r="AY1250" s="161"/>
      <c r="AZ1250" s="161"/>
      <c r="BA1250" s="161"/>
      <c r="BB1250" s="161"/>
      <c r="BC1250" s="161"/>
    </row>
    <row r="1251" spans="1:55" ht="15.75" customHeight="1" x14ac:dyDescent="0.25">
      <c r="A1251" s="149" t="s">
        <v>145</v>
      </c>
      <c r="B1251" s="150" t="s">
        <v>2</v>
      </c>
      <c r="C1251" s="174">
        <v>12527</v>
      </c>
      <c r="D1251" s="130" t="s">
        <v>18</v>
      </c>
      <c r="E1251" s="130">
        <v>12671</v>
      </c>
      <c r="F1251" s="175" t="s">
        <v>18</v>
      </c>
      <c r="G1251" s="130" t="s">
        <v>18</v>
      </c>
      <c r="H1251" s="130" t="s">
        <v>18</v>
      </c>
      <c r="I1251" s="175" t="s">
        <v>18</v>
      </c>
      <c r="J1251" s="130" t="s">
        <v>18</v>
      </c>
      <c r="K1251" s="130">
        <v>12727</v>
      </c>
      <c r="L1251" s="175">
        <v>12727</v>
      </c>
      <c r="M1251" s="130">
        <v>12727</v>
      </c>
      <c r="N1251" s="130">
        <v>12727</v>
      </c>
      <c r="O1251" s="130">
        <v>12830</v>
      </c>
      <c r="P1251" s="175">
        <v>12830</v>
      </c>
      <c r="Q1251" s="130">
        <v>12830</v>
      </c>
      <c r="R1251" s="130">
        <v>12941</v>
      </c>
      <c r="S1251" s="175">
        <v>12941</v>
      </c>
      <c r="T1251" s="130">
        <v>12941</v>
      </c>
      <c r="U1251" s="130">
        <v>12941</v>
      </c>
      <c r="V1251" s="130">
        <v>13008</v>
      </c>
      <c r="W1251" s="175">
        <v>13008</v>
      </c>
      <c r="X1251" s="130">
        <v>13008</v>
      </c>
      <c r="Y1251" s="130">
        <v>13052</v>
      </c>
      <c r="Z1251" s="175">
        <v>13052</v>
      </c>
      <c r="AA1251" s="130">
        <v>13052</v>
      </c>
      <c r="AB1251" s="130">
        <v>13052</v>
      </c>
      <c r="AC1251" s="130">
        <v>13127</v>
      </c>
      <c r="AD1251" s="175">
        <v>13127</v>
      </c>
      <c r="AE1251" s="130">
        <v>13127</v>
      </c>
      <c r="AF1251" s="130">
        <v>13127</v>
      </c>
      <c r="AG1251" s="130">
        <v>13172</v>
      </c>
      <c r="AH1251" s="175">
        <v>13172</v>
      </c>
      <c r="AI1251" s="130">
        <v>13172</v>
      </c>
      <c r="AJ1251" s="130">
        <v>13226</v>
      </c>
      <c r="AK1251" s="174">
        <v>13226</v>
      </c>
      <c r="AL1251" s="130">
        <v>13226</v>
      </c>
      <c r="AM1251" s="130">
        <v>13270</v>
      </c>
      <c r="AN1251" s="175">
        <v>13270</v>
      </c>
      <c r="AO1251" s="130">
        <v>13270</v>
      </c>
      <c r="AP1251" s="130">
        <v>13270</v>
      </c>
      <c r="AQ1251" s="130">
        <v>13270</v>
      </c>
      <c r="AR1251" s="130" t="s">
        <v>18</v>
      </c>
      <c r="AS1251" s="130" t="s">
        <v>18</v>
      </c>
      <c r="AT1251" s="161"/>
      <c r="AU1251" s="161"/>
      <c r="AV1251" s="161"/>
      <c r="AW1251" s="161"/>
      <c r="AX1251" s="161"/>
      <c r="AY1251" s="161"/>
      <c r="AZ1251" s="161"/>
      <c r="BA1251" s="161"/>
      <c r="BB1251" s="161"/>
      <c r="BC1251" s="161"/>
    </row>
    <row r="1252" spans="1:55" ht="15.75" customHeight="1" x14ac:dyDescent="0.25">
      <c r="A1252" s="121" t="s">
        <v>19</v>
      </c>
      <c r="B1252" s="122" t="s">
        <v>4</v>
      </c>
      <c r="C1252" s="171">
        <v>462</v>
      </c>
      <c r="D1252" s="124" t="s">
        <v>18</v>
      </c>
      <c r="E1252" s="124">
        <v>464</v>
      </c>
      <c r="F1252" s="172" t="s">
        <v>18</v>
      </c>
      <c r="G1252" s="124" t="s">
        <v>18</v>
      </c>
      <c r="H1252" s="124" t="s">
        <v>18</v>
      </c>
      <c r="I1252" s="172" t="s">
        <v>18</v>
      </c>
      <c r="J1252" s="124" t="s">
        <v>18</v>
      </c>
      <c r="K1252" s="124">
        <v>466</v>
      </c>
      <c r="L1252" s="172">
        <v>466</v>
      </c>
      <c r="M1252" s="124">
        <v>466</v>
      </c>
      <c r="N1252" s="124">
        <v>466</v>
      </c>
      <c r="O1252" s="124">
        <v>467</v>
      </c>
      <c r="P1252" s="172">
        <v>467</v>
      </c>
      <c r="Q1252" s="124">
        <v>467</v>
      </c>
      <c r="R1252" s="124">
        <v>471</v>
      </c>
      <c r="S1252" s="172">
        <v>471</v>
      </c>
      <c r="T1252" s="124">
        <v>471</v>
      </c>
      <c r="U1252" s="124">
        <v>471</v>
      </c>
      <c r="V1252" s="124">
        <v>474</v>
      </c>
      <c r="W1252" s="172">
        <v>474</v>
      </c>
      <c r="X1252" s="124">
        <v>474</v>
      </c>
      <c r="Y1252" s="124">
        <v>475</v>
      </c>
      <c r="Z1252" s="172">
        <v>475</v>
      </c>
      <c r="AA1252" s="124">
        <v>475</v>
      </c>
      <c r="AB1252" s="124">
        <v>475</v>
      </c>
      <c r="AC1252" s="124">
        <v>478</v>
      </c>
      <c r="AD1252" s="172">
        <v>478</v>
      </c>
      <c r="AE1252" s="124">
        <v>478</v>
      </c>
      <c r="AF1252" s="124">
        <v>478</v>
      </c>
      <c r="AG1252" s="124">
        <v>480</v>
      </c>
      <c r="AH1252" s="172">
        <v>480</v>
      </c>
      <c r="AI1252" s="124">
        <v>480</v>
      </c>
      <c r="AJ1252" s="124">
        <v>481</v>
      </c>
      <c r="AK1252" s="171">
        <v>481</v>
      </c>
      <c r="AL1252" s="124">
        <v>481</v>
      </c>
      <c r="AM1252" s="124">
        <v>484</v>
      </c>
      <c r="AN1252" s="172">
        <v>484</v>
      </c>
      <c r="AO1252" s="124">
        <v>484</v>
      </c>
      <c r="AP1252" s="124">
        <v>484</v>
      </c>
      <c r="AQ1252" s="124">
        <v>484</v>
      </c>
      <c r="AR1252" s="124" t="s">
        <v>18</v>
      </c>
      <c r="AS1252" s="124" t="s">
        <v>18</v>
      </c>
      <c r="AT1252" s="161"/>
      <c r="AU1252" s="161"/>
      <c r="AV1252" s="161"/>
      <c r="AW1252" s="161"/>
      <c r="AX1252" s="161"/>
      <c r="AY1252" s="161"/>
      <c r="AZ1252" s="161"/>
      <c r="BA1252" s="161"/>
      <c r="BB1252" s="161"/>
      <c r="BC1252" s="161"/>
    </row>
    <row r="1253" spans="1:55" ht="15.75" customHeight="1" x14ac:dyDescent="0.25">
      <c r="A1253" s="143">
        <v>2</v>
      </c>
      <c r="B1253" s="122" t="s">
        <v>5</v>
      </c>
      <c r="C1253" s="171">
        <v>12</v>
      </c>
      <c r="D1253" s="124" t="s">
        <v>18</v>
      </c>
      <c r="E1253" s="124">
        <v>10</v>
      </c>
      <c r="F1253" s="172" t="s">
        <v>18</v>
      </c>
      <c r="G1253" s="124" t="s">
        <v>18</v>
      </c>
      <c r="H1253" s="124" t="s">
        <v>18</v>
      </c>
      <c r="I1253" s="172" t="s">
        <v>18</v>
      </c>
      <c r="J1253" s="124" t="s">
        <v>18</v>
      </c>
      <c r="K1253" s="124" t="e">
        <v>#VALUE!</v>
      </c>
      <c r="L1253" s="172" t="e">
        <v>#VALUE!</v>
      </c>
      <c r="M1253" s="124" t="e">
        <v>#VALUE!</v>
      </c>
      <c r="N1253" s="124" t="e">
        <v>#VALUE!</v>
      </c>
      <c r="O1253" s="124">
        <v>9</v>
      </c>
      <c r="P1253" s="172">
        <v>9</v>
      </c>
      <c r="Q1253" s="124">
        <v>9</v>
      </c>
      <c r="R1253" s="124">
        <v>7</v>
      </c>
      <c r="S1253" s="172">
        <v>8</v>
      </c>
      <c r="T1253" s="124">
        <v>8</v>
      </c>
      <c r="U1253" s="124">
        <v>8</v>
      </c>
      <c r="V1253" s="124">
        <v>6</v>
      </c>
      <c r="W1253" s="172">
        <v>8</v>
      </c>
      <c r="X1253" s="124">
        <v>8</v>
      </c>
      <c r="Y1253" s="124">
        <v>7</v>
      </c>
      <c r="Z1253" s="172">
        <v>7</v>
      </c>
      <c r="AA1253" s="124">
        <v>7</v>
      </c>
      <c r="AB1253" s="124">
        <v>7</v>
      </c>
      <c r="AC1253" s="124">
        <v>5</v>
      </c>
      <c r="AD1253" s="172">
        <v>8</v>
      </c>
      <c r="AE1253" s="124">
        <v>8</v>
      </c>
      <c r="AF1253" s="124">
        <v>8</v>
      </c>
      <c r="AG1253" s="124">
        <v>7</v>
      </c>
      <c r="AH1253" s="172">
        <v>11</v>
      </c>
      <c r="AI1253" s="124">
        <v>11</v>
      </c>
      <c r="AJ1253" s="124">
        <v>11</v>
      </c>
      <c r="AK1253" s="171">
        <v>11</v>
      </c>
      <c r="AL1253" s="124">
        <v>11</v>
      </c>
      <c r="AM1253" s="124">
        <v>11</v>
      </c>
      <c r="AN1253" s="172">
        <v>11</v>
      </c>
      <c r="AO1253" s="124">
        <v>11</v>
      </c>
      <c r="AP1253" s="124">
        <v>11</v>
      </c>
      <c r="AQ1253" s="124">
        <v>11</v>
      </c>
      <c r="AR1253" s="124" t="s">
        <v>18</v>
      </c>
      <c r="AS1253" s="124" t="s">
        <v>18</v>
      </c>
      <c r="AT1253" s="161"/>
      <c r="AU1253" s="161"/>
      <c r="AV1253" s="161"/>
      <c r="AW1253" s="161"/>
      <c r="AX1253" s="161"/>
      <c r="AY1253" s="161"/>
      <c r="AZ1253" s="161"/>
      <c r="BA1253" s="161"/>
      <c r="BB1253" s="161"/>
      <c r="BC1253" s="161"/>
    </row>
    <row r="1254" spans="1:55" ht="15.75" customHeight="1" x14ac:dyDescent="0.25">
      <c r="A1254" s="127"/>
      <c r="B1254" s="122" t="s">
        <v>6</v>
      </c>
      <c r="C1254" s="171"/>
      <c r="D1254" s="124"/>
      <c r="E1254" s="124"/>
      <c r="F1254" s="172"/>
      <c r="G1254" s="124"/>
      <c r="H1254" s="124"/>
      <c r="I1254" s="172"/>
      <c r="J1254" s="124"/>
      <c r="K1254" s="124"/>
      <c r="L1254" s="172"/>
      <c r="M1254" s="124"/>
      <c r="N1254" s="124"/>
      <c r="O1254" s="124"/>
      <c r="P1254" s="172"/>
      <c r="Q1254" s="124"/>
      <c r="R1254" s="124">
        <v>1</v>
      </c>
      <c r="S1254" s="172"/>
      <c r="T1254" s="124"/>
      <c r="U1254" s="124"/>
      <c r="V1254" s="124">
        <v>2</v>
      </c>
      <c r="W1254" s="172"/>
      <c r="X1254" s="124"/>
      <c r="Y1254" s="124"/>
      <c r="Z1254" s="172"/>
      <c r="AA1254" s="124"/>
      <c r="AB1254" s="124"/>
      <c r="AC1254" s="124">
        <v>3</v>
      </c>
      <c r="AD1254" s="172"/>
      <c r="AE1254" s="124"/>
      <c r="AF1254" s="124"/>
      <c r="AG1254" s="124">
        <v>4</v>
      </c>
      <c r="AH1254" s="172"/>
      <c r="AI1254" s="124"/>
      <c r="AJ1254" s="124"/>
      <c r="AK1254" s="171"/>
      <c r="AL1254" s="124"/>
      <c r="AM1254" s="124"/>
      <c r="AN1254" s="172"/>
      <c r="AO1254" s="124"/>
      <c r="AP1254" s="124"/>
      <c r="AQ1254" s="124"/>
      <c r="AR1254" s="124"/>
      <c r="AS1254" s="124"/>
      <c r="AT1254" s="161"/>
      <c r="AU1254" s="161"/>
      <c r="AV1254" s="161"/>
      <c r="AW1254" s="161"/>
      <c r="AX1254" s="161"/>
      <c r="AY1254" s="161"/>
      <c r="AZ1254" s="161"/>
      <c r="BA1254" s="161"/>
      <c r="BB1254" s="161"/>
      <c r="BC1254" s="161"/>
    </row>
    <row r="1255" spans="1:55" ht="15.75" customHeight="1" x14ac:dyDescent="0.25">
      <c r="A1255" s="128"/>
      <c r="B1255" s="122" t="s">
        <v>8</v>
      </c>
      <c r="C1255" s="174">
        <v>1100</v>
      </c>
      <c r="D1255" s="130" t="s">
        <v>18</v>
      </c>
      <c r="E1255" s="130" t="s">
        <v>18</v>
      </c>
      <c r="F1255" s="175" t="s">
        <v>18</v>
      </c>
      <c r="G1255" s="130" t="s">
        <v>18</v>
      </c>
      <c r="H1255" s="130" t="s">
        <v>18</v>
      </c>
      <c r="I1255" s="175">
        <v>880</v>
      </c>
      <c r="J1255" s="130" t="s">
        <v>18</v>
      </c>
      <c r="K1255" s="130" t="s">
        <v>18</v>
      </c>
      <c r="L1255" s="175" t="s">
        <v>18</v>
      </c>
      <c r="M1255" s="130" t="s">
        <v>18</v>
      </c>
      <c r="N1255" s="130" t="s">
        <v>18</v>
      </c>
      <c r="O1255" s="130" t="s">
        <v>18</v>
      </c>
      <c r="P1255" s="175" t="s">
        <v>18</v>
      </c>
      <c r="Q1255" s="130" t="s">
        <v>18</v>
      </c>
      <c r="R1255" s="130" t="s">
        <v>18</v>
      </c>
      <c r="S1255" s="175" t="s">
        <v>18</v>
      </c>
      <c r="T1255" s="130" t="s">
        <v>18</v>
      </c>
      <c r="U1255" s="130" t="s">
        <v>18</v>
      </c>
      <c r="V1255" s="130" t="s">
        <v>18</v>
      </c>
      <c r="W1255" s="175" t="s">
        <v>18</v>
      </c>
      <c r="X1255" s="130" t="s">
        <v>18</v>
      </c>
      <c r="Y1255" s="130" t="s">
        <v>18</v>
      </c>
      <c r="Z1255" s="175" t="s">
        <v>18</v>
      </c>
      <c r="AA1255" s="130" t="s">
        <v>18</v>
      </c>
      <c r="AB1255" s="130" t="s">
        <v>18</v>
      </c>
      <c r="AC1255" s="130" t="s">
        <v>18</v>
      </c>
      <c r="AD1255" s="175" t="s">
        <v>18</v>
      </c>
      <c r="AE1255" s="130" t="s">
        <v>18</v>
      </c>
      <c r="AF1255" s="130" t="s">
        <v>18</v>
      </c>
      <c r="AG1255" s="130" t="s">
        <v>18</v>
      </c>
      <c r="AH1255" s="175" t="s">
        <v>18</v>
      </c>
      <c r="AI1255" s="130" t="s">
        <v>18</v>
      </c>
      <c r="AJ1255" s="130" t="s">
        <v>18</v>
      </c>
      <c r="AK1255" s="174" t="s">
        <v>18</v>
      </c>
      <c r="AL1255" s="130" t="s">
        <v>18</v>
      </c>
      <c r="AM1255" s="130" t="s">
        <v>18</v>
      </c>
      <c r="AN1255" s="175" t="s">
        <v>18</v>
      </c>
      <c r="AO1255" s="130" t="s">
        <v>18</v>
      </c>
      <c r="AP1255" s="130" t="s">
        <v>18</v>
      </c>
      <c r="AQ1255" s="130" t="s">
        <v>18</v>
      </c>
      <c r="AR1255" s="130" t="s">
        <v>18</v>
      </c>
      <c r="AS1255" s="130" t="s">
        <v>18</v>
      </c>
      <c r="AT1255" s="161"/>
      <c r="AU1255" s="161"/>
      <c r="AV1255" s="161"/>
      <c r="AW1255" s="161"/>
      <c r="AX1255" s="161"/>
      <c r="AY1255" s="161"/>
      <c r="AZ1255" s="161"/>
      <c r="BA1255" s="161"/>
      <c r="BB1255" s="161"/>
      <c r="BC1255" s="161"/>
    </row>
    <row r="1256" spans="1:55" ht="15.75" customHeight="1" x14ac:dyDescent="0.25">
      <c r="A1256" s="127" t="s">
        <v>9</v>
      </c>
      <c r="B1256" s="132" t="s">
        <v>10</v>
      </c>
      <c r="C1256" s="177" t="s">
        <v>154</v>
      </c>
      <c r="D1256" s="134" t="s">
        <v>18</v>
      </c>
      <c r="E1256" s="134" t="s">
        <v>18</v>
      </c>
      <c r="F1256" s="178" t="s">
        <v>18</v>
      </c>
      <c r="G1256" s="134" t="s">
        <v>18</v>
      </c>
      <c r="H1256" s="134" t="s">
        <v>18</v>
      </c>
      <c r="I1256" s="178" t="s">
        <v>194</v>
      </c>
      <c r="J1256" s="134" t="s">
        <v>18</v>
      </c>
      <c r="K1256" s="134" t="s">
        <v>18</v>
      </c>
      <c r="L1256" s="178" t="s">
        <v>195</v>
      </c>
      <c r="M1256" s="134" t="s">
        <v>195</v>
      </c>
      <c r="N1256" s="134" t="s">
        <v>195</v>
      </c>
      <c r="O1256" s="134" t="s">
        <v>195</v>
      </c>
      <c r="P1256" s="178" t="s">
        <v>195</v>
      </c>
      <c r="Q1256" s="134" t="s">
        <v>195</v>
      </c>
      <c r="R1256" s="134" t="s">
        <v>195</v>
      </c>
      <c r="S1256" s="178" t="s">
        <v>195</v>
      </c>
      <c r="T1256" s="134" t="s">
        <v>195</v>
      </c>
      <c r="U1256" s="134" t="s">
        <v>195</v>
      </c>
      <c r="V1256" s="134" t="s">
        <v>195</v>
      </c>
      <c r="W1256" s="178" t="s">
        <v>195</v>
      </c>
      <c r="X1256" s="134" t="s">
        <v>195</v>
      </c>
      <c r="Y1256" s="134" t="s">
        <v>195</v>
      </c>
      <c r="Z1256" s="178" t="s">
        <v>195</v>
      </c>
      <c r="AA1256" s="134" t="s">
        <v>195</v>
      </c>
      <c r="AB1256" s="134" t="s">
        <v>195</v>
      </c>
      <c r="AC1256" s="134" t="s">
        <v>195</v>
      </c>
      <c r="AD1256" s="178" t="s">
        <v>195</v>
      </c>
      <c r="AE1256" s="134" t="s">
        <v>195</v>
      </c>
      <c r="AF1256" s="134" t="s">
        <v>195</v>
      </c>
      <c r="AG1256" s="134" t="s">
        <v>195</v>
      </c>
      <c r="AH1256" s="178" t="s">
        <v>196</v>
      </c>
      <c r="AI1256" s="134" t="s">
        <v>196</v>
      </c>
      <c r="AJ1256" s="134" t="s">
        <v>196</v>
      </c>
      <c r="AK1256" s="177" t="s">
        <v>196</v>
      </c>
      <c r="AL1256" s="134" t="s">
        <v>196</v>
      </c>
      <c r="AM1256" s="134" t="s">
        <v>196</v>
      </c>
      <c r="AN1256" s="178" t="s">
        <v>196</v>
      </c>
      <c r="AO1256" s="134" t="s">
        <v>196</v>
      </c>
      <c r="AP1256" s="134" t="s">
        <v>196</v>
      </c>
      <c r="AQ1256" s="134" t="s">
        <v>196</v>
      </c>
      <c r="AR1256" s="134" t="s">
        <v>18</v>
      </c>
      <c r="AS1256" s="134" t="s">
        <v>18</v>
      </c>
      <c r="AT1256" s="189"/>
      <c r="AU1256" s="189"/>
      <c r="AV1256" s="189"/>
      <c r="AW1256" s="189"/>
      <c r="AX1256" s="189"/>
      <c r="AY1256" s="189"/>
      <c r="AZ1256" s="189"/>
      <c r="BA1256" s="189"/>
      <c r="BB1256" s="189"/>
      <c r="BC1256" s="189"/>
    </row>
    <row r="1257" spans="1:55" ht="15.75" customHeight="1" x14ac:dyDescent="0.25">
      <c r="A1257" s="128" t="e">
        <v>#VALUE!</v>
      </c>
      <c r="B1257" s="122" t="s">
        <v>12</v>
      </c>
      <c r="C1257" s="171"/>
      <c r="D1257" s="124"/>
      <c r="E1257" s="124"/>
      <c r="F1257" s="172"/>
      <c r="G1257" s="124"/>
      <c r="H1257" s="124"/>
      <c r="I1257" s="172"/>
      <c r="J1257" s="124"/>
      <c r="K1257" s="124"/>
      <c r="L1257" s="172" t="s">
        <v>197</v>
      </c>
      <c r="M1257" s="124"/>
      <c r="N1257" s="124"/>
      <c r="O1257" s="124"/>
      <c r="P1257" s="172"/>
      <c r="Q1257" s="124"/>
      <c r="R1257" s="124"/>
      <c r="S1257" s="172" t="s">
        <v>164</v>
      </c>
      <c r="T1257" s="124"/>
      <c r="U1257" s="124"/>
      <c r="V1257" s="124"/>
      <c r="W1257" s="172" t="s">
        <v>104</v>
      </c>
      <c r="X1257" s="124"/>
      <c r="Y1257" s="124"/>
      <c r="Z1257" s="172"/>
      <c r="AA1257" s="124"/>
      <c r="AB1257" s="124"/>
      <c r="AC1257" s="124"/>
      <c r="AD1257" s="172"/>
      <c r="AE1257" s="124"/>
      <c r="AF1257" s="124"/>
      <c r="AG1257" s="124"/>
      <c r="AH1257" s="172" t="s">
        <v>198</v>
      </c>
      <c r="AI1257" s="124"/>
      <c r="AJ1257" s="124"/>
      <c r="AK1257" s="171"/>
      <c r="AL1257" s="124"/>
      <c r="AM1257" s="124"/>
      <c r="AN1257" s="172" t="s">
        <v>199</v>
      </c>
      <c r="AO1257" s="124"/>
      <c r="AP1257" s="124"/>
      <c r="AQ1257" s="124"/>
      <c r="AR1257" s="124"/>
      <c r="AS1257" s="124"/>
      <c r="AT1257" s="161"/>
      <c r="AU1257" s="161"/>
      <c r="AV1257" s="161"/>
      <c r="AW1257" s="161"/>
      <c r="AX1257" s="161"/>
      <c r="AY1257" s="161"/>
      <c r="AZ1257" s="161"/>
      <c r="BA1257" s="161"/>
      <c r="BB1257" s="161"/>
      <c r="BC1257" s="161"/>
    </row>
    <row r="1258" spans="1:55" ht="15.75" customHeight="1" x14ac:dyDescent="0.25">
      <c r="A1258" s="128" t="e">
        <v>#VALUE!</v>
      </c>
      <c r="B1258" s="136" t="s">
        <v>13</v>
      </c>
      <c r="C1258" s="171">
        <v>0</v>
      </c>
      <c r="D1258" s="137" t="s">
        <v>18</v>
      </c>
      <c r="E1258" s="124" t="e">
        <v>#VALUE!</v>
      </c>
      <c r="F1258" s="172" t="s">
        <v>18</v>
      </c>
      <c r="G1258" s="137" t="s">
        <v>18</v>
      </c>
      <c r="H1258" s="137" t="s">
        <v>18</v>
      </c>
      <c r="I1258" s="172" t="s">
        <v>18</v>
      </c>
      <c r="J1258" s="137" t="s">
        <v>18</v>
      </c>
      <c r="K1258" s="137" t="e">
        <v>#VALUE!</v>
      </c>
      <c r="L1258" s="172">
        <v>0</v>
      </c>
      <c r="M1258" s="137">
        <v>0</v>
      </c>
      <c r="N1258" s="137">
        <v>0</v>
      </c>
      <c r="O1258" s="137">
        <v>103</v>
      </c>
      <c r="P1258" s="172">
        <v>0</v>
      </c>
      <c r="Q1258" s="137">
        <v>0</v>
      </c>
      <c r="R1258" s="137">
        <v>111</v>
      </c>
      <c r="S1258" s="172">
        <v>0</v>
      </c>
      <c r="T1258" s="137">
        <v>0</v>
      </c>
      <c r="U1258" s="137">
        <v>0</v>
      </c>
      <c r="V1258" s="137">
        <v>67</v>
      </c>
      <c r="W1258" s="172">
        <v>0</v>
      </c>
      <c r="X1258" s="137">
        <v>0</v>
      </c>
      <c r="Y1258" s="137">
        <v>44</v>
      </c>
      <c r="Z1258" s="172">
        <v>0</v>
      </c>
      <c r="AA1258" s="137">
        <v>0</v>
      </c>
      <c r="AB1258" s="137">
        <v>0</v>
      </c>
      <c r="AC1258" s="137">
        <v>75</v>
      </c>
      <c r="AD1258" s="172">
        <v>0</v>
      </c>
      <c r="AE1258" s="137">
        <v>0</v>
      </c>
      <c r="AF1258" s="137">
        <v>0</v>
      </c>
      <c r="AG1258" s="137">
        <v>45</v>
      </c>
      <c r="AH1258" s="172">
        <v>0</v>
      </c>
      <c r="AI1258" s="137">
        <v>0</v>
      </c>
      <c r="AJ1258" s="137">
        <v>54</v>
      </c>
      <c r="AK1258" s="171">
        <v>0</v>
      </c>
      <c r="AL1258" s="137">
        <v>0</v>
      </c>
      <c r="AM1258" s="137">
        <v>44</v>
      </c>
      <c r="AN1258" s="172">
        <v>0</v>
      </c>
      <c r="AO1258" s="137">
        <v>0</v>
      </c>
      <c r="AP1258" s="137">
        <v>0</v>
      </c>
      <c r="AQ1258" s="137">
        <v>0</v>
      </c>
      <c r="AR1258" s="137" t="s">
        <v>18</v>
      </c>
      <c r="AS1258" s="137" t="s">
        <v>18</v>
      </c>
      <c r="AT1258" s="161"/>
      <c r="AU1258" s="161"/>
      <c r="AV1258" s="161"/>
      <c r="AW1258" s="161"/>
      <c r="AX1258" s="161"/>
      <c r="AY1258" s="161"/>
      <c r="AZ1258" s="161"/>
      <c r="BA1258" s="161"/>
      <c r="BB1258" s="161"/>
      <c r="BC1258" s="161"/>
    </row>
    <row r="1259" spans="1:55" ht="15.75" customHeight="1" x14ac:dyDescent="0.25">
      <c r="A1259" s="128" t="e">
        <v>#VALUE!</v>
      </c>
      <c r="B1259" s="136" t="s">
        <v>14</v>
      </c>
      <c r="C1259" s="171">
        <v>0</v>
      </c>
      <c r="D1259" s="137" t="s">
        <v>18</v>
      </c>
      <c r="E1259" s="124" t="e">
        <v>#VALUE!</v>
      </c>
      <c r="F1259" s="172" t="s">
        <v>18</v>
      </c>
      <c r="G1259" s="137" t="s">
        <v>18</v>
      </c>
      <c r="H1259" s="137" t="s">
        <v>18</v>
      </c>
      <c r="I1259" s="172" t="s">
        <v>18</v>
      </c>
      <c r="J1259" s="137" t="s">
        <v>18</v>
      </c>
      <c r="K1259" s="137" t="e">
        <v>#VALUE!</v>
      </c>
      <c r="L1259" s="172">
        <v>0</v>
      </c>
      <c r="M1259" s="137">
        <v>0</v>
      </c>
      <c r="N1259" s="137">
        <v>0</v>
      </c>
      <c r="O1259" s="137">
        <v>1</v>
      </c>
      <c r="P1259" s="172">
        <v>0</v>
      </c>
      <c r="Q1259" s="137">
        <v>0</v>
      </c>
      <c r="R1259" s="137">
        <v>4</v>
      </c>
      <c r="S1259" s="172">
        <v>0</v>
      </c>
      <c r="T1259" s="137">
        <v>0</v>
      </c>
      <c r="U1259" s="137">
        <v>0</v>
      </c>
      <c r="V1259" s="137">
        <v>3</v>
      </c>
      <c r="W1259" s="172">
        <v>0</v>
      </c>
      <c r="X1259" s="137">
        <v>0</v>
      </c>
      <c r="Y1259" s="137">
        <v>1</v>
      </c>
      <c r="Z1259" s="172">
        <v>0</v>
      </c>
      <c r="AA1259" s="137">
        <v>0</v>
      </c>
      <c r="AB1259" s="137">
        <v>0</v>
      </c>
      <c r="AC1259" s="137">
        <v>3</v>
      </c>
      <c r="AD1259" s="172">
        <v>0</v>
      </c>
      <c r="AE1259" s="137">
        <v>0</v>
      </c>
      <c r="AF1259" s="137">
        <v>0</v>
      </c>
      <c r="AG1259" s="137">
        <v>2</v>
      </c>
      <c r="AH1259" s="172">
        <v>0</v>
      </c>
      <c r="AI1259" s="137">
        <v>0</v>
      </c>
      <c r="AJ1259" s="137">
        <v>1</v>
      </c>
      <c r="AK1259" s="171">
        <v>0</v>
      </c>
      <c r="AL1259" s="137">
        <v>0</v>
      </c>
      <c r="AM1259" s="137">
        <v>3</v>
      </c>
      <c r="AN1259" s="172">
        <v>0</v>
      </c>
      <c r="AO1259" s="137">
        <v>0</v>
      </c>
      <c r="AP1259" s="137">
        <v>0</v>
      </c>
      <c r="AQ1259" s="137">
        <v>0</v>
      </c>
      <c r="AR1259" s="137" t="s">
        <v>18</v>
      </c>
      <c r="AS1259" s="137" t="s">
        <v>18</v>
      </c>
      <c r="AT1259" s="161"/>
      <c r="AU1259" s="161"/>
      <c r="AV1259" s="161"/>
      <c r="AW1259" s="161"/>
      <c r="AX1259" s="161"/>
      <c r="AY1259" s="161"/>
      <c r="AZ1259" s="161"/>
      <c r="BA1259" s="161"/>
      <c r="BB1259" s="161"/>
      <c r="BC1259" s="161"/>
    </row>
    <row r="1260" spans="1:55" ht="15.75" customHeight="1" x14ac:dyDescent="0.25">
      <c r="A1260" s="128" t="e">
        <v>#VALUE!</v>
      </c>
      <c r="B1260" s="136" t="s">
        <v>15</v>
      </c>
      <c r="C1260" s="171">
        <v>0</v>
      </c>
      <c r="D1260" s="137" t="s">
        <v>18</v>
      </c>
      <c r="E1260" s="124" t="e">
        <v>#VALUE!</v>
      </c>
      <c r="F1260" s="172" t="s">
        <v>18</v>
      </c>
      <c r="G1260" s="137" t="s">
        <v>18</v>
      </c>
      <c r="H1260" s="137" t="s">
        <v>18</v>
      </c>
      <c r="I1260" s="172" t="s">
        <v>18</v>
      </c>
      <c r="J1260" s="137" t="s">
        <v>18</v>
      </c>
      <c r="K1260" s="137" t="e">
        <v>#VALUE!</v>
      </c>
      <c r="L1260" s="172" t="e">
        <v>#VALUE!</v>
      </c>
      <c r="M1260" s="137" t="e">
        <v>#VALUE!</v>
      </c>
      <c r="N1260" s="137" t="e">
        <v>#VALUE!</v>
      </c>
      <c r="O1260" s="137" t="e">
        <v>#VALUE!</v>
      </c>
      <c r="P1260" s="172">
        <v>0</v>
      </c>
      <c r="Q1260" s="137">
        <v>0</v>
      </c>
      <c r="R1260" s="137">
        <v>2</v>
      </c>
      <c r="S1260" s="172">
        <v>0</v>
      </c>
      <c r="T1260" s="137">
        <v>0</v>
      </c>
      <c r="U1260" s="137">
        <v>0</v>
      </c>
      <c r="V1260" s="137">
        <v>2</v>
      </c>
      <c r="W1260" s="172">
        <v>0</v>
      </c>
      <c r="X1260" s="137">
        <v>0</v>
      </c>
      <c r="Y1260" s="137">
        <v>1</v>
      </c>
      <c r="Z1260" s="172">
        <v>0</v>
      </c>
      <c r="AA1260" s="137">
        <v>0</v>
      </c>
      <c r="AB1260" s="137">
        <v>0</v>
      </c>
      <c r="AC1260" s="137">
        <v>2</v>
      </c>
      <c r="AD1260" s="172">
        <v>0</v>
      </c>
      <c r="AE1260" s="137">
        <v>0</v>
      </c>
      <c r="AF1260" s="137">
        <v>0</v>
      </c>
      <c r="AG1260" s="137">
        <v>1</v>
      </c>
      <c r="AH1260" s="172">
        <v>0</v>
      </c>
      <c r="AI1260" s="137">
        <v>0</v>
      </c>
      <c r="AJ1260" s="137">
        <v>0</v>
      </c>
      <c r="AK1260" s="171">
        <v>0</v>
      </c>
      <c r="AL1260" s="137">
        <v>0</v>
      </c>
      <c r="AM1260" s="137">
        <v>0</v>
      </c>
      <c r="AN1260" s="172">
        <v>0</v>
      </c>
      <c r="AO1260" s="137">
        <v>0</v>
      </c>
      <c r="AP1260" s="137">
        <v>0</v>
      </c>
      <c r="AQ1260" s="137">
        <v>0</v>
      </c>
      <c r="AR1260" s="137" t="s">
        <v>18</v>
      </c>
      <c r="AS1260" s="137" t="s">
        <v>18</v>
      </c>
      <c r="AT1260" s="161"/>
      <c r="AU1260" s="161"/>
      <c r="AV1260" s="161"/>
      <c r="AW1260" s="161"/>
      <c r="AX1260" s="161"/>
      <c r="AY1260" s="161"/>
      <c r="AZ1260" s="161"/>
      <c r="BA1260" s="161"/>
      <c r="BB1260" s="161"/>
      <c r="BC1260" s="161"/>
    </row>
    <row r="1261" spans="1:55" ht="15.75" customHeight="1" x14ac:dyDescent="0.25">
      <c r="A1261" s="128" t="e">
        <v>#VALUE!</v>
      </c>
      <c r="B1261" s="136" t="s">
        <v>16</v>
      </c>
      <c r="C1261" s="171">
        <v>0</v>
      </c>
      <c r="D1261" s="137" t="s">
        <v>18</v>
      </c>
      <c r="E1261" s="124" t="e">
        <v>#VALUE!</v>
      </c>
      <c r="F1261" s="172" t="s">
        <v>18</v>
      </c>
      <c r="G1261" s="137" t="s">
        <v>18</v>
      </c>
      <c r="H1261" s="137" t="s">
        <v>18</v>
      </c>
      <c r="I1261" s="172" t="s">
        <v>18</v>
      </c>
      <c r="J1261" s="137" t="s">
        <v>18</v>
      </c>
      <c r="K1261" s="137" t="e">
        <v>#VALUE!</v>
      </c>
      <c r="L1261" s="172" t="e">
        <v>#VALUE!</v>
      </c>
      <c r="M1261" s="137" t="e">
        <v>#VALUE!</v>
      </c>
      <c r="N1261" s="137" t="e">
        <v>#VALUE!</v>
      </c>
      <c r="O1261" s="137" t="e">
        <v>#VALUE!</v>
      </c>
      <c r="P1261" s="172" t="e">
        <v>#VALUE!</v>
      </c>
      <c r="Q1261" s="137" t="e">
        <v>#VALUE!</v>
      </c>
      <c r="R1261" s="137" t="e">
        <v>#VALUE!</v>
      </c>
      <c r="S1261" s="172" t="e">
        <v>#VALUE!</v>
      </c>
      <c r="T1261" s="137" t="e">
        <v>#VALUE!</v>
      </c>
      <c r="U1261" s="137" t="e">
        <v>#VALUE!</v>
      </c>
      <c r="V1261" s="137" t="e">
        <v>#VALUE!</v>
      </c>
      <c r="W1261" s="172" t="e">
        <v>#VALUE!</v>
      </c>
      <c r="X1261" s="137" t="e">
        <v>#VALUE!</v>
      </c>
      <c r="Y1261" s="137" t="e">
        <v>#VALUE!</v>
      </c>
      <c r="Z1261" s="172" t="e">
        <v>#VALUE!</v>
      </c>
      <c r="AA1261" s="137" t="e">
        <v>#VALUE!</v>
      </c>
      <c r="AB1261" s="137" t="e">
        <v>#VALUE!</v>
      </c>
      <c r="AC1261" s="137" t="e">
        <v>#VALUE!</v>
      </c>
      <c r="AD1261" s="172" t="e">
        <v>#VALUE!</v>
      </c>
      <c r="AE1261" s="137" t="e">
        <v>#VALUE!</v>
      </c>
      <c r="AF1261" s="137" t="e">
        <v>#VALUE!</v>
      </c>
      <c r="AG1261" s="137" t="e">
        <v>#VALUE!</v>
      </c>
      <c r="AH1261" s="172" t="e">
        <v>#VALUE!</v>
      </c>
      <c r="AI1261" s="137" t="e">
        <v>#VALUE!</v>
      </c>
      <c r="AJ1261" s="137" t="e">
        <v>#VALUE!</v>
      </c>
      <c r="AK1261" s="171" t="e">
        <v>#VALUE!</v>
      </c>
      <c r="AL1261" s="137" t="e">
        <v>#VALUE!</v>
      </c>
      <c r="AM1261" s="137" t="e">
        <v>#VALUE!</v>
      </c>
      <c r="AN1261" s="172" t="e">
        <v>#VALUE!</v>
      </c>
      <c r="AO1261" s="137" t="e">
        <v>#VALUE!</v>
      </c>
      <c r="AP1261" s="137" t="e">
        <v>#VALUE!</v>
      </c>
      <c r="AQ1261" s="137" t="e">
        <v>#VALUE!</v>
      </c>
      <c r="AR1261" s="137" t="s">
        <v>18</v>
      </c>
      <c r="AS1261" s="137" t="s">
        <v>18</v>
      </c>
      <c r="AT1261" s="161"/>
      <c r="AU1261" s="161"/>
      <c r="AV1261" s="161"/>
      <c r="AW1261" s="161"/>
      <c r="AX1261" s="161"/>
      <c r="AY1261" s="161"/>
      <c r="AZ1261" s="161"/>
      <c r="BA1261" s="161"/>
      <c r="BB1261" s="161"/>
      <c r="BC1261" s="161"/>
    </row>
    <row r="1262" spans="1:55" ht="15.75" customHeight="1" x14ac:dyDescent="0.25">
      <c r="A1262" s="138" t="e">
        <v>#VALUE!</v>
      </c>
      <c r="B1262" s="136" t="s">
        <v>17</v>
      </c>
      <c r="C1262" s="183" t="s">
        <v>18</v>
      </c>
      <c r="D1262" s="147" t="s">
        <v>18</v>
      </c>
      <c r="E1262" s="193" t="e">
        <v>#VALUE!</v>
      </c>
      <c r="F1262" s="184" t="s">
        <v>18</v>
      </c>
      <c r="G1262" s="147" t="s">
        <v>18</v>
      </c>
      <c r="H1262" s="147" t="s">
        <v>18</v>
      </c>
      <c r="I1262" s="184" t="s">
        <v>18</v>
      </c>
      <c r="J1262" s="147" t="s">
        <v>18</v>
      </c>
      <c r="K1262" s="147" t="e">
        <v>#VALUE!</v>
      </c>
      <c r="L1262" s="184" t="e">
        <v>#VALUE!</v>
      </c>
      <c r="M1262" s="147" t="e">
        <v>#VALUE!</v>
      </c>
      <c r="N1262" s="147" t="e">
        <v>#VALUE!</v>
      </c>
      <c r="O1262" s="147" t="e">
        <v>#VALUE!</v>
      </c>
      <c r="P1262" s="184" t="e">
        <v>#VALUE!</v>
      </c>
      <c r="Q1262" s="147" t="e">
        <v>#VALUE!</v>
      </c>
      <c r="R1262" s="147" t="e">
        <v>#VALUE!</v>
      </c>
      <c r="S1262" s="184" t="e">
        <v>#VALUE!</v>
      </c>
      <c r="T1262" s="147" t="e">
        <v>#VALUE!</v>
      </c>
      <c r="U1262" s="147" t="e">
        <v>#VALUE!</v>
      </c>
      <c r="V1262" s="147" t="e">
        <v>#VALUE!</v>
      </c>
      <c r="W1262" s="184" t="e">
        <v>#VALUE!</v>
      </c>
      <c r="X1262" s="147" t="e">
        <v>#VALUE!</v>
      </c>
      <c r="Y1262" s="147" t="e">
        <v>#VALUE!</v>
      </c>
      <c r="Z1262" s="184" t="e">
        <v>#VALUE!</v>
      </c>
      <c r="AA1262" s="147" t="e">
        <v>#VALUE!</v>
      </c>
      <c r="AB1262" s="147" t="e">
        <v>#VALUE!</v>
      </c>
      <c r="AC1262" s="147" t="e">
        <v>#VALUE!</v>
      </c>
      <c r="AD1262" s="184" t="e">
        <v>#VALUE!</v>
      </c>
      <c r="AE1262" s="147" t="e">
        <v>#VALUE!</v>
      </c>
      <c r="AF1262" s="147" t="e">
        <v>#VALUE!</v>
      </c>
      <c r="AG1262" s="147" t="e">
        <v>#VALUE!</v>
      </c>
      <c r="AH1262" s="184" t="e">
        <v>#VALUE!</v>
      </c>
      <c r="AI1262" s="147" t="e">
        <v>#VALUE!</v>
      </c>
      <c r="AJ1262" s="147" t="e">
        <v>#VALUE!</v>
      </c>
      <c r="AK1262" s="183" t="e">
        <v>#VALUE!</v>
      </c>
      <c r="AL1262" s="147" t="e">
        <v>#VALUE!</v>
      </c>
      <c r="AM1262" s="147" t="e">
        <v>#VALUE!</v>
      </c>
      <c r="AN1262" s="184" t="e">
        <v>#VALUE!</v>
      </c>
      <c r="AO1262" s="147" t="e">
        <v>#VALUE!</v>
      </c>
      <c r="AP1262" s="147" t="e">
        <v>#VALUE!</v>
      </c>
      <c r="AQ1262" s="147" t="e">
        <v>#VALUE!</v>
      </c>
      <c r="AR1262" s="147" t="s">
        <v>18</v>
      </c>
      <c r="AS1262" s="147" t="s">
        <v>18</v>
      </c>
      <c r="AT1262" s="161"/>
      <c r="AU1262" s="161"/>
      <c r="AV1262" s="161"/>
      <c r="AW1262" s="161"/>
      <c r="AX1262" s="161"/>
      <c r="AY1262" s="161"/>
      <c r="AZ1262" s="161"/>
      <c r="BA1262" s="161"/>
      <c r="BB1262" s="161"/>
      <c r="BC1262" s="161"/>
    </row>
    <row r="1263" spans="1:55" ht="15.75" customHeight="1" x14ac:dyDescent="0.25">
      <c r="A1263" s="149" t="s">
        <v>145</v>
      </c>
      <c r="B1263" s="150" t="s">
        <v>2</v>
      </c>
      <c r="C1263" s="174">
        <v>12121</v>
      </c>
      <c r="D1263" s="130" t="s">
        <v>18</v>
      </c>
      <c r="E1263" s="130">
        <v>12212</v>
      </c>
      <c r="F1263" s="175" t="s">
        <v>18</v>
      </c>
      <c r="G1263" s="130" t="s">
        <v>18</v>
      </c>
      <c r="H1263" s="130" t="s">
        <v>18</v>
      </c>
      <c r="I1263" s="175" t="s">
        <v>18</v>
      </c>
      <c r="J1263" s="130" t="s">
        <v>18</v>
      </c>
      <c r="K1263" s="130">
        <v>12342</v>
      </c>
      <c r="L1263" s="175">
        <v>12342</v>
      </c>
      <c r="M1263" s="130">
        <v>12342</v>
      </c>
      <c r="N1263" s="130">
        <v>12342</v>
      </c>
      <c r="O1263" s="130">
        <v>12386</v>
      </c>
      <c r="P1263" s="175">
        <v>12386</v>
      </c>
      <c r="Q1263" s="130">
        <v>12386</v>
      </c>
      <c r="R1263" s="130">
        <v>12454</v>
      </c>
      <c r="S1263" s="175">
        <v>12454</v>
      </c>
      <c r="T1263" s="130">
        <v>12454</v>
      </c>
      <c r="U1263" s="130">
        <v>12454</v>
      </c>
      <c r="V1263" s="130">
        <v>12607</v>
      </c>
      <c r="W1263" s="175">
        <v>12607</v>
      </c>
      <c r="X1263" s="130">
        <v>12607</v>
      </c>
      <c r="Y1263" s="130">
        <v>12838</v>
      </c>
      <c r="Z1263" s="175">
        <v>12838</v>
      </c>
      <c r="AA1263" s="130">
        <v>12838</v>
      </c>
      <c r="AB1263" s="130">
        <v>12838</v>
      </c>
      <c r="AC1263" s="130">
        <v>12891</v>
      </c>
      <c r="AD1263" s="175">
        <v>12891</v>
      </c>
      <c r="AE1263" s="130">
        <v>12891</v>
      </c>
      <c r="AF1263" s="130">
        <v>12891</v>
      </c>
      <c r="AG1263" s="130">
        <v>13017</v>
      </c>
      <c r="AH1263" s="175">
        <v>13017</v>
      </c>
      <c r="AI1263" s="130">
        <v>13017</v>
      </c>
      <c r="AJ1263" s="130">
        <v>13137</v>
      </c>
      <c r="AK1263" s="174">
        <v>13137</v>
      </c>
      <c r="AL1263" s="130">
        <v>13137</v>
      </c>
      <c r="AM1263" s="130">
        <v>13274</v>
      </c>
      <c r="AN1263" s="175">
        <v>13274</v>
      </c>
      <c r="AO1263" s="130">
        <v>13274</v>
      </c>
      <c r="AP1263" s="130">
        <v>13274</v>
      </c>
      <c r="AQ1263" s="130">
        <v>13274</v>
      </c>
      <c r="AR1263" s="130" t="s">
        <v>18</v>
      </c>
      <c r="AS1263" s="130" t="s">
        <v>18</v>
      </c>
      <c r="AT1263" s="161"/>
      <c r="AU1263" s="161"/>
      <c r="AV1263" s="161"/>
      <c r="AW1263" s="161"/>
      <c r="AX1263" s="161"/>
      <c r="AY1263" s="161"/>
      <c r="AZ1263" s="161"/>
      <c r="BA1263" s="161"/>
      <c r="BB1263" s="161"/>
      <c r="BC1263" s="161"/>
    </row>
    <row r="1264" spans="1:55" ht="15.75" customHeight="1" x14ac:dyDescent="0.25">
      <c r="A1264" s="121" t="s">
        <v>19</v>
      </c>
      <c r="B1264" s="122" t="s">
        <v>4</v>
      </c>
      <c r="C1264" s="171">
        <v>445</v>
      </c>
      <c r="D1264" s="124" t="s">
        <v>18</v>
      </c>
      <c r="E1264" s="124">
        <v>448</v>
      </c>
      <c r="F1264" s="172" t="s">
        <v>18</v>
      </c>
      <c r="G1264" s="124" t="s">
        <v>18</v>
      </c>
      <c r="H1264" s="124" t="s">
        <v>18</v>
      </c>
      <c r="I1264" s="172" t="s">
        <v>18</v>
      </c>
      <c r="J1264" s="124" t="s">
        <v>18</v>
      </c>
      <c r="K1264" s="124">
        <v>454</v>
      </c>
      <c r="L1264" s="172">
        <v>454</v>
      </c>
      <c r="M1264" s="124">
        <v>454</v>
      </c>
      <c r="N1264" s="124">
        <v>454</v>
      </c>
      <c r="O1264" s="124">
        <v>455</v>
      </c>
      <c r="P1264" s="172">
        <v>455</v>
      </c>
      <c r="Q1264" s="124">
        <v>455</v>
      </c>
      <c r="R1264" s="124">
        <v>460</v>
      </c>
      <c r="S1264" s="172">
        <v>460</v>
      </c>
      <c r="T1264" s="124">
        <v>460</v>
      </c>
      <c r="U1264" s="124">
        <v>460</v>
      </c>
      <c r="V1264" s="124">
        <v>465</v>
      </c>
      <c r="W1264" s="172">
        <v>465</v>
      </c>
      <c r="X1264" s="124">
        <v>465</v>
      </c>
      <c r="Y1264" s="124">
        <v>469</v>
      </c>
      <c r="Z1264" s="172">
        <v>469</v>
      </c>
      <c r="AA1264" s="124">
        <v>469</v>
      </c>
      <c r="AB1264" s="124">
        <v>469</v>
      </c>
      <c r="AC1264" s="124">
        <v>476</v>
      </c>
      <c r="AD1264" s="172">
        <v>476</v>
      </c>
      <c r="AE1264" s="124">
        <v>476</v>
      </c>
      <c r="AF1264" s="124">
        <v>476</v>
      </c>
      <c r="AG1264" s="124">
        <v>479</v>
      </c>
      <c r="AH1264" s="172">
        <v>479</v>
      </c>
      <c r="AI1264" s="124">
        <v>479</v>
      </c>
      <c r="AJ1264" s="124">
        <v>479</v>
      </c>
      <c r="AK1264" s="171">
        <v>479</v>
      </c>
      <c r="AL1264" s="124">
        <v>479</v>
      </c>
      <c r="AM1264" s="124">
        <v>482</v>
      </c>
      <c r="AN1264" s="172">
        <v>482</v>
      </c>
      <c r="AO1264" s="124">
        <v>482</v>
      </c>
      <c r="AP1264" s="124">
        <v>482</v>
      </c>
      <c r="AQ1264" s="124">
        <v>482</v>
      </c>
      <c r="AR1264" s="124" t="s">
        <v>18</v>
      </c>
      <c r="AS1264" s="124" t="s">
        <v>18</v>
      </c>
      <c r="AT1264" s="161"/>
      <c r="AU1264" s="161"/>
      <c r="AV1264" s="161"/>
      <c r="AW1264" s="161"/>
      <c r="AX1264" s="161"/>
      <c r="AY1264" s="161"/>
      <c r="AZ1264" s="161"/>
      <c r="BA1264" s="161"/>
      <c r="BB1264" s="161"/>
      <c r="BC1264" s="161"/>
    </row>
    <row r="1265" spans="1:55" ht="15.75" customHeight="1" x14ac:dyDescent="0.25">
      <c r="A1265" s="143">
        <v>3</v>
      </c>
      <c r="B1265" s="122" t="s">
        <v>5</v>
      </c>
      <c r="C1265" s="171">
        <v>16</v>
      </c>
      <c r="D1265" s="124" t="s">
        <v>18</v>
      </c>
      <c r="E1265" s="124">
        <v>13</v>
      </c>
      <c r="F1265" s="172" t="s">
        <v>18</v>
      </c>
      <c r="G1265" s="124" t="s">
        <v>18</v>
      </c>
      <c r="H1265" s="124" t="s">
        <v>18</v>
      </c>
      <c r="I1265" s="172">
        <v>11</v>
      </c>
      <c r="J1265" s="124" t="s">
        <v>18</v>
      </c>
      <c r="K1265" s="124">
        <v>8</v>
      </c>
      <c r="L1265" s="172">
        <v>8</v>
      </c>
      <c r="M1265" s="124">
        <v>8</v>
      </c>
      <c r="N1265" s="124">
        <v>8</v>
      </c>
      <c r="O1265" s="124">
        <v>7</v>
      </c>
      <c r="P1265" s="172">
        <v>5</v>
      </c>
      <c r="Q1265" s="124">
        <v>5</v>
      </c>
      <c r="R1265" s="124">
        <v>5</v>
      </c>
      <c r="S1265" s="172">
        <v>7</v>
      </c>
      <c r="T1265" s="124">
        <v>7</v>
      </c>
      <c r="U1265" s="124">
        <v>7</v>
      </c>
      <c r="V1265" s="124">
        <v>2</v>
      </c>
      <c r="W1265" s="172">
        <v>6</v>
      </c>
      <c r="X1265" s="124">
        <v>6</v>
      </c>
      <c r="Y1265" s="124">
        <v>2</v>
      </c>
      <c r="Z1265" s="172">
        <v>7</v>
      </c>
      <c r="AA1265" s="124">
        <v>7</v>
      </c>
      <c r="AB1265" s="124">
        <v>7</v>
      </c>
      <c r="AC1265" s="124">
        <v>7</v>
      </c>
      <c r="AD1265" s="172">
        <v>6</v>
      </c>
      <c r="AE1265" s="124">
        <v>6</v>
      </c>
      <c r="AF1265" s="124">
        <v>6</v>
      </c>
      <c r="AG1265" s="124">
        <v>4</v>
      </c>
      <c r="AH1265" s="172">
        <v>6</v>
      </c>
      <c r="AI1265" s="124">
        <v>6</v>
      </c>
      <c r="AJ1265" s="124">
        <v>6</v>
      </c>
      <c r="AK1265" s="171">
        <v>6</v>
      </c>
      <c r="AL1265" s="124">
        <v>6</v>
      </c>
      <c r="AM1265" s="124">
        <v>5</v>
      </c>
      <c r="AN1265" s="172">
        <v>6</v>
      </c>
      <c r="AO1265" s="124">
        <v>6</v>
      </c>
      <c r="AP1265" s="124">
        <v>6</v>
      </c>
      <c r="AQ1265" s="124">
        <v>6</v>
      </c>
      <c r="AR1265" s="124" t="s">
        <v>18</v>
      </c>
      <c r="AS1265" s="124" t="s">
        <v>18</v>
      </c>
      <c r="AT1265" s="161"/>
      <c r="AU1265" s="161"/>
      <c r="AV1265" s="161"/>
      <c r="AW1265" s="161"/>
      <c r="AX1265" s="161"/>
      <c r="AY1265" s="161"/>
      <c r="AZ1265" s="161"/>
      <c r="BA1265" s="161"/>
      <c r="BB1265" s="161"/>
      <c r="BC1265" s="161"/>
    </row>
    <row r="1266" spans="1:55" ht="15.75" customHeight="1" x14ac:dyDescent="0.25">
      <c r="A1266" s="127"/>
      <c r="B1266" s="122" t="s">
        <v>6</v>
      </c>
      <c r="C1266" s="171"/>
      <c r="D1266" s="124"/>
      <c r="E1266" s="124"/>
      <c r="F1266" s="172"/>
      <c r="G1266" s="124"/>
      <c r="H1266" s="124"/>
      <c r="I1266" s="172"/>
      <c r="J1266" s="124"/>
      <c r="K1266" s="124"/>
      <c r="L1266" s="172"/>
      <c r="M1266" s="124"/>
      <c r="N1266" s="124"/>
      <c r="O1266" s="124">
        <v>-2</v>
      </c>
      <c r="P1266" s="172"/>
      <c r="Q1266" s="124"/>
      <c r="R1266" s="124">
        <v>2</v>
      </c>
      <c r="S1266" s="172"/>
      <c r="T1266" s="124"/>
      <c r="U1266" s="124"/>
      <c r="V1266" s="124">
        <v>4</v>
      </c>
      <c r="W1266" s="172"/>
      <c r="X1266" s="124"/>
      <c r="Y1266" s="124">
        <v>5</v>
      </c>
      <c r="Z1266" s="172"/>
      <c r="AA1266" s="124"/>
      <c r="AB1266" s="124"/>
      <c r="AC1266" s="124">
        <v>-1</v>
      </c>
      <c r="AD1266" s="172"/>
      <c r="AE1266" s="124"/>
      <c r="AF1266" s="124"/>
      <c r="AG1266" s="124">
        <v>2</v>
      </c>
      <c r="AH1266" s="172"/>
      <c r="AI1266" s="124"/>
      <c r="AJ1266" s="124"/>
      <c r="AK1266" s="171"/>
      <c r="AL1266" s="124"/>
      <c r="AM1266" s="124">
        <v>1</v>
      </c>
      <c r="AN1266" s="172"/>
      <c r="AO1266" s="124"/>
      <c r="AP1266" s="124"/>
      <c r="AQ1266" s="124"/>
      <c r="AR1266" s="124"/>
      <c r="AS1266" s="124"/>
      <c r="AT1266" s="161"/>
      <c r="AU1266" s="161"/>
      <c r="AV1266" s="161"/>
      <c r="AW1266" s="161"/>
      <c r="AX1266" s="161"/>
      <c r="AY1266" s="161"/>
      <c r="AZ1266" s="161"/>
      <c r="BA1266" s="161"/>
      <c r="BB1266" s="161"/>
      <c r="BC1266" s="161"/>
    </row>
    <row r="1267" spans="1:55" ht="15.75" customHeight="1" x14ac:dyDescent="0.25">
      <c r="A1267" s="128"/>
      <c r="B1267" s="122" t="s">
        <v>8</v>
      </c>
      <c r="C1267" s="174">
        <v>350</v>
      </c>
      <c r="D1267" s="130" t="s">
        <v>18</v>
      </c>
      <c r="E1267" s="130" t="s">
        <v>18</v>
      </c>
      <c r="F1267" s="175" t="s">
        <v>18</v>
      </c>
      <c r="G1267" s="130" t="s">
        <v>18</v>
      </c>
      <c r="H1267" s="130" t="s">
        <v>18</v>
      </c>
      <c r="I1267" s="175" t="s">
        <v>18</v>
      </c>
      <c r="J1267" s="130" t="s">
        <v>18</v>
      </c>
      <c r="K1267" s="130" t="s">
        <v>18</v>
      </c>
      <c r="L1267" s="175" t="s">
        <v>18</v>
      </c>
      <c r="M1267" s="130" t="s">
        <v>18</v>
      </c>
      <c r="N1267" s="130" t="s">
        <v>18</v>
      </c>
      <c r="O1267" s="130" t="s">
        <v>18</v>
      </c>
      <c r="P1267" s="175">
        <v>400</v>
      </c>
      <c r="Q1267" s="130">
        <v>400</v>
      </c>
      <c r="R1267" s="130">
        <v>400</v>
      </c>
      <c r="S1267" s="175">
        <v>400</v>
      </c>
      <c r="T1267" s="130">
        <v>400</v>
      </c>
      <c r="U1267" s="130">
        <v>400</v>
      </c>
      <c r="V1267" s="130">
        <v>400</v>
      </c>
      <c r="W1267" s="175">
        <v>400</v>
      </c>
      <c r="X1267" s="130">
        <v>400</v>
      </c>
      <c r="Y1267" s="130">
        <v>400</v>
      </c>
      <c r="Z1267" s="175">
        <v>1000</v>
      </c>
      <c r="AA1267" s="130">
        <v>1000</v>
      </c>
      <c r="AB1267" s="130">
        <v>1000</v>
      </c>
      <c r="AC1267" s="130">
        <v>1000</v>
      </c>
      <c r="AD1267" s="175">
        <v>1000</v>
      </c>
      <c r="AE1267" s="130">
        <v>1000</v>
      </c>
      <c r="AF1267" s="130">
        <v>1000</v>
      </c>
      <c r="AG1267" s="130">
        <v>1000</v>
      </c>
      <c r="AH1267" s="175">
        <v>1000</v>
      </c>
      <c r="AI1267" s="130">
        <v>1000</v>
      </c>
      <c r="AJ1267" s="130">
        <v>1000</v>
      </c>
      <c r="AK1267" s="174">
        <v>1000</v>
      </c>
      <c r="AL1267" s="130">
        <v>1000</v>
      </c>
      <c r="AM1267" s="130">
        <v>1000</v>
      </c>
      <c r="AN1267" s="175">
        <v>1000</v>
      </c>
      <c r="AO1267" s="130">
        <v>1000</v>
      </c>
      <c r="AP1267" s="130">
        <v>1000</v>
      </c>
      <c r="AQ1267" s="130">
        <v>1000</v>
      </c>
      <c r="AR1267" s="130" t="s">
        <v>18</v>
      </c>
      <c r="AS1267" s="130" t="s">
        <v>18</v>
      </c>
      <c r="AT1267" s="161"/>
      <c r="AU1267" s="161"/>
      <c r="AV1267" s="161"/>
      <c r="AW1267" s="161"/>
      <c r="AX1267" s="161"/>
      <c r="AY1267" s="161"/>
      <c r="AZ1267" s="161"/>
      <c r="BA1267" s="161"/>
      <c r="BB1267" s="161"/>
      <c r="BC1267" s="161"/>
    </row>
    <row r="1268" spans="1:55" ht="15.75" customHeight="1" x14ac:dyDescent="0.25">
      <c r="A1268" s="127" t="s">
        <v>9</v>
      </c>
      <c r="B1268" s="132" t="s">
        <v>10</v>
      </c>
      <c r="C1268" s="177" t="s">
        <v>157</v>
      </c>
      <c r="D1268" s="134" t="s">
        <v>18</v>
      </c>
      <c r="E1268" s="134" t="s">
        <v>18</v>
      </c>
      <c r="F1268" s="178" t="s">
        <v>18</v>
      </c>
      <c r="G1268" s="134" t="s">
        <v>18</v>
      </c>
      <c r="H1268" s="134" t="s">
        <v>18</v>
      </c>
      <c r="I1268" s="178" t="s">
        <v>18</v>
      </c>
      <c r="J1268" s="134" t="s">
        <v>18</v>
      </c>
      <c r="K1268" s="134" t="s">
        <v>18</v>
      </c>
      <c r="L1268" s="178" t="s">
        <v>18</v>
      </c>
      <c r="M1268" s="134" t="s">
        <v>18</v>
      </c>
      <c r="N1268" s="134" t="s">
        <v>18</v>
      </c>
      <c r="O1268" s="134" t="s">
        <v>18</v>
      </c>
      <c r="P1268" s="178" t="s">
        <v>22</v>
      </c>
      <c r="Q1268" s="134" t="s">
        <v>22</v>
      </c>
      <c r="R1268" s="134" t="s">
        <v>22</v>
      </c>
      <c r="S1268" s="178" t="s">
        <v>22</v>
      </c>
      <c r="T1268" s="134" t="s">
        <v>22</v>
      </c>
      <c r="U1268" s="134" t="s">
        <v>22</v>
      </c>
      <c r="V1268" s="134" t="s">
        <v>22</v>
      </c>
      <c r="W1268" s="178" t="s">
        <v>22</v>
      </c>
      <c r="X1268" s="134" t="s">
        <v>22</v>
      </c>
      <c r="Y1268" s="134" t="s">
        <v>22</v>
      </c>
      <c r="Z1268" s="178" t="s">
        <v>200</v>
      </c>
      <c r="AA1268" s="134" t="s">
        <v>200</v>
      </c>
      <c r="AB1268" s="134" t="s">
        <v>200</v>
      </c>
      <c r="AC1268" s="134" t="s">
        <v>200</v>
      </c>
      <c r="AD1268" s="178" t="s">
        <v>201</v>
      </c>
      <c r="AE1268" s="134" t="s">
        <v>201</v>
      </c>
      <c r="AF1268" s="134" t="s">
        <v>201</v>
      </c>
      <c r="AG1268" s="134" t="s">
        <v>201</v>
      </c>
      <c r="AH1268" s="178" t="s">
        <v>201</v>
      </c>
      <c r="AI1268" s="134" t="s">
        <v>201</v>
      </c>
      <c r="AJ1268" s="134" t="s">
        <v>201</v>
      </c>
      <c r="AK1268" s="177" t="s">
        <v>201</v>
      </c>
      <c r="AL1268" s="134" t="s">
        <v>201</v>
      </c>
      <c r="AM1268" s="134" t="s">
        <v>201</v>
      </c>
      <c r="AN1268" s="178" t="s">
        <v>201</v>
      </c>
      <c r="AO1268" s="134" t="s">
        <v>201</v>
      </c>
      <c r="AP1268" s="134" t="s">
        <v>201</v>
      </c>
      <c r="AQ1268" s="134" t="s">
        <v>201</v>
      </c>
      <c r="AR1268" s="134" t="s">
        <v>18</v>
      </c>
      <c r="AS1268" s="134" t="s">
        <v>18</v>
      </c>
      <c r="AT1268" s="189"/>
      <c r="AU1268" s="189"/>
      <c r="AV1268" s="189"/>
      <c r="AW1268" s="189"/>
      <c r="AX1268" s="189"/>
      <c r="AY1268" s="189"/>
      <c r="AZ1268" s="189"/>
      <c r="BA1268" s="189"/>
      <c r="BB1268" s="189"/>
      <c r="BC1268" s="189"/>
    </row>
    <row r="1269" spans="1:55" ht="15.75" customHeight="1" x14ac:dyDescent="0.25">
      <c r="A1269" s="128" t="e">
        <v>#VALUE!</v>
      </c>
      <c r="B1269" s="122" t="s">
        <v>12</v>
      </c>
      <c r="C1269" s="171"/>
      <c r="D1269" s="124"/>
      <c r="E1269" s="124"/>
      <c r="F1269" s="172"/>
      <c r="G1269" s="124"/>
      <c r="H1269" s="124"/>
      <c r="I1269" s="172"/>
      <c r="J1269" s="124"/>
      <c r="K1269" s="124"/>
      <c r="L1269" s="172"/>
      <c r="M1269" s="124"/>
      <c r="N1269" s="124"/>
      <c r="O1269" s="124"/>
      <c r="P1269" s="172" t="s">
        <v>202</v>
      </c>
      <c r="Q1269" s="124"/>
      <c r="R1269" s="124"/>
      <c r="S1269" s="172" t="s">
        <v>203</v>
      </c>
      <c r="T1269" s="124"/>
      <c r="U1269" s="124"/>
      <c r="V1269" s="124"/>
      <c r="W1269" s="172"/>
      <c r="X1269" s="124"/>
      <c r="Y1269" s="124"/>
      <c r="Z1269" s="172" t="s">
        <v>204</v>
      </c>
      <c r="AA1269" s="124"/>
      <c r="AB1269" s="124"/>
      <c r="AC1269" s="124"/>
      <c r="AD1269" s="172" t="s">
        <v>205</v>
      </c>
      <c r="AE1269" s="124"/>
      <c r="AF1269" s="124"/>
      <c r="AG1269" s="124"/>
      <c r="AH1269" s="172" t="s">
        <v>206</v>
      </c>
      <c r="AI1269" s="124"/>
      <c r="AJ1269" s="124"/>
      <c r="AK1269" s="171"/>
      <c r="AL1269" s="124"/>
      <c r="AM1269" s="124"/>
      <c r="AN1269" s="172"/>
      <c r="AO1269" s="124"/>
      <c r="AP1269" s="124"/>
      <c r="AQ1269" s="124"/>
      <c r="AR1269" s="124"/>
      <c r="AS1269" s="124"/>
      <c r="AT1269" s="161"/>
      <c r="AU1269" s="161"/>
      <c r="AV1269" s="161"/>
      <c r="AW1269" s="161"/>
      <c r="AX1269" s="161"/>
      <c r="AY1269" s="161"/>
      <c r="AZ1269" s="161"/>
      <c r="BA1269" s="161"/>
      <c r="BB1269" s="161"/>
      <c r="BC1269" s="161"/>
    </row>
    <row r="1270" spans="1:55" ht="15.75" customHeight="1" x14ac:dyDescent="0.25">
      <c r="A1270" s="128" t="e">
        <v>#VALUE!</v>
      </c>
      <c r="B1270" s="136" t="s">
        <v>13</v>
      </c>
      <c r="C1270" s="171">
        <v>0</v>
      </c>
      <c r="D1270" s="137" t="s">
        <v>18</v>
      </c>
      <c r="E1270" s="124" t="e">
        <v>#VALUE!</v>
      </c>
      <c r="F1270" s="172" t="s">
        <v>18</v>
      </c>
      <c r="G1270" s="137" t="s">
        <v>18</v>
      </c>
      <c r="H1270" s="137" t="s">
        <v>18</v>
      </c>
      <c r="I1270" s="172" t="s">
        <v>18</v>
      </c>
      <c r="J1270" s="137" t="s">
        <v>18</v>
      </c>
      <c r="K1270" s="137" t="e">
        <v>#VALUE!</v>
      </c>
      <c r="L1270" s="172">
        <v>0</v>
      </c>
      <c r="M1270" s="137">
        <v>0</v>
      </c>
      <c r="N1270" s="137">
        <v>0</v>
      </c>
      <c r="O1270" s="137">
        <v>44</v>
      </c>
      <c r="P1270" s="172">
        <v>0</v>
      </c>
      <c r="Q1270" s="137">
        <v>0</v>
      </c>
      <c r="R1270" s="137">
        <v>68</v>
      </c>
      <c r="S1270" s="172">
        <v>0</v>
      </c>
      <c r="T1270" s="137">
        <v>0</v>
      </c>
      <c r="U1270" s="137">
        <v>0</v>
      </c>
      <c r="V1270" s="137">
        <v>153</v>
      </c>
      <c r="W1270" s="172">
        <v>0</v>
      </c>
      <c r="X1270" s="137">
        <v>0</v>
      </c>
      <c r="Y1270" s="137">
        <v>231</v>
      </c>
      <c r="Z1270" s="172">
        <v>0</v>
      </c>
      <c r="AA1270" s="137">
        <v>0</v>
      </c>
      <c r="AB1270" s="137">
        <v>0</v>
      </c>
      <c r="AC1270" s="137">
        <v>53</v>
      </c>
      <c r="AD1270" s="172">
        <v>0</v>
      </c>
      <c r="AE1270" s="137">
        <v>0</v>
      </c>
      <c r="AF1270" s="137">
        <v>0</v>
      </c>
      <c r="AG1270" s="137">
        <v>126</v>
      </c>
      <c r="AH1270" s="172">
        <v>0</v>
      </c>
      <c r="AI1270" s="137">
        <v>0</v>
      </c>
      <c r="AJ1270" s="137">
        <v>120</v>
      </c>
      <c r="AK1270" s="171">
        <v>0</v>
      </c>
      <c r="AL1270" s="137">
        <v>0</v>
      </c>
      <c r="AM1270" s="137">
        <v>137</v>
      </c>
      <c r="AN1270" s="172">
        <v>0</v>
      </c>
      <c r="AO1270" s="137">
        <v>0</v>
      </c>
      <c r="AP1270" s="137">
        <v>0</v>
      </c>
      <c r="AQ1270" s="137">
        <v>0</v>
      </c>
      <c r="AR1270" s="137" t="s">
        <v>18</v>
      </c>
      <c r="AS1270" s="137" t="s">
        <v>18</v>
      </c>
      <c r="AT1270" s="161"/>
      <c r="AU1270" s="161"/>
      <c r="AV1270" s="161"/>
      <c r="AW1270" s="161"/>
      <c r="AX1270" s="161"/>
      <c r="AY1270" s="161"/>
      <c r="AZ1270" s="161"/>
      <c r="BA1270" s="161"/>
      <c r="BB1270" s="161"/>
      <c r="BC1270" s="161"/>
    </row>
    <row r="1271" spans="1:55" ht="15.75" customHeight="1" x14ac:dyDescent="0.25">
      <c r="A1271" s="128" t="e">
        <v>#VALUE!</v>
      </c>
      <c r="B1271" s="136" t="s">
        <v>14</v>
      </c>
      <c r="C1271" s="171">
        <v>0</v>
      </c>
      <c r="D1271" s="137" t="s">
        <v>18</v>
      </c>
      <c r="E1271" s="124" t="e">
        <v>#VALUE!</v>
      </c>
      <c r="F1271" s="172" t="s">
        <v>18</v>
      </c>
      <c r="G1271" s="137" t="s">
        <v>18</v>
      </c>
      <c r="H1271" s="137" t="s">
        <v>18</v>
      </c>
      <c r="I1271" s="172" t="s">
        <v>18</v>
      </c>
      <c r="J1271" s="137" t="s">
        <v>18</v>
      </c>
      <c r="K1271" s="137" t="e">
        <v>#VALUE!</v>
      </c>
      <c r="L1271" s="172">
        <v>0</v>
      </c>
      <c r="M1271" s="137">
        <v>0</v>
      </c>
      <c r="N1271" s="137">
        <v>0</v>
      </c>
      <c r="O1271" s="137">
        <v>1</v>
      </c>
      <c r="P1271" s="172">
        <v>0</v>
      </c>
      <c r="Q1271" s="137">
        <v>0</v>
      </c>
      <c r="R1271" s="137">
        <v>5</v>
      </c>
      <c r="S1271" s="172">
        <v>0</v>
      </c>
      <c r="T1271" s="137">
        <v>0</v>
      </c>
      <c r="U1271" s="137">
        <v>0</v>
      </c>
      <c r="V1271" s="137">
        <v>5</v>
      </c>
      <c r="W1271" s="172">
        <v>0</v>
      </c>
      <c r="X1271" s="137">
        <v>0</v>
      </c>
      <c r="Y1271" s="137">
        <v>4</v>
      </c>
      <c r="Z1271" s="172">
        <v>0</v>
      </c>
      <c r="AA1271" s="137">
        <v>0</v>
      </c>
      <c r="AB1271" s="137">
        <v>0</v>
      </c>
      <c r="AC1271" s="137">
        <v>7</v>
      </c>
      <c r="AD1271" s="172">
        <v>0</v>
      </c>
      <c r="AE1271" s="137">
        <v>0</v>
      </c>
      <c r="AF1271" s="137">
        <v>0</v>
      </c>
      <c r="AG1271" s="137">
        <v>3</v>
      </c>
      <c r="AH1271" s="172">
        <v>0</v>
      </c>
      <c r="AI1271" s="137">
        <v>0</v>
      </c>
      <c r="AJ1271" s="137">
        <v>0</v>
      </c>
      <c r="AK1271" s="171">
        <v>0</v>
      </c>
      <c r="AL1271" s="137">
        <v>0</v>
      </c>
      <c r="AM1271" s="137">
        <v>3</v>
      </c>
      <c r="AN1271" s="172">
        <v>0</v>
      </c>
      <c r="AO1271" s="137">
        <v>0</v>
      </c>
      <c r="AP1271" s="137">
        <v>0</v>
      </c>
      <c r="AQ1271" s="137">
        <v>0</v>
      </c>
      <c r="AR1271" s="137" t="s">
        <v>18</v>
      </c>
      <c r="AS1271" s="137" t="s">
        <v>18</v>
      </c>
      <c r="AT1271" s="161"/>
      <c r="AU1271" s="161"/>
      <c r="AV1271" s="161"/>
      <c r="AW1271" s="161"/>
      <c r="AX1271" s="161"/>
      <c r="AY1271" s="161"/>
      <c r="AZ1271" s="161"/>
      <c r="BA1271" s="161"/>
      <c r="BB1271" s="161"/>
      <c r="BC1271" s="161"/>
    </row>
    <row r="1272" spans="1:55" ht="15.75" customHeight="1" x14ac:dyDescent="0.25">
      <c r="A1272" s="128" t="e">
        <v>#VALUE!</v>
      </c>
      <c r="B1272" s="136" t="s">
        <v>15</v>
      </c>
      <c r="C1272" s="171">
        <v>0</v>
      </c>
      <c r="D1272" s="137" t="s">
        <v>18</v>
      </c>
      <c r="E1272" s="124" t="e">
        <v>#VALUE!</v>
      </c>
      <c r="F1272" s="172" t="s">
        <v>18</v>
      </c>
      <c r="G1272" s="137" t="s">
        <v>18</v>
      </c>
      <c r="H1272" s="137" t="s">
        <v>18</v>
      </c>
      <c r="I1272" s="172" t="e">
        <v>#VALUE!</v>
      </c>
      <c r="J1272" s="137" t="s">
        <v>18</v>
      </c>
      <c r="K1272" s="137" t="e">
        <v>#VALUE!</v>
      </c>
      <c r="L1272" s="172">
        <v>0</v>
      </c>
      <c r="M1272" s="137">
        <v>0</v>
      </c>
      <c r="N1272" s="137">
        <v>0</v>
      </c>
      <c r="O1272" s="137">
        <v>1</v>
      </c>
      <c r="P1272" s="172">
        <v>0</v>
      </c>
      <c r="Q1272" s="137">
        <v>0</v>
      </c>
      <c r="R1272" s="137">
        <v>0</v>
      </c>
      <c r="S1272" s="172">
        <v>0</v>
      </c>
      <c r="T1272" s="137">
        <v>0</v>
      </c>
      <c r="U1272" s="137">
        <v>0</v>
      </c>
      <c r="V1272" s="137">
        <v>5</v>
      </c>
      <c r="W1272" s="172">
        <v>0</v>
      </c>
      <c r="X1272" s="137">
        <v>0</v>
      </c>
      <c r="Y1272" s="137">
        <v>4</v>
      </c>
      <c r="Z1272" s="172">
        <v>0</v>
      </c>
      <c r="AA1272" s="137">
        <v>0</v>
      </c>
      <c r="AB1272" s="137">
        <v>0</v>
      </c>
      <c r="AC1272" s="137">
        <v>0</v>
      </c>
      <c r="AD1272" s="172">
        <v>0</v>
      </c>
      <c r="AE1272" s="137">
        <v>0</v>
      </c>
      <c r="AF1272" s="137">
        <v>0</v>
      </c>
      <c r="AG1272" s="137">
        <v>2</v>
      </c>
      <c r="AH1272" s="172">
        <v>0</v>
      </c>
      <c r="AI1272" s="137">
        <v>0</v>
      </c>
      <c r="AJ1272" s="137">
        <v>0</v>
      </c>
      <c r="AK1272" s="171">
        <v>0</v>
      </c>
      <c r="AL1272" s="137">
        <v>0</v>
      </c>
      <c r="AM1272" s="137">
        <v>1</v>
      </c>
      <c r="AN1272" s="172">
        <v>0</v>
      </c>
      <c r="AO1272" s="137">
        <v>0</v>
      </c>
      <c r="AP1272" s="137">
        <v>0</v>
      </c>
      <c r="AQ1272" s="137">
        <v>0</v>
      </c>
      <c r="AR1272" s="137" t="s">
        <v>18</v>
      </c>
      <c r="AS1272" s="137" t="s">
        <v>18</v>
      </c>
      <c r="AT1272" s="161"/>
      <c r="AU1272" s="161"/>
      <c r="AV1272" s="161"/>
      <c r="AW1272" s="161"/>
      <c r="AX1272" s="161"/>
      <c r="AY1272" s="161"/>
      <c r="AZ1272" s="161"/>
      <c r="BA1272" s="161"/>
      <c r="BB1272" s="161"/>
      <c r="BC1272" s="161"/>
    </row>
    <row r="1273" spans="1:55" ht="15.75" customHeight="1" x14ac:dyDescent="0.25">
      <c r="A1273" s="128" t="e">
        <v>#VALUE!</v>
      </c>
      <c r="B1273" s="136" t="s">
        <v>16</v>
      </c>
      <c r="C1273" s="171">
        <v>0</v>
      </c>
      <c r="D1273" s="137" t="s">
        <v>18</v>
      </c>
      <c r="E1273" s="124" t="e">
        <v>#VALUE!</v>
      </c>
      <c r="F1273" s="172" t="s">
        <v>18</v>
      </c>
      <c r="G1273" s="137" t="s">
        <v>18</v>
      </c>
      <c r="H1273" s="137" t="s">
        <v>18</v>
      </c>
      <c r="I1273" s="172" t="s">
        <v>18</v>
      </c>
      <c r="J1273" s="137" t="s">
        <v>18</v>
      </c>
      <c r="K1273" s="137" t="e">
        <v>#VALUE!</v>
      </c>
      <c r="L1273" s="172" t="e">
        <v>#VALUE!</v>
      </c>
      <c r="M1273" s="137" t="e">
        <v>#VALUE!</v>
      </c>
      <c r="N1273" s="137" t="e">
        <v>#VALUE!</v>
      </c>
      <c r="O1273" s="137" t="e">
        <v>#VALUE!</v>
      </c>
      <c r="P1273" s="172">
        <v>0</v>
      </c>
      <c r="Q1273" s="137">
        <v>0</v>
      </c>
      <c r="R1273" s="137">
        <v>0</v>
      </c>
      <c r="S1273" s="172">
        <v>0</v>
      </c>
      <c r="T1273" s="137">
        <v>0</v>
      </c>
      <c r="U1273" s="137">
        <v>0</v>
      </c>
      <c r="V1273" s="137">
        <v>2000</v>
      </c>
      <c r="W1273" s="172">
        <v>0</v>
      </c>
      <c r="X1273" s="137">
        <v>0</v>
      </c>
      <c r="Y1273" s="137">
        <v>1600</v>
      </c>
      <c r="Z1273" s="172"/>
      <c r="AA1273" s="137">
        <v>0</v>
      </c>
      <c r="AB1273" s="137">
        <v>0</v>
      </c>
      <c r="AC1273" s="137">
        <v>0</v>
      </c>
      <c r="AD1273" s="172">
        <v>0</v>
      </c>
      <c r="AE1273" s="137">
        <v>0</v>
      </c>
      <c r="AF1273" s="137">
        <v>0</v>
      </c>
      <c r="AG1273" s="137">
        <v>2000</v>
      </c>
      <c r="AH1273" s="172">
        <v>0</v>
      </c>
      <c r="AI1273" s="137">
        <v>0</v>
      </c>
      <c r="AJ1273" s="137">
        <v>0</v>
      </c>
      <c r="AK1273" s="171">
        <v>0</v>
      </c>
      <c r="AL1273" s="137">
        <v>0</v>
      </c>
      <c r="AM1273" s="137">
        <v>1000</v>
      </c>
      <c r="AN1273" s="172">
        <v>0</v>
      </c>
      <c r="AO1273" s="137">
        <v>0</v>
      </c>
      <c r="AP1273" s="137">
        <v>0</v>
      </c>
      <c r="AQ1273" s="137">
        <v>0</v>
      </c>
      <c r="AR1273" s="137" t="s">
        <v>18</v>
      </c>
      <c r="AS1273" s="137" t="s">
        <v>18</v>
      </c>
      <c r="AT1273" s="161"/>
      <c r="AU1273" s="161"/>
      <c r="AV1273" s="161"/>
      <c r="AW1273" s="161"/>
      <c r="AX1273" s="161"/>
      <c r="AY1273" s="161"/>
      <c r="AZ1273" s="161"/>
      <c r="BA1273" s="161"/>
      <c r="BB1273" s="161"/>
      <c r="BC1273" s="161"/>
    </row>
    <row r="1274" spans="1:55" ht="15.75" customHeight="1" x14ac:dyDescent="0.25">
      <c r="A1274" s="138" t="e">
        <v>#VALUE!</v>
      </c>
      <c r="B1274" s="136" t="s">
        <v>17</v>
      </c>
      <c r="C1274" s="183" t="s">
        <v>18</v>
      </c>
      <c r="D1274" s="147" t="s">
        <v>18</v>
      </c>
      <c r="E1274" s="193" t="e">
        <v>#VALUE!</v>
      </c>
      <c r="F1274" s="184" t="s">
        <v>18</v>
      </c>
      <c r="G1274" s="147" t="s">
        <v>18</v>
      </c>
      <c r="H1274" s="147" t="s">
        <v>18</v>
      </c>
      <c r="I1274" s="184" t="s">
        <v>18</v>
      </c>
      <c r="J1274" s="147" t="s">
        <v>18</v>
      </c>
      <c r="K1274" s="147" t="e">
        <v>#VALUE!</v>
      </c>
      <c r="L1274" s="184" t="e">
        <v>#VALUE!</v>
      </c>
      <c r="M1274" s="147" t="e">
        <v>#VALUE!</v>
      </c>
      <c r="N1274" s="147" t="e">
        <v>#VALUE!</v>
      </c>
      <c r="O1274" s="147" t="e">
        <v>#VALUE!</v>
      </c>
      <c r="P1274" s="184" t="s">
        <v>18</v>
      </c>
      <c r="Q1274" s="147" t="s">
        <v>18</v>
      </c>
      <c r="R1274" s="147" t="s">
        <v>18</v>
      </c>
      <c r="S1274" s="184" t="s">
        <v>18</v>
      </c>
      <c r="T1274" s="147" t="s">
        <v>18</v>
      </c>
      <c r="U1274" s="147" t="s">
        <v>18</v>
      </c>
      <c r="V1274" s="147">
        <v>0.13071895424836602</v>
      </c>
      <c r="W1274" s="184" t="s">
        <v>18</v>
      </c>
      <c r="X1274" s="147" t="s">
        <v>18</v>
      </c>
      <c r="Y1274" s="147">
        <v>6.9264069264069264E-2</v>
      </c>
      <c r="Z1274" s="184" t="s">
        <v>18</v>
      </c>
      <c r="AA1274" s="147" t="s">
        <v>18</v>
      </c>
      <c r="AB1274" s="147" t="s">
        <v>18</v>
      </c>
      <c r="AC1274" s="147" t="s">
        <v>18</v>
      </c>
      <c r="AD1274" s="184" t="s">
        <v>18</v>
      </c>
      <c r="AE1274" s="147" t="s">
        <v>18</v>
      </c>
      <c r="AF1274" s="147" t="s">
        <v>18</v>
      </c>
      <c r="AG1274" s="147">
        <v>0.15873015873015872</v>
      </c>
      <c r="AH1274" s="184" t="s">
        <v>18</v>
      </c>
      <c r="AI1274" s="147" t="s">
        <v>18</v>
      </c>
      <c r="AJ1274" s="147" t="s">
        <v>18</v>
      </c>
      <c r="AK1274" s="183" t="s">
        <v>18</v>
      </c>
      <c r="AL1274" s="147" t="s">
        <v>18</v>
      </c>
      <c r="AM1274" s="147">
        <v>7.2992700729927001E-2</v>
      </c>
      <c r="AN1274" s="184" t="s">
        <v>18</v>
      </c>
      <c r="AO1274" s="147" t="s">
        <v>18</v>
      </c>
      <c r="AP1274" s="147" t="s">
        <v>18</v>
      </c>
      <c r="AQ1274" s="147" t="s">
        <v>18</v>
      </c>
      <c r="AR1274" s="147" t="s">
        <v>18</v>
      </c>
      <c r="AS1274" s="147" t="s">
        <v>18</v>
      </c>
      <c r="AT1274" s="161"/>
      <c r="AU1274" s="161"/>
      <c r="AV1274" s="161"/>
      <c r="AW1274" s="161"/>
      <c r="AX1274" s="161"/>
      <c r="AY1274" s="161"/>
      <c r="AZ1274" s="161"/>
      <c r="BA1274" s="161"/>
      <c r="BB1274" s="161"/>
      <c r="BC1274" s="161"/>
    </row>
    <row r="1275" spans="1:55" ht="15.75" customHeight="1" x14ac:dyDescent="0.25">
      <c r="A1275" s="149" t="s">
        <v>145</v>
      </c>
      <c r="B1275" s="150" t="s">
        <v>2</v>
      </c>
      <c r="C1275" s="174">
        <v>12981</v>
      </c>
      <c r="D1275" s="130" t="s">
        <v>18</v>
      </c>
      <c r="E1275" s="130">
        <v>13179</v>
      </c>
      <c r="F1275" s="175" t="s">
        <v>18</v>
      </c>
      <c r="G1275" s="130" t="s">
        <v>18</v>
      </c>
      <c r="H1275" s="130" t="s">
        <v>18</v>
      </c>
      <c r="I1275" s="175" t="s">
        <v>18</v>
      </c>
      <c r="J1275" s="130" t="s">
        <v>18</v>
      </c>
      <c r="K1275" s="130">
        <v>13431</v>
      </c>
      <c r="L1275" s="175">
        <v>13431</v>
      </c>
      <c r="M1275" s="130">
        <v>13431</v>
      </c>
      <c r="N1275" s="130">
        <v>13431</v>
      </c>
      <c r="O1275" s="130">
        <v>13591</v>
      </c>
      <c r="P1275" s="175">
        <v>13591</v>
      </c>
      <c r="Q1275" s="130">
        <v>13591</v>
      </c>
      <c r="R1275" s="130">
        <v>13796</v>
      </c>
      <c r="S1275" s="175">
        <v>13796</v>
      </c>
      <c r="T1275" s="130">
        <v>13796</v>
      </c>
      <c r="U1275" s="130">
        <v>13796</v>
      </c>
      <c r="V1275" s="130">
        <v>13909</v>
      </c>
      <c r="W1275" s="175">
        <v>13909</v>
      </c>
      <c r="X1275" s="130">
        <v>13909</v>
      </c>
      <c r="Y1275" s="130">
        <v>14058</v>
      </c>
      <c r="Z1275" s="175">
        <v>14058</v>
      </c>
      <c r="AA1275" s="130">
        <v>14058</v>
      </c>
      <c r="AB1275" s="130">
        <v>14058</v>
      </c>
      <c r="AC1275" s="130">
        <v>14185</v>
      </c>
      <c r="AD1275" s="175">
        <v>14185</v>
      </c>
      <c r="AE1275" s="130">
        <v>14185</v>
      </c>
      <c r="AF1275" s="130">
        <v>14185</v>
      </c>
      <c r="AG1275" s="130">
        <v>14450</v>
      </c>
      <c r="AH1275" s="175">
        <v>14450</v>
      </c>
      <c r="AI1275" s="130">
        <v>14450</v>
      </c>
      <c r="AJ1275" s="130">
        <v>14510</v>
      </c>
      <c r="AK1275" s="174">
        <v>14510</v>
      </c>
      <c r="AL1275" s="130">
        <v>14510</v>
      </c>
      <c r="AM1275" s="130">
        <v>14647</v>
      </c>
      <c r="AN1275" s="175">
        <v>14647</v>
      </c>
      <c r="AO1275" s="130">
        <v>14647</v>
      </c>
      <c r="AP1275" s="130">
        <v>14647</v>
      </c>
      <c r="AQ1275" s="130">
        <v>14647</v>
      </c>
      <c r="AR1275" s="130" t="s">
        <v>18</v>
      </c>
      <c r="AS1275" s="130" t="s">
        <v>18</v>
      </c>
      <c r="AT1275" s="161"/>
      <c r="AU1275" s="161"/>
      <c r="AV1275" s="161"/>
      <c r="AW1275" s="161"/>
      <c r="AX1275" s="161"/>
      <c r="AY1275" s="161"/>
      <c r="AZ1275" s="161"/>
      <c r="BA1275" s="161"/>
      <c r="BB1275" s="161"/>
      <c r="BC1275" s="161"/>
    </row>
    <row r="1276" spans="1:55" ht="15.75" customHeight="1" x14ac:dyDescent="0.25">
      <c r="A1276" s="121" t="s">
        <v>19</v>
      </c>
      <c r="B1276" s="122" t="s">
        <v>4</v>
      </c>
      <c r="C1276" s="171">
        <v>703</v>
      </c>
      <c r="D1276" s="124" t="s">
        <v>18</v>
      </c>
      <c r="E1276" s="124">
        <v>716</v>
      </c>
      <c r="F1276" s="172" t="s">
        <v>18</v>
      </c>
      <c r="G1276" s="124" t="s">
        <v>18</v>
      </c>
      <c r="H1276" s="124" t="s">
        <v>18</v>
      </c>
      <c r="I1276" s="172" t="s">
        <v>18</v>
      </c>
      <c r="J1276" s="124" t="s">
        <v>18</v>
      </c>
      <c r="K1276" s="124">
        <v>737</v>
      </c>
      <c r="L1276" s="172">
        <v>737</v>
      </c>
      <c r="M1276" s="124">
        <v>737</v>
      </c>
      <c r="N1276" s="124">
        <v>737</v>
      </c>
      <c r="O1276" s="124">
        <v>748</v>
      </c>
      <c r="P1276" s="172">
        <v>748</v>
      </c>
      <c r="Q1276" s="124">
        <v>748</v>
      </c>
      <c r="R1276" s="124">
        <v>758</v>
      </c>
      <c r="S1276" s="172">
        <v>758</v>
      </c>
      <c r="T1276" s="124">
        <v>758</v>
      </c>
      <c r="U1276" s="124">
        <v>758</v>
      </c>
      <c r="V1276" s="124">
        <v>764</v>
      </c>
      <c r="W1276" s="172">
        <v>764</v>
      </c>
      <c r="X1276" s="124">
        <v>764</v>
      </c>
      <c r="Y1276" s="124">
        <v>772</v>
      </c>
      <c r="Z1276" s="172">
        <v>772</v>
      </c>
      <c r="AA1276" s="124">
        <v>772</v>
      </c>
      <c r="AB1276" s="124">
        <v>772</v>
      </c>
      <c r="AC1276" s="124">
        <v>780</v>
      </c>
      <c r="AD1276" s="172">
        <v>780</v>
      </c>
      <c r="AE1276" s="124">
        <v>780</v>
      </c>
      <c r="AF1276" s="124">
        <v>780</v>
      </c>
      <c r="AG1276" s="124">
        <v>793</v>
      </c>
      <c r="AH1276" s="172">
        <v>793</v>
      </c>
      <c r="AI1276" s="124">
        <v>793</v>
      </c>
      <c r="AJ1276" s="124">
        <v>798</v>
      </c>
      <c r="AK1276" s="171">
        <v>798</v>
      </c>
      <c r="AL1276" s="124">
        <v>798</v>
      </c>
      <c r="AM1276" s="124">
        <v>808</v>
      </c>
      <c r="AN1276" s="172">
        <v>808</v>
      </c>
      <c r="AO1276" s="124">
        <v>808</v>
      </c>
      <c r="AP1276" s="124">
        <v>808</v>
      </c>
      <c r="AQ1276" s="124">
        <v>808</v>
      </c>
      <c r="AR1276" s="124" t="s">
        <v>18</v>
      </c>
      <c r="AS1276" s="124" t="s">
        <v>18</v>
      </c>
      <c r="AT1276" s="161"/>
      <c r="AU1276" s="161"/>
      <c r="AV1276" s="161"/>
      <c r="AW1276" s="161"/>
      <c r="AX1276" s="161"/>
      <c r="AY1276" s="161"/>
      <c r="AZ1276" s="161"/>
      <c r="BA1276" s="161"/>
      <c r="BB1276" s="161"/>
      <c r="BC1276" s="161"/>
    </row>
    <row r="1277" spans="1:55" ht="15.75" customHeight="1" x14ac:dyDescent="0.25">
      <c r="A1277" s="143">
        <v>4</v>
      </c>
      <c r="B1277" s="122" t="s">
        <v>5</v>
      </c>
      <c r="C1277" s="171">
        <v>48</v>
      </c>
      <c r="D1277" s="124" t="s">
        <v>18</v>
      </c>
      <c r="E1277" s="124">
        <v>35</v>
      </c>
      <c r="F1277" s="172" t="s">
        <v>18</v>
      </c>
      <c r="G1277" s="124" t="s">
        <v>18</v>
      </c>
      <c r="H1277" s="124" t="s">
        <v>18</v>
      </c>
      <c r="I1277" s="172">
        <v>25</v>
      </c>
      <c r="J1277" s="124" t="s">
        <v>18</v>
      </c>
      <c r="K1277" s="124">
        <v>35</v>
      </c>
      <c r="L1277" s="172">
        <v>35</v>
      </c>
      <c r="M1277" s="124">
        <v>35</v>
      </c>
      <c r="N1277" s="124">
        <v>35</v>
      </c>
      <c r="O1277" s="124">
        <v>35</v>
      </c>
      <c r="P1277" s="172">
        <v>65</v>
      </c>
      <c r="Q1277" s="124">
        <v>65</v>
      </c>
      <c r="R1277" s="124">
        <v>65</v>
      </c>
      <c r="S1277" s="172">
        <v>65</v>
      </c>
      <c r="T1277" s="124">
        <v>65</v>
      </c>
      <c r="U1277" s="124">
        <v>65</v>
      </c>
      <c r="V1277" s="124">
        <v>59</v>
      </c>
      <c r="W1277" s="172">
        <v>59</v>
      </c>
      <c r="X1277" s="124">
        <v>59</v>
      </c>
      <c r="Y1277" s="124">
        <v>51</v>
      </c>
      <c r="Z1277" s="172">
        <v>51</v>
      </c>
      <c r="AA1277" s="124">
        <v>51</v>
      </c>
      <c r="AB1277" s="124">
        <v>51</v>
      </c>
      <c r="AC1277" s="124">
        <v>43</v>
      </c>
      <c r="AD1277" s="172">
        <v>73</v>
      </c>
      <c r="AE1277" s="124">
        <v>73</v>
      </c>
      <c r="AF1277" s="124">
        <v>73</v>
      </c>
      <c r="AG1277" s="124">
        <v>60</v>
      </c>
      <c r="AH1277" s="172">
        <v>60</v>
      </c>
      <c r="AI1277" s="124">
        <v>60</v>
      </c>
      <c r="AJ1277" s="124">
        <v>55</v>
      </c>
      <c r="AK1277" s="171">
        <v>55</v>
      </c>
      <c r="AL1277" s="124">
        <v>55</v>
      </c>
      <c r="AM1277" s="124">
        <v>45</v>
      </c>
      <c r="AN1277" s="172">
        <v>75</v>
      </c>
      <c r="AO1277" s="124">
        <v>75</v>
      </c>
      <c r="AP1277" s="124">
        <v>75</v>
      </c>
      <c r="AQ1277" s="124">
        <v>75</v>
      </c>
      <c r="AR1277" s="124" t="s">
        <v>18</v>
      </c>
      <c r="AS1277" s="124" t="s">
        <v>18</v>
      </c>
      <c r="AT1277" s="161"/>
      <c r="AU1277" s="161"/>
      <c r="AV1277" s="161"/>
      <c r="AW1277" s="161"/>
      <c r="AX1277" s="161"/>
      <c r="AY1277" s="161"/>
      <c r="AZ1277" s="161"/>
      <c r="BA1277" s="161"/>
      <c r="BB1277" s="161"/>
      <c r="BC1277" s="161"/>
    </row>
    <row r="1278" spans="1:55" ht="15.75" customHeight="1" x14ac:dyDescent="0.25">
      <c r="A1278" s="127"/>
      <c r="B1278" s="122" t="s">
        <v>6</v>
      </c>
      <c r="C1278" s="171"/>
      <c r="D1278" s="124"/>
      <c r="E1278" s="124"/>
      <c r="F1278" s="172"/>
      <c r="G1278" s="124"/>
      <c r="H1278" s="124"/>
      <c r="I1278" s="172">
        <v>30</v>
      </c>
      <c r="J1278" s="124"/>
      <c r="K1278" s="124"/>
      <c r="L1278" s="172"/>
      <c r="M1278" s="124"/>
      <c r="N1278" s="124"/>
      <c r="O1278" s="124">
        <v>30</v>
      </c>
      <c r="P1278" s="172"/>
      <c r="Q1278" s="124"/>
      <c r="R1278" s="124"/>
      <c r="S1278" s="172"/>
      <c r="T1278" s="124"/>
      <c r="U1278" s="124"/>
      <c r="V1278" s="124"/>
      <c r="W1278" s="172"/>
      <c r="X1278" s="124"/>
      <c r="Y1278" s="124"/>
      <c r="Z1278" s="172"/>
      <c r="AA1278" s="124"/>
      <c r="AB1278" s="124"/>
      <c r="AC1278" s="124">
        <v>30</v>
      </c>
      <c r="AD1278" s="172"/>
      <c r="AE1278" s="124"/>
      <c r="AF1278" s="124"/>
      <c r="AG1278" s="124"/>
      <c r="AH1278" s="172"/>
      <c r="AI1278" s="124"/>
      <c r="AJ1278" s="124"/>
      <c r="AK1278" s="171"/>
      <c r="AL1278" s="124"/>
      <c r="AM1278" s="124">
        <v>30</v>
      </c>
      <c r="AN1278" s="172"/>
      <c r="AO1278" s="124"/>
      <c r="AP1278" s="124"/>
      <c r="AQ1278" s="124"/>
      <c r="AR1278" s="124"/>
      <c r="AS1278" s="124"/>
      <c r="AT1278" s="161"/>
      <c r="AU1278" s="161"/>
      <c r="AV1278" s="161"/>
      <c r="AW1278" s="161"/>
      <c r="AX1278" s="161"/>
      <c r="AY1278" s="161"/>
      <c r="AZ1278" s="161"/>
      <c r="BA1278" s="161"/>
      <c r="BB1278" s="161"/>
      <c r="BC1278" s="161"/>
    </row>
    <row r="1279" spans="1:55" ht="15.75" customHeight="1" x14ac:dyDescent="0.25">
      <c r="A1279" s="128"/>
      <c r="B1279" s="122" t="s">
        <v>8</v>
      </c>
      <c r="C1279" s="174">
        <v>200</v>
      </c>
      <c r="D1279" s="130" t="s">
        <v>18</v>
      </c>
      <c r="E1279" s="130" t="s">
        <v>18</v>
      </c>
      <c r="F1279" s="175" t="s">
        <v>18</v>
      </c>
      <c r="G1279" s="130" t="s">
        <v>18</v>
      </c>
      <c r="H1279" s="130" t="s">
        <v>18</v>
      </c>
      <c r="I1279" s="175" t="s">
        <v>18</v>
      </c>
      <c r="J1279" s="130" t="s">
        <v>18</v>
      </c>
      <c r="K1279" s="130" t="s">
        <v>18</v>
      </c>
      <c r="L1279" s="175" t="s">
        <v>18</v>
      </c>
      <c r="M1279" s="130" t="s">
        <v>18</v>
      </c>
      <c r="N1279" s="130" t="s">
        <v>18</v>
      </c>
      <c r="O1279" s="130" t="s">
        <v>18</v>
      </c>
      <c r="P1279" s="175" t="s">
        <v>18</v>
      </c>
      <c r="Q1279" s="130" t="s">
        <v>18</v>
      </c>
      <c r="R1279" s="130" t="s">
        <v>18</v>
      </c>
      <c r="S1279" s="175" t="s">
        <v>18</v>
      </c>
      <c r="T1279" s="130" t="s">
        <v>18</v>
      </c>
      <c r="U1279" s="130" t="s">
        <v>18</v>
      </c>
      <c r="V1279" s="130" t="s">
        <v>18</v>
      </c>
      <c r="W1279" s="175" t="s">
        <v>18</v>
      </c>
      <c r="X1279" s="130" t="s">
        <v>18</v>
      </c>
      <c r="Y1279" s="130" t="s">
        <v>18</v>
      </c>
      <c r="Z1279" s="175" t="s">
        <v>18</v>
      </c>
      <c r="AA1279" s="130" t="s">
        <v>18</v>
      </c>
      <c r="AB1279" s="130" t="s">
        <v>18</v>
      </c>
      <c r="AC1279" s="130" t="s">
        <v>18</v>
      </c>
      <c r="AD1279" s="175" t="s">
        <v>18</v>
      </c>
      <c r="AE1279" s="130" t="s">
        <v>18</v>
      </c>
      <c r="AF1279" s="130" t="s">
        <v>18</v>
      </c>
      <c r="AG1279" s="130" t="s">
        <v>18</v>
      </c>
      <c r="AH1279" s="175" t="s">
        <v>18</v>
      </c>
      <c r="AI1279" s="130" t="s">
        <v>18</v>
      </c>
      <c r="AJ1279" s="130" t="s">
        <v>18</v>
      </c>
      <c r="AK1279" s="174" t="s">
        <v>18</v>
      </c>
      <c r="AL1279" s="130" t="s">
        <v>18</v>
      </c>
      <c r="AM1279" s="130" t="s">
        <v>18</v>
      </c>
      <c r="AN1279" s="175" t="s">
        <v>18</v>
      </c>
      <c r="AO1279" s="130" t="s">
        <v>18</v>
      </c>
      <c r="AP1279" s="130" t="s">
        <v>18</v>
      </c>
      <c r="AQ1279" s="130" t="s">
        <v>18</v>
      </c>
      <c r="AR1279" s="130" t="s">
        <v>18</v>
      </c>
      <c r="AS1279" s="130" t="s">
        <v>18</v>
      </c>
      <c r="AT1279" s="161"/>
      <c r="AU1279" s="161"/>
      <c r="AV1279" s="161"/>
      <c r="AW1279" s="161"/>
      <c r="AX1279" s="161"/>
      <c r="AY1279" s="161"/>
      <c r="AZ1279" s="161"/>
      <c r="BA1279" s="161"/>
      <c r="BB1279" s="161"/>
      <c r="BC1279" s="161"/>
    </row>
    <row r="1280" spans="1:55" ht="15.75" customHeight="1" x14ac:dyDescent="0.25">
      <c r="A1280" s="127" t="s">
        <v>9</v>
      </c>
      <c r="B1280" s="132" t="s">
        <v>10</v>
      </c>
      <c r="C1280" s="177" t="s">
        <v>123</v>
      </c>
      <c r="D1280" s="134" t="s">
        <v>18</v>
      </c>
      <c r="E1280" s="134" t="s">
        <v>18</v>
      </c>
      <c r="F1280" s="178" t="s">
        <v>18</v>
      </c>
      <c r="G1280" s="134" t="s">
        <v>18</v>
      </c>
      <c r="H1280" s="134" t="s">
        <v>18</v>
      </c>
      <c r="I1280" s="178" t="s">
        <v>18</v>
      </c>
      <c r="J1280" s="134" t="s">
        <v>18</v>
      </c>
      <c r="K1280" s="134" t="s">
        <v>18</v>
      </c>
      <c r="L1280" s="178" t="s">
        <v>18</v>
      </c>
      <c r="M1280" s="134" t="s">
        <v>18</v>
      </c>
      <c r="N1280" s="134" t="s">
        <v>18</v>
      </c>
      <c r="O1280" s="134" t="s">
        <v>18</v>
      </c>
      <c r="P1280" s="178" t="s">
        <v>18</v>
      </c>
      <c r="Q1280" s="134" t="s">
        <v>18</v>
      </c>
      <c r="R1280" s="134" t="s">
        <v>18</v>
      </c>
      <c r="S1280" s="178" t="s">
        <v>18</v>
      </c>
      <c r="T1280" s="134" t="s">
        <v>18</v>
      </c>
      <c r="U1280" s="134" t="s">
        <v>18</v>
      </c>
      <c r="V1280" s="134" t="s">
        <v>18</v>
      </c>
      <c r="W1280" s="178" t="s">
        <v>18</v>
      </c>
      <c r="X1280" s="134" t="s">
        <v>18</v>
      </c>
      <c r="Y1280" s="134" t="s">
        <v>18</v>
      </c>
      <c r="Z1280" s="178" t="s">
        <v>18</v>
      </c>
      <c r="AA1280" s="134" t="s">
        <v>18</v>
      </c>
      <c r="AB1280" s="134" t="s">
        <v>18</v>
      </c>
      <c r="AC1280" s="134" t="s">
        <v>18</v>
      </c>
      <c r="AD1280" s="178" t="s">
        <v>18</v>
      </c>
      <c r="AE1280" s="134" t="s">
        <v>18</v>
      </c>
      <c r="AF1280" s="134" t="s">
        <v>18</v>
      </c>
      <c r="AG1280" s="134" t="s">
        <v>18</v>
      </c>
      <c r="AH1280" s="178" t="s">
        <v>18</v>
      </c>
      <c r="AI1280" s="134" t="s">
        <v>18</v>
      </c>
      <c r="AJ1280" s="134" t="s">
        <v>18</v>
      </c>
      <c r="AK1280" s="177" t="s">
        <v>18</v>
      </c>
      <c r="AL1280" s="134" t="s">
        <v>18</v>
      </c>
      <c r="AM1280" s="134" t="s">
        <v>18</v>
      </c>
      <c r="AN1280" s="178" t="s">
        <v>18</v>
      </c>
      <c r="AO1280" s="134" t="s">
        <v>18</v>
      </c>
      <c r="AP1280" s="134" t="s">
        <v>18</v>
      </c>
      <c r="AQ1280" s="134" t="s">
        <v>18</v>
      </c>
      <c r="AR1280" s="134" t="s">
        <v>18</v>
      </c>
      <c r="AS1280" s="134" t="s">
        <v>18</v>
      </c>
      <c r="AT1280" s="189"/>
      <c r="AU1280" s="189"/>
      <c r="AV1280" s="189"/>
      <c r="AW1280" s="189"/>
      <c r="AX1280" s="189"/>
      <c r="AY1280" s="189"/>
      <c r="AZ1280" s="189"/>
      <c r="BA1280" s="189"/>
      <c r="BB1280" s="189"/>
      <c r="BC1280" s="189"/>
    </row>
    <row r="1281" spans="1:55" ht="15.75" customHeight="1" x14ac:dyDescent="0.25">
      <c r="A1281" s="128" t="e">
        <v>#VALUE!</v>
      </c>
      <c r="B1281" s="122" t="s">
        <v>12</v>
      </c>
      <c r="C1281" s="171"/>
      <c r="D1281" s="124"/>
      <c r="E1281" s="124"/>
      <c r="F1281" s="172"/>
      <c r="G1281" s="124"/>
      <c r="H1281" s="124"/>
      <c r="I1281" s="172"/>
      <c r="J1281" s="124"/>
      <c r="K1281" s="124"/>
      <c r="L1281" s="172"/>
      <c r="M1281" s="124"/>
      <c r="N1281" s="124"/>
      <c r="O1281" s="124"/>
      <c r="P1281" s="172"/>
      <c r="Q1281" s="124"/>
      <c r="R1281" s="124"/>
      <c r="S1281" s="172"/>
      <c r="T1281" s="124"/>
      <c r="U1281" s="124"/>
      <c r="V1281" s="124"/>
      <c r="W1281" s="172"/>
      <c r="X1281" s="124"/>
      <c r="Y1281" s="124"/>
      <c r="Z1281" s="172"/>
      <c r="AA1281" s="124"/>
      <c r="AB1281" s="124"/>
      <c r="AC1281" s="124"/>
      <c r="AD1281" s="172"/>
      <c r="AE1281" s="124"/>
      <c r="AF1281" s="124"/>
      <c r="AG1281" s="124"/>
      <c r="AH1281" s="172"/>
      <c r="AI1281" s="124"/>
      <c r="AJ1281" s="124"/>
      <c r="AK1281" s="171"/>
      <c r="AL1281" s="124"/>
      <c r="AM1281" s="124"/>
      <c r="AN1281" s="172"/>
      <c r="AO1281" s="124"/>
      <c r="AP1281" s="124"/>
      <c r="AQ1281" s="124"/>
      <c r="AR1281" s="124"/>
      <c r="AS1281" s="124"/>
      <c r="AT1281" s="161"/>
      <c r="AU1281" s="161"/>
      <c r="AV1281" s="161"/>
      <c r="AW1281" s="161"/>
      <c r="AX1281" s="161"/>
      <c r="AY1281" s="161"/>
      <c r="AZ1281" s="161"/>
      <c r="BA1281" s="161"/>
      <c r="BB1281" s="161"/>
      <c r="BC1281" s="161"/>
    </row>
    <row r="1282" spans="1:55" ht="15.75" customHeight="1" x14ac:dyDescent="0.25">
      <c r="A1282" s="128" t="e">
        <v>#VALUE!</v>
      </c>
      <c r="B1282" s="136" t="s">
        <v>13</v>
      </c>
      <c r="C1282" s="171">
        <v>0</v>
      </c>
      <c r="D1282" s="137" t="s">
        <v>18</v>
      </c>
      <c r="E1282" s="124" t="e">
        <v>#VALUE!</v>
      </c>
      <c r="F1282" s="172" t="s">
        <v>18</v>
      </c>
      <c r="G1282" s="137" t="s">
        <v>18</v>
      </c>
      <c r="H1282" s="137" t="s">
        <v>18</v>
      </c>
      <c r="I1282" s="172" t="s">
        <v>18</v>
      </c>
      <c r="J1282" s="137" t="s">
        <v>18</v>
      </c>
      <c r="K1282" s="137" t="e">
        <v>#VALUE!</v>
      </c>
      <c r="L1282" s="172">
        <v>0</v>
      </c>
      <c r="M1282" s="137">
        <v>0</v>
      </c>
      <c r="N1282" s="137">
        <v>0</v>
      </c>
      <c r="O1282" s="137">
        <v>160</v>
      </c>
      <c r="P1282" s="172">
        <v>0</v>
      </c>
      <c r="Q1282" s="137">
        <v>0</v>
      </c>
      <c r="R1282" s="137">
        <v>205</v>
      </c>
      <c r="S1282" s="172">
        <v>0</v>
      </c>
      <c r="T1282" s="137">
        <v>0</v>
      </c>
      <c r="U1282" s="137">
        <v>0</v>
      </c>
      <c r="V1282" s="137">
        <v>113</v>
      </c>
      <c r="W1282" s="172">
        <v>0</v>
      </c>
      <c r="X1282" s="137">
        <v>0</v>
      </c>
      <c r="Y1282" s="137">
        <v>149</v>
      </c>
      <c r="Z1282" s="172">
        <v>0</v>
      </c>
      <c r="AA1282" s="137">
        <v>0</v>
      </c>
      <c r="AB1282" s="137">
        <v>0</v>
      </c>
      <c r="AC1282" s="137">
        <v>127</v>
      </c>
      <c r="AD1282" s="172">
        <v>0</v>
      </c>
      <c r="AE1282" s="137">
        <v>0</v>
      </c>
      <c r="AF1282" s="137">
        <v>0</v>
      </c>
      <c r="AG1282" s="137">
        <v>265</v>
      </c>
      <c r="AH1282" s="172">
        <v>0</v>
      </c>
      <c r="AI1282" s="137">
        <v>0</v>
      </c>
      <c r="AJ1282" s="137">
        <v>60</v>
      </c>
      <c r="AK1282" s="171">
        <v>0</v>
      </c>
      <c r="AL1282" s="137">
        <v>0</v>
      </c>
      <c r="AM1282" s="137">
        <v>137</v>
      </c>
      <c r="AN1282" s="172">
        <v>0</v>
      </c>
      <c r="AO1282" s="137">
        <v>0</v>
      </c>
      <c r="AP1282" s="137">
        <v>0</v>
      </c>
      <c r="AQ1282" s="137">
        <v>0</v>
      </c>
      <c r="AR1282" s="137" t="s">
        <v>18</v>
      </c>
      <c r="AS1282" s="137" t="s">
        <v>18</v>
      </c>
      <c r="AT1282" s="161"/>
      <c r="AU1282" s="161"/>
      <c r="AV1282" s="161"/>
      <c r="AW1282" s="161"/>
      <c r="AX1282" s="161"/>
      <c r="AY1282" s="161"/>
      <c r="AZ1282" s="161"/>
      <c r="BA1282" s="161"/>
      <c r="BB1282" s="161"/>
      <c r="BC1282" s="161"/>
    </row>
    <row r="1283" spans="1:55" ht="15.75" customHeight="1" x14ac:dyDescent="0.25">
      <c r="A1283" s="128" t="e">
        <v>#VALUE!</v>
      </c>
      <c r="B1283" s="136" t="s">
        <v>14</v>
      </c>
      <c r="C1283" s="171">
        <v>0</v>
      </c>
      <c r="D1283" s="137" t="s">
        <v>18</v>
      </c>
      <c r="E1283" s="124" t="e">
        <v>#VALUE!</v>
      </c>
      <c r="F1283" s="172" t="s">
        <v>18</v>
      </c>
      <c r="G1283" s="137" t="s">
        <v>18</v>
      </c>
      <c r="H1283" s="137" t="s">
        <v>18</v>
      </c>
      <c r="I1283" s="172" t="s">
        <v>18</v>
      </c>
      <c r="J1283" s="137" t="s">
        <v>18</v>
      </c>
      <c r="K1283" s="137" t="e">
        <v>#VALUE!</v>
      </c>
      <c r="L1283" s="172">
        <v>0</v>
      </c>
      <c r="M1283" s="137">
        <v>0</v>
      </c>
      <c r="N1283" s="137">
        <v>0</v>
      </c>
      <c r="O1283" s="137">
        <v>11</v>
      </c>
      <c r="P1283" s="172">
        <v>0</v>
      </c>
      <c r="Q1283" s="137">
        <v>0</v>
      </c>
      <c r="R1283" s="137">
        <v>10</v>
      </c>
      <c r="S1283" s="172">
        <v>0</v>
      </c>
      <c r="T1283" s="137">
        <v>0</v>
      </c>
      <c r="U1283" s="137">
        <v>0</v>
      </c>
      <c r="V1283" s="137">
        <v>6</v>
      </c>
      <c r="W1283" s="172">
        <v>0</v>
      </c>
      <c r="X1283" s="137">
        <v>0</v>
      </c>
      <c r="Y1283" s="137">
        <v>8</v>
      </c>
      <c r="Z1283" s="172">
        <v>0</v>
      </c>
      <c r="AA1283" s="137">
        <v>0</v>
      </c>
      <c r="AB1283" s="137">
        <v>0</v>
      </c>
      <c r="AC1283" s="137">
        <v>8</v>
      </c>
      <c r="AD1283" s="172">
        <v>0</v>
      </c>
      <c r="AE1283" s="137">
        <v>0</v>
      </c>
      <c r="AF1283" s="137">
        <v>0</v>
      </c>
      <c r="AG1283" s="137">
        <v>13</v>
      </c>
      <c r="AH1283" s="172">
        <v>0</v>
      </c>
      <c r="AI1283" s="137">
        <v>0</v>
      </c>
      <c r="AJ1283" s="137">
        <v>5</v>
      </c>
      <c r="AK1283" s="171">
        <v>0</v>
      </c>
      <c r="AL1283" s="137">
        <v>0</v>
      </c>
      <c r="AM1283" s="137">
        <v>10</v>
      </c>
      <c r="AN1283" s="172">
        <v>0</v>
      </c>
      <c r="AO1283" s="137">
        <v>0</v>
      </c>
      <c r="AP1283" s="137">
        <v>0</v>
      </c>
      <c r="AQ1283" s="137">
        <v>0</v>
      </c>
      <c r="AR1283" s="137" t="s">
        <v>18</v>
      </c>
      <c r="AS1283" s="137" t="s">
        <v>18</v>
      </c>
      <c r="AT1283" s="161"/>
      <c r="AU1283" s="161"/>
      <c r="AV1283" s="161"/>
      <c r="AW1283" s="161"/>
      <c r="AX1283" s="161"/>
      <c r="AY1283" s="161"/>
      <c r="AZ1283" s="161"/>
      <c r="BA1283" s="161"/>
      <c r="BB1283" s="161"/>
      <c r="BC1283" s="161"/>
    </row>
    <row r="1284" spans="1:55" ht="15.75" customHeight="1" x14ac:dyDescent="0.25">
      <c r="A1284" s="128" t="e">
        <v>#VALUE!</v>
      </c>
      <c r="B1284" s="136" t="s">
        <v>15</v>
      </c>
      <c r="C1284" s="171">
        <v>0</v>
      </c>
      <c r="D1284" s="137" t="s">
        <v>18</v>
      </c>
      <c r="E1284" s="124" t="e">
        <v>#VALUE!</v>
      </c>
      <c r="F1284" s="172" t="s">
        <v>18</v>
      </c>
      <c r="G1284" s="137" t="s">
        <v>18</v>
      </c>
      <c r="H1284" s="137" t="s">
        <v>18</v>
      </c>
      <c r="I1284" s="172" t="e">
        <v>#VALUE!</v>
      </c>
      <c r="J1284" s="137" t="s">
        <v>18</v>
      </c>
      <c r="K1284" s="137" t="e">
        <v>#VALUE!</v>
      </c>
      <c r="L1284" s="172">
        <v>0</v>
      </c>
      <c r="M1284" s="137">
        <v>0</v>
      </c>
      <c r="N1284" s="137">
        <v>0</v>
      </c>
      <c r="O1284" s="137">
        <v>0</v>
      </c>
      <c r="P1284" s="172">
        <v>0</v>
      </c>
      <c r="Q1284" s="137">
        <v>0</v>
      </c>
      <c r="R1284" s="137">
        <v>0</v>
      </c>
      <c r="S1284" s="172">
        <v>0</v>
      </c>
      <c r="T1284" s="137">
        <v>0</v>
      </c>
      <c r="U1284" s="137">
        <v>0</v>
      </c>
      <c r="V1284" s="137">
        <v>6</v>
      </c>
      <c r="W1284" s="172">
        <v>0</v>
      </c>
      <c r="X1284" s="137">
        <v>0</v>
      </c>
      <c r="Y1284" s="137">
        <v>8</v>
      </c>
      <c r="Z1284" s="172">
        <v>0</v>
      </c>
      <c r="AA1284" s="137">
        <v>0</v>
      </c>
      <c r="AB1284" s="137">
        <v>0</v>
      </c>
      <c r="AC1284" s="137">
        <v>8</v>
      </c>
      <c r="AD1284" s="172">
        <v>0</v>
      </c>
      <c r="AE1284" s="137">
        <v>0</v>
      </c>
      <c r="AF1284" s="137">
        <v>0</v>
      </c>
      <c r="AG1284" s="137">
        <v>13</v>
      </c>
      <c r="AH1284" s="172">
        <v>0</v>
      </c>
      <c r="AI1284" s="137">
        <v>0</v>
      </c>
      <c r="AJ1284" s="137">
        <v>5</v>
      </c>
      <c r="AK1284" s="171">
        <v>0</v>
      </c>
      <c r="AL1284" s="137">
        <v>0</v>
      </c>
      <c r="AM1284" s="137">
        <v>10</v>
      </c>
      <c r="AN1284" s="172">
        <v>0</v>
      </c>
      <c r="AO1284" s="137">
        <v>0</v>
      </c>
      <c r="AP1284" s="137">
        <v>0</v>
      </c>
      <c r="AQ1284" s="137">
        <v>0</v>
      </c>
      <c r="AR1284" s="137" t="s">
        <v>18</v>
      </c>
      <c r="AS1284" s="137" t="s">
        <v>18</v>
      </c>
      <c r="AT1284" s="161"/>
      <c r="AU1284" s="161"/>
      <c r="AV1284" s="161"/>
      <c r="AW1284" s="161"/>
      <c r="AX1284" s="161"/>
      <c r="AY1284" s="161"/>
      <c r="AZ1284" s="161"/>
      <c r="BA1284" s="161"/>
      <c r="BB1284" s="161"/>
      <c r="BC1284" s="161"/>
    </row>
    <row r="1285" spans="1:55" ht="15.75" customHeight="1" x14ac:dyDescent="0.25">
      <c r="A1285" s="128" t="e">
        <v>#VALUE!</v>
      </c>
      <c r="B1285" s="136" t="s">
        <v>16</v>
      </c>
      <c r="C1285" s="171">
        <v>0</v>
      </c>
      <c r="D1285" s="137" t="s">
        <v>18</v>
      </c>
      <c r="E1285" s="124" t="e">
        <v>#VALUE!</v>
      </c>
      <c r="F1285" s="172" t="s">
        <v>18</v>
      </c>
      <c r="G1285" s="137" t="s">
        <v>18</v>
      </c>
      <c r="H1285" s="137" t="s">
        <v>18</v>
      </c>
      <c r="I1285" s="172" t="s">
        <v>18</v>
      </c>
      <c r="J1285" s="137" t="s">
        <v>18</v>
      </c>
      <c r="K1285" s="137" t="e">
        <v>#VALUE!</v>
      </c>
      <c r="L1285" s="172" t="e">
        <v>#VALUE!</v>
      </c>
      <c r="M1285" s="137" t="e">
        <v>#VALUE!</v>
      </c>
      <c r="N1285" s="137" t="e">
        <v>#VALUE!</v>
      </c>
      <c r="O1285" s="137" t="e">
        <v>#VALUE!</v>
      </c>
      <c r="P1285" s="172" t="e">
        <v>#VALUE!</v>
      </c>
      <c r="Q1285" s="137" t="e">
        <v>#VALUE!</v>
      </c>
      <c r="R1285" s="137" t="e">
        <v>#VALUE!</v>
      </c>
      <c r="S1285" s="172" t="e">
        <v>#VALUE!</v>
      </c>
      <c r="T1285" s="137" t="e">
        <v>#VALUE!</v>
      </c>
      <c r="U1285" s="137" t="e">
        <v>#VALUE!</v>
      </c>
      <c r="V1285" s="137" t="e">
        <v>#VALUE!</v>
      </c>
      <c r="W1285" s="172" t="e">
        <v>#VALUE!</v>
      </c>
      <c r="X1285" s="137" t="e">
        <v>#VALUE!</v>
      </c>
      <c r="Y1285" s="137" t="e">
        <v>#VALUE!</v>
      </c>
      <c r="Z1285" s="172" t="e">
        <v>#VALUE!</v>
      </c>
      <c r="AA1285" s="137" t="e">
        <v>#VALUE!</v>
      </c>
      <c r="AB1285" s="137" t="e">
        <v>#VALUE!</v>
      </c>
      <c r="AC1285" s="137" t="e">
        <v>#VALUE!</v>
      </c>
      <c r="AD1285" s="172" t="e">
        <v>#VALUE!</v>
      </c>
      <c r="AE1285" s="137" t="e">
        <v>#VALUE!</v>
      </c>
      <c r="AF1285" s="137" t="e">
        <v>#VALUE!</v>
      </c>
      <c r="AG1285" s="137" t="e">
        <v>#VALUE!</v>
      </c>
      <c r="AH1285" s="172" t="e">
        <v>#VALUE!</v>
      </c>
      <c r="AI1285" s="137" t="e">
        <v>#VALUE!</v>
      </c>
      <c r="AJ1285" s="137" t="e">
        <v>#VALUE!</v>
      </c>
      <c r="AK1285" s="171" t="e">
        <v>#VALUE!</v>
      </c>
      <c r="AL1285" s="137" t="e">
        <v>#VALUE!</v>
      </c>
      <c r="AM1285" s="137" t="e">
        <v>#VALUE!</v>
      </c>
      <c r="AN1285" s="172" t="e">
        <v>#VALUE!</v>
      </c>
      <c r="AO1285" s="137" t="e">
        <v>#VALUE!</v>
      </c>
      <c r="AP1285" s="137" t="e">
        <v>#VALUE!</v>
      </c>
      <c r="AQ1285" s="137" t="e">
        <v>#VALUE!</v>
      </c>
      <c r="AR1285" s="137" t="s">
        <v>18</v>
      </c>
      <c r="AS1285" s="137" t="s">
        <v>18</v>
      </c>
      <c r="AT1285" s="161"/>
      <c r="AU1285" s="161"/>
      <c r="AV1285" s="161"/>
      <c r="AW1285" s="161"/>
      <c r="AX1285" s="161"/>
      <c r="AY1285" s="161"/>
      <c r="AZ1285" s="161"/>
      <c r="BA1285" s="161"/>
      <c r="BB1285" s="161"/>
      <c r="BC1285" s="161"/>
    </row>
    <row r="1286" spans="1:55" ht="15.75" customHeight="1" x14ac:dyDescent="0.25">
      <c r="A1286" s="138" t="e">
        <v>#VALUE!</v>
      </c>
      <c r="B1286" s="139" t="s">
        <v>17</v>
      </c>
      <c r="C1286" s="180" t="s">
        <v>18</v>
      </c>
      <c r="D1286" s="141" t="s">
        <v>18</v>
      </c>
      <c r="E1286" s="192" t="e">
        <v>#VALUE!</v>
      </c>
      <c r="F1286" s="181" t="s">
        <v>18</v>
      </c>
      <c r="G1286" s="141" t="s">
        <v>18</v>
      </c>
      <c r="H1286" s="141" t="s">
        <v>18</v>
      </c>
      <c r="I1286" s="181" t="s">
        <v>18</v>
      </c>
      <c r="J1286" s="141" t="s">
        <v>18</v>
      </c>
      <c r="K1286" s="141" t="e">
        <v>#VALUE!</v>
      </c>
      <c r="L1286" s="181" t="e">
        <v>#VALUE!</v>
      </c>
      <c r="M1286" s="141" t="e">
        <v>#VALUE!</v>
      </c>
      <c r="N1286" s="141" t="e">
        <v>#VALUE!</v>
      </c>
      <c r="O1286" s="141" t="e">
        <v>#VALUE!</v>
      </c>
      <c r="P1286" s="181" t="e">
        <v>#VALUE!</v>
      </c>
      <c r="Q1286" s="141" t="e">
        <v>#VALUE!</v>
      </c>
      <c r="R1286" s="141" t="e">
        <v>#VALUE!</v>
      </c>
      <c r="S1286" s="181" t="e">
        <v>#VALUE!</v>
      </c>
      <c r="T1286" s="141" t="e">
        <v>#VALUE!</v>
      </c>
      <c r="U1286" s="141" t="e">
        <v>#VALUE!</v>
      </c>
      <c r="V1286" s="141" t="e">
        <v>#VALUE!</v>
      </c>
      <c r="W1286" s="181" t="e">
        <v>#VALUE!</v>
      </c>
      <c r="X1286" s="141" t="e">
        <v>#VALUE!</v>
      </c>
      <c r="Y1286" s="141" t="e">
        <v>#VALUE!</v>
      </c>
      <c r="Z1286" s="181" t="e">
        <v>#VALUE!</v>
      </c>
      <c r="AA1286" s="141" t="e">
        <v>#VALUE!</v>
      </c>
      <c r="AB1286" s="141" t="e">
        <v>#VALUE!</v>
      </c>
      <c r="AC1286" s="141" t="e">
        <v>#VALUE!</v>
      </c>
      <c r="AD1286" s="181" t="e">
        <v>#VALUE!</v>
      </c>
      <c r="AE1286" s="141" t="e">
        <v>#VALUE!</v>
      </c>
      <c r="AF1286" s="141" t="e">
        <v>#VALUE!</v>
      </c>
      <c r="AG1286" s="141" t="e">
        <v>#VALUE!</v>
      </c>
      <c r="AH1286" s="181" t="e">
        <v>#VALUE!</v>
      </c>
      <c r="AI1286" s="141" t="e">
        <v>#VALUE!</v>
      </c>
      <c r="AJ1286" s="141" t="e">
        <v>#VALUE!</v>
      </c>
      <c r="AK1286" s="180" t="e">
        <v>#VALUE!</v>
      </c>
      <c r="AL1286" s="141" t="e">
        <v>#VALUE!</v>
      </c>
      <c r="AM1286" s="141" t="e">
        <v>#VALUE!</v>
      </c>
      <c r="AN1286" s="181" t="e">
        <v>#VALUE!</v>
      </c>
      <c r="AO1286" s="141" t="e">
        <v>#VALUE!</v>
      </c>
      <c r="AP1286" s="141" t="e">
        <v>#VALUE!</v>
      </c>
      <c r="AQ1286" s="141" t="e">
        <v>#VALUE!</v>
      </c>
      <c r="AR1286" s="141" t="s">
        <v>18</v>
      </c>
      <c r="AS1286" s="141" t="s">
        <v>18</v>
      </c>
      <c r="AT1286" s="161"/>
      <c r="AU1286" s="161"/>
      <c r="AV1286" s="161"/>
      <c r="AW1286" s="161"/>
      <c r="AX1286" s="161"/>
      <c r="AY1286" s="161"/>
      <c r="AZ1286" s="161"/>
      <c r="BA1286" s="161"/>
      <c r="BB1286" s="161"/>
      <c r="BC1286" s="161"/>
    </row>
  </sheetData>
  <phoneticPr fontId="9"/>
  <conditionalFormatting sqref="A27">
    <cfRule type="cellIs" dxfId="93" priority="1" operator="greaterThan">
      <formula>0.25</formula>
    </cfRule>
  </conditionalFormatting>
  <conditionalFormatting sqref="A39">
    <cfRule type="cellIs" dxfId="92" priority="2" operator="greaterThan">
      <formula>0.25</formula>
    </cfRule>
  </conditionalFormatting>
  <conditionalFormatting sqref="A51">
    <cfRule type="cellIs" dxfId="91" priority="3" operator="greaterThan">
      <formula>0.25</formula>
    </cfRule>
  </conditionalFormatting>
  <conditionalFormatting sqref="A63">
    <cfRule type="cellIs" dxfId="90" priority="4" operator="greaterThan">
      <formula>0.25</formula>
    </cfRule>
  </conditionalFormatting>
  <conditionalFormatting sqref="A75">
    <cfRule type="cellIs" dxfId="89" priority="5" operator="greaterThan">
      <formula>0.25</formula>
    </cfRule>
  </conditionalFormatting>
  <conditionalFormatting sqref="A87">
    <cfRule type="cellIs" dxfId="88" priority="6" operator="greaterThan">
      <formula>0.25</formula>
    </cfRule>
  </conditionalFormatting>
  <conditionalFormatting sqref="A99">
    <cfRule type="cellIs" dxfId="87" priority="7" operator="greaterThan">
      <formula>0.25</formula>
    </cfRule>
  </conditionalFormatting>
  <conditionalFormatting sqref="A111">
    <cfRule type="cellIs" dxfId="86" priority="8" operator="greaterThan">
      <formula>0.25</formula>
    </cfRule>
  </conditionalFormatting>
  <conditionalFormatting sqref="A123">
    <cfRule type="cellIs" dxfId="85" priority="9" operator="greaterThan">
      <formula>0.25</formula>
    </cfRule>
  </conditionalFormatting>
  <conditionalFormatting sqref="A135">
    <cfRule type="cellIs" dxfId="84" priority="10" operator="greaterThan">
      <formula>0.25</formula>
    </cfRule>
  </conditionalFormatting>
  <conditionalFormatting sqref="A147">
    <cfRule type="cellIs" dxfId="83" priority="11" operator="greaterThan">
      <formula>0.25</formula>
    </cfRule>
  </conditionalFormatting>
  <conditionalFormatting sqref="A159">
    <cfRule type="cellIs" dxfId="82" priority="12" operator="greaterThan">
      <formula>0.25</formula>
    </cfRule>
  </conditionalFormatting>
  <conditionalFormatting sqref="A171">
    <cfRule type="cellIs" dxfId="81" priority="13" operator="greaterThan">
      <formula>0.25</formula>
    </cfRule>
  </conditionalFormatting>
  <conditionalFormatting sqref="A183">
    <cfRule type="cellIs" dxfId="80" priority="14" operator="greaterThan">
      <formula>0.25</formula>
    </cfRule>
  </conditionalFormatting>
  <conditionalFormatting sqref="A195 A207">
    <cfRule type="cellIs" dxfId="79" priority="15" operator="greaterThan">
      <formula>0.25</formula>
    </cfRule>
  </conditionalFormatting>
  <conditionalFormatting sqref="A232">
    <cfRule type="cellIs" dxfId="78" priority="16" operator="greaterThan">
      <formula>0.25</formula>
    </cfRule>
  </conditionalFormatting>
  <conditionalFormatting sqref="A244">
    <cfRule type="cellIs" dxfId="77" priority="17" operator="greaterThan">
      <formula>0.25</formula>
    </cfRule>
  </conditionalFormatting>
  <conditionalFormatting sqref="A256">
    <cfRule type="cellIs" dxfId="76" priority="18" operator="greaterThan">
      <formula>0.25</formula>
    </cfRule>
  </conditionalFormatting>
  <conditionalFormatting sqref="A268">
    <cfRule type="cellIs" dxfId="75" priority="19" operator="greaterThan">
      <formula>0.25</formula>
    </cfRule>
  </conditionalFormatting>
  <conditionalFormatting sqref="A280">
    <cfRule type="cellIs" dxfId="74" priority="20" operator="greaterThan">
      <formula>0.25</formula>
    </cfRule>
  </conditionalFormatting>
  <conditionalFormatting sqref="A292">
    <cfRule type="cellIs" dxfId="73" priority="21" operator="greaterThan">
      <formula>0.25</formula>
    </cfRule>
  </conditionalFormatting>
  <conditionalFormatting sqref="A304">
    <cfRule type="cellIs" dxfId="72" priority="22" operator="greaterThan">
      <formula>0.25</formula>
    </cfRule>
  </conditionalFormatting>
  <conditionalFormatting sqref="A316">
    <cfRule type="cellIs" dxfId="71" priority="23" operator="greaterThan">
      <formula>0.25</formula>
    </cfRule>
  </conditionalFormatting>
  <conditionalFormatting sqref="A328">
    <cfRule type="cellIs" dxfId="70" priority="24" operator="greaterThan">
      <formula>0.25</formula>
    </cfRule>
  </conditionalFormatting>
  <conditionalFormatting sqref="A340">
    <cfRule type="cellIs" dxfId="69" priority="25" operator="greaterThan">
      <formula>0.25</formula>
    </cfRule>
  </conditionalFormatting>
  <conditionalFormatting sqref="A352">
    <cfRule type="cellIs" dxfId="68" priority="26" operator="greaterThan">
      <formula>0.25</formula>
    </cfRule>
  </conditionalFormatting>
  <conditionalFormatting sqref="A364">
    <cfRule type="cellIs" dxfId="67" priority="27" operator="greaterThan">
      <formula>0.25</formula>
    </cfRule>
  </conditionalFormatting>
  <conditionalFormatting sqref="A376">
    <cfRule type="cellIs" dxfId="66" priority="28" operator="greaterThan">
      <formula>0.25</formula>
    </cfRule>
  </conditionalFormatting>
  <conditionalFormatting sqref="A388">
    <cfRule type="cellIs" dxfId="65" priority="29" operator="greaterThan">
      <formula>0.25</formula>
    </cfRule>
  </conditionalFormatting>
  <conditionalFormatting sqref="A400 A412">
    <cfRule type="cellIs" dxfId="64" priority="30" operator="greaterThan">
      <formula>0.25</formula>
    </cfRule>
  </conditionalFormatting>
  <conditionalFormatting sqref="A426">
    <cfRule type="cellIs" dxfId="63" priority="31" operator="greaterThan">
      <formula>0.25</formula>
    </cfRule>
  </conditionalFormatting>
  <conditionalFormatting sqref="A438">
    <cfRule type="cellIs" dxfId="62" priority="32" operator="greaterThan">
      <formula>0.25</formula>
    </cfRule>
  </conditionalFormatting>
  <conditionalFormatting sqref="A450">
    <cfRule type="cellIs" dxfId="61" priority="33" operator="greaterThan">
      <formula>0.25</formula>
    </cfRule>
  </conditionalFormatting>
  <conditionalFormatting sqref="A462">
    <cfRule type="cellIs" dxfId="60" priority="34" operator="greaterThan">
      <formula>0.25</formula>
    </cfRule>
  </conditionalFormatting>
  <conditionalFormatting sqref="A474">
    <cfRule type="cellIs" dxfId="59" priority="35" operator="greaterThan">
      <formula>0.25</formula>
    </cfRule>
  </conditionalFormatting>
  <conditionalFormatting sqref="A486">
    <cfRule type="cellIs" dxfId="58" priority="36" operator="greaterThan">
      <formula>0.25</formula>
    </cfRule>
  </conditionalFormatting>
  <conditionalFormatting sqref="A498">
    <cfRule type="cellIs" dxfId="57" priority="37" operator="greaterThan">
      <formula>0.25</formula>
    </cfRule>
  </conditionalFormatting>
  <conditionalFormatting sqref="A510">
    <cfRule type="cellIs" dxfId="56" priority="38" operator="greaterThan">
      <formula>0.25</formula>
    </cfRule>
  </conditionalFormatting>
  <conditionalFormatting sqref="A522">
    <cfRule type="cellIs" dxfId="55" priority="39" operator="greaterThan">
      <formula>0.25</formula>
    </cfRule>
  </conditionalFormatting>
  <conditionalFormatting sqref="A534">
    <cfRule type="cellIs" dxfId="54" priority="40" operator="greaterThan">
      <formula>0.25</formula>
    </cfRule>
  </conditionalFormatting>
  <conditionalFormatting sqref="A546">
    <cfRule type="cellIs" dxfId="53" priority="41" operator="greaterThan">
      <formula>0.25</formula>
    </cfRule>
  </conditionalFormatting>
  <conditionalFormatting sqref="A558">
    <cfRule type="cellIs" dxfId="52" priority="42" operator="greaterThan">
      <formula>0.25</formula>
    </cfRule>
  </conditionalFormatting>
  <conditionalFormatting sqref="A570">
    <cfRule type="cellIs" dxfId="51" priority="43" operator="greaterThan">
      <formula>0.25</formula>
    </cfRule>
  </conditionalFormatting>
  <conditionalFormatting sqref="A582">
    <cfRule type="cellIs" dxfId="50" priority="44" operator="greaterThan">
      <formula>0.25</formula>
    </cfRule>
  </conditionalFormatting>
  <conditionalFormatting sqref="A594 A606">
    <cfRule type="cellIs" dxfId="49" priority="45" operator="greaterThan">
      <formula>0.25</formula>
    </cfRule>
  </conditionalFormatting>
  <conditionalFormatting sqref="A646">
    <cfRule type="cellIs" dxfId="48" priority="46" operator="greaterThan">
      <formula>0.25</formula>
    </cfRule>
  </conditionalFormatting>
  <conditionalFormatting sqref="A658">
    <cfRule type="cellIs" dxfId="47" priority="47" operator="greaterThan">
      <formula>0.25</formula>
    </cfRule>
  </conditionalFormatting>
  <conditionalFormatting sqref="A670">
    <cfRule type="cellIs" dxfId="46" priority="48" operator="greaterThan">
      <formula>0.25</formula>
    </cfRule>
  </conditionalFormatting>
  <conditionalFormatting sqref="A682">
    <cfRule type="cellIs" dxfId="45" priority="49" operator="greaterThan">
      <formula>0.25</formula>
    </cfRule>
  </conditionalFormatting>
  <conditionalFormatting sqref="A694">
    <cfRule type="cellIs" dxfId="44" priority="50" operator="greaterThan">
      <formula>0.25</formula>
    </cfRule>
  </conditionalFormatting>
  <conditionalFormatting sqref="A706">
    <cfRule type="cellIs" dxfId="43" priority="51" operator="greaterThan">
      <formula>0.25</formula>
    </cfRule>
  </conditionalFormatting>
  <conditionalFormatting sqref="A718">
    <cfRule type="cellIs" dxfId="42" priority="52" operator="greaterThan">
      <formula>0.25</formula>
    </cfRule>
  </conditionalFormatting>
  <conditionalFormatting sqref="A730">
    <cfRule type="cellIs" dxfId="41" priority="53" operator="greaterThan">
      <formula>0.25</formula>
    </cfRule>
  </conditionalFormatting>
  <conditionalFormatting sqref="A742">
    <cfRule type="cellIs" dxfId="40" priority="54" operator="greaterThan">
      <formula>0.25</formula>
    </cfRule>
  </conditionalFormatting>
  <conditionalFormatting sqref="A754">
    <cfRule type="cellIs" dxfId="39" priority="55" operator="greaterThan">
      <formula>0.25</formula>
    </cfRule>
  </conditionalFormatting>
  <conditionalFormatting sqref="A766">
    <cfRule type="cellIs" dxfId="38" priority="56" operator="greaterThan">
      <formula>0.25</formula>
    </cfRule>
  </conditionalFormatting>
  <conditionalFormatting sqref="A778">
    <cfRule type="cellIs" dxfId="37" priority="57" operator="greaterThan">
      <formula>0.25</formula>
    </cfRule>
  </conditionalFormatting>
  <conditionalFormatting sqref="A790">
    <cfRule type="cellIs" dxfId="36" priority="58" operator="greaterThan">
      <formula>0.25</formula>
    </cfRule>
  </conditionalFormatting>
  <conditionalFormatting sqref="A802">
    <cfRule type="cellIs" dxfId="35" priority="59" operator="greaterThan">
      <formula>0.25</formula>
    </cfRule>
  </conditionalFormatting>
  <conditionalFormatting sqref="A814 A826">
    <cfRule type="cellIs" dxfId="34" priority="60" operator="greaterThan">
      <formula>0.25</formula>
    </cfRule>
  </conditionalFormatting>
  <conditionalFormatting sqref="A853">
    <cfRule type="cellIs" dxfId="33" priority="61" operator="greaterThan">
      <formula>0.25</formula>
    </cfRule>
  </conditionalFormatting>
  <conditionalFormatting sqref="A865">
    <cfRule type="cellIs" dxfId="32" priority="62" operator="greaterThan">
      <formula>0.25</formula>
    </cfRule>
  </conditionalFormatting>
  <conditionalFormatting sqref="A877">
    <cfRule type="cellIs" dxfId="31" priority="63" operator="greaterThan">
      <formula>0.25</formula>
    </cfRule>
  </conditionalFormatting>
  <conditionalFormatting sqref="A889">
    <cfRule type="cellIs" dxfId="30" priority="64" operator="greaterThan">
      <formula>0.25</formula>
    </cfRule>
  </conditionalFormatting>
  <conditionalFormatting sqref="A901">
    <cfRule type="cellIs" dxfId="29" priority="65" operator="greaterThan">
      <formula>0.25</formula>
    </cfRule>
  </conditionalFormatting>
  <conditionalFormatting sqref="A913">
    <cfRule type="cellIs" dxfId="28" priority="66" operator="greaterThan">
      <formula>0.25</formula>
    </cfRule>
  </conditionalFormatting>
  <conditionalFormatting sqref="A925">
    <cfRule type="cellIs" dxfId="27" priority="67" operator="greaterThan">
      <formula>0.25</formula>
    </cfRule>
  </conditionalFormatting>
  <conditionalFormatting sqref="A937">
    <cfRule type="cellIs" dxfId="26" priority="68" operator="greaterThan">
      <formula>0.25</formula>
    </cfRule>
  </conditionalFormatting>
  <conditionalFormatting sqref="A949">
    <cfRule type="cellIs" dxfId="25" priority="69" operator="greaterThan">
      <formula>0.25</formula>
    </cfRule>
  </conditionalFormatting>
  <conditionalFormatting sqref="A961">
    <cfRule type="cellIs" dxfId="24" priority="70" operator="greaterThan">
      <formula>0.25</formula>
    </cfRule>
  </conditionalFormatting>
  <conditionalFormatting sqref="A973">
    <cfRule type="cellIs" dxfId="23" priority="71" operator="greaterThan">
      <formula>0.25</formula>
    </cfRule>
  </conditionalFormatting>
  <conditionalFormatting sqref="A985">
    <cfRule type="cellIs" dxfId="22" priority="72" operator="greaterThan">
      <formula>0.25</formula>
    </cfRule>
  </conditionalFormatting>
  <conditionalFormatting sqref="A997">
    <cfRule type="cellIs" dxfId="21" priority="73" operator="greaterThan">
      <formula>0.25</formula>
    </cfRule>
  </conditionalFormatting>
  <conditionalFormatting sqref="A1009">
    <cfRule type="cellIs" dxfId="20" priority="74" operator="greaterThan">
      <formula>0.25</formula>
    </cfRule>
  </conditionalFormatting>
  <conditionalFormatting sqref="A1021">
    <cfRule type="cellIs" dxfId="19" priority="75" operator="greaterThan">
      <formula>0.25</formula>
    </cfRule>
  </conditionalFormatting>
  <conditionalFormatting sqref="A1070">
    <cfRule type="cellIs" dxfId="18" priority="76" operator="greaterThan">
      <formula>0.25</formula>
    </cfRule>
  </conditionalFormatting>
  <conditionalFormatting sqref="A1082">
    <cfRule type="cellIs" dxfId="17" priority="77" operator="greaterThan">
      <formula>0.25</formula>
    </cfRule>
  </conditionalFormatting>
  <conditionalFormatting sqref="A1094">
    <cfRule type="cellIs" dxfId="16" priority="78" operator="greaterThan">
      <formula>0.25</formula>
    </cfRule>
  </conditionalFormatting>
  <conditionalFormatting sqref="A1106">
    <cfRule type="cellIs" dxfId="15" priority="79" operator="greaterThan">
      <formula>0.25</formula>
    </cfRule>
  </conditionalFormatting>
  <conditionalFormatting sqref="A1118">
    <cfRule type="cellIs" dxfId="14" priority="80" operator="greaterThan">
      <formula>0.25</formula>
    </cfRule>
  </conditionalFormatting>
  <conditionalFormatting sqref="A1130">
    <cfRule type="cellIs" dxfId="13" priority="81" operator="greaterThan">
      <formula>0.25</formula>
    </cfRule>
  </conditionalFormatting>
  <conditionalFormatting sqref="A1142">
    <cfRule type="cellIs" dxfId="12" priority="82" operator="greaterThan">
      <formula>0.25</formula>
    </cfRule>
  </conditionalFormatting>
  <conditionalFormatting sqref="A1154">
    <cfRule type="cellIs" dxfId="11" priority="83" operator="greaterThan">
      <formula>0.25</formula>
    </cfRule>
  </conditionalFormatting>
  <conditionalFormatting sqref="A1166">
    <cfRule type="cellIs" dxfId="10" priority="84" operator="greaterThan">
      <formula>0.25</formula>
    </cfRule>
  </conditionalFormatting>
  <conditionalFormatting sqref="A1178">
    <cfRule type="cellIs" dxfId="9" priority="85" operator="greaterThan">
      <formula>0.25</formula>
    </cfRule>
  </conditionalFormatting>
  <conditionalFormatting sqref="A1190">
    <cfRule type="cellIs" dxfId="8" priority="86" operator="greaterThan">
      <formula>0.25</formula>
    </cfRule>
  </conditionalFormatting>
  <conditionalFormatting sqref="A1202">
    <cfRule type="cellIs" dxfId="7" priority="87" operator="greaterThan">
      <formula>0.25</formula>
    </cfRule>
  </conditionalFormatting>
  <conditionalFormatting sqref="A1214">
    <cfRule type="cellIs" dxfId="6" priority="88" operator="greaterThan">
      <formula>0.25</formula>
    </cfRule>
  </conditionalFormatting>
  <conditionalFormatting sqref="A1226">
    <cfRule type="cellIs" dxfId="5" priority="89" operator="greaterThan">
      <formula>0.25</formula>
    </cfRule>
  </conditionalFormatting>
  <conditionalFormatting sqref="A1238">
    <cfRule type="cellIs" dxfId="4" priority="90" operator="greaterThan">
      <formula>0.25</formula>
    </cfRule>
  </conditionalFormatting>
  <conditionalFormatting sqref="A1250">
    <cfRule type="cellIs" dxfId="3" priority="91" operator="greaterThan">
      <formula>0.25</formula>
    </cfRule>
  </conditionalFormatting>
  <conditionalFormatting sqref="A1262">
    <cfRule type="cellIs" dxfId="2" priority="92" operator="greaterThan">
      <formula>0.25</formula>
    </cfRule>
  </conditionalFormatting>
  <conditionalFormatting sqref="A1274">
    <cfRule type="cellIs" dxfId="1" priority="93" operator="greaterThan">
      <formula>0.25</formula>
    </cfRule>
  </conditionalFormatting>
  <conditionalFormatting sqref="A1286">
    <cfRule type="cellIs" dxfId="0" priority="94" operator="greaterThan">
      <formula>0.25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クレーン佐賀八女</vt:lpstr>
      <vt:lpstr>ガチャ</vt:lpstr>
      <vt:lpstr>集金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nagahama</dc:creator>
  <cp:lastModifiedBy>Hironori Honda</cp:lastModifiedBy>
  <dcterms:created xsi:type="dcterms:W3CDTF">2022-06-18T08:23:23Z</dcterms:created>
  <dcterms:modified xsi:type="dcterms:W3CDTF">2026-05-24T02:00:36Z</dcterms:modified>
</cp:coreProperties>
</file>